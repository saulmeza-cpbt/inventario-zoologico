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b39644a82a9faca/Desktop/ABRIL/SNACK/"/>
    </mc:Choice>
  </mc:AlternateContent>
  <xr:revisionPtr revIDLastSave="5" documentId="8_{7BE91456-2274-4F3E-9DC9-E871827B4FED}" xr6:coauthVersionLast="47" xr6:coauthVersionMax="47" xr10:uidLastSave="{36BB72B9-7962-4613-B5B0-8C81ADBF46E5}"/>
  <bookViews>
    <workbookView xWindow="-120" yWindow="-120" windowWidth="19440" windowHeight="14880" xr2:uid="{00000000-000D-0000-FFFF-FFFF00000000}"/>
  </bookViews>
  <sheets>
    <sheet name="INV. FINAL HERRAMIENTAS" sheetId="14" r:id="rId1"/>
    <sheet name="PAPEL TRABAJO AUX ABRIL" sheetId="11" r:id="rId2"/>
    <sheet name="INV. FINAL" sheetId="12" r:id="rId3"/>
    <sheet name="Hoja1" sheetId="13" r:id="rId4"/>
    <sheet name="MENSUAL" sheetId="6" r:id="rId5"/>
    <sheet name="ENTRADAS" sheetId="5" r:id="rId6"/>
    <sheet name="SEMANA S1" sheetId="2" r:id="rId7"/>
    <sheet name="SEMANA S2" sheetId="7" r:id="rId8"/>
    <sheet name="SEMANA S3" sheetId="8" r:id="rId9"/>
    <sheet name="SEMANA S4" sheetId="9" r:id="rId10"/>
    <sheet name="SEMANA S5" sheetId="10" r:id="rId11"/>
    <sheet name="BITACORA" sheetId="3" r:id="rId12"/>
    <sheet name="MERMAS" sheetId="4" r:id="rId13"/>
  </sheets>
  <definedNames>
    <definedName name="_xlnm._FilterDatabase" localSheetId="11" hidden="1">BITACORA!$A$7:$G$24</definedName>
    <definedName name="_xlnm._FilterDatabase" localSheetId="5" hidden="1">ENTRADAS!$A$5:$N$56</definedName>
    <definedName name="_xlnm._FilterDatabase" localSheetId="2" hidden="1">'INV. FINAL'!$A$7:$Y$171</definedName>
    <definedName name="_xlnm._FilterDatabase" localSheetId="0" hidden="1">'INV. FINAL HERRAMIENTAS'!$A$7:$U$7</definedName>
    <definedName name="_xlnm._FilterDatabase" localSheetId="4" hidden="1">MENSUAL!$A$7:$XAA$171</definedName>
    <definedName name="_xlnm._FilterDatabase" localSheetId="12" hidden="1">MERMAS!$A$5:$G$13</definedName>
    <definedName name="_xlnm._FilterDatabase" localSheetId="1" hidden="1">'PAPEL TRABAJO AUX ABRIL'!$A$2:$BK$231</definedName>
    <definedName name="_xlnm._FilterDatabase" localSheetId="7" hidden="1">'SEMANA S2'!$A$1:$WVQ$14</definedName>
    <definedName name="_xlnm.Print_Titles" localSheetId="5">ENTRADAS!$5:$5</definedName>
    <definedName name="_xlnm.Print_Titles" localSheetId="2">'INV. FINAL'!$1:$7</definedName>
    <definedName name="_xlnm.Print_Titles" localSheetId="4">MENSUAL!$1:$7</definedName>
  </definedNames>
  <calcPr calcId="191029"/>
  <pivotCaches>
    <pivotCache cacheId="2" r:id="rId14"/>
    <pivotCache cacheId="3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9" i="14" l="1"/>
  <c r="L29" i="14"/>
  <c r="J29" i="14"/>
  <c r="I29" i="14"/>
  <c r="H29" i="14"/>
  <c r="G29" i="14"/>
  <c r="F29" i="14"/>
  <c r="T28" i="14"/>
  <c r="S28" i="14"/>
  <c r="R28" i="14"/>
  <c r="Q28" i="14"/>
  <c r="O28" i="14"/>
  <c r="U28" i="14" s="1"/>
  <c r="K28" i="14"/>
  <c r="M28" i="14" s="1"/>
  <c r="T27" i="14"/>
  <c r="S27" i="14"/>
  <c r="R27" i="14"/>
  <c r="Q27" i="14"/>
  <c r="O27" i="14"/>
  <c r="U27" i="14" s="1"/>
  <c r="K27" i="14"/>
  <c r="M27" i="14" s="1"/>
  <c r="T26" i="14"/>
  <c r="S26" i="14"/>
  <c r="R26" i="14"/>
  <c r="Q26" i="14"/>
  <c r="O26" i="14"/>
  <c r="U26" i="14" s="1"/>
  <c r="K26" i="14"/>
  <c r="M26" i="14" s="1"/>
  <c r="T25" i="14"/>
  <c r="S25" i="14"/>
  <c r="R25" i="14"/>
  <c r="Q25" i="14"/>
  <c r="O25" i="14"/>
  <c r="U25" i="14" s="1"/>
  <c r="K25" i="14"/>
  <c r="M25" i="14" s="1"/>
  <c r="T24" i="14"/>
  <c r="S24" i="14"/>
  <c r="R24" i="14"/>
  <c r="Q24" i="14"/>
  <c r="O24" i="14"/>
  <c r="U24" i="14" s="1"/>
  <c r="K24" i="14"/>
  <c r="M24" i="14" s="1"/>
  <c r="T23" i="14"/>
  <c r="S23" i="14"/>
  <c r="R23" i="14"/>
  <c r="Q23" i="14"/>
  <c r="O23" i="14"/>
  <c r="U23" i="14" s="1"/>
  <c r="K23" i="14"/>
  <c r="M23" i="14" s="1"/>
  <c r="T22" i="14"/>
  <c r="S22" i="14"/>
  <c r="R22" i="14"/>
  <c r="Q22" i="14"/>
  <c r="O22" i="14"/>
  <c r="U22" i="14" s="1"/>
  <c r="K22" i="14"/>
  <c r="M22" i="14" s="1"/>
  <c r="T21" i="14"/>
  <c r="S21" i="14"/>
  <c r="R21" i="14"/>
  <c r="Q21" i="14"/>
  <c r="O21" i="14"/>
  <c r="U21" i="14" s="1"/>
  <c r="K21" i="14"/>
  <c r="M21" i="14" s="1"/>
  <c r="T20" i="14"/>
  <c r="S20" i="14"/>
  <c r="R20" i="14"/>
  <c r="Q20" i="14"/>
  <c r="O20" i="14"/>
  <c r="U20" i="14" s="1"/>
  <c r="K20" i="14"/>
  <c r="M20" i="14" s="1"/>
  <c r="T19" i="14"/>
  <c r="S19" i="14"/>
  <c r="R19" i="14"/>
  <c r="Q19" i="14"/>
  <c r="O19" i="14"/>
  <c r="U19" i="14" s="1"/>
  <c r="K19" i="14"/>
  <c r="M19" i="14" s="1"/>
  <c r="T18" i="14"/>
  <c r="S18" i="14"/>
  <c r="R18" i="14"/>
  <c r="Q18" i="14"/>
  <c r="O18" i="14"/>
  <c r="U18" i="14" s="1"/>
  <c r="K18" i="14"/>
  <c r="M18" i="14" s="1"/>
  <c r="T17" i="14"/>
  <c r="S17" i="14"/>
  <c r="R17" i="14"/>
  <c r="Q17" i="14"/>
  <c r="O17" i="14"/>
  <c r="U17" i="14" s="1"/>
  <c r="K17" i="14"/>
  <c r="M17" i="14" s="1"/>
  <c r="T16" i="14"/>
  <c r="S16" i="14"/>
  <c r="R16" i="14"/>
  <c r="Q16" i="14"/>
  <c r="O16" i="14"/>
  <c r="U16" i="14" s="1"/>
  <c r="K16" i="14"/>
  <c r="M16" i="14" s="1"/>
  <c r="T15" i="14"/>
  <c r="S15" i="14"/>
  <c r="R15" i="14"/>
  <c r="Q15" i="14"/>
  <c r="O15" i="14"/>
  <c r="U15" i="14" s="1"/>
  <c r="K15" i="14"/>
  <c r="M15" i="14" s="1"/>
  <c r="T14" i="14"/>
  <c r="S14" i="14"/>
  <c r="R14" i="14"/>
  <c r="Q14" i="14"/>
  <c r="O14" i="14"/>
  <c r="U14" i="14" s="1"/>
  <c r="K14" i="14"/>
  <c r="M14" i="14" s="1"/>
  <c r="T13" i="14"/>
  <c r="S13" i="14"/>
  <c r="R13" i="14"/>
  <c r="Q13" i="14"/>
  <c r="O13" i="14"/>
  <c r="U13" i="14" s="1"/>
  <c r="K13" i="14"/>
  <c r="M13" i="14" s="1"/>
  <c r="T12" i="14"/>
  <c r="S12" i="14"/>
  <c r="R12" i="14"/>
  <c r="Q12" i="14"/>
  <c r="O12" i="14"/>
  <c r="U12" i="14" s="1"/>
  <c r="K12" i="14"/>
  <c r="M12" i="14" s="1"/>
  <c r="T11" i="14"/>
  <c r="S11" i="14"/>
  <c r="R11" i="14"/>
  <c r="Q11" i="14"/>
  <c r="O11" i="14"/>
  <c r="U11" i="14" s="1"/>
  <c r="K11" i="14"/>
  <c r="M11" i="14" s="1"/>
  <c r="T10" i="14"/>
  <c r="S10" i="14"/>
  <c r="R10" i="14"/>
  <c r="Q10" i="14"/>
  <c r="O10" i="14"/>
  <c r="U10" i="14" s="1"/>
  <c r="K10" i="14"/>
  <c r="M10" i="14" s="1"/>
  <c r="T9" i="14"/>
  <c r="S9" i="14"/>
  <c r="R9" i="14"/>
  <c r="Q9" i="14"/>
  <c r="O9" i="14"/>
  <c r="U9" i="14" s="1"/>
  <c r="K9" i="14"/>
  <c r="M9" i="14" s="1"/>
  <c r="T8" i="14"/>
  <c r="T29" i="14" s="1"/>
  <c r="S8" i="14"/>
  <c r="S29" i="14" s="1"/>
  <c r="R8" i="14"/>
  <c r="R29" i="14" s="1"/>
  <c r="Q8" i="14"/>
  <c r="Q29" i="14" s="1"/>
  <c r="O8" i="14"/>
  <c r="K8" i="14"/>
  <c r="R171" i="12"/>
  <c r="O171" i="12"/>
  <c r="M171" i="12"/>
  <c r="K171" i="12"/>
  <c r="J171" i="12"/>
  <c r="I171" i="12"/>
  <c r="H171" i="12"/>
  <c r="G171" i="12"/>
  <c r="V170" i="12"/>
  <c r="U170" i="12"/>
  <c r="T170" i="12"/>
  <c r="S170" i="12"/>
  <c r="Q170" i="12"/>
  <c r="L170" i="12"/>
  <c r="V169" i="12"/>
  <c r="U169" i="12"/>
  <c r="T169" i="12"/>
  <c r="S169" i="12"/>
  <c r="Q169" i="12"/>
  <c r="L169" i="12"/>
  <c r="V168" i="12"/>
  <c r="U168" i="12"/>
  <c r="T168" i="12"/>
  <c r="S168" i="12"/>
  <c r="Q168" i="12"/>
  <c r="L168" i="12"/>
  <c r="V167" i="12"/>
  <c r="U167" i="12"/>
  <c r="T167" i="12"/>
  <c r="S167" i="12"/>
  <c r="Q167" i="12"/>
  <c r="W167" i="12" s="1"/>
  <c r="L167" i="12"/>
  <c r="V166" i="12"/>
  <c r="U166" i="12"/>
  <c r="T166" i="12"/>
  <c r="S166" i="12"/>
  <c r="Q166" i="12"/>
  <c r="W166" i="12" s="1"/>
  <c r="L166" i="12"/>
  <c r="V165" i="12"/>
  <c r="U165" i="12"/>
  <c r="T165" i="12"/>
  <c r="S165" i="12"/>
  <c r="Q165" i="12"/>
  <c r="W165" i="12" s="1"/>
  <c r="L165" i="12"/>
  <c r="V164" i="12"/>
  <c r="U164" i="12"/>
  <c r="T164" i="12"/>
  <c r="S164" i="12"/>
  <c r="Q164" i="12"/>
  <c r="W164" i="12" s="1"/>
  <c r="L164" i="12"/>
  <c r="V163" i="12"/>
  <c r="U163" i="12"/>
  <c r="T163" i="12"/>
  <c r="S163" i="12"/>
  <c r="Q163" i="12"/>
  <c r="L163" i="12"/>
  <c r="V162" i="12"/>
  <c r="U162" i="12"/>
  <c r="T162" i="12"/>
  <c r="S162" i="12"/>
  <c r="Q162" i="12"/>
  <c r="W162" i="12" s="1"/>
  <c r="L162" i="12"/>
  <c r="V161" i="12"/>
  <c r="U161" i="12"/>
  <c r="T161" i="12"/>
  <c r="S161" i="12"/>
  <c r="Q161" i="12"/>
  <c r="L161" i="12"/>
  <c r="V160" i="12"/>
  <c r="U160" i="12"/>
  <c r="T160" i="12"/>
  <c r="S160" i="12"/>
  <c r="Q160" i="12"/>
  <c r="W160" i="12" s="1"/>
  <c r="L160" i="12"/>
  <c r="V159" i="12"/>
  <c r="U159" i="12"/>
  <c r="T159" i="12"/>
  <c r="S159" i="12"/>
  <c r="Q159" i="12"/>
  <c r="W159" i="12" s="1"/>
  <c r="L159" i="12"/>
  <c r="V158" i="12"/>
  <c r="U158" i="12"/>
  <c r="T158" i="12"/>
  <c r="S158" i="12"/>
  <c r="Q158" i="12"/>
  <c r="W158" i="12" s="1"/>
  <c r="L158" i="12"/>
  <c r="V157" i="12"/>
  <c r="U157" i="12"/>
  <c r="T157" i="12"/>
  <c r="S157" i="12"/>
  <c r="Q157" i="12"/>
  <c r="W157" i="12" s="1"/>
  <c r="L157" i="12"/>
  <c r="V156" i="12"/>
  <c r="U156" i="12"/>
  <c r="T156" i="12"/>
  <c r="S156" i="12"/>
  <c r="Q156" i="12"/>
  <c r="W156" i="12" s="1"/>
  <c r="L156" i="12"/>
  <c r="V155" i="12"/>
  <c r="U155" i="12"/>
  <c r="T155" i="12"/>
  <c r="S155" i="12"/>
  <c r="Q155" i="12"/>
  <c r="W155" i="12" s="1"/>
  <c r="L155" i="12"/>
  <c r="V154" i="12"/>
  <c r="U154" i="12"/>
  <c r="T154" i="12"/>
  <c r="S154" i="12"/>
  <c r="Q154" i="12"/>
  <c r="W154" i="12" s="1"/>
  <c r="L154" i="12"/>
  <c r="V153" i="12"/>
  <c r="U153" i="12"/>
  <c r="T153" i="12"/>
  <c r="S153" i="12"/>
  <c r="Q153" i="12"/>
  <c r="W153" i="12" s="1"/>
  <c r="L153" i="12"/>
  <c r="V152" i="12"/>
  <c r="U152" i="12"/>
  <c r="T152" i="12"/>
  <c r="S152" i="12"/>
  <c r="Q152" i="12"/>
  <c r="W152" i="12" s="1"/>
  <c r="L152" i="12"/>
  <c r="V151" i="12"/>
  <c r="U151" i="12"/>
  <c r="T151" i="12"/>
  <c r="S151" i="12"/>
  <c r="Q151" i="12"/>
  <c r="L151" i="12"/>
  <c r="V150" i="12"/>
  <c r="U150" i="12"/>
  <c r="T150" i="12"/>
  <c r="S150" i="12"/>
  <c r="Q150" i="12"/>
  <c r="W150" i="12" s="1"/>
  <c r="L150" i="12"/>
  <c r="V149" i="12"/>
  <c r="U149" i="12"/>
  <c r="T149" i="12"/>
  <c r="S149" i="12"/>
  <c r="Q149" i="12"/>
  <c r="W149" i="12" s="1"/>
  <c r="L149" i="12"/>
  <c r="V148" i="12"/>
  <c r="U148" i="12"/>
  <c r="T148" i="12"/>
  <c r="S148" i="12"/>
  <c r="Q148" i="12"/>
  <c r="W148" i="12" s="1"/>
  <c r="L148" i="12"/>
  <c r="V147" i="12"/>
  <c r="U147" i="12"/>
  <c r="T147" i="12"/>
  <c r="S147" i="12"/>
  <c r="Q147" i="12"/>
  <c r="W147" i="12" s="1"/>
  <c r="L147" i="12"/>
  <c r="V146" i="12"/>
  <c r="U146" i="12"/>
  <c r="T146" i="12"/>
  <c r="S146" i="12"/>
  <c r="Q146" i="12"/>
  <c r="W146" i="12" s="1"/>
  <c r="L146" i="12"/>
  <c r="V145" i="12"/>
  <c r="U145" i="12"/>
  <c r="T145" i="12"/>
  <c r="S145" i="12"/>
  <c r="Q145" i="12"/>
  <c r="L145" i="12"/>
  <c r="V144" i="12"/>
  <c r="U144" i="12"/>
  <c r="T144" i="12"/>
  <c r="S144" i="12"/>
  <c r="Q144" i="12"/>
  <c r="W144" i="12" s="1"/>
  <c r="L144" i="12"/>
  <c r="V143" i="12"/>
  <c r="U143" i="12"/>
  <c r="T143" i="12"/>
  <c r="S143" i="12"/>
  <c r="Q143" i="12"/>
  <c r="L143" i="12"/>
  <c r="V142" i="12"/>
  <c r="U142" i="12"/>
  <c r="T142" i="12"/>
  <c r="S142" i="12"/>
  <c r="Q142" i="12"/>
  <c r="W142" i="12" s="1"/>
  <c r="L142" i="12"/>
  <c r="V141" i="12"/>
  <c r="U141" i="12"/>
  <c r="T141" i="12"/>
  <c r="S141" i="12"/>
  <c r="Q141" i="12"/>
  <c r="W141" i="12" s="1"/>
  <c r="L141" i="12"/>
  <c r="V140" i="12"/>
  <c r="U140" i="12"/>
  <c r="T140" i="12"/>
  <c r="S140" i="12"/>
  <c r="Q140" i="12"/>
  <c r="W140" i="12" s="1"/>
  <c r="L140" i="12"/>
  <c r="V139" i="12"/>
  <c r="U139" i="12"/>
  <c r="T139" i="12"/>
  <c r="S139" i="12"/>
  <c r="Q139" i="12"/>
  <c r="W139" i="12" s="1"/>
  <c r="L139" i="12"/>
  <c r="V138" i="12"/>
  <c r="U138" i="12"/>
  <c r="T138" i="12"/>
  <c r="S138" i="12"/>
  <c r="Q138" i="12"/>
  <c r="L138" i="12"/>
  <c r="V137" i="12"/>
  <c r="U137" i="12"/>
  <c r="T137" i="12"/>
  <c r="S137" i="12"/>
  <c r="Q137" i="12"/>
  <c r="W137" i="12" s="1"/>
  <c r="L137" i="12"/>
  <c r="V136" i="12"/>
  <c r="U136" i="12"/>
  <c r="T136" i="12"/>
  <c r="S136" i="12"/>
  <c r="Q136" i="12"/>
  <c r="L136" i="12"/>
  <c r="V135" i="12"/>
  <c r="U135" i="12"/>
  <c r="T135" i="12"/>
  <c r="S135" i="12"/>
  <c r="Q135" i="12"/>
  <c r="W135" i="12" s="1"/>
  <c r="L135" i="12"/>
  <c r="V134" i="12"/>
  <c r="U134" i="12"/>
  <c r="T134" i="12"/>
  <c r="S134" i="12"/>
  <c r="Q134" i="12"/>
  <c r="L134" i="12"/>
  <c r="V133" i="12"/>
  <c r="U133" i="12"/>
  <c r="T133" i="12"/>
  <c r="S133" i="12"/>
  <c r="Q133" i="12"/>
  <c r="W133" i="12" s="1"/>
  <c r="L133" i="12"/>
  <c r="V132" i="12"/>
  <c r="U132" i="12"/>
  <c r="T132" i="12"/>
  <c r="S132" i="12"/>
  <c r="Q132" i="12"/>
  <c r="W132" i="12" s="1"/>
  <c r="L132" i="12"/>
  <c r="V131" i="12"/>
  <c r="U131" i="12"/>
  <c r="T131" i="12"/>
  <c r="S131" i="12"/>
  <c r="Q131" i="12"/>
  <c r="W131" i="12" s="1"/>
  <c r="L131" i="12"/>
  <c r="V130" i="12"/>
  <c r="U130" i="12"/>
  <c r="T130" i="12"/>
  <c r="S130" i="12"/>
  <c r="Q130" i="12"/>
  <c r="W130" i="12" s="1"/>
  <c r="L130" i="12"/>
  <c r="V129" i="12"/>
  <c r="U129" i="12"/>
  <c r="T129" i="12"/>
  <c r="S129" i="12"/>
  <c r="Q129" i="12"/>
  <c r="W129" i="12" s="1"/>
  <c r="L129" i="12"/>
  <c r="V128" i="12"/>
  <c r="U128" i="12"/>
  <c r="T128" i="12"/>
  <c r="S128" i="12"/>
  <c r="Q128" i="12"/>
  <c r="L128" i="12"/>
  <c r="V127" i="12"/>
  <c r="U127" i="12"/>
  <c r="T127" i="12"/>
  <c r="S127" i="12"/>
  <c r="Q127" i="12"/>
  <c r="W127" i="12" s="1"/>
  <c r="L127" i="12"/>
  <c r="V126" i="12"/>
  <c r="U126" i="12"/>
  <c r="T126" i="12"/>
  <c r="S126" i="12"/>
  <c r="Q126" i="12"/>
  <c r="W126" i="12" s="1"/>
  <c r="L126" i="12"/>
  <c r="V125" i="12"/>
  <c r="U125" i="12"/>
  <c r="T125" i="12"/>
  <c r="S125" i="12"/>
  <c r="Q125" i="12"/>
  <c r="W125" i="12" s="1"/>
  <c r="L125" i="12"/>
  <c r="V124" i="12"/>
  <c r="U124" i="12"/>
  <c r="T124" i="12"/>
  <c r="S124" i="12"/>
  <c r="Q124" i="12"/>
  <c r="W124" i="12" s="1"/>
  <c r="L124" i="12"/>
  <c r="V123" i="12"/>
  <c r="U123" i="12"/>
  <c r="T123" i="12"/>
  <c r="S123" i="12"/>
  <c r="Q123" i="12"/>
  <c r="W123" i="12" s="1"/>
  <c r="L123" i="12"/>
  <c r="V122" i="12"/>
  <c r="U122" i="12"/>
  <c r="T122" i="12"/>
  <c r="S122" i="12"/>
  <c r="Q122" i="12"/>
  <c r="W122" i="12" s="1"/>
  <c r="L122" i="12"/>
  <c r="V121" i="12"/>
  <c r="U121" i="12"/>
  <c r="T121" i="12"/>
  <c r="S121" i="12"/>
  <c r="Q121" i="12"/>
  <c r="W121" i="12" s="1"/>
  <c r="L121" i="12"/>
  <c r="V120" i="12"/>
  <c r="U120" i="12"/>
  <c r="T120" i="12"/>
  <c r="S120" i="12"/>
  <c r="Q120" i="12"/>
  <c r="W120" i="12" s="1"/>
  <c r="L120" i="12"/>
  <c r="V119" i="12"/>
  <c r="U119" i="12"/>
  <c r="T119" i="12"/>
  <c r="S119" i="12"/>
  <c r="Q119" i="12"/>
  <c r="W119" i="12" s="1"/>
  <c r="L119" i="12"/>
  <c r="V118" i="12"/>
  <c r="U118" i="12"/>
  <c r="T118" i="12"/>
  <c r="S118" i="12"/>
  <c r="Q118" i="12"/>
  <c r="W118" i="12" s="1"/>
  <c r="L118" i="12"/>
  <c r="V117" i="12"/>
  <c r="U117" i="12"/>
  <c r="T117" i="12"/>
  <c r="S117" i="12"/>
  <c r="Q117" i="12"/>
  <c r="W117" i="12" s="1"/>
  <c r="L117" i="12"/>
  <c r="V116" i="12"/>
  <c r="U116" i="12"/>
  <c r="T116" i="12"/>
  <c r="S116" i="12"/>
  <c r="Q116" i="12"/>
  <c r="W116" i="12" s="1"/>
  <c r="L116" i="12"/>
  <c r="V115" i="12"/>
  <c r="U115" i="12"/>
  <c r="T115" i="12"/>
  <c r="S115" i="12"/>
  <c r="Q115" i="12"/>
  <c r="W115" i="12" s="1"/>
  <c r="L115" i="12"/>
  <c r="V114" i="12"/>
  <c r="U114" i="12"/>
  <c r="T114" i="12"/>
  <c r="S114" i="12"/>
  <c r="Q114" i="12"/>
  <c r="W114" i="12" s="1"/>
  <c r="L114" i="12"/>
  <c r="V113" i="12"/>
  <c r="U113" i="12"/>
  <c r="T113" i="12"/>
  <c r="S113" i="12"/>
  <c r="Q113" i="12"/>
  <c r="W113" i="12" s="1"/>
  <c r="L113" i="12"/>
  <c r="V112" i="12"/>
  <c r="U112" i="12"/>
  <c r="T112" i="12"/>
  <c r="S112" i="12"/>
  <c r="Q112" i="12"/>
  <c r="W112" i="12" s="1"/>
  <c r="L112" i="12"/>
  <c r="V111" i="12"/>
  <c r="U111" i="12"/>
  <c r="T111" i="12"/>
  <c r="S111" i="12"/>
  <c r="Q111" i="12"/>
  <c r="W111" i="12" s="1"/>
  <c r="L111" i="12"/>
  <c r="V110" i="12"/>
  <c r="U110" i="12"/>
  <c r="T110" i="12"/>
  <c r="S110" i="12"/>
  <c r="Q110" i="12"/>
  <c r="W110" i="12" s="1"/>
  <c r="L110" i="12"/>
  <c r="V109" i="12"/>
  <c r="U109" i="12"/>
  <c r="T109" i="12"/>
  <c r="S109" i="12"/>
  <c r="Q109" i="12"/>
  <c r="W109" i="12" s="1"/>
  <c r="L109" i="12"/>
  <c r="V108" i="12"/>
  <c r="U108" i="12"/>
  <c r="T108" i="12"/>
  <c r="S108" i="12"/>
  <c r="Q108" i="12"/>
  <c r="L108" i="12"/>
  <c r="V107" i="12"/>
  <c r="U107" i="12"/>
  <c r="T107" i="12"/>
  <c r="S107" i="12"/>
  <c r="Q107" i="12"/>
  <c r="W107" i="12" s="1"/>
  <c r="L107" i="12"/>
  <c r="V106" i="12"/>
  <c r="U106" i="12"/>
  <c r="T106" i="12"/>
  <c r="S106" i="12"/>
  <c r="Q106" i="12"/>
  <c r="W106" i="12" s="1"/>
  <c r="L106" i="12"/>
  <c r="V105" i="12"/>
  <c r="U105" i="12"/>
  <c r="T105" i="12"/>
  <c r="S105" i="12"/>
  <c r="Q105" i="12"/>
  <c r="W105" i="12" s="1"/>
  <c r="L105" i="12"/>
  <c r="V104" i="12"/>
  <c r="U104" i="12"/>
  <c r="T104" i="12"/>
  <c r="S104" i="12"/>
  <c r="Q104" i="12"/>
  <c r="W104" i="12" s="1"/>
  <c r="L104" i="12"/>
  <c r="V103" i="12"/>
  <c r="U103" i="12"/>
  <c r="T103" i="12"/>
  <c r="S103" i="12"/>
  <c r="Q103" i="12"/>
  <c r="W103" i="12" s="1"/>
  <c r="L103" i="12"/>
  <c r="V102" i="12"/>
  <c r="U102" i="12"/>
  <c r="T102" i="12"/>
  <c r="S102" i="12"/>
  <c r="Q102" i="12"/>
  <c r="W102" i="12" s="1"/>
  <c r="L102" i="12"/>
  <c r="V101" i="12"/>
  <c r="U101" i="12"/>
  <c r="T101" i="12"/>
  <c r="S101" i="12"/>
  <c r="Q101" i="12"/>
  <c r="W101" i="12" s="1"/>
  <c r="L101" i="12"/>
  <c r="V100" i="12"/>
  <c r="U100" i="12"/>
  <c r="T100" i="12"/>
  <c r="S100" i="12"/>
  <c r="Q100" i="12"/>
  <c r="L100" i="12"/>
  <c r="V99" i="12"/>
  <c r="U99" i="12"/>
  <c r="T99" i="12"/>
  <c r="S99" i="12"/>
  <c r="Q99" i="12"/>
  <c r="W99" i="12" s="1"/>
  <c r="L99" i="12"/>
  <c r="V98" i="12"/>
  <c r="U98" i="12"/>
  <c r="T98" i="12"/>
  <c r="S98" i="12"/>
  <c r="Q98" i="12"/>
  <c r="W98" i="12" s="1"/>
  <c r="L98" i="12"/>
  <c r="V97" i="12"/>
  <c r="U97" i="12"/>
  <c r="T97" i="12"/>
  <c r="S97" i="12"/>
  <c r="Q97" i="12"/>
  <c r="W97" i="12" s="1"/>
  <c r="L97" i="12"/>
  <c r="V96" i="12"/>
  <c r="U96" i="12"/>
  <c r="T96" i="12"/>
  <c r="S96" i="12"/>
  <c r="Q96" i="12"/>
  <c r="W96" i="12" s="1"/>
  <c r="L96" i="12"/>
  <c r="V95" i="12"/>
  <c r="U95" i="12"/>
  <c r="T95" i="12"/>
  <c r="S95" i="12"/>
  <c r="Q95" i="12"/>
  <c r="W95" i="12" s="1"/>
  <c r="L95" i="12"/>
  <c r="V94" i="12"/>
  <c r="U94" i="12"/>
  <c r="T94" i="12"/>
  <c r="S94" i="12"/>
  <c r="Q94" i="12"/>
  <c r="W94" i="12" s="1"/>
  <c r="L94" i="12"/>
  <c r="V93" i="12"/>
  <c r="U93" i="12"/>
  <c r="T93" i="12"/>
  <c r="S93" i="12"/>
  <c r="Q93" i="12"/>
  <c r="W93" i="12" s="1"/>
  <c r="L93" i="12"/>
  <c r="V92" i="12"/>
  <c r="U92" i="12"/>
  <c r="T92" i="12"/>
  <c r="S92" i="12"/>
  <c r="Q92" i="12"/>
  <c r="W92" i="12" s="1"/>
  <c r="L92" i="12"/>
  <c r="V91" i="12"/>
  <c r="U91" i="12"/>
  <c r="T91" i="12"/>
  <c r="S91" i="12"/>
  <c r="Q91" i="12"/>
  <c r="W91" i="12" s="1"/>
  <c r="L91" i="12"/>
  <c r="V90" i="12"/>
  <c r="U90" i="12"/>
  <c r="T90" i="12"/>
  <c r="S90" i="12"/>
  <c r="Q90" i="12"/>
  <c r="W90" i="12" s="1"/>
  <c r="L90" i="12"/>
  <c r="V89" i="12"/>
  <c r="U89" i="12"/>
  <c r="T89" i="12"/>
  <c r="S89" i="12"/>
  <c r="Q89" i="12"/>
  <c r="W89" i="12" s="1"/>
  <c r="L89" i="12"/>
  <c r="V88" i="12"/>
  <c r="U88" i="12"/>
  <c r="T88" i="12"/>
  <c r="S88" i="12"/>
  <c r="Q88" i="12"/>
  <c r="W88" i="12" s="1"/>
  <c r="L88" i="12"/>
  <c r="V87" i="12"/>
  <c r="U87" i="12"/>
  <c r="T87" i="12"/>
  <c r="S87" i="12"/>
  <c r="Q87" i="12"/>
  <c r="W87" i="12" s="1"/>
  <c r="L87" i="12"/>
  <c r="V86" i="12"/>
  <c r="U86" i="12"/>
  <c r="T86" i="12"/>
  <c r="S86" i="12"/>
  <c r="Q86" i="12"/>
  <c r="W86" i="12" s="1"/>
  <c r="L86" i="12"/>
  <c r="V85" i="12"/>
  <c r="U85" i="12"/>
  <c r="T85" i="12"/>
  <c r="S85" i="12"/>
  <c r="Q85" i="12"/>
  <c r="W85" i="12" s="1"/>
  <c r="L85" i="12"/>
  <c r="V84" i="12"/>
  <c r="U84" i="12"/>
  <c r="T84" i="12"/>
  <c r="S84" i="12"/>
  <c r="Q84" i="12"/>
  <c r="W84" i="12" s="1"/>
  <c r="L84" i="12"/>
  <c r="V83" i="12"/>
  <c r="U83" i="12"/>
  <c r="T83" i="12"/>
  <c r="S83" i="12"/>
  <c r="Q83" i="12"/>
  <c r="W83" i="12" s="1"/>
  <c r="L83" i="12"/>
  <c r="V82" i="12"/>
  <c r="U82" i="12"/>
  <c r="T82" i="12"/>
  <c r="S82" i="12"/>
  <c r="Q82" i="12"/>
  <c r="W82" i="12" s="1"/>
  <c r="L82" i="12"/>
  <c r="V81" i="12"/>
  <c r="U81" i="12"/>
  <c r="T81" i="12"/>
  <c r="S81" i="12"/>
  <c r="Q81" i="12"/>
  <c r="L81" i="12"/>
  <c r="V80" i="12"/>
  <c r="U80" i="12"/>
  <c r="T80" i="12"/>
  <c r="S80" i="12"/>
  <c r="Q80" i="12"/>
  <c r="L80" i="12"/>
  <c r="V79" i="12"/>
  <c r="U79" i="12"/>
  <c r="T79" i="12"/>
  <c r="S79" i="12"/>
  <c r="Q79" i="12"/>
  <c r="W79" i="12" s="1"/>
  <c r="L79" i="12"/>
  <c r="V78" i="12"/>
  <c r="U78" i="12"/>
  <c r="T78" i="12"/>
  <c r="S78" i="12"/>
  <c r="Q78" i="12"/>
  <c r="W78" i="12" s="1"/>
  <c r="L78" i="12"/>
  <c r="V77" i="12"/>
  <c r="U77" i="12"/>
  <c r="T77" i="12"/>
  <c r="S77" i="12"/>
  <c r="Q77" i="12"/>
  <c r="L77" i="12"/>
  <c r="V76" i="12"/>
  <c r="U76" i="12"/>
  <c r="T76" i="12"/>
  <c r="S76" i="12"/>
  <c r="Q76" i="12"/>
  <c r="W76" i="12" s="1"/>
  <c r="L76" i="12"/>
  <c r="V75" i="12"/>
  <c r="U75" i="12"/>
  <c r="T75" i="12"/>
  <c r="S75" i="12"/>
  <c r="Q75" i="12"/>
  <c r="W75" i="12" s="1"/>
  <c r="L75" i="12"/>
  <c r="V74" i="12"/>
  <c r="U74" i="12"/>
  <c r="T74" i="12"/>
  <c r="S74" i="12"/>
  <c r="Q74" i="12"/>
  <c r="W74" i="12" s="1"/>
  <c r="L74" i="12"/>
  <c r="V73" i="12"/>
  <c r="U73" i="12"/>
  <c r="T73" i="12"/>
  <c r="S73" i="12"/>
  <c r="Q73" i="12"/>
  <c r="W73" i="12" s="1"/>
  <c r="L73" i="12"/>
  <c r="V72" i="12"/>
  <c r="U72" i="12"/>
  <c r="T72" i="12"/>
  <c r="S72" i="12"/>
  <c r="Q72" i="12"/>
  <c r="W72" i="12" s="1"/>
  <c r="L72" i="12"/>
  <c r="V71" i="12"/>
  <c r="U71" i="12"/>
  <c r="T71" i="12"/>
  <c r="S71" i="12"/>
  <c r="Q71" i="12"/>
  <c r="L71" i="12"/>
  <c r="V70" i="12"/>
  <c r="U70" i="12"/>
  <c r="T70" i="12"/>
  <c r="S70" i="12"/>
  <c r="Q70" i="12"/>
  <c r="W70" i="12" s="1"/>
  <c r="L70" i="12"/>
  <c r="V69" i="12"/>
  <c r="U69" i="12"/>
  <c r="T69" i="12"/>
  <c r="S69" i="12"/>
  <c r="Q69" i="12"/>
  <c r="W69" i="12" s="1"/>
  <c r="L69" i="12"/>
  <c r="V68" i="12"/>
  <c r="U68" i="12"/>
  <c r="T68" i="12"/>
  <c r="S68" i="12"/>
  <c r="Q68" i="12"/>
  <c r="W68" i="12" s="1"/>
  <c r="L68" i="12"/>
  <c r="V67" i="12"/>
  <c r="U67" i="12"/>
  <c r="T67" i="12"/>
  <c r="S67" i="12"/>
  <c r="Q67" i="12"/>
  <c r="W67" i="12" s="1"/>
  <c r="L67" i="12"/>
  <c r="V66" i="12"/>
  <c r="U66" i="12"/>
  <c r="T66" i="12"/>
  <c r="S66" i="12"/>
  <c r="Q66" i="12"/>
  <c r="W66" i="12" s="1"/>
  <c r="L66" i="12"/>
  <c r="V65" i="12"/>
  <c r="U65" i="12"/>
  <c r="T65" i="12"/>
  <c r="S65" i="12"/>
  <c r="Q65" i="12"/>
  <c r="L65" i="12"/>
  <c r="V64" i="12"/>
  <c r="U64" i="12"/>
  <c r="T64" i="12"/>
  <c r="S64" i="12"/>
  <c r="Q64" i="12"/>
  <c r="L64" i="12"/>
  <c r="V63" i="12"/>
  <c r="U63" i="12"/>
  <c r="T63" i="12"/>
  <c r="S63" i="12"/>
  <c r="Q63" i="12"/>
  <c r="W63" i="12" s="1"/>
  <c r="L63" i="12"/>
  <c r="V62" i="12"/>
  <c r="U62" i="12"/>
  <c r="T62" i="12"/>
  <c r="S62" i="12"/>
  <c r="Q62" i="12"/>
  <c r="W62" i="12" s="1"/>
  <c r="L62" i="12"/>
  <c r="V61" i="12"/>
  <c r="U61" i="12"/>
  <c r="T61" i="12"/>
  <c r="S61" i="12"/>
  <c r="Q61" i="12"/>
  <c r="W61" i="12" s="1"/>
  <c r="L61" i="12"/>
  <c r="V60" i="12"/>
  <c r="U60" i="12"/>
  <c r="T60" i="12"/>
  <c r="S60" i="12"/>
  <c r="Q60" i="12"/>
  <c r="W60" i="12" s="1"/>
  <c r="L60" i="12"/>
  <c r="V59" i="12"/>
  <c r="U59" i="12"/>
  <c r="T59" i="12"/>
  <c r="S59" i="12"/>
  <c r="Q59" i="12"/>
  <c r="W59" i="12" s="1"/>
  <c r="L59" i="12"/>
  <c r="V58" i="12"/>
  <c r="U58" i="12"/>
  <c r="T58" i="12"/>
  <c r="S58" i="12"/>
  <c r="Q58" i="12"/>
  <c r="W58" i="12" s="1"/>
  <c r="L58" i="12"/>
  <c r="V57" i="12"/>
  <c r="U57" i="12"/>
  <c r="T57" i="12"/>
  <c r="S57" i="12"/>
  <c r="Q57" i="12"/>
  <c r="W57" i="12" s="1"/>
  <c r="L57" i="12"/>
  <c r="V56" i="12"/>
  <c r="U56" i="12"/>
  <c r="T56" i="12"/>
  <c r="S56" i="12"/>
  <c r="Q56" i="12"/>
  <c r="W56" i="12" s="1"/>
  <c r="L56" i="12"/>
  <c r="V55" i="12"/>
  <c r="U55" i="12"/>
  <c r="T55" i="12"/>
  <c r="S55" i="12"/>
  <c r="Q55" i="12"/>
  <c r="W55" i="12" s="1"/>
  <c r="L55" i="12"/>
  <c r="V54" i="12"/>
  <c r="U54" i="12"/>
  <c r="T54" i="12"/>
  <c r="S54" i="12"/>
  <c r="Q54" i="12"/>
  <c r="W54" i="12" s="1"/>
  <c r="L54" i="12"/>
  <c r="V53" i="12"/>
  <c r="U53" i="12"/>
  <c r="T53" i="12"/>
  <c r="S53" i="12"/>
  <c r="Q53" i="12"/>
  <c r="W53" i="12" s="1"/>
  <c r="L53" i="12"/>
  <c r="V52" i="12"/>
  <c r="U52" i="12"/>
  <c r="T52" i="12"/>
  <c r="S52" i="12"/>
  <c r="Q52" i="12"/>
  <c r="W52" i="12" s="1"/>
  <c r="L52" i="12"/>
  <c r="V51" i="12"/>
  <c r="U51" i="12"/>
  <c r="T51" i="12"/>
  <c r="S51" i="12"/>
  <c r="Q51" i="12"/>
  <c r="W51" i="12" s="1"/>
  <c r="L51" i="12"/>
  <c r="V50" i="12"/>
  <c r="U50" i="12"/>
  <c r="T50" i="12"/>
  <c r="S50" i="12"/>
  <c r="Q50" i="12"/>
  <c r="W50" i="12" s="1"/>
  <c r="L50" i="12"/>
  <c r="V49" i="12"/>
  <c r="U49" i="12"/>
  <c r="T49" i="12"/>
  <c r="S49" i="12"/>
  <c r="Q49" i="12"/>
  <c r="W49" i="12" s="1"/>
  <c r="L49" i="12"/>
  <c r="V48" i="12"/>
  <c r="U48" i="12"/>
  <c r="T48" i="12"/>
  <c r="S48" i="12"/>
  <c r="Q48" i="12"/>
  <c r="W48" i="12" s="1"/>
  <c r="L48" i="12"/>
  <c r="V47" i="12"/>
  <c r="U47" i="12"/>
  <c r="T47" i="12"/>
  <c r="S47" i="12"/>
  <c r="Q47" i="12"/>
  <c r="W47" i="12" s="1"/>
  <c r="L47" i="12"/>
  <c r="V46" i="12"/>
  <c r="U46" i="12"/>
  <c r="T46" i="12"/>
  <c r="S46" i="12"/>
  <c r="Q46" i="12"/>
  <c r="W46" i="12" s="1"/>
  <c r="L46" i="12"/>
  <c r="V45" i="12"/>
  <c r="U45" i="12"/>
  <c r="T45" i="12"/>
  <c r="S45" i="12"/>
  <c r="Q45" i="12"/>
  <c r="W45" i="12" s="1"/>
  <c r="L45" i="12"/>
  <c r="V44" i="12"/>
  <c r="U44" i="12"/>
  <c r="T44" i="12"/>
  <c r="S44" i="12"/>
  <c r="Q44" i="12"/>
  <c r="W44" i="12" s="1"/>
  <c r="L44" i="12"/>
  <c r="V43" i="12"/>
  <c r="U43" i="12"/>
  <c r="T43" i="12"/>
  <c r="S43" i="12"/>
  <c r="Q43" i="12"/>
  <c r="W43" i="12" s="1"/>
  <c r="L43" i="12"/>
  <c r="V42" i="12"/>
  <c r="U42" i="12"/>
  <c r="T42" i="12"/>
  <c r="S42" i="12"/>
  <c r="Q42" i="12"/>
  <c r="W42" i="12" s="1"/>
  <c r="L42" i="12"/>
  <c r="V41" i="12"/>
  <c r="U41" i="12"/>
  <c r="T41" i="12"/>
  <c r="S41" i="12"/>
  <c r="Q41" i="12"/>
  <c r="W41" i="12" s="1"/>
  <c r="L41" i="12"/>
  <c r="V40" i="12"/>
  <c r="U40" i="12"/>
  <c r="T40" i="12"/>
  <c r="S40" i="12"/>
  <c r="Q40" i="12"/>
  <c r="W40" i="12" s="1"/>
  <c r="L40" i="12"/>
  <c r="V39" i="12"/>
  <c r="U39" i="12"/>
  <c r="T39" i="12"/>
  <c r="S39" i="12"/>
  <c r="Q39" i="12"/>
  <c r="W39" i="12" s="1"/>
  <c r="L39" i="12"/>
  <c r="V38" i="12"/>
  <c r="U38" i="12"/>
  <c r="T38" i="12"/>
  <c r="S38" i="12"/>
  <c r="Q38" i="12"/>
  <c r="W38" i="12" s="1"/>
  <c r="L38" i="12"/>
  <c r="V37" i="12"/>
  <c r="U37" i="12"/>
  <c r="T37" i="12"/>
  <c r="S37" i="12"/>
  <c r="Q37" i="12"/>
  <c r="W37" i="12" s="1"/>
  <c r="L37" i="12"/>
  <c r="V36" i="12"/>
  <c r="U36" i="12"/>
  <c r="T36" i="12"/>
  <c r="S36" i="12"/>
  <c r="Q36" i="12"/>
  <c r="L36" i="12"/>
  <c r="V35" i="12"/>
  <c r="U35" i="12"/>
  <c r="T35" i="12"/>
  <c r="S35" i="12"/>
  <c r="Q35" i="12"/>
  <c r="W35" i="12" s="1"/>
  <c r="L35" i="12"/>
  <c r="V34" i="12"/>
  <c r="U34" i="12"/>
  <c r="T34" i="12"/>
  <c r="S34" i="12"/>
  <c r="Q34" i="12"/>
  <c r="W34" i="12" s="1"/>
  <c r="L34" i="12"/>
  <c r="V33" i="12"/>
  <c r="U33" i="12"/>
  <c r="T33" i="12"/>
  <c r="S33" i="12"/>
  <c r="Q33" i="12"/>
  <c r="W33" i="12" s="1"/>
  <c r="L33" i="12"/>
  <c r="V32" i="12"/>
  <c r="U32" i="12"/>
  <c r="T32" i="12"/>
  <c r="S32" i="12"/>
  <c r="Q32" i="12"/>
  <c r="W32" i="12" s="1"/>
  <c r="L32" i="12"/>
  <c r="V31" i="12"/>
  <c r="U31" i="12"/>
  <c r="T31" i="12"/>
  <c r="S31" i="12"/>
  <c r="Q31" i="12"/>
  <c r="W31" i="12" s="1"/>
  <c r="L31" i="12"/>
  <c r="V30" i="12"/>
  <c r="U30" i="12"/>
  <c r="T30" i="12"/>
  <c r="S30" i="12"/>
  <c r="Q30" i="12"/>
  <c r="W30" i="12" s="1"/>
  <c r="L30" i="12"/>
  <c r="V29" i="12"/>
  <c r="U29" i="12"/>
  <c r="T29" i="12"/>
  <c r="S29" i="12"/>
  <c r="Q29" i="12"/>
  <c r="L29" i="12"/>
  <c r="V28" i="12"/>
  <c r="U28" i="12"/>
  <c r="T28" i="12"/>
  <c r="S28" i="12"/>
  <c r="Q28" i="12"/>
  <c r="W28" i="12" s="1"/>
  <c r="L28" i="12"/>
  <c r="V27" i="12"/>
  <c r="U27" i="12"/>
  <c r="T27" i="12"/>
  <c r="S27" i="12"/>
  <c r="Q27" i="12"/>
  <c r="W27" i="12" s="1"/>
  <c r="L27" i="12"/>
  <c r="V26" i="12"/>
  <c r="U26" i="12"/>
  <c r="T26" i="12"/>
  <c r="S26" i="12"/>
  <c r="Q26" i="12"/>
  <c r="W26" i="12" s="1"/>
  <c r="L26" i="12"/>
  <c r="V25" i="12"/>
  <c r="U25" i="12"/>
  <c r="T25" i="12"/>
  <c r="S25" i="12"/>
  <c r="Q25" i="12"/>
  <c r="W25" i="12" s="1"/>
  <c r="L25" i="12"/>
  <c r="V24" i="12"/>
  <c r="U24" i="12"/>
  <c r="T24" i="12"/>
  <c r="S24" i="12"/>
  <c r="Q24" i="12"/>
  <c r="W24" i="12" s="1"/>
  <c r="L24" i="12"/>
  <c r="V23" i="12"/>
  <c r="U23" i="12"/>
  <c r="T23" i="12"/>
  <c r="S23" i="12"/>
  <c r="Q23" i="12"/>
  <c r="W23" i="12" s="1"/>
  <c r="L23" i="12"/>
  <c r="V22" i="12"/>
  <c r="U22" i="12"/>
  <c r="T22" i="12"/>
  <c r="S22" i="12"/>
  <c r="Q22" i="12"/>
  <c r="W22" i="12" s="1"/>
  <c r="L22" i="12"/>
  <c r="V21" i="12"/>
  <c r="U21" i="12"/>
  <c r="T21" i="12"/>
  <c r="S21" i="12"/>
  <c r="Q21" i="12"/>
  <c r="W21" i="12" s="1"/>
  <c r="L21" i="12"/>
  <c r="V20" i="12"/>
  <c r="U20" i="12"/>
  <c r="T20" i="12"/>
  <c r="S20" i="12"/>
  <c r="Q20" i="12"/>
  <c r="W20" i="12" s="1"/>
  <c r="L20" i="12"/>
  <c r="V19" i="12"/>
  <c r="U19" i="12"/>
  <c r="T19" i="12"/>
  <c r="S19" i="12"/>
  <c r="Q19" i="12"/>
  <c r="W19" i="12" s="1"/>
  <c r="L19" i="12"/>
  <c r="V18" i="12"/>
  <c r="U18" i="12"/>
  <c r="T18" i="12"/>
  <c r="S18" i="12"/>
  <c r="Q18" i="12"/>
  <c r="W18" i="12" s="1"/>
  <c r="L18" i="12"/>
  <c r="V17" i="12"/>
  <c r="U17" i="12"/>
  <c r="T17" i="12"/>
  <c r="S17" i="12"/>
  <c r="Q17" i="12"/>
  <c r="W17" i="12" s="1"/>
  <c r="L17" i="12"/>
  <c r="V16" i="12"/>
  <c r="U16" i="12"/>
  <c r="T16" i="12"/>
  <c r="S16" i="12"/>
  <c r="Q16" i="12"/>
  <c r="W16" i="12" s="1"/>
  <c r="L16" i="12"/>
  <c r="V15" i="12"/>
  <c r="U15" i="12"/>
  <c r="T15" i="12"/>
  <c r="S15" i="12"/>
  <c r="Q15" i="12"/>
  <c r="W15" i="12" s="1"/>
  <c r="L15" i="12"/>
  <c r="V14" i="12"/>
  <c r="U14" i="12"/>
  <c r="T14" i="12"/>
  <c r="S14" i="12"/>
  <c r="Q14" i="12"/>
  <c r="W14" i="12" s="1"/>
  <c r="L14" i="12"/>
  <c r="V13" i="12"/>
  <c r="U13" i="12"/>
  <c r="T13" i="12"/>
  <c r="S13" i="12"/>
  <c r="Q13" i="12"/>
  <c r="W13" i="12" s="1"/>
  <c r="L13" i="12"/>
  <c r="V12" i="12"/>
  <c r="U12" i="12"/>
  <c r="T12" i="12"/>
  <c r="S12" i="12"/>
  <c r="Q12" i="12"/>
  <c r="W12" i="12" s="1"/>
  <c r="L12" i="12"/>
  <c r="V11" i="12"/>
  <c r="U11" i="12"/>
  <c r="T11" i="12"/>
  <c r="S11" i="12"/>
  <c r="Q11" i="12"/>
  <c r="W11" i="12" s="1"/>
  <c r="L11" i="12"/>
  <c r="V10" i="12"/>
  <c r="U10" i="12"/>
  <c r="T10" i="12"/>
  <c r="S10" i="12"/>
  <c r="Q10" i="12"/>
  <c r="W10" i="12" s="1"/>
  <c r="L10" i="12"/>
  <c r="V9" i="12"/>
  <c r="U9" i="12"/>
  <c r="T9" i="12"/>
  <c r="S9" i="12"/>
  <c r="Q9" i="12"/>
  <c r="W9" i="12" s="1"/>
  <c r="L9" i="12"/>
  <c r="V8" i="12"/>
  <c r="U8" i="12"/>
  <c r="T8" i="12"/>
  <c r="S8" i="12"/>
  <c r="Q8" i="12"/>
  <c r="L8" i="12"/>
  <c r="AD5" i="11"/>
  <c r="AE5" i="11" s="1"/>
  <c r="T315" i="11"/>
  <c r="T314" i="11"/>
  <c r="T313" i="11"/>
  <c r="T312" i="11"/>
  <c r="T311" i="11"/>
  <c r="T310" i="11"/>
  <c r="T309" i="11"/>
  <c r="T308" i="11"/>
  <c r="T307" i="11"/>
  <c r="T306" i="11"/>
  <c r="T305" i="11"/>
  <c r="T304" i="11"/>
  <c r="T303" i="11"/>
  <c r="T302" i="11"/>
  <c r="T301" i="11"/>
  <c r="T300" i="11"/>
  <c r="T299" i="11"/>
  <c r="T298" i="11"/>
  <c r="T297" i="11"/>
  <c r="T296" i="11"/>
  <c r="T295" i="11"/>
  <c r="T294" i="11"/>
  <c r="T293" i="11"/>
  <c r="T292" i="11"/>
  <c r="T291" i="11"/>
  <c r="T290" i="11"/>
  <c r="T289" i="11"/>
  <c r="T288" i="11"/>
  <c r="T287" i="11"/>
  <c r="T286" i="11"/>
  <c r="T285" i="11"/>
  <c r="T284" i="11"/>
  <c r="T283" i="11"/>
  <c r="T282" i="11"/>
  <c r="T281" i="11"/>
  <c r="T280" i="11"/>
  <c r="P273" i="11"/>
  <c r="P272" i="11"/>
  <c r="P271" i="11"/>
  <c r="P270" i="11"/>
  <c r="P269" i="11"/>
  <c r="P268" i="11"/>
  <c r="P267" i="11"/>
  <c r="P266" i="11"/>
  <c r="P265" i="11"/>
  <c r="P264" i="11"/>
  <c r="P263" i="11"/>
  <c r="P262" i="11"/>
  <c r="P261" i="11"/>
  <c r="P260" i="11"/>
  <c r="P259" i="11"/>
  <c r="H247" i="11"/>
  <c r="H246" i="11"/>
  <c r="H245" i="11"/>
  <c r="H244" i="11"/>
  <c r="H243" i="11"/>
  <c r="H242" i="11"/>
  <c r="H241" i="11"/>
  <c r="H240" i="11"/>
  <c r="H239" i="11"/>
  <c r="H238" i="11"/>
  <c r="H237" i="11"/>
  <c r="H236" i="11"/>
  <c r="H235" i="11"/>
  <c r="I231" i="11"/>
  <c r="H231" i="11"/>
  <c r="G231" i="11"/>
  <c r="F231" i="11"/>
  <c r="E231" i="11"/>
  <c r="D231" i="11"/>
  <c r="C231" i="11"/>
  <c r="B231" i="11"/>
  <c r="AK230" i="11"/>
  <c r="J230" i="11"/>
  <c r="AK229" i="11"/>
  <c r="J229" i="11"/>
  <c r="J228" i="11"/>
  <c r="AK227" i="11"/>
  <c r="J227" i="11"/>
  <c r="AK226" i="11"/>
  <c r="J226" i="11"/>
  <c r="AK225" i="11"/>
  <c r="J225" i="11"/>
  <c r="AK224" i="11"/>
  <c r="J224" i="11"/>
  <c r="AK223" i="11"/>
  <c r="J223" i="11"/>
  <c r="AK222" i="11"/>
  <c r="J222" i="11"/>
  <c r="AK221" i="11"/>
  <c r="J221" i="11"/>
  <c r="AK220" i="11"/>
  <c r="J220" i="11"/>
  <c r="AK219" i="11"/>
  <c r="J219" i="11"/>
  <c r="AF218" i="11"/>
  <c r="AK218" i="11" s="1"/>
  <c r="J218" i="11"/>
  <c r="AK217" i="11"/>
  <c r="J217" i="11"/>
  <c r="AK216" i="11"/>
  <c r="J216" i="11"/>
  <c r="AK215" i="11"/>
  <c r="J215" i="11"/>
  <c r="AK214" i="11"/>
  <c r="J214" i="11"/>
  <c r="AK213" i="11"/>
  <c r="J213" i="11"/>
  <c r="AK212" i="11"/>
  <c r="J212" i="11"/>
  <c r="AK211" i="11"/>
  <c r="J211" i="11"/>
  <c r="AK210" i="11"/>
  <c r="J210" i="11"/>
  <c r="AK209" i="11"/>
  <c r="J209" i="11"/>
  <c r="AK208" i="11"/>
  <c r="J208" i="11"/>
  <c r="AK207" i="11"/>
  <c r="J207" i="11"/>
  <c r="AK206" i="11"/>
  <c r="J206" i="11"/>
  <c r="J205" i="11"/>
  <c r="AK204" i="11"/>
  <c r="J204" i="11"/>
  <c r="AK203" i="11"/>
  <c r="J203" i="11"/>
  <c r="AK202" i="11"/>
  <c r="J202" i="11"/>
  <c r="AK201" i="11"/>
  <c r="J201" i="11"/>
  <c r="AK200" i="11"/>
  <c r="J200" i="11"/>
  <c r="AK199" i="11"/>
  <c r="J199" i="11"/>
  <c r="AK198" i="11"/>
  <c r="AF198" i="11"/>
  <c r="J198" i="11"/>
  <c r="AK197" i="11"/>
  <c r="J197" i="11"/>
  <c r="AK196" i="11"/>
  <c r="J196" i="11"/>
  <c r="AK195" i="11"/>
  <c r="J195" i="11"/>
  <c r="J194" i="11"/>
  <c r="AK193" i="11"/>
  <c r="J193" i="11"/>
  <c r="AK192" i="11"/>
  <c r="J192" i="11"/>
  <c r="AK191" i="11"/>
  <c r="J191" i="11"/>
  <c r="AK190" i="11"/>
  <c r="J190" i="11"/>
  <c r="AK189" i="11"/>
  <c r="J189" i="11"/>
  <c r="AK188" i="11"/>
  <c r="J188" i="11"/>
  <c r="AK187" i="11"/>
  <c r="J187" i="11"/>
  <c r="AK186" i="11"/>
  <c r="J186" i="11"/>
  <c r="AK185" i="11"/>
  <c r="J185" i="11"/>
  <c r="AK184" i="11"/>
  <c r="J184" i="11"/>
  <c r="AK183" i="11"/>
  <c r="J183" i="11"/>
  <c r="AK182" i="11"/>
  <c r="J182" i="11"/>
  <c r="AK181" i="11"/>
  <c r="J181" i="11"/>
  <c r="AK180" i="11"/>
  <c r="J180" i="11"/>
  <c r="AK179" i="11"/>
  <c r="J179" i="11"/>
  <c r="AK178" i="11"/>
  <c r="J178" i="11"/>
  <c r="AK177" i="11"/>
  <c r="J177" i="11"/>
  <c r="AK176" i="11"/>
  <c r="J176" i="11"/>
  <c r="AK175" i="11"/>
  <c r="J175" i="11"/>
  <c r="AK174" i="11"/>
  <c r="J174" i="11"/>
  <c r="AK173" i="11"/>
  <c r="J173" i="11"/>
  <c r="AK172" i="11"/>
  <c r="J172" i="11"/>
  <c r="AK171" i="11"/>
  <c r="J171" i="11"/>
  <c r="AK170" i="11"/>
  <c r="J170" i="11"/>
  <c r="AK169" i="11"/>
  <c r="J169" i="11"/>
  <c r="AK168" i="11"/>
  <c r="J168" i="11"/>
  <c r="AK167" i="11"/>
  <c r="J167" i="11"/>
  <c r="AK166" i="11"/>
  <c r="J166" i="11"/>
  <c r="AK165" i="11"/>
  <c r="J165" i="11"/>
  <c r="AK164" i="11"/>
  <c r="J164" i="11"/>
  <c r="AK163" i="11"/>
  <c r="J163" i="11"/>
  <c r="AK162" i="11"/>
  <c r="J162" i="11"/>
  <c r="AK161" i="11"/>
  <c r="J161" i="11"/>
  <c r="AK160" i="11"/>
  <c r="J160" i="11"/>
  <c r="AK159" i="11"/>
  <c r="J159" i="11"/>
  <c r="AK158" i="11"/>
  <c r="J158" i="11"/>
  <c r="AK157" i="11"/>
  <c r="J157" i="11"/>
  <c r="AK156" i="11"/>
  <c r="J156" i="11"/>
  <c r="AK155" i="11"/>
  <c r="J155" i="11"/>
  <c r="AK154" i="11"/>
  <c r="J154" i="11"/>
  <c r="AK153" i="11"/>
  <c r="J153" i="11"/>
  <c r="AK152" i="11"/>
  <c r="J152" i="11"/>
  <c r="AK151" i="11"/>
  <c r="J151" i="11"/>
  <c r="AK150" i="11"/>
  <c r="J150" i="11"/>
  <c r="J149" i="11"/>
  <c r="AK148" i="11"/>
  <c r="J148" i="11"/>
  <c r="AK147" i="11"/>
  <c r="J147" i="11"/>
  <c r="AK146" i="11"/>
  <c r="J146" i="11"/>
  <c r="AK145" i="11"/>
  <c r="J145" i="11"/>
  <c r="AK144" i="11"/>
  <c r="J144" i="11"/>
  <c r="AF143" i="11"/>
  <c r="AK143" i="11" s="1"/>
  <c r="J143" i="11"/>
  <c r="AK142" i="11"/>
  <c r="J142" i="11"/>
  <c r="AK141" i="11"/>
  <c r="J141" i="11"/>
  <c r="AK140" i="11"/>
  <c r="J140" i="11"/>
  <c r="J139" i="11"/>
  <c r="AK138" i="11"/>
  <c r="J138" i="11"/>
  <c r="AK137" i="11"/>
  <c r="J137" i="11"/>
  <c r="AK136" i="11"/>
  <c r="J136" i="11"/>
  <c r="J135" i="11"/>
  <c r="AK134" i="11"/>
  <c r="J134" i="11"/>
  <c r="AK133" i="11"/>
  <c r="J133" i="11"/>
  <c r="AK132" i="11"/>
  <c r="J132" i="11"/>
  <c r="AK131" i="11"/>
  <c r="J131" i="11"/>
  <c r="AK130" i="11"/>
  <c r="J130" i="11"/>
  <c r="AH129" i="11"/>
  <c r="AK129" i="11" s="1"/>
  <c r="J129" i="11"/>
  <c r="AK128" i="11"/>
  <c r="J128" i="11"/>
  <c r="AK127" i="11"/>
  <c r="J127" i="11"/>
  <c r="AF126" i="11"/>
  <c r="AK126" i="11" s="1"/>
  <c r="J126" i="11"/>
  <c r="AK125" i="11"/>
  <c r="J125" i="11"/>
  <c r="AK124" i="11"/>
  <c r="J124" i="11"/>
  <c r="J123" i="11"/>
  <c r="J122" i="11"/>
  <c r="AK121" i="11"/>
  <c r="J121" i="11"/>
  <c r="AK120" i="11"/>
  <c r="J120" i="11"/>
  <c r="AK119" i="11"/>
  <c r="J119" i="11"/>
  <c r="AK118" i="11"/>
  <c r="J118" i="11"/>
  <c r="AK117" i="11"/>
  <c r="J117" i="11"/>
  <c r="AK116" i="11"/>
  <c r="J116" i="11"/>
  <c r="AK115" i="11"/>
  <c r="J115" i="11"/>
  <c r="AK114" i="11"/>
  <c r="J114" i="11"/>
  <c r="AK113" i="11"/>
  <c r="J113" i="11"/>
  <c r="AK112" i="11"/>
  <c r="J112" i="11"/>
  <c r="AK111" i="11"/>
  <c r="J111" i="11"/>
  <c r="AK110" i="11"/>
  <c r="J110" i="11"/>
  <c r="AK109" i="11"/>
  <c r="J109" i="11"/>
  <c r="AK108" i="11"/>
  <c r="J108" i="11"/>
  <c r="AK107" i="11"/>
  <c r="J107" i="11"/>
  <c r="AK106" i="11"/>
  <c r="J106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O103" i="11"/>
  <c r="N103" i="11"/>
  <c r="M103" i="11"/>
  <c r="K103" i="11"/>
  <c r="J103" i="11"/>
  <c r="I103" i="11"/>
  <c r="H103" i="11"/>
  <c r="G103" i="11"/>
  <c r="F103" i="11"/>
  <c r="E103" i="11"/>
  <c r="D103" i="11"/>
  <c r="C103" i="11"/>
  <c r="AC102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AD101" i="11"/>
  <c r="AE101" i="11" s="1"/>
  <c r="AD100" i="11"/>
  <c r="AE100" i="11" s="1"/>
  <c r="AD99" i="11"/>
  <c r="AE99" i="11" s="1"/>
  <c r="AD98" i="11"/>
  <c r="AD97" i="11"/>
  <c r="AE97" i="11" s="1"/>
  <c r="AD96" i="11"/>
  <c r="AE96" i="11" s="1"/>
  <c r="AD95" i="11"/>
  <c r="AE95" i="11" s="1"/>
  <c r="AD94" i="11"/>
  <c r="AE94" i="11" s="1"/>
  <c r="AD93" i="11"/>
  <c r="AE93" i="11" s="1"/>
  <c r="AD92" i="11"/>
  <c r="AE92" i="11" s="1"/>
  <c r="AD91" i="11"/>
  <c r="AE91" i="11" s="1"/>
  <c r="AD90" i="11"/>
  <c r="AD89" i="11"/>
  <c r="AE89" i="11" s="1"/>
  <c r="AD88" i="11"/>
  <c r="AE88" i="11" s="1"/>
  <c r="AD87" i="11"/>
  <c r="AE87" i="11" s="1"/>
  <c r="BD86" i="11"/>
  <c r="AD86" i="11"/>
  <c r="AE86" i="11" s="1"/>
  <c r="AD85" i="11"/>
  <c r="AD84" i="11"/>
  <c r="AD83" i="11"/>
  <c r="AD82" i="11"/>
  <c r="AD81" i="11"/>
  <c r="AE81" i="11" s="1"/>
  <c r="AD80" i="11"/>
  <c r="AD79" i="11"/>
  <c r="AE79" i="11" s="1"/>
  <c r="AD78" i="11"/>
  <c r="AE78" i="11" s="1"/>
  <c r="AD77" i="11"/>
  <c r="AE77" i="11" s="1"/>
  <c r="AD76" i="11"/>
  <c r="AE76" i="11" s="1"/>
  <c r="AD75" i="11"/>
  <c r="AE75" i="11" s="1"/>
  <c r="AD74" i="11"/>
  <c r="AE74" i="11" s="1"/>
  <c r="AF73" i="11"/>
  <c r="AD73" i="11"/>
  <c r="AE73" i="11" s="1"/>
  <c r="AD72" i="11"/>
  <c r="AE72" i="11" s="1"/>
  <c r="AD71" i="11"/>
  <c r="AE71" i="11" s="1"/>
  <c r="AD70" i="11"/>
  <c r="AE70" i="11" s="1"/>
  <c r="AD69" i="11"/>
  <c r="AE69" i="11" s="1"/>
  <c r="AD68" i="11"/>
  <c r="AE68" i="11" s="1"/>
  <c r="AD67" i="11"/>
  <c r="AE67" i="11" s="1"/>
  <c r="AD66" i="11"/>
  <c r="AE66" i="11" s="1"/>
  <c r="AG65" i="11"/>
  <c r="AD65" i="11"/>
  <c r="AE65" i="11" s="1"/>
  <c r="AG64" i="11"/>
  <c r="AD64" i="11"/>
  <c r="AE64" i="11" s="1"/>
  <c r="AD63" i="11"/>
  <c r="AE63" i="11" s="1"/>
  <c r="AD62" i="11"/>
  <c r="AE62" i="11" s="1"/>
  <c r="AD61" i="11"/>
  <c r="AE61" i="11" s="1"/>
  <c r="AG60" i="11"/>
  <c r="AD60" i="11"/>
  <c r="AE60" i="11" s="1"/>
  <c r="AG59" i="11"/>
  <c r="AD59" i="11"/>
  <c r="AE59" i="11" s="1"/>
  <c r="AD58" i="11"/>
  <c r="AE58" i="11" s="1"/>
  <c r="AG57" i="11"/>
  <c r="AD57" i="11"/>
  <c r="AD56" i="11"/>
  <c r="AE56" i="11" s="1"/>
  <c r="AD55" i="11"/>
  <c r="AE55" i="11" s="1"/>
  <c r="AD54" i="11"/>
  <c r="AD53" i="11"/>
  <c r="AD52" i="11"/>
  <c r="AE52" i="11" s="1"/>
  <c r="AD51" i="11"/>
  <c r="AE51" i="11" s="1"/>
  <c r="AD50" i="11"/>
  <c r="AE50" i="11" s="1"/>
  <c r="AG49" i="11"/>
  <c r="AD49" i="11"/>
  <c r="AE49" i="11" s="1"/>
  <c r="AD48" i="11"/>
  <c r="AE48" i="11" s="1"/>
  <c r="AD47" i="11"/>
  <c r="AD46" i="11"/>
  <c r="AE46" i="11" s="1"/>
  <c r="AD45" i="11"/>
  <c r="AE45" i="11" s="1"/>
  <c r="AD44" i="11"/>
  <c r="AE44" i="11" s="1"/>
  <c r="AD43" i="11"/>
  <c r="AE43" i="11" s="1"/>
  <c r="AD42" i="11"/>
  <c r="AE42" i="11" s="1"/>
  <c r="AD41" i="11"/>
  <c r="AE41" i="11" s="1"/>
  <c r="AD40" i="11"/>
  <c r="AE40" i="11" s="1"/>
  <c r="AD39" i="11"/>
  <c r="AE39" i="11" s="1"/>
  <c r="AD38" i="11"/>
  <c r="AE38" i="11" s="1"/>
  <c r="AD37" i="11"/>
  <c r="AE37" i="11" s="1"/>
  <c r="AD36" i="11"/>
  <c r="AE36" i="11" s="1"/>
  <c r="AD35" i="11"/>
  <c r="AE35" i="11" s="1"/>
  <c r="AD34" i="11"/>
  <c r="AE34" i="11" s="1"/>
  <c r="AD33" i="11"/>
  <c r="AE33" i="11" s="1"/>
  <c r="AD32" i="11"/>
  <c r="AE32" i="11" s="1"/>
  <c r="AD31" i="11"/>
  <c r="AE31" i="11" s="1"/>
  <c r="AG30" i="11"/>
  <c r="AD30" i="11"/>
  <c r="AE30" i="11" s="1"/>
  <c r="AG29" i="11"/>
  <c r="AD29" i="11"/>
  <c r="B29" i="11"/>
  <c r="AD28" i="11"/>
  <c r="AE28" i="11" s="1"/>
  <c r="AD27" i="11"/>
  <c r="AE27" i="11" s="1"/>
  <c r="AD26" i="11"/>
  <c r="AE26" i="11" s="1"/>
  <c r="AD25" i="11"/>
  <c r="AE25" i="11" s="1"/>
  <c r="AD24" i="11"/>
  <c r="AE24" i="11" s="1"/>
  <c r="AD23" i="11"/>
  <c r="AE23" i="11" s="1"/>
  <c r="AG22" i="11"/>
  <c r="AD22" i="11"/>
  <c r="AE22" i="11" s="1"/>
  <c r="AD21" i="11"/>
  <c r="AE21" i="11" s="1"/>
  <c r="AD20" i="11"/>
  <c r="AE20" i="11" s="1"/>
  <c r="AD19" i="11"/>
  <c r="AE19" i="11" s="1"/>
  <c r="AD18" i="11"/>
  <c r="AE18" i="11" s="1"/>
  <c r="AD17" i="11"/>
  <c r="AE17" i="11" s="1"/>
  <c r="AD16" i="11"/>
  <c r="AE16" i="11" s="1"/>
  <c r="AD15" i="11"/>
  <c r="AE15" i="11" s="1"/>
  <c r="AG14" i="11"/>
  <c r="AD14" i="11"/>
  <c r="AE14" i="11" s="1"/>
  <c r="AD13" i="11"/>
  <c r="AE13" i="11" s="1"/>
  <c r="AD12" i="11"/>
  <c r="AE12" i="11" s="1"/>
  <c r="AD11" i="11"/>
  <c r="AE11" i="11" s="1"/>
  <c r="AD10" i="11"/>
  <c r="AE10" i="11" s="1"/>
  <c r="AG9" i="11"/>
  <c r="AD9" i="11"/>
  <c r="AE9" i="11" s="1"/>
  <c r="AD8" i="11"/>
  <c r="AE8" i="11" s="1"/>
  <c r="AD7" i="11"/>
  <c r="AE7" i="11" s="1"/>
  <c r="AD6" i="11"/>
  <c r="AE6" i="11" s="1"/>
  <c r="BJ4" i="11"/>
  <c r="AJ4" i="11"/>
  <c r="AD4" i="11"/>
  <c r="AE4" i="11" s="1"/>
  <c r="AD3" i="11"/>
  <c r="AE3" i="11" s="1"/>
  <c r="AJ171" i="6"/>
  <c r="AK171" i="6"/>
  <c r="AL171" i="6"/>
  <c r="AM171" i="6"/>
  <c r="AO171" i="6"/>
  <c r="E3" i="10"/>
  <c r="F3" i="10" s="1"/>
  <c r="E4" i="10"/>
  <c r="F4" i="10" s="1"/>
  <c r="E5" i="10"/>
  <c r="F5" i="10" s="1"/>
  <c r="E6" i="10"/>
  <c r="F6" i="10" s="1"/>
  <c r="E7" i="10"/>
  <c r="F7" i="10" s="1"/>
  <c r="E8" i="10"/>
  <c r="F8" i="10" s="1"/>
  <c r="E9" i="10"/>
  <c r="F9" i="10" s="1"/>
  <c r="E10" i="10"/>
  <c r="F10" i="10" s="1"/>
  <c r="E11" i="10"/>
  <c r="F11" i="10" s="1"/>
  <c r="E12" i="10"/>
  <c r="F12" i="10" s="1"/>
  <c r="E13" i="10"/>
  <c r="F13" i="10" s="1"/>
  <c r="E14" i="10"/>
  <c r="E2" i="10"/>
  <c r="F2" i="10" s="1"/>
  <c r="U8" i="14" l="1"/>
  <c r="U29" i="14" s="1"/>
  <c r="O29" i="14"/>
  <c r="M8" i="14"/>
  <c r="M29" i="14" s="1"/>
  <c r="K29" i="14"/>
  <c r="W108" i="12"/>
  <c r="W77" i="12"/>
  <c r="W80" i="12"/>
  <c r="W161" i="12"/>
  <c r="W163" i="12"/>
  <c r="W145" i="12"/>
  <c r="W143" i="12"/>
  <c r="W36" i="12"/>
  <c r="W138" i="12"/>
  <c r="W151" i="12"/>
  <c r="W64" i="12"/>
  <c r="W168" i="12"/>
  <c r="W134" i="12"/>
  <c r="W100" i="12"/>
  <c r="W29" i="12"/>
  <c r="W71" i="12"/>
  <c r="W136" i="12"/>
  <c r="W128" i="12"/>
  <c r="W65" i="12"/>
  <c r="V171" i="12"/>
  <c r="U171" i="12"/>
  <c r="T171" i="12"/>
  <c r="S171" i="12"/>
  <c r="W170" i="12"/>
  <c r="W169" i="12"/>
  <c r="N128" i="12"/>
  <c r="X128" i="12"/>
  <c r="Y128" i="12" s="1"/>
  <c r="N84" i="12"/>
  <c r="X84" i="12"/>
  <c r="Y84" i="12" s="1"/>
  <c r="W81" i="12"/>
  <c r="X170" i="12"/>
  <c r="N170" i="12"/>
  <c r="X169" i="12"/>
  <c r="Y169" i="12" s="1"/>
  <c r="N169" i="12"/>
  <c r="N168" i="12"/>
  <c r="X168" i="12"/>
  <c r="Y168" i="12" s="1"/>
  <c r="X167" i="12"/>
  <c r="Y167" i="12" s="1"/>
  <c r="N167" i="12"/>
  <c r="X166" i="12"/>
  <c r="Y166" i="12" s="1"/>
  <c r="N166" i="12"/>
  <c r="N165" i="12"/>
  <c r="X165" i="12"/>
  <c r="Y165" i="12" s="1"/>
  <c r="X164" i="12"/>
  <c r="Y164" i="12" s="1"/>
  <c r="N164" i="12"/>
  <c r="N163" i="12"/>
  <c r="X163" i="12"/>
  <c r="Y163" i="12" s="1"/>
  <c r="N162" i="12"/>
  <c r="X162" i="12"/>
  <c r="Y162" i="12" s="1"/>
  <c r="X161" i="12"/>
  <c r="Y161" i="12" s="1"/>
  <c r="N161" i="12"/>
  <c r="X160" i="12"/>
  <c r="Y160" i="12" s="1"/>
  <c r="N160" i="12"/>
  <c r="X159" i="12"/>
  <c r="Y159" i="12" s="1"/>
  <c r="N159" i="12"/>
  <c r="N158" i="12"/>
  <c r="X158" i="12"/>
  <c r="Y158" i="12" s="1"/>
  <c r="X157" i="12"/>
  <c r="Y157" i="12" s="1"/>
  <c r="N157" i="12"/>
  <c r="N156" i="12"/>
  <c r="X156" i="12"/>
  <c r="Y156" i="12" s="1"/>
  <c r="X155" i="12"/>
  <c r="Y155" i="12" s="1"/>
  <c r="N155" i="12"/>
  <c r="X154" i="12"/>
  <c r="Y154" i="12" s="1"/>
  <c r="N154" i="12"/>
  <c r="N153" i="12"/>
  <c r="X153" i="12"/>
  <c r="Y153" i="12" s="1"/>
  <c r="N152" i="12"/>
  <c r="X152" i="12"/>
  <c r="Y152" i="12" s="1"/>
  <c r="X151" i="12"/>
  <c r="N151" i="12"/>
  <c r="N150" i="12"/>
  <c r="X150" i="12"/>
  <c r="Y150" i="12" s="1"/>
  <c r="N149" i="12"/>
  <c r="X149" i="12"/>
  <c r="Y149" i="12" s="1"/>
  <c r="X148" i="12"/>
  <c r="Y148" i="12" s="1"/>
  <c r="N148" i="12"/>
  <c r="N147" i="12"/>
  <c r="X147" i="12"/>
  <c r="Y147" i="12" s="1"/>
  <c r="X146" i="12"/>
  <c r="Y146" i="12" s="1"/>
  <c r="N146" i="12"/>
  <c r="X145" i="12"/>
  <c r="N145" i="12"/>
  <c r="N144" i="12"/>
  <c r="X144" i="12"/>
  <c r="Y144" i="12" s="1"/>
  <c r="N143" i="12"/>
  <c r="X143" i="12"/>
  <c r="X142" i="12"/>
  <c r="Y142" i="12" s="1"/>
  <c r="N142" i="12"/>
  <c r="X141" i="12"/>
  <c r="Y141" i="12" s="1"/>
  <c r="N141" i="12"/>
  <c r="N140" i="12"/>
  <c r="X140" i="12"/>
  <c r="Y140" i="12" s="1"/>
  <c r="X139" i="12"/>
  <c r="Y139" i="12" s="1"/>
  <c r="N139" i="12"/>
  <c r="N138" i="12"/>
  <c r="X138" i="12"/>
  <c r="X137" i="12"/>
  <c r="Y137" i="12" s="1"/>
  <c r="N137" i="12"/>
  <c r="N136" i="12"/>
  <c r="X136" i="12"/>
  <c r="X135" i="12"/>
  <c r="Y135" i="12" s="1"/>
  <c r="N135" i="12"/>
  <c r="N134" i="12"/>
  <c r="X134" i="12"/>
  <c r="N133" i="12"/>
  <c r="X133" i="12"/>
  <c r="Y133" i="12" s="1"/>
  <c r="X132" i="12"/>
  <c r="Y132" i="12" s="1"/>
  <c r="N132" i="12"/>
  <c r="N131" i="12"/>
  <c r="X131" i="12"/>
  <c r="Y131" i="12" s="1"/>
  <c r="X130" i="12"/>
  <c r="Y130" i="12" s="1"/>
  <c r="N130" i="12"/>
  <c r="N129" i="12"/>
  <c r="X129" i="12"/>
  <c r="Y129" i="12" s="1"/>
  <c r="N127" i="12"/>
  <c r="X127" i="12"/>
  <c r="Y127" i="12" s="1"/>
  <c r="X126" i="12"/>
  <c r="Y126" i="12" s="1"/>
  <c r="N126" i="12"/>
  <c r="X125" i="12"/>
  <c r="Y125" i="12" s="1"/>
  <c r="N125" i="12"/>
  <c r="N124" i="12"/>
  <c r="X124" i="12"/>
  <c r="Y124" i="12" s="1"/>
  <c r="X123" i="12"/>
  <c r="Y123" i="12" s="1"/>
  <c r="N123" i="12"/>
  <c r="N122" i="12"/>
  <c r="X122" i="12"/>
  <c r="Y122" i="12" s="1"/>
  <c r="N121" i="12"/>
  <c r="X121" i="12"/>
  <c r="Y121" i="12" s="1"/>
  <c r="X120" i="12"/>
  <c r="Y120" i="12" s="1"/>
  <c r="N120" i="12"/>
  <c r="X119" i="12"/>
  <c r="Y119" i="12" s="1"/>
  <c r="N119" i="12"/>
  <c r="N118" i="12"/>
  <c r="X118" i="12"/>
  <c r="Y118" i="12" s="1"/>
  <c r="N117" i="12"/>
  <c r="X117" i="12"/>
  <c r="Y117" i="12" s="1"/>
  <c r="X116" i="12"/>
  <c r="Y116" i="12" s="1"/>
  <c r="N116" i="12"/>
  <c r="N115" i="12"/>
  <c r="X115" i="12"/>
  <c r="Y115" i="12" s="1"/>
  <c r="N114" i="12"/>
  <c r="X114" i="12"/>
  <c r="Y114" i="12" s="1"/>
  <c r="X113" i="12"/>
  <c r="Y113" i="12" s="1"/>
  <c r="N113" i="12"/>
  <c r="X112" i="12"/>
  <c r="Y112" i="12" s="1"/>
  <c r="N112" i="12"/>
  <c r="N111" i="12"/>
  <c r="X111" i="12"/>
  <c r="Y111" i="12" s="1"/>
  <c r="X110" i="12"/>
  <c r="Y110" i="12" s="1"/>
  <c r="N110" i="12"/>
  <c r="N109" i="12"/>
  <c r="X109" i="12"/>
  <c r="Y109" i="12" s="1"/>
  <c r="X108" i="12"/>
  <c r="Y108" i="12" s="1"/>
  <c r="N108" i="12"/>
  <c r="N107" i="12"/>
  <c r="X107" i="12"/>
  <c r="Y107" i="12" s="1"/>
  <c r="X106" i="12"/>
  <c r="Y106" i="12" s="1"/>
  <c r="N106" i="12"/>
  <c r="X105" i="12"/>
  <c r="Y105" i="12" s="1"/>
  <c r="N105" i="12"/>
  <c r="N104" i="12"/>
  <c r="X104" i="12"/>
  <c r="Y104" i="12" s="1"/>
  <c r="X103" i="12"/>
  <c r="Y103" i="12" s="1"/>
  <c r="N103" i="12"/>
  <c r="X102" i="12"/>
  <c r="Y102" i="12" s="1"/>
  <c r="N102" i="12"/>
  <c r="N101" i="12"/>
  <c r="X101" i="12"/>
  <c r="Y101" i="12" s="1"/>
  <c r="N100" i="12"/>
  <c r="X100" i="12"/>
  <c r="X99" i="12"/>
  <c r="Y99" i="12" s="1"/>
  <c r="N99" i="12"/>
  <c r="X98" i="12"/>
  <c r="Y98" i="12" s="1"/>
  <c r="N98" i="12"/>
  <c r="X97" i="12"/>
  <c r="Y97" i="12" s="1"/>
  <c r="N97" i="12"/>
  <c r="X96" i="12"/>
  <c r="Y96" i="12" s="1"/>
  <c r="N96" i="12"/>
  <c r="X95" i="12"/>
  <c r="Y95" i="12" s="1"/>
  <c r="N95" i="12"/>
  <c r="X94" i="12"/>
  <c r="Y94" i="12" s="1"/>
  <c r="N94" i="12"/>
  <c r="X93" i="12"/>
  <c r="Y93" i="12" s="1"/>
  <c r="N93" i="12"/>
  <c r="N92" i="12"/>
  <c r="X92" i="12"/>
  <c r="Y92" i="12" s="1"/>
  <c r="X91" i="12"/>
  <c r="Y91" i="12" s="1"/>
  <c r="N91" i="12"/>
  <c r="X90" i="12"/>
  <c r="Y90" i="12" s="1"/>
  <c r="N90" i="12"/>
  <c r="X89" i="12"/>
  <c r="Y89" i="12" s="1"/>
  <c r="N89" i="12"/>
  <c r="N88" i="12"/>
  <c r="X88" i="12"/>
  <c r="Y88" i="12" s="1"/>
  <c r="X87" i="12"/>
  <c r="Y87" i="12" s="1"/>
  <c r="N87" i="12"/>
  <c r="N86" i="12"/>
  <c r="X86" i="12"/>
  <c r="Y86" i="12" s="1"/>
  <c r="X85" i="12"/>
  <c r="Y85" i="12" s="1"/>
  <c r="N85" i="12"/>
  <c r="X83" i="12"/>
  <c r="Y83" i="12" s="1"/>
  <c r="N83" i="12"/>
  <c r="N82" i="12"/>
  <c r="X82" i="12"/>
  <c r="Y82" i="12" s="1"/>
  <c r="N81" i="12"/>
  <c r="X81" i="12"/>
  <c r="X80" i="12"/>
  <c r="N80" i="12"/>
  <c r="X79" i="12"/>
  <c r="Y79" i="12" s="1"/>
  <c r="N79" i="12"/>
  <c r="X78" i="12"/>
  <c r="Y78" i="12" s="1"/>
  <c r="N78" i="12"/>
  <c r="N77" i="12"/>
  <c r="X77" i="12"/>
  <c r="Y77" i="12" s="1"/>
  <c r="N76" i="12"/>
  <c r="X76" i="12"/>
  <c r="Y76" i="12" s="1"/>
  <c r="N75" i="12"/>
  <c r="X75" i="12"/>
  <c r="Y75" i="12" s="1"/>
  <c r="N74" i="12"/>
  <c r="X74" i="12"/>
  <c r="Y74" i="12" s="1"/>
  <c r="X73" i="12"/>
  <c r="Y73" i="12" s="1"/>
  <c r="N73" i="12"/>
  <c r="N72" i="12"/>
  <c r="X72" i="12"/>
  <c r="Y72" i="12" s="1"/>
  <c r="N71" i="12"/>
  <c r="X71" i="12"/>
  <c r="Y71" i="12" s="1"/>
  <c r="X70" i="12"/>
  <c r="Y70" i="12" s="1"/>
  <c r="N70" i="12"/>
  <c r="N69" i="12"/>
  <c r="X69" i="12"/>
  <c r="Y69" i="12" s="1"/>
  <c r="X68" i="12"/>
  <c r="Y68" i="12" s="1"/>
  <c r="N68" i="12"/>
  <c r="X67" i="12"/>
  <c r="Y67" i="12" s="1"/>
  <c r="N67" i="12"/>
  <c r="X66" i="12"/>
  <c r="Y66" i="12" s="1"/>
  <c r="N66" i="12"/>
  <c r="X65" i="12"/>
  <c r="N65" i="12"/>
  <c r="X64" i="12"/>
  <c r="N64" i="12"/>
  <c r="X63" i="12"/>
  <c r="Y63" i="12" s="1"/>
  <c r="N63" i="12"/>
  <c r="N62" i="12"/>
  <c r="X62" i="12"/>
  <c r="Y62" i="12" s="1"/>
  <c r="X61" i="12"/>
  <c r="Y61" i="12" s="1"/>
  <c r="N61" i="12"/>
  <c r="X60" i="12"/>
  <c r="Y60" i="12" s="1"/>
  <c r="N60" i="12"/>
  <c r="N59" i="12"/>
  <c r="X59" i="12"/>
  <c r="Y59" i="12" s="1"/>
  <c r="N58" i="12"/>
  <c r="X58" i="12"/>
  <c r="Y58" i="12" s="1"/>
  <c r="X57" i="12"/>
  <c r="Y57" i="12" s="1"/>
  <c r="N57" i="12"/>
  <c r="X56" i="12"/>
  <c r="Y56" i="12" s="1"/>
  <c r="N56" i="12"/>
  <c r="N55" i="12"/>
  <c r="X55" i="12"/>
  <c r="Y55" i="12" s="1"/>
  <c r="N54" i="12"/>
  <c r="X54" i="12"/>
  <c r="Y54" i="12" s="1"/>
  <c r="N53" i="12"/>
  <c r="X53" i="12"/>
  <c r="Y53" i="12" s="1"/>
  <c r="X52" i="12"/>
  <c r="Y52" i="12" s="1"/>
  <c r="N52" i="12"/>
  <c r="N51" i="12"/>
  <c r="X51" i="12"/>
  <c r="Y51" i="12" s="1"/>
  <c r="N50" i="12"/>
  <c r="X50" i="12"/>
  <c r="Y50" i="12" s="1"/>
  <c r="X49" i="12"/>
  <c r="Y49" i="12" s="1"/>
  <c r="N49" i="12"/>
  <c r="X48" i="12"/>
  <c r="Y48" i="12" s="1"/>
  <c r="N48" i="12"/>
  <c r="X47" i="12"/>
  <c r="Y47" i="12" s="1"/>
  <c r="N47" i="12"/>
  <c r="N46" i="12"/>
  <c r="X46" i="12"/>
  <c r="Y46" i="12" s="1"/>
  <c r="N45" i="12"/>
  <c r="X45" i="12"/>
  <c r="Y45" i="12" s="1"/>
  <c r="X44" i="12"/>
  <c r="Y44" i="12" s="1"/>
  <c r="N44" i="12"/>
  <c r="X43" i="12"/>
  <c r="Y43" i="12" s="1"/>
  <c r="N43" i="12"/>
  <c r="N42" i="12"/>
  <c r="X42" i="12"/>
  <c r="Y42" i="12" s="1"/>
  <c r="X41" i="12"/>
  <c r="Y41" i="12" s="1"/>
  <c r="N41" i="12"/>
  <c r="N40" i="12"/>
  <c r="X40" i="12"/>
  <c r="Y40" i="12" s="1"/>
  <c r="X39" i="12"/>
  <c r="Y39" i="12" s="1"/>
  <c r="N39" i="12"/>
  <c r="X38" i="12"/>
  <c r="Y38" i="12" s="1"/>
  <c r="N38" i="12"/>
  <c r="X37" i="12"/>
  <c r="Y37" i="12" s="1"/>
  <c r="N37" i="12"/>
  <c r="X36" i="12"/>
  <c r="N36" i="12"/>
  <c r="X35" i="12"/>
  <c r="Y35" i="12" s="1"/>
  <c r="N35" i="12"/>
  <c r="X34" i="12"/>
  <c r="Y34" i="12" s="1"/>
  <c r="N34" i="12"/>
  <c r="X33" i="12"/>
  <c r="Y33" i="12" s="1"/>
  <c r="N33" i="12"/>
  <c r="X32" i="12"/>
  <c r="Y32" i="12" s="1"/>
  <c r="N32" i="12"/>
  <c r="X31" i="12"/>
  <c r="Y31" i="12" s="1"/>
  <c r="N31" i="12"/>
  <c r="N30" i="12"/>
  <c r="X30" i="12"/>
  <c r="Y30" i="12" s="1"/>
  <c r="X29" i="12"/>
  <c r="N29" i="12"/>
  <c r="N28" i="12"/>
  <c r="X28" i="12"/>
  <c r="Y28" i="12" s="1"/>
  <c r="N27" i="12"/>
  <c r="X27" i="12"/>
  <c r="Y27" i="12" s="1"/>
  <c r="N26" i="12"/>
  <c r="X26" i="12"/>
  <c r="Y26" i="12" s="1"/>
  <c r="N25" i="12"/>
  <c r="X25" i="12"/>
  <c r="Y25" i="12" s="1"/>
  <c r="N24" i="12"/>
  <c r="X24" i="12"/>
  <c r="Y24" i="12" s="1"/>
  <c r="N23" i="12"/>
  <c r="X23" i="12"/>
  <c r="Y23" i="12" s="1"/>
  <c r="X22" i="12"/>
  <c r="Y22" i="12" s="1"/>
  <c r="N22" i="12"/>
  <c r="N21" i="12"/>
  <c r="X21" i="12"/>
  <c r="Y21" i="12" s="1"/>
  <c r="N20" i="12"/>
  <c r="X20" i="12"/>
  <c r="Y20" i="12" s="1"/>
  <c r="X19" i="12"/>
  <c r="Y19" i="12" s="1"/>
  <c r="N19" i="12"/>
  <c r="N18" i="12"/>
  <c r="X18" i="12"/>
  <c r="Y18" i="12" s="1"/>
  <c r="N17" i="12"/>
  <c r="X17" i="12"/>
  <c r="Y17" i="12" s="1"/>
  <c r="X16" i="12"/>
  <c r="Y16" i="12" s="1"/>
  <c r="N16" i="12"/>
  <c r="X15" i="12"/>
  <c r="Y15" i="12" s="1"/>
  <c r="N15" i="12"/>
  <c r="X14" i="12"/>
  <c r="Y14" i="12" s="1"/>
  <c r="N14" i="12"/>
  <c r="X13" i="12"/>
  <c r="Y13" i="12" s="1"/>
  <c r="N13" i="12"/>
  <c r="N12" i="12"/>
  <c r="X12" i="12"/>
  <c r="Y12" i="12" s="1"/>
  <c r="X11" i="12"/>
  <c r="Y11" i="12" s="1"/>
  <c r="N11" i="12"/>
  <c r="X10" i="12"/>
  <c r="Y10" i="12" s="1"/>
  <c r="N10" i="12"/>
  <c r="N9" i="12"/>
  <c r="X9" i="12"/>
  <c r="Y9" i="12" s="1"/>
  <c r="Q171" i="12"/>
  <c r="W8" i="12"/>
  <c r="L171" i="12"/>
  <c r="X8" i="12"/>
  <c r="Y8" i="12" s="1"/>
  <c r="N8" i="12"/>
  <c r="T317" i="11"/>
  <c r="AE29" i="11"/>
  <c r="AE57" i="11"/>
  <c r="AG16" i="11"/>
  <c r="AG63" i="11"/>
  <c r="AG62" i="11"/>
  <c r="AG10" i="11"/>
  <c r="AF80" i="11"/>
  <c r="AE53" i="11"/>
  <c r="AG61" i="11"/>
  <c r="AG67" i="11" s="1"/>
  <c r="AF78" i="11" s="1"/>
  <c r="L103" i="11"/>
  <c r="AC103" i="11"/>
  <c r="P103" i="11"/>
  <c r="AD103" i="11" s="1"/>
  <c r="AD102" i="11"/>
  <c r="AF75" i="11" s="1"/>
  <c r="AG24" i="11"/>
  <c r="AE98" i="11"/>
  <c r="AG32" i="11"/>
  <c r="AG44" i="11"/>
  <c r="AG45" i="11" s="1"/>
  <c r="AG31" i="11"/>
  <c r="AE90" i="11"/>
  <c r="AG4" i="11"/>
  <c r="AE85" i="11"/>
  <c r="AE84" i="11"/>
  <c r="AG3" i="11"/>
  <c r="AG6" i="11" s="1"/>
  <c r="AG21" i="11"/>
  <c r="AG25" i="11" s="1"/>
  <c r="AE83" i="11"/>
  <c r="AG50" i="11"/>
  <c r="AJ3" i="11"/>
  <c r="AJ6" i="11" s="1"/>
  <c r="AE82" i="11"/>
  <c r="AG28" i="11"/>
  <c r="AG38" i="11" s="1"/>
  <c r="AG12" i="11"/>
  <c r="AE80" i="11"/>
  <c r="AG11" i="11"/>
  <c r="AG17" i="11" s="1"/>
  <c r="AF76" i="11" s="1"/>
  <c r="AG54" i="11"/>
  <c r="AF77" i="11" s="1"/>
  <c r="AE54" i="11"/>
  <c r="AE47" i="11"/>
  <c r="AE102" i="11" s="1"/>
  <c r="AG51" i="11"/>
  <c r="F14" i="10"/>
  <c r="J3" i="9"/>
  <c r="J4" i="9"/>
  <c r="I3" i="9"/>
  <c r="I4" i="9"/>
  <c r="I5" i="9"/>
  <c r="J5" i="9" s="1"/>
  <c r="I6" i="9"/>
  <c r="J6" i="9" s="1"/>
  <c r="I7" i="9"/>
  <c r="J7" i="9" s="1"/>
  <c r="I8" i="9"/>
  <c r="J8" i="9" s="1"/>
  <c r="I9" i="9"/>
  <c r="J9" i="9" s="1"/>
  <c r="I10" i="9"/>
  <c r="J10" i="9" s="1"/>
  <c r="I11" i="9"/>
  <c r="J11" i="9" s="1"/>
  <c r="I12" i="9"/>
  <c r="J12" i="9" s="1"/>
  <c r="I13" i="9"/>
  <c r="J13" i="9" s="1"/>
  <c r="I14" i="9"/>
  <c r="I2" i="9"/>
  <c r="J2" i="9" s="1"/>
  <c r="Y100" i="12" l="1"/>
  <c r="Y80" i="12"/>
  <c r="Y145" i="12"/>
  <c r="Y143" i="12"/>
  <c r="Y134" i="12"/>
  <c r="Y36" i="12"/>
  <c r="Y170" i="12"/>
  <c r="Y151" i="12"/>
  <c r="Y138" i="12"/>
  <c r="Y136" i="12"/>
  <c r="Y65" i="12"/>
  <c r="Y64" i="12"/>
  <c r="Y29" i="12"/>
  <c r="W171" i="12"/>
  <c r="Y81" i="12"/>
  <c r="N171" i="12"/>
  <c r="AF79" i="11"/>
  <c r="AF81" i="11" s="1"/>
  <c r="AF83" i="11" s="1"/>
  <c r="AG52" i="11"/>
  <c r="J14" i="9"/>
  <c r="I5" i="2"/>
  <c r="X171" i="6" l="1"/>
  <c r="F7" i="8"/>
  <c r="F11" i="8"/>
  <c r="F12" i="8"/>
  <c r="F13" i="8"/>
  <c r="E3" i="8"/>
  <c r="F3" i="8" s="1"/>
  <c r="E4" i="8"/>
  <c r="F4" i="8" s="1"/>
  <c r="E5" i="8"/>
  <c r="F5" i="8" s="1"/>
  <c r="E6" i="8"/>
  <c r="F6" i="8" s="1"/>
  <c r="E7" i="8"/>
  <c r="E8" i="8"/>
  <c r="F8" i="8" s="1"/>
  <c r="E9" i="8"/>
  <c r="F9" i="8" s="1"/>
  <c r="E10" i="8"/>
  <c r="F10" i="8" s="1"/>
  <c r="E11" i="8"/>
  <c r="E12" i="8"/>
  <c r="E13" i="8"/>
  <c r="E14" i="8"/>
  <c r="E2" i="8"/>
  <c r="F2" i="8" s="1"/>
  <c r="F14" i="8" l="1"/>
  <c r="Q171" i="6"/>
  <c r="I3" i="7"/>
  <c r="J3" i="7" s="1"/>
  <c r="I4" i="7"/>
  <c r="J4" i="7" s="1"/>
  <c r="I5" i="7"/>
  <c r="J5" i="7" s="1"/>
  <c r="I6" i="7"/>
  <c r="J6" i="7" s="1"/>
  <c r="I7" i="7"/>
  <c r="J7" i="7" s="1"/>
  <c r="I8" i="7"/>
  <c r="J8" i="7" s="1"/>
  <c r="I9" i="7"/>
  <c r="J9" i="7" s="1"/>
  <c r="I10" i="7"/>
  <c r="J10" i="7" s="1"/>
  <c r="I11" i="7"/>
  <c r="J11" i="7" s="1"/>
  <c r="I12" i="7"/>
  <c r="J12" i="7" s="1"/>
  <c r="I13" i="7"/>
  <c r="J13" i="7" s="1"/>
  <c r="I14" i="7"/>
  <c r="I2" i="7"/>
  <c r="J2" i="7" s="1"/>
  <c r="J14" i="7" l="1"/>
  <c r="AS9" i="6"/>
  <c r="AS10" i="6"/>
  <c r="AS11" i="6"/>
  <c r="AS12" i="6"/>
  <c r="AS13" i="6"/>
  <c r="AS14" i="6"/>
  <c r="AS15" i="6"/>
  <c r="AS16" i="6"/>
  <c r="AS17" i="6"/>
  <c r="AS18" i="6"/>
  <c r="AS19" i="6"/>
  <c r="AS20" i="6"/>
  <c r="AS21" i="6"/>
  <c r="AS22" i="6"/>
  <c r="AS23" i="6"/>
  <c r="AS24" i="6"/>
  <c r="AS25" i="6"/>
  <c r="AS26" i="6"/>
  <c r="AS27" i="6"/>
  <c r="AS28" i="6"/>
  <c r="AS29" i="6"/>
  <c r="AS30" i="6"/>
  <c r="AS31" i="6"/>
  <c r="AS32" i="6"/>
  <c r="AS33" i="6"/>
  <c r="AS34" i="6"/>
  <c r="AS35" i="6"/>
  <c r="AS36" i="6"/>
  <c r="AS37" i="6"/>
  <c r="AS38" i="6"/>
  <c r="AS39" i="6"/>
  <c r="AS40" i="6"/>
  <c r="AS41" i="6"/>
  <c r="AS42" i="6"/>
  <c r="AS43" i="6"/>
  <c r="AS44" i="6"/>
  <c r="AS45" i="6"/>
  <c r="AS46" i="6"/>
  <c r="AS47" i="6"/>
  <c r="AS48" i="6"/>
  <c r="AS49" i="6"/>
  <c r="AS50" i="6"/>
  <c r="AS51" i="6"/>
  <c r="AS52" i="6"/>
  <c r="AS53" i="6"/>
  <c r="AS54" i="6"/>
  <c r="AS55" i="6"/>
  <c r="AS56" i="6"/>
  <c r="AS57" i="6"/>
  <c r="AS58" i="6"/>
  <c r="AS59" i="6"/>
  <c r="AS60" i="6"/>
  <c r="AS61" i="6"/>
  <c r="AS62" i="6"/>
  <c r="AS63" i="6"/>
  <c r="AS64" i="6"/>
  <c r="AS65" i="6"/>
  <c r="AS66" i="6"/>
  <c r="AS67" i="6"/>
  <c r="AS68" i="6"/>
  <c r="AS69" i="6"/>
  <c r="AS70" i="6"/>
  <c r="AS71" i="6"/>
  <c r="AS72" i="6"/>
  <c r="AS73" i="6"/>
  <c r="AS74" i="6"/>
  <c r="AS75" i="6"/>
  <c r="AS76" i="6"/>
  <c r="AS77" i="6"/>
  <c r="AS78" i="6"/>
  <c r="AS79" i="6"/>
  <c r="AS80" i="6"/>
  <c r="AS81" i="6"/>
  <c r="AS82" i="6"/>
  <c r="AS83" i="6"/>
  <c r="AS84" i="6"/>
  <c r="AS85" i="6"/>
  <c r="AS86" i="6"/>
  <c r="AS87" i="6"/>
  <c r="AS88" i="6"/>
  <c r="AS89" i="6"/>
  <c r="AS90" i="6"/>
  <c r="AS91" i="6"/>
  <c r="AS92" i="6"/>
  <c r="AS93" i="6"/>
  <c r="AS94" i="6"/>
  <c r="AS95" i="6"/>
  <c r="AS96" i="6"/>
  <c r="AS97" i="6"/>
  <c r="AS98" i="6"/>
  <c r="AS99" i="6"/>
  <c r="AS100" i="6"/>
  <c r="AS101" i="6"/>
  <c r="AS102" i="6"/>
  <c r="AS103" i="6"/>
  <c r="AS104" i="6"/>
  <c r="AS105" i="6"/>
  <c r="AS106" i="6"/>
  <c r="AS107" i="6"/>
  <c r="AS108" i="6"/>
  <c r="AS109" i="6"/>
  <c r="AS110" i="6"/>
  <c r="AS111" i="6"/>
  <c r="AS112" i="6"/>
  <c r="AS113" i="6"/>
  <c r="AS114" i="6"/>
  <c r="AS115" i="6"/>
  <c r="AS116" i="6"/>
  <c r="AS117" i="6"/>
  <c r="AS118" i="6"/>
  <c r="AS119" i="6"/>
  <c r="AS120" i="6"/>
  <c r="AS121" i="6"/>
  <c r="AS122" i="6"/>
  <c r="AS123" i="6"/>
  <c r="AS124" i="6"/>
  <c r="AS125" i="6"/>
  <c r="AS126" i="6"/>
  <c r="AS127" i="6"/>
  <c r="AS128" i="6"/>
  <c r="AS129" i="6"/>
  <c r="AS130" i="6"/>
  <c r="AS131" i="6"/>
  <c r="AS132" i="6"/>
  <c r="AS133" i="6"/>
  <c r="AS134" i="6"/>
  <c r="AS135" i="6"/>
  <c r="AS136" i="6"/>
  <c r="AS137" i="6"/>
  <c r="AS138" i="6"/>
  <c r="AS139" i="6"/>
  <c r="AS140" i="6"/>
  <c r="AS141" i="6"/>
  <c r="AS142" i="6"/>
  <c r="AS143" i="6"/>
  <c r="AS144" i="6"/>
  <c r="AS145" i="6"/>
  <c r="AS146" i="6"/>
  <c r="AS147" i="6"/>
  <c r="AS148" i="6"/>
  <c r="AS149" i="6"/>
  <c r="AS150" i="6"/>
  <c r="AS151" i="6"/>
  <c r="AS152" i="6"/>
  <c r="AS153" i="6"/>
  <c r="AS154" i="6"/>
  <c r="AS155" i="6"/>
  <c r="AS156" i="6"/>
  <c r="AS157" i="6"/>
  <c r="AS158" i="6"/>
  <c r="AS159" i="6"/>
  <c r="AS160" i="6"/>
  <c r="AS161" i="6"/>
  <c r="AS162" i="6"/>
  <c r="AS163" i="6"/>
  <c r="AS164" i="6"/>
  <c r="AS165" i="6"/>
  <c r="AS166" i="6"/>
  <c r="AS167" i="6"/>
  <c r="AS168" i="6"/>
  <c r="AS169" i="6"/>
  <c r="AS170" i="6"/>
  <c r="AS8" i="6"/>
  <c r="BA171" i="6" l="1"/>
  <c r="AH171" i="6"/>
  <c r="AF171" i="6"/>
  <c r="AE171" i="6"/>
  <c r="AD171" i="6"/>
  <c r="AC171" i="6"/>
  <c r="AA171" i="6"/>
  <c r="Y171" i="6"/>
  <c r="W171" i="6"/>
  <c r="V171" i="6"/>
  <c r="T171" i="6"/>
  <c r="R171" i="6"/>
  <c r="P171" i="6"/>
  <c r="O171" i="6"/>
  <c r="M171" i="6"/>
  <c r="K171" i="6"/>
  <c r="I171" i="6"/>
  <c r="H171" i="6"/>
  <c r="F171" i="6"/>
  <c r="E171" i="6"/>
  <c r="BP170" i="6"/>
  <c r="BE170" i="6"/>
  <c r="BD170" i="6"/>
  <c r="BC170" i="6"/>
  <c r="BB170" i="6"/>
  <c r="AZ170" i="6"/>
  <c r="AV170" i="6"/>
  <c r="AT170" i="6"/>
  <c r="AR170" i="6"/>
  <c r="AQ170" i="6"/>
  <c r="L170" i="6"/>
  <c r="N170" i="6" s="1"/>
  <c r="BP169" i="6"/>
  <c r="AT169" i="6"/>
  <c r="AR169" i="6"/>
  <c r="AQ169" i="6"/>
  <c r="L169" i="6"/>
  <c r="S169" i="6" s="1"/>
  <c r="BP168" i="6"/>
  <c r="BE168" i="6"/>
  <c r="BD168" i="6"/>
  <c r="BC168" i="6"/>
  <c r="BB168" i="6"/>
  <c r="AZ168" i="6"/>
  <c r="AT168" i="6"/>
  <c r="AR168" i="6"/>
  <c r="AQ168" i="6"/>
  <c r="L168" i="6"/>
  <c r="S168" i="6" s="1"/>
  <c r="Z168" i="6" s="1"/>
  <c r="BP167" i="6"/>
  <c r="BE167" i="6"/>
  <c r="BD167" i="6"/>
  <c r="BC167" i="6"/>
  <c r="BB167" i="6"/>
  <c r="AZ167" i="6"/>
  <c r="AV167" i="6"/>
  <c r="AT167" i="6"/>
  <c r="AR167" i="6"/>
  <c r="AQ167" i="6"/>
  <c r="L167" i="6"/>
  <c r="BG167" i="6" s="1"/>
  <c r="BP166" i="6"/>
  <c r="BE166" i="6"/>
  <c r="BD166" i="6"/>
  <c r="BC166" i="6"/>
  <c r="BB166" i="6"/>
  <c r="AZ166" i="6"/>
  <c r="AV166" i="6"/>
  <c r="AT166" i="6"/>
  <c r="AR166" i="6"/>
  <c r="AQ166" i="6"/>
  <c r="L166" i="6"/>
  <c r="S166" i="6" s="1"/>
  <c r="BP165" i="6"/>
  <c r="BE165" i="6"/>
  <c r="BD165" i="6"/>
  <c r="BC165" i="6"/>
  <c r="BB165" i="6"/>
  <c r="AZ165" i="6"/>
  <c r="AT165" i="6"/>
  <c r="AR165" i="6"/>
  <c r="AQ165" i="6"/>
  <c r="L165" i="6"/>
  <c r="S165" i="6" s="1"/>
  <c r="Z165" i="6" s="1"/>
  <c r="BP164" i="6"/>
  <c r="BE164" i="6"/>
  <c r="BD164" i="6"/>
  <c r="BC164" i="6"/>
  <c r="BB164" i="6"/>
  <c r="AZ164" i="6"/>
  <c r="AV164" i="6"/>
  <c r="AT164" i="6"/>
  <c r="AR164" i="6"/>
  <c r="AQ164" i="6"/>
  <c r="L164" i="6"/>
  <c r="BG164" i="6" s="1"/>
  <c r="BP163" i="6"/>
  <c r="BE163" i="6"/>
  <c r="BD163" i="6"/>
  <c r="BC163" i="6"/>
  <c r="BB163" i="6"/>
  <c r="AZ163" i="6"/>
  <c r="AV163" i="6"/>
  <c r="AT163" i="6"/>
  <c r="AR163" i="6"/>
  <c r="AQ163" i="6"/>
  <c r="L163" i="6"/>
  <c r="S163" i="6" s="1"/>
  <c r="BP162" i="6"/>
  <c r="BE162" i="6"/>
  <c r="BD162" i="6"/>
  <c r="BC162" i="6"/>
  <c r="BB162" i="6"/>
  <c r="AZ162" i="6"/>
  <c r="AV162" i="6"/>
  <c r="AT162" i="6"/>
  <c r="AR162" i="6"/>
  <c r="AQ162" i="6"/>
  <c r="L162" i="6"/>
  <c r="S162" i="6" s="1"/>
  <c r="BP161" i="6"/>
  <c r="BE161" i="6"/>
  <c r="BD161" i="6"/>
  <c r="BC161" i="6"/>
  <c r="BB161" i="6"/>
  <c r="AZ161" i="6"/>
  <c r="AT161" i="6"/>
  <c r="AR161" i="6"/>
  <c r="AQ161" i="6"/>
  <c r="L161" i="6"/>
  <c r="BG161" i="6" s="1"/>
  <c r="BP160" i="6"/>
  <c r="BE160" i="6"/>
  <c r="BD160" i="6"/>
  <c r="BC160" i="6"/>
  <c r="BB160" i="6"/>
  <c r="AZ160" i="6"/>
  <c r="AT160" i="6"/>
  <c r="AR160" i="6"/>
  <c r="AQ160" i="6"/>
  <c r="L160" i="6"/>
  <c r="S160" i="6" s="1"/>
  <c r="BP159" i="6"/>
  <c r="BE159" i="6"/>
  <c r="BD159" i="6"/>
  <c r="BC159" i="6"/>
  <c r="BB159" i="6"/>
  <c r="AZ159" i="6"/>
  <c r="AV159" i="6"/>
  <c r="AT159" i="6"/>
  <c r="AR159" i="6"/>
  <c r="AQ159" i="6"/>
  <c r="L159" i="6"/>
  <c r="BG159" i="6" s="1"/>
  <c r="BP158" i="6"/>
  <c r="BE158" i="6"/>
  <c r="BD158" i="6"/>
  <c r="BC158" i="6"/>
  <c r="BB158" i="6"/>
  <c r="AZ158" i="6"/>
  <c r="AV158" i="6"/>
  <c r="AT158" i="6"/>
  <c r="AR158" i="6"/>
  <c r="AQ158" i="6"/>
  <c r="L158" i="6"/>
  <c r="BG158" i="6" s="1"/>
  <c r="BP157" i="6"/>
  <c r="BE157" i="6"/>
  <c r="BD157" i="6"/>
  <c r="BC157" i="6"/>
  <c r="BB157" i="6"/>
  <c r="AZ157" i="6"/>
  <c r="AV157" i="6"/>
  <c r="AT157" i="6"/>
  <c r="AR157" i="6"/>
  <c r="AQ157" i="6"/>
  <c r="L157" i="6"/>
  <c r="S157" i="6" s="1"/>
  <c r="BP156" i="6"/>
  <c r="BE156" i="6"/>
  <c r="BD156" i="6"/>
  <c r="BC156" i="6"/>
  <c r="BB156" i="6"/>
  <c r="AZ156" i="6"/>
  <c r="AV156" i="6"/>
  <c r="AT156" i="6"/>
  <c r="AR156" i="6"/>
  <c r="AQ156" i="6"/>
  <c r="L156" i="6"/>
  <c r="N156" i="6" s="1"/>
  <c r="BP155" i="6"/>
  <c r="BE155" i="6"/>
  <c r="BD155" i="6"/>
  <c r="BC155" i="6"/>
  <c r="BB155" i="6"/>
  <c r="AZ155" i="6"/>
  <c r="AV155" i="6"/>
  <c r="AT155" i="6"/>
  <c r="AR155" i="6"/>
  <c r="AQ155" i="6"/>
  <c r="L155" i="6"/>
  <c r="BG155" i="6" s="1"/>
  <c r="BP154" i="6"/>
  <c r="BE154" i="6"/>
  <c r="BD154" i="6"/>
  <c r="BC154" i="6"/>
  <c r="BB154" i="6"/>
  <c r="AZ154" i="6"/>
  <c r="AV154" i="6"/>
  <c r="AT154" i="6"/>
  <c r="AR154" i="6"/>
  <c r="AQ154" i="6"/>
  <c r="L154" i="6"/>
  <c r="BG154" i="6" s="1"/>
  <c r="BP153" i="6"/>
  <c r="BE153" i="6"/>
  <c r="BD153" i="6"/>
  <c r="BC153" i="6"/>
  <c r="BB153" i="6"/>
  <c r="AZ153" i="6"/>
  <c r="AV153" i="6"/>
  <c r="AT153" i="6"/>
  <c r="AR153" i="6"/>
  <c r="AQ153" i="6"/>
  <c r="L153" i="6"/>
  <c r="S153" i="6" s="1"/>
  <c r="BP152" i="6"/>
  <c r="BE152" i="6"/>
  <c r="BD152" i="6"/>
  <c r="BC152" i="6"/>
  <c r="BB152" i="6"/>
  <c r="AZ152" i="6"/>
  <c r="AV152" i="6"/>
  <c r="AT152" i="6"/>
  <c r="AR152" i="6"/>
  <c r="AQ152" i="6"/>
  <c r="L152" i="6"/>
  <c r="N152" i="6" s="1"/>
  <c r="BP151" i="6"/>
  <c r="BE151" i="6"/>
  <c r="BD151" i="6"/>
  <c r="BC151" i="6"/>
  <c r="BB151" i="6"/>
  <c r="AZ151" i="6"/>
  <c r="AV151" i="6"/>
  <c r="AT151" i="6"/>
  <c r="AR151" i="6"/>
  <c r="AQ151" i="6"/>
  <c r="L151" i="6"/>
  <c r="BG151" i="6" s="1"/>
  <c r="BP150" i="6"/>
  <c r="BE150" i="6"/>
  <c r="BD150" i="6"/>
  <c r="BC150" i="6"/>
  <c r="BB150" i="6"/>
  <c r="AZ150" i="6"/>
  <c r="AV150" i="6"/>
  <c r="AT150" i="6"/>
  <c r="AR150" i="6"/>
  <c r="AQ150" i="6"/>
  <c r="L150" i="6"/>
  <c r="N150" i="6" s="1"/>
  <c r="BP149" i="6"/>
  <c r="BE149" i="6"/>
  <c r="BD149" i="6"/>
  <c r="BC149" i="6"/>
  <c r="BB149" i="6"/>
  <c r="AZ149" i="6"/>
  <c r="AV149" i="6"/>
  <c r="AT149" i="6"/>
  <c r="AR149" i="6"/>
  <c r="AQ149" i="6"/>
  <c r="L149" i="6"/>
  <c r="N149" i="6" s="1"/>
  <c r="BP148" i="6"/>
  <c r="BE148" i="6"/>
  <c r="BD148" i="6"/>
  <c r="BC148" i="6"/>
  <c r="BB148" i="6"/>
  <c r="AZ148" i="6"/>
  <c r="AT148" i="6"/>
  <c r="AR148" i="6"/>
  <c r="AQ148" i="6"/>
  <c r="L148" i="6"/>
  <c r="BG148" i="6" s="1"/>
  <c r="BP147" i="6"/>
  <c r="BE147" i="6"/>
  <c r="BD147" i="6"/>
  <c r="BC147" i="6"/>
  <c r="BB147" i="6"/>
  <c r="AZ147" i="6"/>
  <c r="AT147" i="6"/>
  <c r="AR147" i="6"/>
  <c r="AQ147" i="6"/>
  <c r="L147" i="6"/>
  <c r="S147" i="6" s="1"/>
  <c r="BP146" i="6"/>
  <c r="BE146" i="6"/>
  <c r="BD146" i="6"/>
  <c r="BC146" i="6"/>
  <c r="BB146" i="6"/>
  <c r="AZ146" i="6"/>
  <c r="AT146" i="6"/>
  <c r="AR146" i="6"/>
  <c r="AQ146" i="6"/>
  <c r="L146" i="6"/>
  <c r="BG146" i="6" s="1"/>
  <c r="BP145" i="6"/>
  <c r="BE145" i="6"/>
  <c r="BD145" i="6"/>
  <c r="BC145" i="6"/>
  <c r="BB145" i="6"/>
  <c r="AZ145" i="6"/>
  <c r="AV145" i="6"/>
  <c r="AT145" i="6"/>
  <c r="AR145" i="6"/>
  <c r="AQ145" i="6"/>
  <c r="L145" i="6"/>
  <c r="BP144" i="6"/>
  <c r="BE144" i="6"/>
  <c r="BD144" i="6"/>
  <c r="BC144" i="6"/>
  <c r="BB144" i="6"/>
  <c r="AZ144" i="6"/>
  <c r="AT144" i="6"/>
  <c r="AR144" i="6"/>
  <c r="AQ144" i="6"/>
  <c r="L144" i="6"/>
  <c r="N144" i="6" s="1"/>
  <c r="BP143" i="6"/>
  <c r="BE143" i="6"/>
  <c r="BD143" i="6"/>
  <c r="BC143" i="6"/>
  <c r="BB143" i="6"/>
  <c r="AZ143" i="6"/>
  <c r="AT143" i="6"/>
  <c r="AR143" i="6"/>
  <c r="AQ143" i="6"/>
  <c r="L143" i="6"/>
  <c r="BP142" i="6"/>
  <c r="BE142" i="6"/>
  <c r="BD142" i="6"/>
  <c r="BC142" i="6"/>
  <c r="BB142" i="6"/>
  <c r="AZ142" i="6"/>
  <c r="AV142" i="6"/>
  <c r="AT142" i="6"/>
  <c r="AR142" i="6"/>
  <c r="AQ142" i="6"/>
  <c r="L142" i="6"/>
  <c r="S142" i="6" s="1"/>
  <c r="Z142" i="6" s="1"/>
  <c r="BP141" i="6"/>
  <c r="BE141" i="6"/>
  <c r="BD141" i="6"/>
  <c r="BC141" i="6"/>
  <c r="BB141" i="6"/>
  <c r="AZ141" i="6"/>
  <c r="AV141" i="6"/>
  <c r="AT141" i="6"/>
  <c r="AR141" i="6"/>
  <c r="AQ141" i="6"/>
  <c r="L141" i="6"/>
  <c r="N141" i="6" s="1"/>
  <c r="BP140" i="6"/>
  <c r="BE140" i="6"/>
  <c r="BD140" i="6"/>
  <c r="BC140" i="6"/>
  <c r="BB140" i="6"/>
  <c r="AZ140" i="6"/>
  <c r="AV140" i="6"/>
  <c r="AT140" i="6"/>
  <c r="AR140" i="6"/>
  <c r="AQ140" i="6"/>
  <c r="L140" i="6"/>
  <c r="BG140" i="6" s="1"/>
  <c r="BP139" i="6"/>
  <c r="BE139" i="6"/>
  <c r="BD139" i="6"/>
  <c r="BC139" i="6"/>
  <c r="BB139" i="6"/>
  <c r="AZ139" i="6"/>
  <c r="AV139" i="6"/>
  <c r="AT139" i="6"/>
  <c r="AR139" i="6"/>
  <c r="AQ139" i="6"/>
  <c r="L139" i="6"/>
  <c r="BP138" i="6"/>
  <c r="BE138" i="6"/>
  <c r="BD138" i="6"/>
  <c r="BC138" i="6"/>
  <c r="BB138" i="6"/>
  <c r="AZ138" i="6"/>
  <c r="AV138" i="6"/>
  <c r="AT138" i="6"/>
  <c r="AR138" i="6"/>
  <c r="AQ138" i="6"/>
  <c r="L138" i="6"/>
  <c r="S138" i="6" s="1"/>
  <c r="Z138" i="6" s="1"/>
  <c r="BP137" i="6"/>
  <c r="BE137" i="6"/>
  <c r="BD137" i="6"/>
  <c r="BC137" i="6"/>
  <c r="BB137" i="6"/>
  <c r="AZ137" i="6"/>
  <c r="AV137" i="6"/>
  <c r="AT137" i="6"/>
  <c r="AR137" i="6"/>
  <c r="AQ137" i="6"/>
  <c r="L137" i="6"/>
  <c r="N137" i="6" s="1"/>
  <c r="BP136" i="6"/>
  <c r="BE136" i="6"/>
  <c r="BD136" i="6"/>
  <c r="BC136" i="6"/>
  <c r="BB136" i="6"/>
  <c r="AZ136" i="6"/>
  <c r="AV136" i="6"/>
  <c r="AT136" i="6"/>
  <c r="AR136" i="6"/>
  <c r="AQ136" i="6"/>
  <c r="L136" i="6"/>
  <c r="BG136" i="6" s="1"/>
  <c r="BP135" i="6"/>
  <c r="BE135" i="6"/>
  <c r="BD135" i="6"/>
  <c r="BC135" i="6"/>
  <c r="BB135" i="6"/>
  <c r="AZ135" i="6"/>
  <c r="AV135" i="6"/>
  <c r="AT135" i="6"/>
  <c r="AR135" i="6"/>
  <c r="AQ135" i="6"/>
  <c r="L135" i="6"/>
  <c r="BP134" i="6"/>
  <c r="BE134" i="6"/>
  <c r="BD134" i="6"/>
  <c r="BC134" i="6"/>
  <c r="BB134" i="6"/>
  <c r="AZ134" i="6"/>
  <c r="AV134" i="6"/>
  <c r="AT134" i="6"/>
  <c r="AR134" i="6"/>
  <c r="AQ134" i="6"/>
  <c r="L134" i="6"/>
  <c r="S134" i="6" s="1"/>
  <c r="Z134" i="6" s="1"/>
  <c r="BP133" i="6"/>
  <c r="BE133" i="6"/>
  <c r="BD133" i="6"/>
  <c r="BC133" i="6"/>
  <c r="BB133" i="6"/>
  <c r="AZ133" i="6"/>
  <c r="AV133" i="6"/>
  <c r="AT133" i="6"/>
  <c r="AR133" i="6"/>
  <c r="AQ133" i="6"/>
  <c r="L133" i="6"/>
  <c r="BG133" i="6" s="1"/>
  <c r="BP132" i="6"/>
  <c r="BE132" i="6"/>
  <c r="BD132" i="6"/>
  <c r="BC132" i="6"/>
  <c r="BB132" i="6"/>
  <c r="AZ132" i="6"/>
  <c r="AV132" i="6"/>
  <c r="AT132" i="6"/>
  <c r="AR132" i="6"/>
  <c r="AQ132" i="6"/>
  <c r="L132" i="6"/>
  <c r="BG132" i="6" s="1"/>
  <c r="BP131" i="6"/>
  <c r="BE131" i="6"/>
  <c r="BD131" i="6"/>
  <c r="BC131" i="6"/>
  <c r="BB131" i="6"/>
  <c r="AZ131" i="6"/>
  <c r="AV131" i="6"/>
  <c r="AT131" i="6"/>
  <c r="AR131" i="6"/>
  <c r="AQ131" i="6"/>
  <c r="L131" i="6"/>
  <c r="BG131" i="6" s="1"/>
  <c r="BP130" i="6"/>
  <c r="BE130" i="6"/>
  <c r="BD130" i="6"/>
  <c r="BC130" i="6"/>
  <c r="BB130" i="6"/>
  <c r="AZ130" i="6"/>
  <c r="AV130" i="6"/>
  <c r="AT130" i="6"/>
  <c r="AR130" i="6"/>
  <c r="AQ130" i="6"/>
  <c r="L130" i="6"/>
  <c r="S130" i="6" s="1"/>
  <c r="Z130" i="6" s="1"/>
  <c r="BP129" i="6"/>
  <c r="BE129" i="6"/>
  <c r="BD129" i="6"/>
  <c r="BC129" i="6"/>
  <c r="BB129" i="6"/>
  <c r="AZ129" i="6"/>
  <c r="AV129" i="6"/>
  <c r="AT129" i="6"/>
  <c r="AR129" i="6"/>
  <c r="AQ129" i="6"/>
  <c r="L129" i="6"/>
  <c r="BG129" i="6" s="1"/>
  <c r="BP128" i="6"/>
  <c r="BE128" i="6"/>
  <c r="BD128" i="6"/>
  <c r="BC128" i="6"/>
  <c r="BB128" i="6"/>
  <c r="AZ128" i="6"/>
  <c r="AV128" i="6"/>
  <c r="AT128" i="6"/>
  <c r="AR128" i="6"/>
  <c r="AQ128" i="6"/>
  <c r="L128" i="6"/>
  <c r="N128" i="6" s="1"/>
  <c r="BP127" i="6"/>
  <c r="BE127" i="6"/>
  <c r="BD127" i="6"/>
  <c r="BC127" i="6"/>
  <c r="BB127" i="6"/>
  <c r="AZ127" i="6"/>
  <c r="AV127" i="6"/>
  <c r="AT127" i="6"/>
  <c r="AR127" i="6"/>
  <c r="AQ127" i="6"/>
  <c r="L127" i="6"/>
  <c r="BG127" i="6" s="1"/>
  <c r="BP126" i="6"/>
  <c r="BE126" i="6"/>
  <c r="BD126" i="6"/>
  <c r="BC126" i="6"/>
  <c r="BB126" i="6"/>
  <c r="AZ126" i="6"/>
  <c r="AV126" i="6"/>
  <c r="AT126" i="6"/>
  <c r="AR126" i="6"/>
  <c r="AQ126" i="6"/>
  <c r="L126" i="6"/>
  <c r="BP125" i="6"/>
  <c r="BE125" i="6"/>
  <c r="BD125" i="6"/>
  <c r="BC125" i="6"/>
  <c r="BB125" i="6"/>
  <c r="AZ125" i="6"/>
  <c r="AV125" i="6"/>
  <c r="AT125" i="6"/>
  <c r="AR125" i="6"/>
  <c r="AQ125" i="6"/>
  <c r="L125" i="6"/>
  <c r="S125" i="6" s="1"/>
  <c r="Z125" i="6" s="1"/>
  <c r="BP124" i="6"/>
  <c r="BE124" i="6"/>
  <c r="BD124" i="6"/>
  <c r="BC124" i="6"/>
  <c r="BB124" i="6"/>
  <c r="AZ124" i="6"/>
  <c r="AV124" i="6"/>
  <c r="AT124" i="6"/>
  <c r="AR124" i="6"/>
  <c r="AQ124" i="6"/>
  <c r="L124" i="6"/>
  <c r="N124" i="6" s="1"/>
  <c r="BP123" i="6"/>
  <c r="BE123" i="6"/>
  <c r="BD123" i="6"/>
  <c r="BC123" i="6"/>
  <c r="BB123" i="6"/>
  <c r="AZ123" i="6"/>
  <c r="AV123" i="6"/>
  <c r="AT123" i="6"/>
  <c r="AR123" i="6"/>
  <c r="AQ123" i="6"/>
  <c r="L123" i="6"/>
  <c r="BG123" i="6" s="1"/>
  <c r="BP122" i="6"/>
  <c r="BE122" i="6"/>
  <c r="BD122" i="6"/>
  <c r="BC122" i="6"/>
  <c r="BB122" i="6"/>
  <c r="AZ122" i="6"/>
  <c r="AV122" i="6"/>
  <c r="AT122" i="6"/>
  <c r="AR122" i="6"/>
  <c r="AQ122" i="6"/>
  <c r="L122" i="6"/>
  <c r="BP121" i="6"/>
  <c r="BE121" i="6"/>
  <c r="BD121" i="6"/>
  <c r="BC121" i="6"/>
  <c r="BB121" i="6"/>
  <c r="AZ121" i="6"/>
  <c r="AV121" i="6"/>
  <c r="AT121" i="6"/>
  <c r="AR121" i="6"/>
  <c r="AQ121" i="6"/>
  <c r="L121" i="6"/>
  <c r="S121" i="6" s="1"/>
  <c r="Z121" i="6" s="1"/>
  <c r="BP120" i="6"/>
  <c r="BE120" i="6"/>
  <c r="BD120" i="6"/>
  <c r="BC120" i="6"/>
  <c r="BB120" i="6"/>
  <c r="AZ120" i="6"/>
  <c r="AV120" i="6"/>
  <c r="AT120" i="6"/>
  <c r="AR120" i="6"/>
  <c r="AQ120" i="6"/>
  <c r="L120" i="6"/>
  <c r="N120" i="6" s="1"/>
  <c r="BP119" i="6"/>
  <c r="BE119" i="6"/>
  <c r="BD119" i="6"/>
  <c r="BC119" i="6"/>
  <c r="BB119" i="6"/>
  <c r="AZ119" i="6"/>
  <c r="AV119" i="6"/>
  <c r="AT119" i="6"/>
  <c r="AR119" i="6"/>
  <c r="AQ119" i="6"/>
  <c r="L119" i="6"/>
  <c r="BG119" i="6" s="1"/>
  <c r="BP118" i="6"/>
  <c r="BE118" i="6"/>
  <c r="BD118" i="6"/>
  <c r="BC118" i="6"/>
  <c r="BB118" i="6"/>
  <c r="AZ118" i="6"/>
  <c r="AV118" i="6"/>
  <c r="AT118" i="6"/>
  <c r="AR118" i="6"/>
  <c r="AQ118" i="6"/>
  <c r="L118" i="6"/>
  <c r="N118" i="6" s="1"/>
  <c r="BP117" i="6"/>
  <c r="BE117" i="6"/>
  <c r="BD117" i="6"/>
  <c r="BC117" i="6"/>
  <c r="BB117" i="6"/>
  <c r="AZ117" i="6"/>
  <c r="AV117" i="6"/>
  <c r="AT117" i="6"/>
  <c r="AR117" i="6"/>
  <c r="AQ117" i="6"/>
  <c r="L117" i="6"/>
  <c r="S117" i="6" s="1"/>
  <c r="Z117" i="6" s="1"/>
  <c r="AB117" i="6" s="1"/>
  <c r="BP116" i="6"/>
  <c r="BE116" i="6"/>
  <c r="BD116" i="6"/>
  <c r="BC116" i="6"/>
  <c r="BB116" i="6"/>
  <c r="AZ116" i="6"/>
  <c r="AT116" i="6"/>
  <c r="AR116" i="6"/>
  <c r="AQ116" i="6"/>
  <c r="L116" i="6"/>
  <c r="S116" i="6" s="1"/>
  <c r="BP115" i="6"/>
  <c r="BE115" i="6"/>
  <c r="BD115" i="6"/>
  <c r="BC115" i="6"/>
  <c r="BB115" i="6"/>
  <c r="AZ115" i="6"/>
  <c r="AV115" i="6"/>
  <c r="AT115" i="6"/>
  <c r="AR115" i="6"/>
  <c r="AQ115" i="6"/>
  <c r="L115" i="6"/>
  <c r="BP114" i="6"/>
  <c r="BE114" i="6"/>
  <c r="BD114" i="6"/>
  <c r="BC114" i="6"/>
  <c r="BB114" i="6"/>
  <c r="AZ114" i="6"/>
  <c r="AV114" i="6"/>
  <c r="AT114" i="6"/>
  <c r="AR114" i="6"/>
  <c r="AQ114" i="6"/>
  <c r="L114" i="6"/>
  <c r="S114" i="6" s="1"/>
  <c r="BP113" i="6"/>
  <c r="BE113" i="6"/>
  <c r="BD113" i="6"/>
  <c r="BC113" i="6"/>
  <c r="BB113" i="6"/>
  <c r="AZ113" i="6"/>
  <c r="AT113" i="6"/>
  <c r="AR113" i="6"/>
  <c r="AQ113" i="6"/>
  <c r="L113" i="6"/>
  <c r="S113" i="6" s="1"/>
  <c r="Z113" i="6" s="1"/>
  <c r="AB113" i="6" s="1"/>
  <c r="BP112" i="6"/>
  <c r="BE112" i="6"/>
  <c r="BD112" i="6"/>
  <c r="BC112" i="6"/>
  <c r="BB112" i="6"/>
  <c r="AZ112" i="6"/>
  <c r="AV112" i="6"/>
  <c r="AT112" i="6"/>
  <c r="AR112" i="6"/>
  <c r="AQ112" i="6"/>
  <c r="L112" i="6"/>
  <c r="BP111" i="6"/>
  <c r="BE111" i="6"/>
  <c r="BD111" i="6"/>
  <c r="BC111" i="6"/>
  <c r="BB111" i="6"/>
  <c r="AZ111" i="6"/>
  <c r="AV111" i="6"/>
  <c r="AT111" i="6"/>
  <c r="AR111" i="6"/>
  <c r="AQ111" i="6"/>
  <c r="L111" i="6"/>
  <c r="BP110" i="6"/>
  <c r="BE110" i="6"/>
  <c r="BD110" i="6"/>
  <c r="BC110" i="6"/>
  <c r="BB110" i="6"/>
  <c r="AZ110" i="6"/>
  <c r="AT110" i="6"/>
  <c r="AR110" i="6"/>
  <c r="AQ110" i="6"/>
  <c r="L110" i="6"/>
  <c r="BP109" i="6"/>
  <c r="BE109" i="6"/>
  <c r="BD109" i="6"/>
  <c r="BC109" i="6"/>
  <c r="BB109" i="6"/>
  <c r="AZ109" i="6"/>
  <c r="AV109" i="6"/>
  <c r="AT109" i="6"/>
  <c r="AR109" i="6"/>
  <c r="AQ109" i="6"/>
  <c r="L109" i="6"/>
  <c r="S109" i="6" s="1"/>
  <c r="Z109" i="6" s="1"/>
  <c r="BP108" i="6"/>
  <c r="BE108" i="6"/>
  <c r="BD108" i="6"/>
  <c r="BC108" i="6"/>
  <c r="BB108" i="6"/>
  <c r="AZ108" i="6"/>
  <c r="AV108" i="6"/>
  <c r="AT108" i="6"/>
  <c r="AR108" i="6"/>
  <c r="AQ108" i="6"/>
  <c r="L108" i="6"/>
  <c r="N108" i="6" s="1"/>
  <c r="BP107" i="6"/>
  <c r="BE107" i="6"/>
  <c r="BD107" i="6"/>
  <c r="BC107" i="6"/>
  <c r="BB107" i="6"/>
  <c r="AZ107" i="6"/>
  <c r="AV107" i="6"/>
  <c r="AT107" i="6"/>
  <c r="AR107" i="6"/>
  <c r="AQ107" i="6"/>
  <c r="L107" i="6"/>
  <c r="BG107" i="6" s="1"/>
  <c r="BP106" i="6"/>
  <c r="BE106" i="6"/>
  <c r="BD106" i="6"/>
  <c r="BC106" i="6"/>
  <c r="BB106" i="6"/>
  <c r="AZ106" i="6"/>
  <c r="AV106" i="6"/>
  <c r="AT106" i="6"/>
  <c r="AR106" i="6"/>
  <c r="AQ106" i="6"/>
  <c r="L106" i="6"/>
  <c r="BP105" i="6"/>
  <c r="BE105" i="6"/>
  <c r="BD105" i="6"/>
  <c r="BC105" i="6"/>
  <c r="BB105" i="6"/>
  <c r="AZ105" i="6"/>
  <c r="AV105" i="6"/>
  <c r="AT105" i="6"/>
  <c r="AR105" i="6"/>
  <c r="AQ105" i="6"/>
  <c r="L105" i="6"/>
  <c r="S105" i="6" s="1"/>
  <c r="BP104" i="6"/>
  <c r="BE104" i="6"/>
  <c r="BD104" i="6"/>
  <c r="BC104" i="6"/>
  <c r="BB104" i="6"/>
  <c r="AZ104" i="6"/>
  <c r="AT104" i="6"/>
  <c r="AR104" i="6"/>
  <c r="AQ104" i="6"/>
  <c r="L104" i="6"/>
  <c r="BG104" i="6" s="1"/>
  <c r="BP103" i="6"/>
  <c r="BE103" i="6"/>
  <c r="BC103" i="6"/>
  <c r="AZ103" i="6"/>
  <c r="AV103" i="6"/>
  <c r="AT103" i="6"/>
  <c r="AR103" i="6"/>
  <c r="AQ103" i="6"/>
  <c r="L103" i="6"/>
  <c r="S103" i="6" s="1"/>
  <c r="Z103" i="6" s="1"/>
  <c r="BP102" i="6"/>
  <c r="BE102" i="6"/>
  <c r="BD102" i="6"/>
  <c r="BC102" i="6"/>
  <c r="BB102" i="6"/>
  <c r="AZ102" i="6"/>
  <c r="AV102" i="6"/>
  <c r="AT102" i="6"/>
  <c r="AR102" i="6"/>
  <c r="AQ102" i="6"/>
  <c r="L102" i="6"/>
  <c r="N102" i="6" s="1"/>
  <c r="BP101" i="6"/>
  <c r="BE101" i="6"/>
  <c r="BC101" i="6"/>
  <c r="AV101" i="6"/>
  <c r="AT101" i="6"/>
  <c r="AR101" i="6"/>
  <c r="AQ101" i="6"/>
  <c r="L101" i="6"/>
  <c r="BP100" i="6"/>
  <c r="BE100" i="6"/>
  <c r="BD100" i="6"/>
  <c r="BC100" i="6"/>
  <c r="BB100" i="6"/>
  <c r="AZ100" i="6"/>
  <c r="AT100" i="6"/>
  <c r="AR100" i="6"/>
  <c r="AQ100" i="6"/>
  <c r="L100" i="6"/>
  <c r="BP99" i="6"/>
  <c r="BE99" i="6"/>
  <c r="BD99" i="6"/>
  <c r="BC99" i="6"/>
  <c r="BB99" i="6"/>
  <c r="AZ99" i="6"/>
  <c r="AV99" i="6"/>
  <c r="AT99" i="6"/>
  <c r="AR99" i="6"/>
  <c r="AQ99" i="6"/>
  <c r="L99" i="6"/>
  <c r="BP98" i="6"/>
  <c r="BE98" i="6"/>
  <c r="BD98" i="6"/>
  <c r="BC98" i="6"/>
  <c r="BB98" i="6"/>
  <c r="AZ98" i="6"/>
  <c r="AV98" i="6"/>
  <c r="AT98" i="6"/>
  <c r="AR98" i="6"/>
  <c r="AQ98" i="6"/>
  <c r="L98" i="6"/>
  <c r="BG98" i="6" s="1"/>
  <c r="BP97" i="6"/>
  <c r="BE97" i="6"/>
  <c r="BD97" i="6"/>
  <c r="BC97" i="6"/>
  <c r="BB97" i="6"/>
  <c r="AZ97" i="6"/>
  <c r="AV97" i="6"/>
  <c r="AT97" i="6"/>
  <c r="AR97" i="6"/>
  <c r="AQ97" i="6"/>
  <c r="L97" i="6"/>
  <c r="BP96" i="6"/>
  <c r="BE96" i="6"/>
  <c r="BD96" i="6"/>
  <c r="BC96" i="6"/>
  <c r="BB96" i="6"/>
  <c r="AZ96" i="6"/>
  <c r="AV96" i="6"/>
  <c r="AT96" i="6"/>
  <c r="AR96" i="6"/>
  <c r="AQ96" i="6"/>
  <c r="L96" i="6"/>
  <c r="BP95" i="6"/>
  <c r="BE95" i="6"/>
  <c r="BD95" i="6"/>
  <c r="BC95" i="6"/>
  <c r="BB95" i="6"/>
  <c r="AZ95" i="6"/>
  <c r="AV95" i="6"/>
  <c r="AT95" i="6"/>
  <c r="AR95" i="6"/>
  <c r="AQ95" i="6"/>
  <c r="L95" i="6"/>
  <c r="BP94" i="6"/>
  <c r="BE94" i="6"/>
  <c r="BD94" i="6"/>
  <c r="BC94" i="6"/>
  <c r="BB94" i="6"/>
  <c r="AZ94" i="6"/>
  <c r="AV94" i="6"/>
  <c r="AT94" i="6"/>
  <c r="AR94" i="6"/>
  <c r="AQ94" i="6"/>
  <c r="L94" i="6"/>
  <c r="S94" i="6" s="1"/>
  <c r="Z94" i="6" s="1"/>
  <c r="BP93" i="6"/>
  <c r="BE93" i="6"/>
  <c r="BD93" i="6"/>
  <c r="BC93" i="6"/>
  <c r="BB93" i="6"/>
  <c r="AZ93" i="6"/>
  <c r="AV93" i="6"/>
  <c r="AT93" i="6"/>
  <c r="AR93" i="6"/>
  <c r="AQ93" i="6"/>
  <c r="L93" i="6"/>
  <c r="N93" i="6" s="1"/>
  <c r="BP92" i="6"/>
  <c r="BE92" i="6"/>
  <c r="BD92" i="6"/>
  <c r="BC92" i="6"/>
  <c r="BB92" i="6"/>
  <c r="AZ92" i="6"/>
  <c r="AV92" i="6"/>
  <c r="AT92" i="6"/>
  <c r="AR92" i="6"/>
  <c r="AQ92" i="6"/>
  <c r="L92" i="6"/>
  <c r="BG92" i="6" s="1"/>
  <c r="BP91" i="6"/>
  <c r="BE91" i="6"/>
  <c r="BD91" i="6"/>
  <c r="BC91" i="6"/>
  <c r="BB91" i="6"/>
  <c r="AZ91" i="6"/>
  <c r="AV91" i="6"/>
  <c r="AT91" i="6"/>
  <c r="AR91" i="6"/>
  <c r="AQ91" i="6"/>
  <c r="L91" i="6"/>
  <c r="BP90" i="6"/>
  <c r="BE90" i="6"/>
  <c r="BD90" i="6"/>
  <c r="BC90" i="6"/>
  <c r="BB90" i="6"/>
  <c r="AZ90" i="6"/>
  <c r="AT90" i="6"/>
  <c r="AR90" i="6"/>
  <c r="AQ90" i="6"/>
  <c r="L90" i="6"/>
  <c r="N90" i="6" s="1"/>
  <c r="BP89" i="6"/>
  <c r="BE89" i="6"/>
  <c r="BD89" i="6"/>
  <c r="BC89" i="6"/>
  <c r="BB89" i="6"/>
  <c r="AZ89" i="6"/>
  <c r="AV89" i="6"/>
  <c r="AT89" i="6"/>
  <c r="AR89" i="6"/>
  <c r="AQ89" i="6"/>
  <c r="L89" i="6"/>
  <c r="BP88" i="6"/>
  <c r="BE88" i="6"/>
  <c r="BD88" i="6"/>
  <c r="BC88" i="6"/>
  <c r="BB88" i="6"/>
  <c r="AZ88" i="6"/>
  <c r="AV88" i="6"/>
  <c r="AT88" i="6"/>
  <c r="AR88" i="6"/>
  <c r="AQ88" i="6"/>
  <c r="L88" i="6"/>
  <c r="BG88" i="6" s="1"/>
  <c r="BP87" i="6"/>
  <c r="BE87" i="6"/>
  <c r="BD87" i="6"/>
  <c r="BC87" i="6"/>
  <c r="BB87" i="6"/>
  <c r="AZ87" i="6"/>
  <c r="AV87" i="6"/>
  <c r="AT87" i="6"/>
  <c r="AR87" i="6"/>
  <c r="AQ87" i="6"/>
  <c r="L87" i="6"/>
  <c r="S87" i="6" s="1"/>
  <c r="Z87" i="6" s="1"/>
  <c r="BP86" i="6"/>
  <c r="BE86" i="6"/>
  <c r="BD86" i="6"/>
  <c r="BC86" i="6"/>
  <c r="BB86" i="6"/>
  <c r="AZ86" i="6"/>
  <c r="AV86" i="6"/>
  <c r="AT86" i="6"/>
  <c r="AR86" i="6"/>
  <c r="AQ86" i="6"/>
  <c r="L86" i="6"/>
  <c r="BP85" i="6"/>
  <c r="BE85" i="6"/>
  <c r="BD85" i="6"/>
  <c r="BC85" i="6"/>
  <c r="BB85" i="6"/>
  <c r="AZ85" i="6"/>
  <c r="AV85" i="6"/>
  <c r="AT85" i="6"/>
  <c r="AR85" i="6"/>
  <c r="AQ85" i="6"/>
  <c r="L85" i="6"/>
  <c r="BG85" i="6" s="1"/>
  <c r="BP84" i="6"/>
  <c r="BE84" i="6"/>
  <c r="BD84" i="6"/>
  <c r="BC84" i="6"/>
  <c r="BB84" i="6"/>
  <c r="AZ84" i="6"/>
  <c r="AV84" i="6"/>
  <c r="AT84" i="6"/>
  <c r="AR84" i="6"/>
  <c r="AQ84" i="6"/>
  <c r="L84" i="6"/>
  <c r="BP83" i="6"/>
  <c r="BE83" i="6"/>
  <c r="BD83" i="6"/>
  <c r="BC83" i="6"/>
  <c r="BB83" i="6"/>
  <c r="AZ83" i="6"/>
  <c r="AV83" i="6"/>
  <c r="AT83" i="6"/>
  <c r="AR83" i="6"/>
  <c r="AQ83" i="6"/>
  <c r="L83" i="6"/>
  <c r="BP82" i="6"/>
  <c r="BE82" i="6"/>
  <c r="BD82" i="6"/>
  <c r="BC82" i="6"/>
  <c r="BB82" i="6"/>
  <c r="AZ82" i="6"/>
  <c r="AV82" i="6"/>
  <c r="AT82" i="6"/>
  <c r="AR82" i="6"/>
  <c r="AQ82" i="6"/>
  <c r="L82" i="6"/>
  <c r="N82" i="6" s="1"/>
  <c r="BP81" i="6"/>
  <c r="BE81" i="6"/>
  <c r="BD81" i="6"/>
  <c r="BC81" i="6"/>
  <c r="BB81" i="6"/>
  <c r="AZ81" i="6"/>
  <c r="AT81" i="6"/>
  <c r="AR81" i="6"/>
  <c r="AQ81" i="6"/>
  <c r="L81" i="6"/>
  <c r="BP80" i="6"/>
  <c r="BE80" i="6"/>
  <c r="BD80" i="6"/>
  <c r="BC80" i="6"/>
  <c r="BB80" i="6"/>
  <c r="AZ80" i="6"/>
  <c r="AT80" i="6"/>
  <c r="AR80" i="6"/>
  <c r="AQ80" i="6"/>
  <c r="L80" i="6"/>
  <c r="S80" i="6" s="1"/>
  <c r="BP79" i="6"/>
  <c r="BE79" i="6"/>
  <c r="BD79" i="6"/>
  <c r="BC79" i="6"/>
  <c r="BB79" i="6"/>
  <c r="AZ79" i="6"/>
  <c r="AV79" i="6"/>
  <c r="AT79" i="6"/>
  <c r="AR79" i="6"/>
  <c r="AQ79" i="6"/>
  <c r="L79" i="6"/>
  <c r="BP78" i="6"/>
  <c r="BE78" i="6"/>
  <c r="BD78" i="6"/>
  <c r="BC78" i="6"/>
  <c r="BB78" i="6"/>
  <c r="AZ78" i="6"/>
  <c r="AV78" i="6"/>
  <c r="AT78" i="6"/>
  <c r="AR78" i="6"/>
  <c r="AQ78" i="6"/>
  <c r="L78" i="6"/>
  <c r="N78" i="6" s="1"/>
  <c r="BP77" i="6"/>
  <c r="BE77" i="6"/>
  <c r="BD77" i="6"/>
  <c r="BC77" i="6"/>
  <c r="BB77" i="6"/>
  <c r="AZ77" i="6"/>
  <c r="AV77" i="6"/>
  <c r="AT77" i="6"/>
  <c r="AR77" i="6"/>
  <c r="AQ77" i="6"/>
  <c r="L77" i="6"/>
  <c r="BG77" i="6" s="1"/>
  <c r="BP76" i="6"/>
  <c r="BE76" i="6"/>
  <c r="BD76" i="6"/>
  <c r="BC76" i="6"/>
  <c r="BB76" i="6"/>
  <c r="AZ76" i="6"/>
  <c r="AV76" i="6"/>
  <c r="AT76" i="6"/>
  <c r="AR76" i="6"/>
  <c r="AQ76" i="6"/>
  <c r="L76" i="6"/>
  <c r="N76" i="6" s="1"/>
  <c r="BP75" i="6"/>
  <c r="BE75" i="6"/>
  <c r="BD75" i="6"/>
  <c r="BC75" i="6"/>
  <c r="BB75" i="6"/>
  <c r="AZ75" i="6"/>
  <c r="AV75" i="6"/>
  <c r="AT75" i="6"/>
  <c r="AR75" i="6"/>
  <c r="AQ75" i="6"/>
  <c r="L75" i="6"/>
  <c r="BG75" i="6" s="1"/>
  <c r="BP74" i="6"/>
  <c r="BE74" i="6"/>
  <c r="BD74" i="6"/>
  <c r="BC74" i="6"/>
  <c r="BB74" i="6"/>
  <c r="AZ74" i="6"/>
  <c r="AV74" i="6"/>
  <c r="AT74" i="6"/>
  <c r="AR74" i="6"/>
  <c r="AQ74" i="6"/>
  <c r="L74" i="6"/>
  <c r="BP73" i="6"/>
  <c r="BE73" i="6"/>
  <c r="BD73" i="6"/>
  <c r="BC73" i="6"/>
  <c r="BB73" i="6"/>
  <c r="AZ73" i="6"/>
  <c r="AT73" i="6"/>
  <c r="AR73" i="6"/>
  <c r="AQ73" i="6"/>
  <c r="L73" i="6"/>
  <c r="S73" i="6" s="1"/>
  <c r="U73" i="6" s="1"/>
  <c r="BP72" i="6"/>
  <c r="BE72" i="6"/>
  <c r="BD72" i="6"/>
  <c r="BC72" i="6"/>
  <c r="BB72" i="6"/>
  <c r="AZ72" i="6"/>
  <c r="AV72" i="6"/>
  <c r="AT72" i="6"/>
  <c r="AR72" i="6"/>
  <c r="AQ72" i="6"/>
  <c r="L72" i="6"/>
  <c r="BP71" i="6"/>
  <c r="BE71" i="6"/>
  <c r="BD71" i="6"/>
  <c r="BC71" i="6"/>
  <c r="BB71" i="6"/>
  <c r="AZ71" i="6"/>
  <c r="AV71" i="6"/>
  <c r="AT71" i="6"/>
  <c r="AR71" i="6"/>
  <c r="AQ71" i="6"/>
  <c r="L71" i="6"/>
  <c r="BP70" i="6"/>
  <c r="BE70" i="6"/>
  <c r="BD70" i="6"/>
  <c r="BC70" i="6"/>
  <c r="BB70" i="6"/>
  <c r="AZ70" i="6"/>
  <c r="AT70" i="6"/>
  <c r="AR70" i="6"/>
  <c r="AQ70" i="6"/>
  <c r="L70" i="6"/>
  <c r="S70" i="6" s="1"/>
  <c r="Z70" i="6" s="1"/>
  <c r="BP69" i="6"/>
  <c r="BE69" i="6"/>
  <c r="BD69" i="6"/>
  <c r="BC69" i="6"/>
  <c r="BB69" i="6"/>
  <c r="AZ69" i="6"/>
  <c r="AV69" i="6"/>
  <c r="AT69" i="6"/>
  <c r="AR69" i="6"/>
  <c r="AQ69" i="6"/>
  <c r="L69" i="6"/>
  <c r="N69" i="6" s="1"/>
  <c r="BP68" i="6"/>
  <c r="BE68" i="6"/>
  <c r="BD68" i="6"/>
  <c r="BC68" i="6"/>
  <c r="BB68" i="6"/>
  <c r="AZ68" i="6"/>
  <c r="AV68" i="6"/>
  <c r="AT68" i="6"/>
  <c r="AR68" i="6"/>
  <c r="AQ68" i="6"/>
  <c r="L68" i="6"/>
  <c r="BG68" i="6" s="1"/>
  <c r="BP67" i="6"/>
  <c r="BE67" i="6"/>
  <c r="BD67" i="6"/>
  <c r="BC67" i="6"/>
  <c r="BB67" i="6"/>
  <c r="AZ67" i="6"/>
  <c r="AV67" i="6"/>
  <c r="AT67" i="6"/>
  <c r="AR67" i="6"/>
  <c r="AQ67" i="6"/>
  <c r="L67" i="6"/>
  <c r="BG67" i="6" s="1"/>
  <c r="BP66" i="6"/>
  <c r="BE66" i="6"/>
  <c r="BD66" i="6"/>
  <c r="BC66" i="6"/>
  <c r="BB66" i="6"/>
  <c r="AZ66" i="6"/>
  <c r="AV66" i="6"/>
  <c r="AT66" i="6"/>
  <c r="AR66" i="6"/>
  <c r="AQ66" i="6"/>
  <c r="L66" i="6"/>
  <c r="BP65" i="6"/>
  <c r="BE65" i="6"/>
  <c r="BD65" i="6"/>
  <c r="BC65" i="6"/>
  <c r="BB65" i="6"/>
  <c r="AZ65" i="6"/>
  <c r="AV65" i="6"/>
  <c r="AT65" i="6"/>
  <c r="AR65" i="6"/>
  <c r="AQ65" i="6"/>
  <c r="L65" i="6"/>
  <c r="N65" i="6" s="1"/>
  <c r="BP64" i="6"/>
  <c r="BE64" i="6"/>
  <c r="BD64" i="6"/>
  <c r="BC64" i="6"/>
  <c r="BB64" i="6"/>
  <c r="AZ64" i="6"/>
  <c r="AV64" i="6"/>
  <c r="AT64" i="6"/>
  <c r="AR64" i="6"/>
  <c r="AQ64" i="6"/>
  <c r="L64" i="6"/>
  <c r="BG64" i="6" s="1"/>
  <c r="BP63" i="6"/>
  <c r="BE63" i="6"/>
  <c r="BD63" i="6"/>
  <c r="BC63" i="6"/>
  <c r="BB63" i="6"/>
  <c r="AZ63" i="6"/>
  <c r="AV63" i="6"/>
  <c r="AT63" i="6"/>
  <c r="AR63" i="6"/>
  <c r="AQ63" i="6"/>
  <c r="L63" i="6"/>
  <c r="BG63" i="6" s="1"/>
  <c r="BP62" i="6"/>
  <c r="BE62" i="6"/>
  <c r="BD62" i="6"/>
  <c r="BC62" i="6"/>
  <c r="BB62" i="6"/>
  <c r="AZ62" i="6"/>
  <c r="AV62" i="6"/>
  <c r="AT62" i="6"/>
  <c r="AR62" i="6"/>
  <c r="AQ62" i="6"/>
  <c r="L62" i="6"/>
  <c r="S62" i="6" s="1"/>
  <c r="Z62" i="6" s="1"/>
  <c r="BP61" i="6"/>
  <c r="BE61" i="6"/>
  <c r="BD61" i="6"/>
  <c r="BC61" i="6"/>
  <c r="BB61" i="6"/>
  <c r="AZ61" i="6"/>
  <c r="AV61" i="6"/>
  <c r="AT61" i="6"/>
  <c r="AR61" i="6"/>
  <c r="AQ61" i="6"/>
  <c r="L61" i="6"/>
  <c r="BP60" i="6"/>
  <c r="BE60" i="6"/>
  <c r="BD60" i="6"/>
  <c r="BC60" i="6"/>
  <c r="BB60" i="6"/>
  <c r="AZ60" i="6"/>
  <c r="AV60" i="6"/>
  <c r="AT60" i="6"/>
  <c r="AR60" i="6"/>
  <c r="AQ60" i="6"/>
  <c r="L60" i="6"/>
  <c r="BG60" i="6" s="1"/>
  <c r="BP59" i="6"/>
  <c r="BE59" i="6"/>
  <c r="BD59" i="6"/>
  <c r="BC59" i="6"/>
  <c r="BB59" i="6"/>
  <c r="AZ59" i="6"/>
  <c r="AV59" i="6"/>
  <c r="AT59" i="6"/>
  <c r="AR59" i="6"/>
  <c r="AQ59" i="6"/>
  <c r="L59" i="6"/>
  <c r="BG59" i="6" s="1"/>
  <c r="BP58" i="6"/>
  <c r="BE58" i="6"/>
  <c r="BD58" i="6"/>
  <c r="BC58" i="6"/>
  <c r="BB58" i="6"/>
  <c r="AZ58" i="6"/>
  <c r="AT58" i="6"/>
  <c r="AR58" i="6"/>
  <c r="AQ58" i="6"/>
  <c r="L58" i="6"/>
  <c r="BP57" i="6"/>
  <c r="BE57" i="6"/>
  <c r="BD57" i="6"/>
  <c r="BC57" i="6"/>
  <c r="BB57" i="6"/>
  <c r="AZ57" i="6"/>
  <c r="AV57" i="6"/>
  <c r="AT57" i="6"/>
  <c r="AR57" i="6"/>
  <c r="AQ57" i="6"/>
  <c r="L57" i="6"/>
  <c r="BP56" i="6"/>
  <c r="BE56" i="6"/>
  <c r="BD56" i="6"/>
  <c r="BC56" i="6"/>
  <c r="BB56" i="6"/>
  <c r="AZ56" i="6"/>
  <c r="AV56" i="6"/>
  <c r="AT56" i="6"/>
  <c r="AR56" i="6"/>
  <c r="AQ56" i="6"/>
  <c r="L56" i="6"/>
  <c r="N56" i="6" s="1"/>
  <c r="BP55" i="6"/>
  <c r="BE55" i="6"/>
  <c r="BD55" i="6"/>
  <c r="BC55" i="6"/>
  <c r="BB55" i="6"/>
  <c r="AZ55" i="6"/>
  <c r="AV55" i="6"/>
  <c r="AT55" i="6"/>
  <c r="AR55" i="6"/>
  <c r="AQ55" i="6"/>
  <c r="L55" i="6"/>
  <c r="S55" i="6" s="1"/>
  <c r="Z55" i="6" s="1"/>
  <c r="AB55" i="6" s="1"/>
  <c r="BP54" i="6"/>
  <c r="BE54" i="6"/>
  <c r="BD54" i="6"/>
  <c r="BC54" i="6"/>
  <c r="BB54" i="6"/>
  <c r="AZ54" i="6"/>
  <c r="AV54" i="6"/>
  <c r="AT54" i="6"/>
  <c r="AR54" i="6"/>
  <c r="AQ54" i="6"/>
  <c r="L54" i="6"/>
  <c r="N54" i="6" s="1"/>
  <c r="BP53" i="6"/>
  <c r="BE53" i="6"/>
  <c r="BD53" i="6"/>
  <c r="BC53" i="6"/>
  <c r="BB53" i="6"/>
  <c r="AZ53" i="6"/>
  <c r="AV53" i="6"/>
  <c r="AT53" i="6"/>
  <c r="AR53" i="6"/>
  <c r="AQ53" i="6"/>
  <c r="L53" i="6"/>
  <c r="BG53" i="6" s="1"/>
  <c r="BP52" i="6"/>
  <c r="BE52" i="6"/>
  <c r="BD52" i="6"/>
  <c r="BC52" i="6"/>
  <c r="BB52" i="6"/>
  <c r="AZ52" i="6"/>
  <c r="AV52" i="6"/>
  <c r="AT52" i="6"/>
  <c r="AR52" i="6"/>
  <c r="AQ52" i="6"/>
  <c r="L52" i="6"/>
  <c r="N52" i="6" s="1"/>
  <c r="BP51" i="6"/>
  <c r="BE51" i="6"/>
  <c r="BD51" i="6"/>
  <c r="BC51" i="6"/>
  <c r="BB51" i="6"/>
  <c r="AZ51" i="6"/>
  <c r="AV51" i="6"/>
  <c r="AT51" i="6"/>
  <c r="AR51" i="6"/>
  <c r="AQ51" i="6"/>
  <c r="L51" i="6"/>
  <c r="S51" i="6" s="1"/>
  <c r="Z51" i="6" s="1"/>
  <c r="AB51" i="6" s="1"/>
  <c r="BP50" i="6"/>
  <c r="BE50" i="6"/>
  <c r="BD50" i="6"/>
  <c r="BC50" i="6"/>
  <c r="BB50" i="6"/>
  <c r="AZ50" i="6"/>
  <c r="AV50" i="6"/>
  <c r="AT50" i="6"/>
  <c r="AR50" i="6"/>
  <c r="AQ50" i="6"/>
  <c r="L50" i="6"/>
  <c r="N50" i="6" s="1"/>
  <c r="BP49" i="6"/>
  <c r="BE49" i="6"/>
  <c r="BD49" i="6"/>
  <c r="BC49" i="6"/>
  <c r="BB49" i="6"/>
  <c r="AZ49" i="6"/>
  <c r="AT49" i="6"/>
  <c r="AR49" i="6"/>
  <c r="AQ49" i="6"/>
  <c r="L49" i="6"/>
  <c r="BP48" i="6"/>
  <c r="BE48" i="6"/>
  <c r="BD48" i="6"/>
  <c r="BC48" i="6"/>
  <c r="BB48" i="6"/>
  <c r="AZ48" i="6"/>
  <c r="AV48" i="6"/>
  <c r="AT48" i="6"/>
  <c r="AR48" i="6"/>
  <c r="AQ48" i="6"/>
  <c r="L48" i="6"/>
  <c r="S48" i="6" s="1"/>
  <c r="Z48" i="6" s="1"/>
  <c r="AB48" i="6" s="1"/>
  <c r="BP47" i="6"/>
  <c r="BE47" i="6"/>
  <c r="BD47" i="6"/>
  <c r="BC47" i="6"/>
  <c r="BB47" i="6"/>
  <c r="AZ47" i="6"/>
  <c r="AT47" i="6"/>
  <c r="AR47" i="6"/>
  <c r="AQ47" i="6"/>
  <c r="L47" i="6"/>
  <c r="S47" i="6" s="1"/>
  <c r="Z47" i="6" s="1"/>
  <c r="AB47" i="6" s="1"/>
  <c r="BP46" i="6"/>
  <c r="BE46" i="6"/>
  <c r="BD46" i="6"/>
  <c r="BC46" i="6"/>
  <c r="BB46" i="6"/>
  <c r="AZ46" i="6"/>
  <c r="AV46" i="6"/>
  <c r="AT46" i="6"/>
  <c r="AR46" i="6"/>
  <c r="AQ46" i="6"/>
  <c r="L46" i="6"/>
  <c r="N46" i="6" s="1"/>
  <c r="BP45" i="6"/>
  <c r="BE45" i="6"/>
  <c r="BD45" i="6"/>
  <c r="BC45" i="6"/>
  <c r="BB45" i="6"/>
  <c r="AZ45" i="6"/>
  <c r="AV45" i="6"/>
  <c r="AT45" i="6"/>
  <c r="AR45" i="6"/>
  <c r="AQ45" i="6"/>
  <c r="L45" i="6"/>
  <c r="BG45" i="6" s="1"/>
  <c r="BP44" i="6"/>
  <c r="BE44" i="6"/>
  <c r="BD44" i="6"/>
  <c r="BC44" i="6"/>
  <c r="BB44" i="6"/>
  <c r="AZ44" i="6"/>
  <c r="AV44" i="6"/>
  <c r="AT44" i="6"/>
  <c r="AR44" i="6"/>
  <c r="AQ44" i="6"/>
  <c r="L44" i="6"/>
  <c r="N44" i="6" s="1"/>
  <c r="BP43" i="6"/>
  <c r="BE43" i="6"/>
  <c r="BD43" i="6"/>
  <c r="BC43" i="6"/>
  <c r="BB43" i="6"/>
  <c r="AZ43" i="6"/>
  <c r="AV43" i="6"/>
  <c r="AT43" i="6"/>
  <c r="AR43" i="6"/>
  <c r="AQ43" i="6"/>
  <c r="L43" i="6"/>
  <c r="BG43" i="6" s="1"/>
  <c r="BP42" i="6"/>
  <c r="BE42" i="6"/>
  <c r="BD42" i="6"/>
  <c r="BC42" i="6"/>
  <c r="BB42" i="6"/>
  <c r="AZ42" i="6"/>
  <c r="AV42" i="6"/>
  <c r="AT42" i="6"/>
  <c r="AR42" i="6"/>
  <c r="AQ42" i="6"/>
  <c r="L42" i="6"/>
  <c r="BG42" i="6" s="1"/>
  <c r="BP41" i="6"/>
  <c r="BE41" i="6"/>
  <c r="BD41" i="6"/>
  <c r="BC41" i="6"/>
  <c r="BB41" i="6"/>
  <c r="AZ41" i="6"/>
  <c r="AV41" i="6"/>
  <c r="AT41" i="6"/>
  <c r="AR41" i="6"/>
  <c r="AQ41" i="6"/>
  <c r="L41" i="6"/>
  <c r="BP40" i="6"/>
  <c r="BE40" i="6"/>
  <c r="BD40" i="6"/>
  <c r="BC40" i="6"/>
  <c r="BB40" i="6"/>
  <c r="AZ40" i="6"/>
  <c r="AV40" i="6"/>
  <c r="AT40" i="6"/>
  <c r="AR40" i="6"/>
  <c r="AQ40" i="6"/>
  <c r="L40" i="6"/>
  <c r="N40" i="6" s="1"/>
  <c r="BP39" i="6"/>
  <c r="BE39" i="6"/>
  <c r="BD39" i="6"/>
  <c r="BC39" i="6"/>
  <c r="BB39" i="6"/>
  <c r="AZ39" i="6"/>
  <c r="AV39" i="6"/>
  <c r="AT39" i="6"/>
  <c r="AR39" i="6"/>
  <c r="AQ39" i="6"/>
  <c r="L39" i="6"/>
  <c r="BG39" i="6" s="1"/>
  <c r="BP38" i="6"/>
  <c r="BE38" i="6"/>
  <c r="BD38" i="6"/>
  <c r="BC38" i="6"/>
  <c r="BB38" i="6"/>
  <c r="AZ38" i="6"/>
  <c r="AT38" i="6"/>
  <c r="AR38" i="6"/>
  <c r="AQ38" i="6"/>
  <c r="L38" i="6"/>
  <c r="S38" i="6" s="1"/>
  <c r="BP37" i="6"/>
  <c r="BE37" i="6"/>
  <c r="BD37" i="6"/>
  <c r="BC37" i="6"/>
  <c r="BB37" i="6"/>
  <c r="AZ37" i="6"/>
  <c r="AV37" i="6"/>
  <c r="AT37" i="6"/>
  <c r="AR37" i="6"/>
  <c r="AQ37" i="6"/>
  <c r="L37" i="6"/>
  <c r="BP36" i="6"/>
  <c r="BE36" i="6"/>
  <c r="BD36" i="6"/>
  <c r="BC36" i="6"/>
  <c r="BB36" i="6"/>
  <c r="AZ36" i="6"/>
  <c r="AV36" i="6"/>
  <c r="AT36" i="6"/>
  <c r="AR36" i="6"/>
  <c r="AQ36" i="6"/>
  <c r="L36" i="6"/>
  <c r="BG36" i="6" s="1"/>
  <c r="BP35" i="6"/>
  <c r="BE35" i="6"/>
  <c r="BD35" i="6"/>
  <c r="BC35" i="6"/>
  <c r="BB35" i="6"/>
  <c r="AZ35" i="6"/>
  <c r="AV35" i="6"/>
  <c r="AT35" i="6"/>
  <c r="AR35" i="6"/>
  <c r="AQ35" i="6"/>
  <c r="L35" i="6"/>
  <c r="BG35" i="6" s="1"/>
  <c r="BP34" i="6"/>
  <c r="BE34" i="6"/>
  <c r="BD34" i="6"/>
  <c r="BC34" i="6"/>
  <c r="BB34" i="6"/>
  <c r="AZ34" i="6"/>
  <c r="AT34" i="6"/>
  <c r="AR34" i="6"/>
  <c r="AQ34" i="6"/>
  <c r="L34" i="6"/>
  <c r="N34" i="6" s="1"/>
  <c r="BP33" i="6"/>
  <c r="BE33" i="6"/>
  <c r="BD33" i="6"/>
  <c r="BC33" i="6"/>
  <c r="BB33" i="6"/>
  <c r="AZ33" i="6"/>
  <c r="AV33" i="6"/>
  <c r="AT33" i="6"/>
  <c r="AR33" i="6"/>
  <c r="AQ33" i="6"/>
  <c r="L33" i="6"/>
  <c r="BP32" i="6"/>
  <c r="BE32" i="6"/>
  <c r="BD32" i="6"/>
  <c r="BC32" i="6"/>
  <c r="BB32" i="6"/>
  <c r="AZ32" i="6"/>
  <c r="AT32" i="6"/>
  <c r="AR32" i="6"/>
  <c r="AQ32" i="6"/>
  <c r="L32" i="6"/>
  <c r="S32" i="6" s="1"/>
  <c r="BP31" i="6"/>
  <c r="BE31" i="6"/>
  <c r="BD31" i="6"/>
  <c r="BC31" i="6"/>
  <c r="BB31" i="6"/>
  <c r="AZ31" i="6"/>
  <c r="AV31" i="6"/>
  <c r="AT31" i="6"/>
  <c r="AR31" i="6"/>
  <c r="AQ31" i="6"/>
  <c r="L31" i="6"/>
  <c r="N31" i="6" s="1"/>
  <c r="BP30" i="6"/>
  <c r="BE30" i="6"/>
  <c r="BD30" i="6"/>
  <c r="BC30" i="6"/>
  <c r="BB30" i="6"/>
  <c r="AZ30" i="6"/>
  <c r="AT30" i="6"/>
  <c r="AR30" i="6"/>
  <c r="AQ30" i="6"/>
  <c r="L30" i="6"/>
  <c r="BG30" i="6" s="1"/>
  <c r="BP29" i="6"/>
  <c r="BE29" i="6"/>
  <c r="BD29" i="6"/>
  <c r="BC29" i="6"/>
  <c r="BB29" i="6"/>
  <c r="AZ29" i="6"/>
  <c r="AV29" i="6"/>
  <c r="AT29" i="6"/>
  <c r="AR29" i="6"/>
  <c r="AQ29" i="6"/>
  <c r="L29" i="6"/>
  <c r="S29" i="6" s="1"/>
  <c r="BP28" i="6"/>
  <c r="BE28" i="6"/>
  <c r="BD28" i="6"/>
  <c r="BC28" i="6"/>
  <c r="BB28" i="6"/>
  <c r="AZ28" i="6"/>
  <c r="AV28" i="6"/>
  <c r="AT28" i="6"/>
  <c r="AR28" i="6"/>
  <c r="AQ28" i="6"/>
  <c r="L28" i="6"/>
  <c r="N28" i="6" s="1"/>
  <c r="BP27" i="6"/>
  <c r="BE27" i="6"/>
  <c r="BD27" i="6"/>
  <c r="BC27" i="6"/>
  <c r="BB27" i="6"/>
  <c r="AZ27" i="6"/>
  <c r="AT27" i="6"/>
  <c r="AR27" i="6"/>
  <c r="AQ27" i="6"/>
  <c r="L27" i="6"/>
  <c r="BG27" i="6" s="1"/>
  <c r="BP26" i="6"/>
  <c r="BE26" i="6"/>
  <c r="BD26" i="6"/>
  <c r="BC26" i="6"/>
  <c r="BB26" i="6"/>
  <c r="AZ26" i="6"/>
  <c r="AV26" i="6"/>
  <c r="AT26" i="6"/>
  <c r="AR26" i="6"/>
  <c r="AQ26" i="6"/>
  <c r="L26" i="6"/>
  <c r="S26" i="6" s="1"/>
  <c r="BP25" i="6"/>
  <c r="BE25" i="6"/>
  <c r="BD25" i="6"/>
  <c r="BC25" i="6"/>
  <c r="BB25" i="6"/>
  <c r="AZ25" i="6"/>
  <c r="AV25" i="6"/>
  <c r="AT25" i="6"/>
  <c r="AR25" i="6"/>
  <c r="AQ25" i="6"/>
  <c r="L25" i="6"/>
  <c r="BP24" i="6"/>
  <c r="BE24" i="6"/>
  <c r="BD24" i="6"/>
  <c r="BC24" i="6"/>
  <c r="BB24" i="6"/>
  <c r="AZ24" i="6"/>
  <c r="AT24" i="6"/>
  <c r="AR24" i="6"/>
  <c r="AQ24" i="6"/>
  <c r="L24" i="6"/>
  <c r="BG24" i="6" s="1"/>
  <c r="BP23" i="6"/>
  <c r="BE23" i="6"/>
  <c r="BD23" i="6"/>
  <c r="BC23" i="6"/>
  <c r="BB23" i="6"/>
  <c r="AZ23" i="6"/>
  <c r="AT23" i="6"/>
  <c r="AR23" i="6"/>
  <c r="AQ23" i="6"/>
  <c r="L23" i="6"/>
  <c r="N23" i="6" s="1"/>
  <c r="BP22" i="6"/>
  <c r="BE22" i="6"/>
  <c r="BD22" i="6"/>
  <c r="BC22" i="6"/>
  <c r="BB22" i="6"/>
  <c r="AZ22" i="6"/>
  <c r="AV22" i="6"/>
  <c r="AT22" i="6"/>
  <c r="AR22" i="6"/>
  <c r="AQ22" i="6"/>
  <c r="L22" i="6"/>
  <c r="BP21" i="6"/>
  <c r="BE21" i="6"/>
  <c r="BD21" i="6"/>
  <c r="BC21" i="6"/>
  <c r="BB21" i="6"/>
  <c r="AZ21" i="6"/>
  <c r="AV21" i="6"/>
  <c r="AT21" i="6"/>
  <c r="AR21" i="6"/>
  <c r="AQ21" i="6"/>
  <c r="L21" i="6"/>
  <c r="S21" i="6" s="1"/>
  <c r="BP20" i="6"/>
  <c r="BE20" i="6"/>
  <c r="BD20" i="6"/>
  <c r="BC20" i="6"/>
  <c r="BB20" i="6"/>
  <c r="AZ20" i="6"/>
  <c r="AV20" i="6"/>
  <c r="AT20" i="6"/>
  <c r="AR20" i="6"/>
  <c r="AQ20" i="6"/>
  <c r="L20" i="6"/>
  <c r="BG20" i="6" s="1"/>
  <c r="BP19" i="6"/>
  <c r="BE19" i="6"/>
  <c r="BD19" i="6"/>
  <c r="BC19" i="6"/>
  <c r="BB19" i="6"/>
  <c r="AZ19" i="6"/>
  <c r="AV19" i="6"/>
  <c r="AT19" i="6"/>
  <c r="AR19" i="6"/>
  <c r="AQ19" i="6"/>
  <c r="L19" i="6"/>
  <c r="BP18" i="6"/>
  <c r="BE18" i="6"/>
  <c r="BD18" i="6"/>
  <c r="BC18" i="6"/>
  <c r="BB18" i="6"/>
  <c r="AZ18" i="6"/>
  <c r="AV18" i="6"/>
  <c r="AT18" i="6"/>
  <c r="AR18" i="6"/>
  <c r="AQ18" i="6"/>
  <c r="L18" i="6"/>
  <c r="BG18" i="6" s="1"/>
  <c r="BP17" i="6"/>
  <c r="BE17" i="6"/>
  <c r="BD17" i="6"/>
  <c r="BC17" i="6"/>
  <c r="BB17" i="6"/>
  <c r="AZ17" i="6"/>
  <c r="AT17" i="6"/>
  <c r="AR17" i="6"/>
  <c r="AQ17" i="6"/>
  <c r="L17" i="6"/>
  <c r="S17" i="6" s="1"/>
  <c r="BP16" i="6"/>
  <c r="BE16" i="6"/>
  <c r="BD16" i="6"/>
  <c r="BC16" i="6"/>
  <c r="BB16" i="6"/>
  <c r="AZ16" i="6"/>
  <c r="AV16" i="6"/>
  <c r="AT16" i="6"/>
  <c r="AR16" i="6"/>
  <c r="AQ16" i="6"/>
  <c r="L16" i="6"/>
  <c r="N16" i="6" s="1"/>
  <c r="BP15" i="6"/>
  <c r="BE15" i="6"/>
  <c r="BD15" i="6"/>
  <c r="BC15" i="6"/>
  <c r="BB15" i="6"/>
  <c r="AZ15" i="6"/>
  <c r="AT15" i="6"/>
  <c r="AR15" i="6"/>
  <c r="AQ15" i="6"/>
  <c r="L15" i="6"/>
  <c r="BP14" i="6"/>
  <c r="BE14" i="6"/>
  <c r="BD14" i="6"/>
  <c r="BC14" i="6"/>
  <c r="BB14" i="6"/>
  <c r="AZ14" i="6"/>
  <c r="AT14" i="6"/>
  <c r="AR14" i="6"/>
  <c r="AQ14" i="6"/>
  <c r="L14" i="6"/>
  <c r="N14" i="6" s="1"/>
  <c r="BP13" i="6"/>
  <c r="BE13" i="6"/>
  <c r="BD13" i="6"/>
  <c r="BC13" i="6"/>
  <c r="BB13" i="6"/>
  <c r="AZ13" i="6"/>
  <c r="AV13" i="6"/>
  <c r="AT13" i="6"/>
  <c r="AR13" i="6"/>
  <c r="AQ13" i="6"/>
  <c r="L13" i="6"/>
  <c r="BP12" i="6"/>
  <c r="BE12" i="6"/>
  <c r="BD12" i="6"/>
  <c r="BC12" i="6"/>
  <c r="BB12" i="6"/>
  <c r="AZ12" i="6"/>
  <c r="AV12" i="6"/>
  <c r="AT12" i="6"/>
  <c r="AR12" i="6"/>
  <c r="AQ12" i="6"/>
  <c r="L12" i="6"/>
  <c r="BG12" i="6" s="1"/>
  <c r="BP11" i="6"/>
  <c r="BE11" i="6"/>
  <c r="BD11" i="6"/>
  <c r="BC11" i="6"/>
  <c r="BB11" i="6"/>
  <c r="AZ11" i="6"/>
  <c r="AT11" i="6"/>
  <c r="AR11" i="6"/>
  <c r="AQ11" i="6"/>
  <c r="L11" i="6"/>
  <c r="BP10" i="6"/>
  <c r="BE10" i="6"/>
  <c r="BD10" i="6"/>
  <c r="BC10" i="6"/>
  <c r="BB10" i="6"/>
  <c r="AZ10" i="6"/>
  <c r="AT10" i="6"/>
  <c r="AR10" i="6"/>
  <c r="AQ10" i="6"/>
  <c r="L10" i="6"/>
  <c r="BP9" i="6"/>
  <c r="BE9" i="6"/>
  <c r="BD9" i="6"/>
  <c r="BC9" i="6"/>
  <c r="BB9" i="6"/>
  <c r="AZ9" i="6"/>
  <c r="AT9" i="6"/>
  <c r="AR9" i="6"/>
  <c r="AQ9" i="6"/>
  <c r="L9" i="6"/>
  <c r="N9" i="6" s="1"/>
  <c r="BP8" i="6"/>
  <c r="BE8" i="6"/>
  <c r="BD8" i="6"/>
  <c r="BC8" i="6"/>
  <c r="BB8" i="6"/>
  <c r="AZ8" i="6"/>
  <c r="AT8" i="6"/>
  <c r="AR8" i="6"/>
  <c r="AQ8" i="6"/>
  <c r="L8" i="6"/>
  <c r="BF146" i="6" l="1"/>
  <c r="AR171" i="6"/>
  <c r="N75" i="6"/>
  <c r="BF86" i="6"/>
  <c r="BF17" i="6"/>
  <c r="BF120" i="6"/>
  <c r="BF122" i="6"/>
  <c r="BF124" i="6"/>
  <c r="BF133" i="6"/>
  <c r="BF136" i="6"/>
  <c r="BF46" i="6"/>
  <c r="S137" i="6"/>
  <c r="Z137" i="6" s="1"/>
  <c r="N18" i="6"/>
  <c r="BF41" i="6"/>
  <c r="S107" i="6"/>
  <c r="U107" i="6" s="1"/>
  <c r="BG147" i="6"/>
  <c r="BF152" i="6"/>
  <c r="BF153" i="6"/>
  <c r="BF156" i="6"/>
  <c r="BF157" i="6"/>
  <c r="S53" i="6"/>
  <c r="U53" i="6" s="1"/>
  <c r="S65" i="6"/>
  <c r="N77" i="6"/>
  <c r="S90" i="6"/>
  <c r="Z90" i="6" s="1"/>
  <c r="N92" i="6"/>
  <c r="S140" i="6"/>
  <c r="Z140" i="6" s="1"/>
  <c r="AB140" i="6" s="1"/>
  <c r="BF145" i="6"/>
  <c r="N20" i="6"/>
  <c r="BF87" i="6"/>
  <c r="N114" i="6"/>
  <c r="N119" i="6"/>
  <c r="BF33" i="6"/>
  <c r="BF69" i="6"/>
  <c r="BF97" i="6"/>
  <c r="BF99" i="6"/>
  <c r="BF102" i="6"/>
  <c r="BF116" i="6"/>
  <c r="S119" i="6"/>
  <c r="BF148" i="6"/>
  <c r="BH148" i="6" s="1"/>
  <c r="BF154" i="6"/>
  <c r="BH154" i="6" s="1"/>
  <c r="BF155" i="6"/>
  <c r="BH155" i="6" s="1"/>
  <c r="BF158" i="6"/>
  <c r="BF159" i="6"/>
  <c r="BH159" i="6" s="1"/>
  <c r="BF167" i="6"/>
  <c r="BH167" i="6" s="1"/>
  <c r="BF23" i="6"/>
  <c r="BF38" i="6"/>
  <c r="BF60" i="6"/>
  <c r="BH60" i="6" s="1"/>
  <c r="BF72" i="6"/>
  <c r="BF73" i="6"/>
  <c r="S78" i="6"/>
  <c r="N85" i="6"/>
  <c r="BF100" i="6"/>
  <c r="N103" i="6"/>
  <c r="BF108" i="6"/>
  <c r="BF111" i="6"/>
  <c r="S120" i="6"/>
  <c r="Z120" i="6" s="1"/>
  <c r="BF144" i="6"/>
  <c r="N151" i="6"/>
  <c r="BF164" i="6"/>
  <c r="BH164" i="6" s="1"/>
  <c r="S9" i="6"/>
  <c r="U9" i="6" s="1"/>
  <c r="S16" i="6"/>
  <c r="Z16" i="6" s="1"/>
  <c r="BF22" i="6"/>
  <c r="AU25" i="6"/>
  <c r="AW25" i="6" s="1"/>
  <c r="N26" i="6"/>
  <c r="N29" i="6"/>
  <c r="S31" i="6"/>
  <c r="BF53" i="6"/>
  <c r="BH53" i="6" s="1"/>
  <c r="BF55" i="6"/>
  <c r="AU103" i="6"/>
  <c r="AW103" i="6" s="1"/>
  <c r="S127" i="6"/>
  <c r="BF141" i="6"/>
  <c r="BF143" i="6"/>
  <c r="BF147" i="6"/>
  <c r="S40" i="6"/>
  <c r="BF50" i="6"/>
  <c r="BF59" i="6"/>
  <c r="BH59" i="6" s="1"/>
  <c r="BF61" i="6"/>
  <c r="N68" i="6"/>
  <c r="S82" i="6"/>
  <c r="U82" i="6" s="1"/>
  <c r="N94" i="6"/>
  <c r="BF104" i="6"/>
  <c r="BH104" i="6" s="1"/>
  <c r="BF106" i="6"/>
  <c r="N109" i="6"/>
  <c r="BF113" i="6"/>
  <c r="AU28" i="6"/>
  <c r="AW28" i="6" s="1"/>
  <c r="AU127" i="6"/>
  <c r="AW127" i="6" s="1"/>
  <c r="AU129" i="6"/>
  <c r="AW129" i="6" s="1"/>
  <c r="AU146" i="6"/>
  <c r="AW146" i="6" s="1"/>
  <c r="AU67" i="6"/>
  <c r="AW67" i="6" s="1"/>
  <c r="AU75" i="6"/>
  <c r="AW75" i="6" s="1"/>
  <c r="AU113" i="6"/>
  <c r="AW113" i="6" s="1"/>
  <c r="AU114" i="6"/>
  <c r="AW114" i="6" s="1"/>
  <c r="AU116" i="6"/>
  <c r="AW116" i="6" s="1"/>
  <c r="AU138" i="6"/>
  <c r="AW138" i="6" s="1"/>
  <c r="AU139" i="6"/>
  <c r="AW139" i="6" s="1"/>
  <c r="AU170" i="6"/>
  <c r="AW170" i="6" s="1"/>
  <c r="AU70" i="6"/>
  <c r="AW70" i="6" s="1"/>
  <c r="AU77" i="6"/>
  <c r="AW77" i="6" s="1"/>
  <c r="AU81" i="6"/>
  <c r="AW81" i="6" s="1"/>
  <c r="AU83" i="6"/>
  <c r="AW83" i="6" s="1"/>
  <c r="AU84" i="6"/>
  <c r="AW84" i="6" s="1"/>
  <c r="AU109" i="6"/>
  <c r="AW109" i="6" s="1"/>
  <c r="AU110" i="6"/>
  <c r="AW110" i="6" s="1"/>
  <c r="AU15" i="6"/>
  <c r="AW15" i="6" s="1"/>
  <c r="AU16" i="6"/>
  <c r="AW16" i="6" s="1"/>
  <c r="AU17" i="6"/>
  <c r="AW17" i="6" s="1"/>
  <c r="AU18" i="6"/>
  <c r="AW18" i="6" s="1"/>
  <c r="AU19" i="6"/>
  <c r="AW19" i="6" s="1"/>
  <c r="AU49" i="6"/>
  <c r="AW49" i="6" s="1"/>
  <c r="AU51" i="6"/>
  <c r="AW51" i="6" s="1"/>
  <c r="AU52" i="6"/>
  <c r="AW52" i="6" s="1"/>
  <c r="AU91" i="6"/>
  <c r="AW91" i="6" s="1"/>
  <c r="AU120" i="6"/>
  <c r="AW120" i="6" s="1"/>
  <c r="AU121" i="6"/>
  <c r="AW121" i="6" s="1"/>
  <c r="AU124" i="6"/>
  <c r="AW124" i="6" s="1"/>
  <c r="AU125" i="6"/>
  <c r="AW125" i="6" s="1"/>
  <c r="AU142" i="6"/>
  <c r="AW142" i="6" s="1"/>
  <c r="AU143" i="6"/>
  <c r="AW143" i="6" s="1"/>
  <c r="AU149" i="6"/>
  <c r="AW149" i="6" s="1"/>
  <c r="AU39" i="6"/>
  <c r="AW39" i="6" s="1"/>
  <c r="AU48" i="6"/>
  <c r="AW48" i="6" s="1"/>
  <c r="AU35" i="6"/>
  <c r="AU36" i="6"/>
  <c r="AW36" i="6" s="1"/>
  <c r="AU37" i="6"/>
  <c r="AW37" i="6" s="1"/>
  <c r="AU38" i="6"/>
  <c r="AW38" i="6" s="1"/>
  <c r="AU47" i="6"/>
  <c r="AW47" i="6" s="1"/>
  <c r="AU57" i="6"/>
  <c r="AW57" i="6" s="1"/>
  <c r="AU58" i="6"/>
  <c r="AW58" i="6" s="1"/>
  <c r="AU66" i="6"/>
  <c r="AW66" i="6" s="1"/>
  <c r="AU92" i="6"/>
  <c r="AW92" i="6" s="1"/>
  <c r="AU112" i="6"/>
  <c r="U113" i="6"/>
  <c r="AU117" i="6"/>
  <c r="AW117" i="6" s="1"/>
  <c r="U130" i="6"/>
  <c r="AU147" i="6"/>
  <c r="AW147" i="6" s="1"/>
  <c r="BF9" i="6"/>
  <c r="AU13" i="6"/>
  <c r="AW13" i="6" s="1"/>
  <c r="AU14" i="6"/>
  <c r="AW14" i="6" s="1"/>
  <c r="BF15" i="6"/>
  <c r="BF16" i="6"/>
  <c r="BF19" i="6"/>
  <c r="AU20" i="6"/>
  <c r="AW20" i="6" s="1"/>
  <c r="AU21" i="6"/>
  <c r="AW21" i="6" s="1"/>
  <c r="AU22" i="6"/>
  <c r="AW22" i="6" s="1"/>
  <c r="S23" i="6"/>
  <c r="Z23" i="6" s="1"/>
  <c r="AB23" i="6" s="1"/>
  <c r="AU24" i="6"/>
  <c r="AW24" i="6" s="1"/>
  <c r="BF25" i="6"/>
  <c r="AU26" i="6"/>
  <c r="AW26" i="6" s="1"/>
  <c r="AU27" i="6"/>
  <c r="AW27" i="6" s="1"/>
  <c r="BF28" i="6"/>
  <c r="AU29" i="6"/>
  <c r="AW29" i="6" s="1"/>
  <c r="AU30" i="6"/>
  <c r="AW30" i="6" s="1"/>
  <c r="AU31" i="6"/>
  <c r="AW31" i="6" s="1"/>
  <c r="N32" i="6"/>
  <c r="AU33" i="6"/>
  <c r="AW33" i="6" s="1"/>
  <c r="AU34" i="6"/>
  <c r="AW34" i="6" s="1"/>
  <c r="BF35" i="6"/>
  <c r="BH35" i="6" s="1"/>
  <c r="BF37" i="6"/>
  <c r="BG38" i="6"/>
  <c r="AU40" i="6"/>
  <c r="AW40" i="6" s="1"/>
  <c r="AU41" i="6"/>
  <c r="AW41" i="6" s="1"/>
  <c r="AU42" i="6"/>
  <c r="AW42" i="6" s="1"/>
  <c r="AU43" i="6"/>
  <c r="AW43" i="6" s="1"/>
  <c r="N45" i="6"/>
  <c r="BF48" i="6"/>
  <c r="AU53" i="6"/>
  <c r="AW53" i="6" s="1"/>
  <c r="AU54" i="6"/>
  <c r="AW54" i="6" s="1"/>
  <c r="N55" i="6"/>
  <c r="BF67" i="6"/>
  <c r="BH67" i="6" s="1"/>
  <c r="AU68" i="6"/>
  <c r="AW68" i="6" s="1"/>
  <c r="S69" i="6"/>
  <c r="Z69" i="6" s="1"/>
  <c r="AU79" i="6"/>
  <c r="AW79" i="6" s="1"/>
  <c r="BF82" i="6"/>
  <c r="N87" i="6"/>
  <c r="BF89" i="6"/>
  <c r="BF90" i="6"/>
  <c r="BF93" i="6"/>
  <c r="AU94" i="6"/>
  <c r="AW94" i="6" s="1"/>
  <c r="AU95" i="6"/>
  <c r="AW95" i="6" s="1"/>
  <c r="AU97" i="6"/>
  <c r="AW97" i="6" s="1"/>
  <c r="N98" i="6"/>
  <c r="AU101" i="6"/>
  <c r="AW101" i="6" s="1"/>
  <c r="S104" i="6"/>
  <c r="Z104" i="6" s="1"/>
  <c r="N105" i="6"/>
  <c r="BF110" i="6"/>
  <c r="BF115" i="6"/>
  <c r="AU119" i="6"/>
  <c r="AW119" i="6" s="1"/>
  <c r="BF121" i="6"/>
  <c r="BF129" i="6"/>
  <c r="BH129" i="6" s="1"/>
  <c r="AU130" i="6"/>
  <c r="AW130" i="6" s="1"/>
  <c r="AU131" i="6"/>
  <c r="AW131" i="6" s="1"/>
  <c r="N132" i="6"/>
  <c r="BF137" i="6"/>
  <c r="S141" i="6"/>
  <c r="BH146" i="6"/>
  <c r="BF149" i="6"/>
  <c r="BG149" i="6"/>
  <c r="S152" i="6"/>
  <c r="BF170" i="6"/>
  <c r="BF12" i="6"/>
  <c r="BH12" i="6" s="1"/>
  <c r="BF21" i="6"/>
  <c r="AU23" i="6"/>
  <c r="AW23" i="6" s="1"/>
  <c r="BF27" i="6"/>
  <c r="BH27" i="6" s="1"/>
  <c r="BF31" i="6"/>
  <c r="AU32" i="6"/>
  <c r="AW32" i="6" s="1"/>
  <c r="BF32" i="6"/>
  <c r="BF34" i="6"/>
  <c r="BF40" i="6"/>
  <c r="BF42" i="6"/>
  <c r="BH42" i="6" s="1"/>
  <c r="BF44" i="6"/>
  <c r="AU45" i="6"/>
  <c r="AW45" i="6" s="1"/>
  <c r="N47" i="6"/>
  <c r="N48" i="6"/>
  <c r="N51" i="6"/>
  <c r="BF54" i="6"/>
  <c r="AU55" i="6"/>
  <c r="AW55" i="6" s="1"/>
  <c r="S56" i="6"/>
  <c r="U56" i="6" s="1"/>
  <c r="AU59" i="6"/>
  <c r="AW59" i="6" s="1"/>
  <c r="AU60" i="6"/>
  <c r="AW60" i="6" s="1"/>
  <c r="AU62" i="6"/>
  <c r="AW62" i="6" s="1"/>
  <c r="AU63" i="6"/>
  <c r="AW63" i="6" s="1"/>
  <c r="N64" i="6"/>
  <c r="N70" i="6"/>
  <c r="AU74" i="6"/>
  <c r="AW74" i="6" s="1"/>
  <c r="BF77" i="6"/>
  <c r="BH77" i="6" s="1"/>
  <c r="AU87" i="6"/>
  <c r="AW87" i="6" s="1"/>
  <c r="AU88" i="6"/>
  <c r="AW88" i="6" s="1"/>
  <c r="AU98" i="6"/>
  <c r="AW98" i="6" s="1"/>
  <c r="AU99" i="6"/>
  <c r="AW99" i="6" s="1"/>
  <c r="AU104" i="6"/>
  <c r="AW104" i="6" s="1"/>
  <c r="AU105" i="6"/>
  <c r="AW105" i="6" s="1"/>
  <c r="AU106" i="6"/>
  <c r="AW106" i="6" s="1"/>
  <c r="BF109" i="6"/>
  <c r="AU132" i="6"/>
  <c r="AW132" i="6" s="1"/>
  <c r="AU134" i="6"/>
  <c r="AW134" i="6" s="1"/>
  <c r="S136" i="6"/>
  <c r="Z136" i="6" s="1"/>
  <c r="AB136" i="6" s="1"/>
  <c r="BF140" i="6"/>
  <c r="BH140" i="6" s="1"/>
  <c r="U142" i="6"/>
  <c r="S144" i="6"/>
  <c r="Z144" i="6" s="1"/>
  <c r="AU145" i="6"/>
  <c r="AW145" i="6" s="1"/>
  <c r="N146" i="6"/>
  <c r="N147" i="6"/>
  <c r="S149" i="6"/>
  <c r="Z149" i="6" s="1"/>
  <c r="BF151" i="6"/>
  <c r="BH151" i="6" s="1"/>
  <c r="AU152" i="6"/>
  <c r="AW152" i="6" s="1"/>
  <c r="AU153" i="6"/>
  <c r="AW153" i="6" s="1"/>
  <c r="N154" i="6"/>
  <c r="N161" i="6"/>
  <c r="AU162" i="6"/>
  <c r="AW162" i="6" s="1"/>
  <c r="AU163" i="6"/>
  <c r="AW163" i="6" s="1"/>
  <c r="N164" i="6"/>
  <c r="AU166" i="6"/>
  <c r="AW166" i="6" s="1"/>
  <c r="N167" i="6"/>
  <c r="AU169" i="6"/>
  <c r="AW169" i="6" s="1"/>
  <c r="AU154" i="6"/>
  <c r="AW154" i="6" s="1"/>
  <c r="AU155" i="6"/>
  <c r="AW155" i="6" s="1"/>
  <c r="AU156" i="6"/>
  <c r="AW156" i="6" s="1"/>
  <c r="AU157" i="6"/>
  <c r="AW157" i="6" s="1"/>
  <c r="AU158" i="6"/>
  <c r="AW158" i="6" s="1"/>
  <c r="AU159" i="6"/>
  <c r="AW159" i="6" s="1"/>
  <c r="AU160" i="6"/>
  <c r="AW160" i="6" s="1"/>
  <c r="AU161" i="6"/>
  <c r="AW161" i="6" s="1"/>
  <c r="BF161" i="6"/>
  <c r="BH161" i="6" s="1"/>
  <c r="AU164" i="6"/>
  <c r="AW164" i="6" s="1"/>
  <c r="AU165" i="6"/>
  <c r="AW165" i="6" s="1"/>
  <c r="AU167" i="6"/>
  <c r="AW167" i="6" s="1"/>
  <c r="AU168" i="6"/>
  <c r="AW168" i="6" s="1"/>
  <c r="BG33" i="6"/>
  <c r="N33" i="6"/>
  <c r="N72" i="6"/>
  <c r="S72" i="6"/>
  <c r="U72" i="6" s="1"/>
  <c r="N86" i="6"/>
  <c r="S86" i="6"/>
  <c r="Z86" i="6" s="1"/>
  <c r="BG96" i="6"/>
  <c r="S96" i="6"/>
  <c r="N96" i="6"/>
  <c r="Z147" i="6"/>
  <c r="AB147" i="6" s="1"/>
  <c r="U147" i="6"/>
  <c r="S41" i="6"/>
  <c r="U41" i="6" s="1"/>
  <c r="N41" i="6"/>
  <c r="S66" i="6"/>
  <c r="N66" i="6"/>
  <c r="N97" i="6"/>
  <c r="S97" i="6"/>
  <c r="Z97" i="6" s="1"/>
  <c r="BG111" i="6"/>
  <c r="S111" i="6"/>
  <c r="U111" i="6" s="1"/>
  <c r="N19" i="6"/>
  <c r="S19" i="6"/>
  <c r="Z19" i="6" s="1"/>
  <c r="AB19" i="6" s="1"/>
  <c r="BG89" i="6"/>
  <c r="N89" i="6"/>
  <c r="N115" i="6"/>
  <c r="S115" i="6"/>
  <c r="U115" i="6" s="1"/>
  <c r="Z116" i="6"/>
  <c r="U116" i="6"/>
  <c r="N11" i="6"/>
  <c r="S11" i="6"/>
  <c r="Z11" i="6" s="1"/>
  <c r="BG22" i="6"/>
  <c r="N22" i="6"/>
  <c r="N37" i="6"/>
  <c r="S37" i="6"/>
  <c r="Z37" i="6" s="1"/>
  <c r="AB37" i="6" s="1"/>
  <c r="BG13" i="6"/>
  <c r="N13" i="6"/>
  <c r="N25" i="6"/>
  <c r="S25" i="6"/>
  <c r="Z25" i="6" s="1"/>
  <c r="AB25" i="6" s="1"/>
  <c r="BG57" i="6"/>
  <c r="S57" i="6"/>
  <c r="N57" i="6"/>
  <c r="N58" i="6"/>
  <c r="S58" i="6"/>
  <c r="N61" i="6"/>
  <c r="S61" i="6"/>
  <c r="Z61" i="6" s="1"/>
  <c r="BG71" i="6"/>
  <c r="S71" i="6"/>
  <c r="N71" i="6"/>
  <c r="BG79" i="6"/>
  <c r="S79" i="6"/>
  <c r="N79" i="6"/>
  <c r="S83" i="6"/>
  <c r="N83" i="6"/>
  <c r="BG100" i="6"/>
  <c r="S100" i="6"/>
  <c r="N100" i="6"/>
  <c r="S101" i="6"/>
  <c r="Z101" i="6" s="1"/>
  <c r="AG101" i="6" s="1"/>
  <c r="N101" i="6"/>
  <c r="BF14" i="6"/>
  <c r="BG17" i="6"/>
  <c r="BF26" i="6"/>
  <c r="BF30" i="6"/>
  <c r="BH30" i="6" s="1"/>
  <c r="BF43" i="6"/>
  <c r="BH43" i="6" s="1"/>
  <c r="S45" i="6"/>
  <c r="BF45" i="6"/>
  <c r="BH45" i="6" s="1"/>
  <c r="BF49" i="6"/>
  <c r="U51" i="6"/>
  <c r="BF51" i="6"/>
  <c r="BF62" i="6"/>
  <c r="S64" i="6"/>
  <c r="BF66" i="6"/>
  <c r="S68" i="6"/>
  <c r="BF68" i="6"/>
  <c r="BH68" i="6" s="1"/>
  <c r="BF75" i="6"/>
  <c r="BH75" i="6" s="1"/>
  <c r="S77" i="6"/>
  <c r="BF92" i="6"/>
  <c r="BH92" i="6" s="1"/>
  <c r="BF105" i="6"/>
  <c r="BF107" i="6"/>
  <c r="BH107" i="6" s="1"/>
  <c r="U109" i="6"/>
  <c r="BG113" i="6"/>
  <c r="N117" i="6"/>
  <c r="BF117" i="6"/>
  <c r="N121" i="6"/>
  <c r="S124" i="6"/>
  <c r="Z124" i="6" s="1"/>
  <c r="BF125" i="6"/>
  <c r="N129" i="6"/>
  <c r="N133" i="6"/>
  <c r="BF134" i="6"/>
  <c r="BF138" i="6"/>
  <c r="S151" i="6"/>
  <c r="N155" i="6"/>
  <c r="N158" i="6"/>
  <c r="BF160" i="6"/>
  <c r="BG160" i="6"/>
  <c r="S164" i="6"/>
  <c r="Z164" i="6" s="1"/>
  <c r="AB164" i="6" s="1"/>
  <c r="BF165" i="6"/>
  <c r="BG165" i="6"/>
  <c r="S167" i="6"/>
  <c r="Z167" i="6" s="1"/>
  <c r="AB167" i="6" s="1"/>
  <c r="BF168" i="6"/>
  <c r="BG168" i="6"/>
  <c r="S28" i="6"/>
  <c r="Z28" i="6" s="1"/>
  <c r="AG28" i="6" s="1"/>
  <c r="BF29" i="6"/>
  <c r="BG32" i="6"/>
  <c r="S34" i="6"/>
  <c r="Z34" i="6" s="1"/>
  <c r="AG34" i="6" s="1"/>
  <c r="N36" i="6"/>
  <c r="N38" i="6"/>
  <c r="BF39" i="6"/>
  <c r="BH39" i="6" s="1"/>
  <c r="N43" i="6"/>
  <c r="N60" i="6"/>
  <c r="N62" i="6"/>
  <c r="BG70" i="6"/>
  <c r="BF83" i="6"/>
  <c r="N113" i="6"/>
  <c r="N116" i="6"/>
  <c r="BG116" i="6"/>
  <c r="U117" i="6"/>
  <c r="N123" i="6"/>
  <c r="N125" i="6"/>
  <c r="BG128" i="6"/>
  <c r="S129" i="6"/>
  <c r="S133" i="6"/>
  <c r="Z133" i="6" s="1"/>
  <c r="S155" i="6"/>
  <c r="Z155" i="6" s="1"/>
  <c r="N159" i="6"/>
  <c r="BF162" i="6"/>
  <c r="BF163" i="6"/>
  <c r="N165" i="6"/>
  <c r="BF166" i="6"/>
  <c r="N168" i="6"/>
  <c r="S170" i="6"/>
  <c r="Z170" i="6" s="1"/>
  <c r="AB170" i="6" s="1"/>
  <c r="BF10" i="6"/>
  <c r="BF11" i="6"/>
  <c r="S14" i="6"/>
  <c r="Z14" i="6" s="1"/>
  <c r="N17" i="6"/>
  <c r="BF18" i="6"/>
  <c r="BH18" i="6" s="1"/>
  <c r="S20" i="6"/>
  <c r="BF20" i="6"/>
  <c r="BH20" i="6" s="1"/>
  <c r="BF24" i="6"/>
  <c r="BH24" i="6" s="1"/>
  <c r="S36" i="6"/>
  <c r="BF36" i="6"/>
  <c r="BH36" i="6" s="1"/>
  <c r="N39" i="6"/>
  <c r="S44" i="6"/>
  <c r="U44" i="6" s="1"/>
  <c r="S46" i="6"/>
  <c r="U46" i="6" s="1"/>
  <c r="BG47" i="6"/>
  <c r="S50" i="6"/>
  <c r="U50" i="6" s="1"/>
  <c r="N53" i="6"/>
  <c r="U55" i="6"/>
  <c r="BF58" i="6"/>
  <c r="S60" i="6"/>
  <c r="S76" i="6"/>
  <c r="BF79" i="6"/>
  <c r="BF80" i="6"/>
  <c r="BF85" i="6"/>
  <c r="BH85" i="6" s="1"/>
  <c r="U87" i="6"/>
  <c r="S93" i="6"/>
  <c r="Z93" i="6" s="1"/>
  <c r="BF94" i="6"/>
  <c r="S98" i="6"/>
  <c r="BF98" i="6"/>
  <c r="BH98" i="6" s="1"/>
  <c r="S102" i="6"/>
  <c r="U102" i="6" s="1"/>
  <c r="N104" i="6"/>
  <c r="N107" i="6"/>
  <c r="S108" i="6"/>
  <c r="BF114" i="6"/>
  <c r="S118" i="6"/>
  <c r="U118" i="6" s="1"/>
  <c r="S123" i="6"/>
  <c r="BF123" i="6"/>
  <c r="BH123" i="6" s="1"/>
  <c r="N127" i="6"/>
  <c r="S128" i="6"/>
  <c r="Z128" i="6" s="1"/>
  <c r="BF130" i="6"/>
  <c r="BF131" i="6"/>
  <c r="BH131" i="6" s="1"/>
  <c r="S132" i="6"/>
  <c r="Z132" i="6" s="1"/>
  <c r="N136" i="6"/>
  <c r="N140" i="6"/>
  <c r="N142" i="6"/>
  <c r="BF142" i="6"/>
  <c r="N148" i="6"/>
  <c r="S156" i="6"/>
  <c r="S159" i="6"/>
  <c r="Z159" i="6" s="1"/>
  <c r="AB159" i="6" s="1"/>
  <c r="U26" i="6"/>
  <c r="Z26" i="6"/>
  <c r="AU10" i="6"/>
  <c r="AW10" i="6" s="1"/>
  <c r="AU11" i="6"/>
  <c r="AW11" i="6" s="1"/>
  <c r="U17" i="6"/>
  <c r="Z17" i="6"/>
  <c r="U29" i="6"/>
  <c r="Z29" i="6"/>
  <c r="AW35" i="6"/>
  <c r="S12" i="6"/>
  <c r="N12" i="6"/>
  <c r="Z38" i="6"/>
  <c r="U38" i="6"/>
  <c r="BF13" i="6"/>
  <c r="U32" i="6"/>
  <c r="Z32" i="6"/>
  <c r="L171" i="6"/>
  <c r="BG8" i="6"/>
  <c r="S8" i="6"/>
  <c r="N8" i="6"/>
  <c r="BG10" i="6"/>
  <c r="S10" i="6"/>
  <c r="N10" i="6"/>
  <c r="BD171" i="6"/>
  <c r="AU9" i="6"/>
  <c r="AW9" i="6" s="1"/>
  <c r="AU12" i="6"/>
  <c r="AW12" i="6" s="1"/>
  <c r="AV171" i="6"/>
  <c r="BG15" i="6"/>
  <c r="S15" i="6"/>
  <c r="N15" i="6"/>
  <c r="U21" i="6"/>
  <c r="Z21" i="6"/>
  <c r="AS171" i="6"/>
  <c r="AZ171" i="6"/>
  <c r="BE171" i="6"/>
  <c r="BG9" i="6"/>
  <c r="BG11" i="6"/>
  <c r="S13" i="6"/>
  <c r="BG14" i="6"/>
  <c r="S18" i="6"/>
  <c r="N21" i="6"/>
  <c r="S22" i="6"/>
  <c r="BG23" i="6"/>
  <c r="N24" i="6"/>
  <c r="BG26" i="6"/>
  <c r="N27" i="6"/>
  <c r="BG29" i="6"/>
  <c r="N30" i="6"/>
  <c r="S33" i="6"/>
  <c r="BG34" i="6"/>
  <c r="N35" i="6"/>
  <c r="S39" i="6"/>
  <c r="BG41" i="6"/>
  <c r="BH41" i="6" s="1"/>
  <c r="N42" i="6"/>
  <c r="S43" i="6"/>
  <c r="BG44" i="6"/>
  <c r="BG46" i="6"/>
  <c r="U47" i="6"/>
  <c r="AG48" i="6"/>
  <c r="BG50" i="6"/>
  <c r="S52" i="6"/>
  <c r="S54" i="6"/>
  <c r="AU56" i="6"/>
  <c r="AW56" i="6" s="1"/>
  <c r="AU61" i="6"/>
  <c r="AW61" i="6" s="1"/>
  <c r="S63" i="6"/>
  <c r="N63" i="6"/>
  <c r="BF63" i="6"/>
  <c r="BH63" i="6" s="1"/>
  <c r="BF64" i="6"/>
  <c r="BH64" i="6" s="1"/>
  <c r="AU69" i="6"/>
  <c r="AW69" i="6" s="1"/>
  <c r="BF70" i="6"/>
  <c r="BF71" i="6"/>
  <c r="BG21" i="6"/>
  <c r="BG52" i="6"/>
  <c r="AG70" i="6"/>
  <c r="AB70" i="6"/>
  <c r="BB171" i="6"/>
  <c r="BF8" i="6"/>
  <c r="BG16" i="6"/>
  <c r="S24" i="6"/>
  <c r="BG25" i="6"/>
  <c r="S27" i="6"/>
  <c r="BG28" i="6"/>
  <c r="S30" i="6"/>
  <c r="BG31" i="6"/>
  <c r="S35" i="6"/>
  <c r="BG37" i="6"/>
  <c r="BG40" i="6"/>
  <c r="S42" i="6"/>
  <c r="BF47" i="6"/>
  <c r="BG49" i="6"/>
  <c r="N49" i="6"/>
  <c r="AG55" i="6"/>
  <c r="BF56" i="6"/>
  <c r="BF57" i="6"/>
  <c r="U62" i="6"/>
  <c r="AU64" i="6"/>
  <c r="AW64" i="6" s="1"/>
  <c r="U70" i="6"/>
  <c r="BH70" i="6"/>
  <c r="AU71" i="6"/>
  <c r="AW71" i="6" s="1"/>
  <c r="U80" i="6"/>
  <c r="Z80" i="6"/>
  <c r="N84" i="6"/>
  <c r="S84" i="6"/>
  <c r="BG84" i="6"/>
  <c r="BG54" i="6"/>
  <c r="AG62" i="6"/>
  <c r="AB62" i="6"/>
  <c r="BF65" i="6"/>
  <c r="AT171" i="6"/>
  <c r="BG19" i="6"/>
  <c r="AQ171" i="6"/>
  <c r="AU8" i="6"/>
  <c r="BC171" i="6"/>
  <c r="AU44" i="6"/>
  <c r="AW44" i="6" s="1"/>
  <c r="AU46" i="6"/>
  <c r="AW46" i="6" s="1"/>
  <c r="AG47" i="6"/>
  <c r="U48" i="6"/>
  <c r="S49" i="6"/>
  <c r="AU50" i="6"/>
  <c r="AW50" i="6" s="1"/>
  <c r="AG51" i="6"/>
  <c r="BF52" i="6"/>
  <c r="BG56" i="6"/>
  <c r="S59" i="6"/>
  <c r="N59" i="6"/>
  <c r="AU65" i="6"/>
  <c r="AW65" i="6" s="1"/>
  <c r="S67" i="6"/>
  <c r="N67" i="6"/>
  <c r="AU72" i="6"/>
  <c r="AW72" i="6" s="1"/>
  <c r="N74" i="6"/>
  <c r="S74" i="6"/>
  <c r="BG74" i="6"/>
  <c r="BF81" i="6"/>
  <c r="Z105" i="6"/>
  <c r="U105" i="6"/>
  <c r="BG48" i="6"/>
  <c r="BG51" i="6"/>
  <c r="BG55" i="6"/>
  <c r="BG58" i="6"/>
  <c r="BG62" i="6"/>
  <c r="BG66" i="6"/>
  <c r="N73" i="6"/>
  <c r="BG73" i="6"/>
  <c r="AU76" i="6"/>
  <c r="AW76" i="6" s="1"/>
  <c r="AU78" i="6"/>
  <c r="AW78" i="6" s="1"/>
  <c r="AU80" i="6"/>
  <c r="AW80" i="6" s="1"/>
  <c r="BG82" i="6"/>
  <c r="AG94" i="6"/>
  <c r="AB94" i="6"/>
  <c r="S99" i="6"/>
  <c r="N99" i="6"/>
  <c r="AG103" i="6"/>
  <c r="AB103" i="6"/>
  <c r="S106" i="6"/>
  <c r="N106" i="6"/>
  <c r="N112" i="6"/>
  <c r="S112" i="6"/>
  <c r="BG112" i="6"/>
  <c r="BG61" i="6"/>
  <c r="BG65" i="6"/>
  <c r="BG69" i="6"/>
  <c r="BG72" i="6"/>
  <c r="BF76" i="6"/>
  <c r="BF78" i="6"/>
  <c r="BG81" i="6"/>
  <c r="N81" i="6"/>
  <c r="AU85" i="6"/>
  <c r="AW85" i="6" s="1"/>
  <c r="AG87" i="6"/>
  <c r="AB87" i="6"/>
  <c r="AU89" i="6"/>
  <c r="AW89" i="6" s="1"/>
  <c r="S91" i="6"/>
  <c r="N91" i="6"/>
  <c r="BF91" i="6"/>
  <c r="AU93" i="6"/>
  <c r="AW93" i="6" s="1"/>
  <c r="S95" i="6"/>
  <c r="N95" i="6"/>
  <c r="BF95" i="6"/>
  <c r="BF96" i="6"/>
  <c r="BG99" i="6"/>
  <c r="AU100" i="6"/>
  <c r="AW100" i="6" s="1"/>
  <c r="AU102" i="6"/>
  <c r="AW102" i="6" s="1"/>
  <c r="BG106" i="6"/>
  <c r="AU107" i="6"/>
  <c r="AW107" i="6" s="1"/>
  <c r="AG109" i="6"/>
  <c r="AB109" i="6"/>
  <c r="AU111" i="6"/>
  <c r="AW111" i="6" s="1"/>
  <c r="Z114" i="6"/>
  <c r="U114" i="6"/>
  <c r="Z73" i="6"/>
  <c r="AU73" i="6"/>
  <c r="AW73" i="6" s="1"/>
  <c r="BF74" i="6"/>
  <c r="BG76" i="6"/>
  <c r="BG78" i="6"/>
  <c r="N80" i="6"/>
  <c r="BG80" i="6"/>
  <c r="S81" i="6"/>
  <c r="AU82" i="6"/>
  <c r="AW82" i="6" s="1"/>
  <c r="BF84" i="6"/>
  <c r="AU86" i="6"/>
  <c r="AW86" i="6" s="1"/>
  <c r="S88" i="6"/>
  <c r="N88" i="6"/>
  <c r="BF88" i="6"/>
  <c r="BH88" i="6" s="1"/>
  <c r="AU90" i="6"/>
  <c r="AW90" i="6" s="1"/>
  <c r="BG91" i="6"/>
  <c r="U94" i="6"/>
  <c r="BG95" i="6"/>
  <c r="AU96" i="6"/>
  <c r="AW96" i="6" s="1"/>
  <c r="U103" i="6"/>
  <c r="AU108" i="6"/>
  <c r="AW108" i="6" s="1"/>
  <c r="BG110" i="6"/>
  <c r="S110" i="6"/>
  <c r="N110" i="6"/>
  <c r="S122" i="6"/>
  <c r="N122" i="6"/>
  <c r="BG122" i="6"/>
  <c r="BH122" i="6" s="1"/>
  <c r="S75" i="6"/>
  <c r="BG83" i="6"/>
  <c r="S85" i="6"/>
  <c r="BG87" i="6"/>
  <c r="S89" i="6"/>
  <c r="BG90" i="6"/>
  <c r="S92" i="6"/>
  <c r="BG94" i="6"/>
  <c r="BG105" i="6"/>
  <c r="BG109" i="6"/>
  <c r="BG115" i="6"/>
  <c r="BH115" i="6" s="1"/>
  <c r="AU118" i="6"/>
  <c r="AW118" i="6" s="1"/>
  <c r="U121" i="6"/>
  <c r="AU123" i="6"/>
  <c r="AW123" i="6" s="1"/>
  <c r="AG125" i="6"/>
  <c r="AB125" i="6"/>
  <c r="AU126" i="6"/>
  <c r="AW126" i="6" s="1"/>
  <c r="BH136" i="6"/>
  <c r="BG86" i="6"/>
  <c r="BG93" i="6"/>
  <c r="BG97" i="6"/>
  <c r="BH97" i="6" s="1"/>
  <c r="BG102" i="6"/>
  <c r="BG108" i="6"/>
  <c r="AW112" i="6"/>
  <c r="AG113" i="6"/>
  <c r="AG117" i="6"/>
  <c r="BF118" i="6"/>
  <c r="BF119" i="6"/>
  <c r="BH119" i="6" s="1"/>
  <c r="S126" i="6"/>
  <c r="N126" i="6"/>
  <c r="BF126" i="6"/>
  <c r="BF127" i="6"/>
  <c r="BH127" i="6" s="1"/>
  <c r="N111" i="6"/>
  <c r="BF112" i="6"/>
  <c r="AU115" i="6"/>
  <c r="AW115" i="6" s="1"/>
  <c r="BG118" i="6"/>
  <c r="AG121" i="6"/>
  <c r="AB121" i="6"/>
  <c r="AU122" i="6"/>
  <c r="AW122" i="6" s="1"/>
  <c r="U125" i="6"/>
  <c r="BG126" i="6"/>
  <c r="BG114" i="6"/>
  <c r="BG117" i="6"/>
  <c r="BG121" i="6"/>
  <c r="BG125" i="6"/>
  <c r="AU128" i="6"/>
  <c r="AW128" i="6" s="1"/>
  <c r="AG130" i="6"/>
  <c r="AB130" i="6"/>
  <c r="S131" i="6"/>
  <c r="N131" i="6"/>
  <c r="AU135" i="6"/>
  <c r="AW135" i="6" s="1"/>
  <c r="S145" i="6"/>
  <c r="N145" i="6"/>
  <c r="BG120" i="6"/>
  <c r="BH120" i="6" s="1"/>
  <c r="BG124" i="6"/>
  <c r="BH133" i="6"/>
  <c r="AG134" i="6"/>
  <c r="AB134" i="6"/>
  <c r="S135" i="6"/>
  <c r="N135" i="6"/>
  <c r="BF135" i="6"/>
  <c r="AU136" i="6"/>
  <c r="AW136" i="6" s="1"/>
  <c r="AG138" i="6"/>
  <c r="AB138" i="6"/>
  <c r="S139" i="6"/>
  <c r="N139" i="6"/>
  <c r="BF139" i="6"/>
  <c r="AU140" i="6"/>
  <c r="AW140" i="6" s="1"/>
  <c r="AG142" i="6"/>
  <c r="AB142" i="6"/>
  <c r="AU144" i="6"/>
  <c r="AW144" i="6" s="1"/>
  <c r="BG145" i="6"/>
  <c r="BF128" i="6"/>
  <c r="BF132" i="6"/>
  <c r="BH132" i="6" s="1"/>
  <c r="AU133" i="6"/>
  <c r="AW133" i="6" s="1"/>
  <c r="U134" i="6"/>
  <c r="BG135" i="6"/>
  <c r="AU137" i="6"/>
  <c r="AW137" i="6" s="1"/>
  <c r="U138" i="6"/>
  <c r="BG139" i="6"/>
  <c r="AG140" i="6"/>
  <c r="AU141" i="6"/>
  <c r="AW141" i="6" s="1"/>
  <c r="BG143" i="6"/>
  <c r="S143" i="6"/>
  <c r="N143" i="6"/>
  <c r="AU148" i="6"/>
  <c r="AW148" i="6" s="1"/>
  <c r="BG130" i="6"/>
  <c r="BG134" i="6"/>
  <c r="BG138" i="6"/>
  <c r="BG142" i="6"/>
  <c r="BG144" i="6"/>
  <c r="S146" i="6"/>
  <c r="S148" i="6"/>
  <c r="BG150" i="6"/>
  <c r="S150" i="6"/>
  <c r="BF150" i="6"/>
  <c r="AU151" i="6"/>
  <c r="AW151" i="6" s="1"/>
  <c r="N130" i="6"/>
  <c r="N134" i="6"/>
  <c r="BG137" i="6"/>
  <c r="N138" i="6"/>
  <c r="U140" i="6"/>
  <c r="BG141" i="6"/>
  <c r="U153" i="6"/>
  <c r="Z153" i="6"/>
  <c r="Z160" i="6"/>
  <c r="U160" i="6"/>
  <c r="Z162" i="6"/>
  <c r="U162" i="6"/>
  <c r="U163" i="6"/>
  <c r="Z163" i="6"/>
  <c r="AB165" i="6"/>
  <c r="AG165" i="6"/>
  <c r="U166" i="6"/>
  <c r="Z166" i="6"/>
  <c r="AB168" i="6"/>
  <c r="AG168" i="6"/>
  <c r="U169" i="6"/>
  <c r="Z169" i="6"/>
  <c r="AU150" i="6"/>
  <c r="AW150" i="6" s="1"/>
  <c r="U157" i="6"/>
  <c r="Z157" i="6"/>
  <c r="BH158" i="6"/>
  <c r="BG153" i="6"/>
  <c r="BH153" i="6" s="1"/>
  <c r="BG157" i="6"/>
  <c r="BG163" i="6"/>
  <c r="BG166" i="6"/>
  <c r="BG152" i="6"/>
  <c r="N153" i="6"/>
  <c r="S154" i="6"/>
  <c r="BG156" i="6"/>
  <c r="N157" i="6"/>
  <c r="S158" i="6"/>
  <c r="S161" i="6"/>
  <c r="BG162" i="6"/>
  <c r="N163" i="6"/>
  <c r="U165" i="6"/>
  <c r="N166" i="6"/>
  <c r="U168" i="6"/>
  <c r="N169" i="6"/>
  <c r="N160" i="6"/>
  <c r="N162" i="6"/>
  <c r="BG170" i="6"/>
  <c r="BH44" i="6" l="1"/>
  <c r="BH57" i="6"/>
  <c r="Z152" i="6"/>
  <c r="U152" i="6"/>
  <c r="U58" i="6"/>
  <c r="Z58" i="6"/>
  <c r="BH22" i="6"/>
  <c r="BH32" i="6"/>
  <c r="BH28" i="6"/>
  <c r="BH37" i="6"/>
  <c r="BH106" i="6"/>
  <c r="BH108" i="6"/>
  <c r="BH144" i="6"/>
  <c r="Z65" i="6"/>
  <c r="U65" i="6"/>
  <c r="Z119" i="6"/>
  <c r="U119" i="6"/>
  <c r="U78" i="6"/>
  <c r="Z78" i="6"/>
  <c r="Z31" i="6"/>
  <c r="U31" i="6"/>
  <c r="Z127" i="6"/>
  <c r="U127" i="6"/>
  <c r="Z40" i="6"/>
  <c r="U40" i="6"/>
  <c r="Z141" i="6"/>
  <c r="U141" i="6"/>
  <c r="Z151" i="6"/>
  <c r="U151" i="6"/>
  <c r="U76" i="6"/>
  <c r="Z76" i="6"/>
  <c r="U108" i="6"/>
  <c r="Z108" i="6"/>
  <c r="BH54" i="6"/>
  <c r="BH156" i="6"/>
  <c r="BH51" i="6"/>
  <c r="BH25" i="6"/>
  <c r="BH46" i="6"/>
  <c r="Z107" i="6"/>
  <c r="BH47" i="6"/>
  <c r="BH86" i="6"/>
  <c r="BH34" i="6"/>
  <c r="AG147" i="6"/>
  <c r="U19" i="6"/>
  <c r="U124" i="6"/>
  <c r="U86" i="6"/>
  <c r="U137" i="6"/>
  <c r="U16" i="6"/>
  <c r="BH152" i="6"/>
  <c r="BH87" i="6"/>
  <c r="BH69" i="6"/>
  <c r="BH19" i="6"/>
  <c r="BH23" i="6"/>
  <c r="BH11" i="6"/>
  <c r="BH116" i="6"/>
  <c r="BH149" i="6"/>
  <c r="BH147" i="6"/>
  <c r="BH124" i="6"/>
  <c r="Z102" i="6"/>
  <c r="AB102" i="6" s="1"/>
  <c r="BH48" i="6"/>
  <c r="U23" i="6"/>
  <c r="U11" i="6"/>
  <c r="Z53" i="6"/>
  <c r="BH38" i="6"/>
  <c r="BH17" i="6"/>
  <c r="BH137" i="6"/>
  <c r="BH93" i="6"/>
  <c r="BH61" i="6"/>
  <c r="BH82" i="6"/>
  <c r="BH73" i="6"/>
  <c r="Z118" i="6"/>
  <c r="AG118" i="6" s="1"/>
  <c r="AB34" i="6"/>
  <c r="U90" i="6"/>
  <c r="BH157" i="6"/>
  <c r="AB155" i="6"/>
  <c r="Z46" i="6"/>
  <c r="AG46" i="6" s="1"/>
  <c r="BH33" i="6"/>
  <c r="Z9" i="6"/>
  <c r="AB9" i="6" s="1"/>
  <c r="BH79" i="6"/>
  <c r="U133" i="6"/>
  <c r="U101" i="6"/>
  <c r="U61" i="6"/>
  <c r="BH9" i="6"/>
  <c r="AG37" i="6"/>
  <c r="AN37" i="6" s="1"/>
  <c r="AP37" i="6" s="1"/>
  <c r="AG19" i="6"/>
  <c r="AN19" i="6" s="1"/>
  <c r="AP19" i="6" s="1"/>
  <c r="U164" i="6"/>
  <c r="BH166" i="6"/>
  <c r="BH145" i="6"/>
  <c r="BH121" i="6"/>
  <c r="BH102" i="6"/>
  <c r="BH72" i="6"/>
  <c r="AB101" i="6"/>
  <c r="BH62" i="6"/>
  <c r="U37" i="6"/>
  <c r="BH26" i="6"/>
  <c r="AG164" i="6"/>
  <c r="AN164" i="6" s="1"/>
  <c r="AP164" i="6" s="1"/>
  <c r="BH15" i="6"/>
  <c r="BH160" i="6"/>
  <c r="BH170" i="6"/>
  <c r="BH90" i="6"/>
  <c r="Z115" i="6"/>
  <c r="AB115" i="6" s="1"/>
  <c r="BH99" i="6"/>
  <c r="BH58" i="6"/>
  <c r="BH50" i="6"/>
  <c r="BH71" i="6"/>
  <c r="U104" i="6"/>
  <c r="BH111" i="6"/>
  <c r="U167" i="6"/>
  <c r="BH135" i="6"/>
  <c r="U120" i="6"/>
  <c r="BH31" i="6"/>
  <c r="BH14" i="6"/>
  <c r="AB28" i="6"/>
  <c r="BH162" i="6"/>
  <c r="BH141" i="6"/>
  <c r="U136" i="6"/>
  <c r="AB152" i="6"/>
  <c r="BH143" i="6"/>
  <c r="U128" i="6"/>
  <c r="BH110" i="6"/>
  <c r="BH96" i="6"/>
  <c r="BH55" i="6"/>
  <c r="Z50" i="6"/>
  <c r="AG50" i="6" s="1"/>
  <c r="BH40" i="6"/>
  <c r="U34" i="6"/>
  <c r="Z41" i="6"/>
  <c r="AB41" i="6" s="1"/>
  <c r="BH13" i="6"/>
  <c r="U14" i="6"/>
  <c r="BH165" i="6"/>
  <c r="BH130" i="6"/>
  <c r="BH100" i="6"/>
  <c r="BH138" i="6"/>
  <c r="U144" i="6"/>
  <c r="Z111" i="6"/>
  <c r="AB111" i="6" s="1"/>
  <c r="Z82" i="6"/>
  <c r="AB82" i="6" s="1"/>
  <c r="BH66" i="6"/>
  <c r="BH16" i="6"/>
  <c r="U28" i="6"/>
  <c r="BH113" i="6"/>
  <c r="AG152" i="6"/>
  <c r="AN152" i="6" s="1"/>
  <c r="AP152" i="6" s="1"/>
  <c r="AG167" i="6"/>
  <c r="AN167" i="6" s="1"/>
  <c r="AP167" i="6" s="1"/>
  <c r="AB149" i="6"/>
  <c r="AG136" i="6"/>
  <c r="AN136" i="6" s="1"/>
  <c r="AP136" i="6" s="1"/>
  <c r="AG149" i="6"/>
  <c r="AN149" i="6" s="1"/>
  <c r="AP149" i="6" s="1"/>
  <c r="AB132" i="6"/>
  <c r="AG116" i="6"/>
  <c r="AN116" i="6" s="1"/>
  <c r="AP116" i="6" s="1"/>
  <c r="AB116" i="6"/>
  <c r="U149" i="6"/>
  <c r="AG104" i="6"/>
  <c r="AN104" i="6" s="1"/>
  <c r="AP104" i="6" s="1"/>
  <c r="AB104" i="6"/>
  <c r="AG170" i="6"/>
  <c r="AN170" i="6" s="1"/>
  <c r="AP170" i="6" s="1"/>
  <c r="BH134" i="6"/>
  <c r="AG132" i="6"/>
  <c r="AI132" i="6" s="1"/>
  <c r="BH114" i="6"/>
  <c r="BH21" i="6"/>
  <c r="Z56" i="6"/>
  <c r="AB56" i="6" s="1"/>
  <c r="BH89" i="6"/>
  <c r="BH163" i="6"/>
  <c r="BH125" i="6"/>
  <c r="BH109" i="6"/>
  <c r="BH83" i="6"/>
  <c r="U93" i="6"/>
  <c r="Z72" i="6"/>
  <c r="AB72" i="6" s="1"/>
  <c r="U69" i="6"/>
  <c r="BH29" i="6"/>
  <c r="AG23" i="6"/>
  <c r="AN23" i="6" s="1"/>
  <c r="AP23" i="6" s="1"/>
  <c r="U170" i="6"/>
  <c r="U132" i="6"/>
  <c r="BH142" i="6"/>
  <c r="BH118" i="6"/>
  <c r="BH105" i="6"/>
  <c r="BH80" i="6"/>
  <c r="U97" i="6"/>
  <c r="BH128" i="6"/>
  <c r="BH168" i="6"/>
  <c r="Z64" i="6"/>
  <c r="U64" i="6"/>
  <c r="Z79" i="6"/>
  <c r="U79" i="6"/>
  <c r="Z66" i="6"/>
  <c r="U66" i="6"/>
  <c r="Z96" i="6"/>
  <c r="U96" i="6"/>
  <c r="U159" i="6"/>
  <c r="U155" i="6"/>
  <c r="AG159" i="6"/>
  <c r="AI159" i="6" s="1"/>
  <c r="Z44" i="6"/>
  <c r="BH10" i="6"/>
  <c r="Z156" i="6"/>
  <c r="U156" i="6"/>
  <c r="Z60" i="6"/>
  <c r="U60" i="6"/>
  <c r="BH117" i="6"/>
  <c r="U25" i="6"/>
  <c r="AG25" i="6"/>
  <c r="Z20" i="6"/>
  <c r="U20" i="6"/>
  <c r="Z68" i="6"/>
  <c r="U68" i="6"/>
  <c r="Z45" i="6"/>
  <c r="U45" i="6"/>
  <c r="Z83" i="6"/>
  <c r="U83" i="6"/>
  <c r="Z57" i="6"/>
  <c r="U57" i="6"/>
  <c r="AG155" i="6"/>
  <c r="AN155" i="6" s="1"/>
  <c r="AP155" i="6" s="1"/>
  <c r="BH126" i="6"/>
  <c r="BH94" i="6"/>
  <c r="BH95" i="6"/>
  <c r="BH76" i="6"/>
  <c r="BH56" i="6"/>
  <c r="BH84" i="6"/>
  <c r="BH49" i="6"/>
  <c r="Z123" i="6"/>
  <c r="U123" i="6"/>
  <c r="Z98" i="6"/>
  <c r="U98" i="6"/>
  <c r="Z36" i="6"/>
  <c r="U36" i="6"/>
  <c r="Z129" i="6"/>
  <c r="U129" i="6"/>
  <c r="Z77" i="6"/>
  <c r="U77" i="6"/>
  <c r="Z100" i="6"/>
  <c r="U100" i="6"/>
  <c r="Z71" i="6"/>
  <c r="U71" i="6"/>
  <c r="Z146" i="6"/>
  <c r="U146" i="6"/>
  <c r="U135" i="6"/>
  <c r="Z135" i="6"/>
  <c r="AN121" i="6"/>
  <c r="AP121" i="6" s="1"/>
  <c r="AI121" i="6"/>
  <c r="AN117" i="6"/>
  <c r="AP117" i="6" s="1"/>
  <c r="AI117" i="6"/>
  <c r="AB137" i="6"/>
  <c r="AG137" i="6"/>
  <c r="U81" i="6"/>
  <c r="Z81" i="6"/>
  <c r="AU171" i="6"/>
  <c r="AW8" i="6"/>
  <c r="AW171" i="6" s="1"/>
  <c r="U30" i="6"/>
  <c r="Z30" i="6"/>
  <c r="AG38" i="6"/>
  <c r="AB38" i="6"/>
  <c r="AN28" i="6"/>
  <c r="AP28" i="6" s="1"/>
  <c r="AI28" i="6"/>
  <c r="Z158" i="6"/>
  <c r="U158" i="6"/>
  <c r="Z154" i="6"/>
  <c r="U154" i="6"/>
  <c r="AN168" i="6"/>
  <c r="AP168" i="6" s="1"/>
  <c r="AI168" i="6"/>
  <c r="AG163" i="6"/>
  <c r="AB163" i="6"/>
  <c r="U150" i="6"/>
  <c r="Z150" i="6"/>
  <c r="U143" i="6"/>
  <c r="Z143" i="6"/>
  <c r="AN140" i="6"/>
  <c r="AP140" i="6" s="1"/>
  <c r="AI140" i="6"/>
  <c r="U145" i="6"/>
  <c r="Z145" i="6"/>
  <c r="AN130" i="6"/>
  <c r="AP130" i="6" s="1"/>
  <c r="AI130" i="6"/>
  <c r="Z89" i="6"/>
  <c r="U89" i="6"/>
  <c r="Z75" i="6"/>
  <c r="U75" i="6"/>
  <c r="U110" i="6"/>
  <c r="Z110" i="6"/>
  <c r="BH78" i="6"/>
  <c r="AG114" i="6"/>
  <c r="AB114" i="6"/>
  <c r="AN109" i="6"/>
  <c r="AP109" i="6" s="1"/>
  <c r="AI109" i="6"/>
  <c r="U95" i="6"/>
  <c r="Z95" i="6"/>
  <c r="BH65" i="6"/>
  <c r="U99" i="6"/>
  <c r="Z99" i="6"/>
  <c r="AN94" i="6"/>
  <c r="AP94" i="6" s="1"/>
  <c r="AI94" i="6"/>
  <c r="U67" i="6"/>
  <c r="Z67" i="6"/>
  <c r="U59" i="6"/>
  <c r="Z59" i="6"/>
  <c r="U84" i="6"/>
  <c r="Z84" i="6"/>
  <c r="AN70" i="6"/>
  <c r="AP70" i="6" s="1"/>
  <c r="AI70" i="6"/>
  <c r="AN48" i="6"/>
  <c r="AP48" i="6" s="1"/>
  <c r="AI48" i="6"/>
  <c r="Z33" i="6"/>
  <c r="U33" i="6"/>
  <c r="Z13" i="6"/>
  <c r="U13" i="6"/>
  <c r="U15" i="6"/>
  <c r="Z15" i="6"/>
  <c r="AB11" i="6"/>
  <c r="AG11" i="6"/>
  <c r="U12" i="6"/>
  <c r="Z12" i="6"/>
  <c r="AG29" i="6"/>
  <c r="AB29" i="6"/>
  <c r="AG26" i="6"/>
  <c r="AB26" i="6"/>
  <c r="U139" i="6"/>
  <c r="Z139" i="6"/>
  <c r="U122" i="6"/>
  <c r="Z122" i="6"/>
  <c r="U112" i="6"/>
  <c r="Z112" i="6"/>
  <c r="Z39" i="6"/>
  <c r="U39" i="6"/>
  <c r="BG171" i="6"/>
  <c r="BH8" i="6"/>
  <c r="AN165" i="6"/>
  <c r="AP165" i="6" s="1"/>
  <c r="AI165" i="6"/>
  <c r="BH150" i="6"/>
  <c r="U131" i="6"/>
  <c r="Z131" i="6"/>
  <c r="AN113" i="6"/>
  <c r="AP113" i="6" s="1"/>
  <c r="AB120" i="6"/>
  <c r="AG120" i="6"/>
  <c r="AB93" i="6"/>
  <c r="AG93" i="6"/>
  <c r="U91" i="6"/>
  <c r="Z91" i="6"/>
  <c r="AN87" i="6"/>
  <c r="AP87" i="6" s="1"/>
  <c r="AI87" i="6"/>
  <c r="AN101" i="6"/>
  <c r="AP101" i="6" s="1"/>
  <c r="AI101" i="6"/>
  <c r="AB97" i="6"/>
  <c r="AG97" i="6"/>
  <c r="AN51" i="6"/>
  <c r="AP51" i="6" s="1"/>
  <c r="AI51" i="6"/>
  <c r="AN47" i="6"/>
  <c r="AP47" i="6" s="1"/>
  <c r="AI47" i="6"/>
  <c r="AN62" i="6"/>
  <c r="AP62" i="6" s="1"/>
  <c r="AI62" i="6"/>
  <c r="AB61" i="6"/>
  <c r="AG61" i="6"/>
  <c r="U35" i="6"/>
  <c r="Z35" i="6"/>
  <c r="U27" i="6"/>
  <c r="Z27" i="6"/>
  <c r="BF171" i="6"/>
  <c r="U63" i="6"/>
  <c r="Z63" i="6"/>
  <c r="U54" i="6"/>
  <c r="Z54" i="6"/>
  <c r="N171" i="6"/>
  <c r="AN34" i="6"/>
  <c r="AP34" i="6" s="1"/>
  <c r="AI34" i="6"/>
  <c r="AB14" i="6"/>
  <c r="AG14" i="6"/>
  <c r="AG157" i="6"/>
  <c r="AB157" i="6"/>
  <c r="AG166" i="6"/>
  <c r="AB166" i="6"/>
  <c r="AG162" i="6"/>
  <c r="AB162" i="6"/>
  <c r="U126" i="6"/>
  <c r="Z126" i="6"/>
  <c r="U74" i="6"/>
  <c r="Z74" i="6"/>
  <c r="U24" i="6"/>
  <c r="Z24" i="6"/>
  <c r="Z43" i="6"/>
  <c r="U43" i="6"/>
  <c r="Z22" i="6"/>
  <c r="U22" i="6"/>
  <c r="AG21" i="6"/>
  <c r="AB21" i="6"/>
  <c r="AG153" i="6"/>
  <c r="AB153" i="6"/>
  <c r="Z161" i="6"/>
  <c r="U161" i="6"/>
  <c r="AG169" i="6"/>
  <c r="AB169" i="6"/>
  <c r="AG160" i="6"/>
  <c r="AB160" i="6"/>
  <c r="Z148" i="6"/>
  <c r="U148" i="6"/>
  <c r="AB144" i="6"/>
  <c r="AG144" i="6"/>
  <c r="BH139" i="6"/>
  <c r="AN142" i="6"/>
  <c r="AP142" i="6" s="1"/>
  <c r="AI142" i="6"/>
  <c r="AN138" i="6"/>
  <c r="AP138" i="6" s="1"/>
  <c r="AI138" i="6"/>
  <c r="AN134" i="6"/>
  <c r="AP134" i="6" s="1"/>
  <c r="AI134" i="6"/>
  <c r="AB124" i="6"/>
  <c r="AG124" i="6"/>
  <c r="AB133" i="6"/>
  <c r="AG133" i="6"/>
  <c r="AB128" i="6"/>
  <c r="AG128" i="6"/>
  <c r="AN125" i="6"/>
  <c r="AP125" i="6" s="1"/>
  <c r="AI125" i="6"/>
  <c r="Z92" i="6"/>
  <c r="U92" i="6"/>
  <c r="Z85" i="6"/>
  <c r="U85" i="6"/>
  <c r="BH91" i="6"/>
  <c r="U88" i="6"/>
  <c r="Z88" i="6"/>
  <c r="AB73" i="6"/>
  <c r="AG73" i="6"/>
  <c r="BH81" i="6"/>
  <c r="BH112" i="6"/>
  <c r="U106" i="6"/>
  <c r="Z106" i="6"/>
  <c r="AN103" i="6"/>
  <c r="AP103" i="6" s="1"/>
  <c r="AI103" i="6"/>
  <c r="AG105" i="6"/>
  <c r="AB105" i="6"/>
  <c r="AB86" i="6"/>
  <c r="AG86" i="6"/>
  <c r="BH74" i="6"/>
  <c r="U49" i="6"/>
  <c r="Z49" i="6"/>
  <c r="AB90" i="6"/>
  <c r="AG90" i="6"/>
  <c r="AB80" i="6"/>
  <c r="AG80" i="6"/>
  <c r="AB69" i="6"/>
  <c r="AG69" i="6"/>
  <c r="AN55" i="6"/>
  <c r="AP55" i="6" s="1"/>
  <c r="AI55" i="6"/>
  <c r="U42" i="6"/>
  <c r="Z42" i="6"/>
  <c r="BH52" i="6"/>
  <c r="U52" i="6"/>
  <c r="Z52" i="6"/>
  <c r="Z18" i="6"/>
  <c r="U18" i="6"/>
  <c r="AB16" i="6"/>
  <c r="AG16" i="6"/>
  <c r="U10" i="6"/>
  <c r="Z10" i="6"/>
  <c r="S171" i="6"/>
  <c r="U8" i="6"/>
  <c r="Z8" i="6"/>
  <c r="AG32" i="6"/>
  <c r="AB32" i="6"/>
  <c r="AG17" i="6"/>
  <c r="AB17" i="6"/>
  <c r="AI19" i="6"/>
  <c r="AG9" i="6"/>
  <c r="AB58" i="6" l="1"/>
  <c r="AG58" i="6"/>
  <c r="AB65" i="6"/>
  <c r="AG65" i="6"/>
  <c r="AB78" i="6"/>
  <c r="AG78" i="6"/>
  <c r="AB31" i="6"/>
  <c r="AG31" i="6"/>
  <c r="AG141" i="6"/>
  <c r="AB141" i="6"/>
  <c r="AB151" i="6"/>
  <c r="AG151" i="6"/>
  <c r="AG76" i="6"/>
  <c r="AB76" i="6"/>
  <c r="AB108" i="6"/>
  <c r="AG108" i="6"/>
  <c r="AB107" i="6"/>
  <c r="AG107" i="6"/>
  <c r="AN107" i="6" s="1"/>
  <c r="AP107" i="6" s="1"/>
  <c r="AI147" i="6"/>
  <c r="AN147" i="6"/>
  <c r="AP147" i="6" s="1"/>
  <c r="AN25" i="6"/>
  <c r="AP25" i="6" s="1"/>
  <c r="AI25" i="6"/>
  <c r="AG119" i="6"/>
  <c r="AB119" i="6"/>
  <c r="AG127" i="6"/>
  <c r="AB127" i="6"/>
  <c r="AG40" i="6"/>
  <c r="AB40" i="6"/>
  <c r="AB46" i="6"/>
  <c r="AI37" i="6"/>
  <c r="AI107" i="6"/>
  <c r="AN159" i="6"/>
  <c r="AP159" i="6" s="1"/>
  <c r="AI164" i="6"/>
  <c r="AN132" i="6"/>
  <c r="AP132" i="6" s="1"/>
  <c r="AI149" i="6"/>
  <c r="AG111" i="6"/>
  <c r="AN111" i="6" s="1"/>
  <c r="AP111" i="6" s="1"/>
  <c r="AI23" i="6"/>
  <c r="AG41" i="6"/>
  <c r="AN41" i="6" s="1"/>
  <c r="AP41" i="6" s="1"/>
  <c r="AB118" i="6"/>
  <c r="AG53" i="6"/>
  <c r="AB53" i="6"/>
  <c r="AG72" i="6"/>
  <c r="AN72" i="6" s="1"/>
  <c r="AP72" i="6" s="1"/>
  <c r="AG102" i="6"/>
  <c r="AN102" i="6" s="1"/>
  <c r="AP102" i="6" s="1"/>
  <c r="AB50" i="6"/>
  <c r="AI167" i="6"/>
  <c r="AI104" i="6"/>
  <c r="AG115" i="6"/>
  <c r="AI115" i="6" s="1"/>
  <c r="AI116" i="6"/>
  <c r="AI152" i="6"/>
  <c r="AG82" i="6"/>
  <c r="AI82" i="6" s="1"/>
  <c r="AI136" i="6"/>
  <c r="AG56" i="6"/>
  <c r="AI56" i="6" s="1"/>
  <c r="AI155" i="6"/>
  <c r="AG44" i="6"/>
  <c r="AI170" i="6"/>
  <c r="AB83" i="6"/>
  <c r="AG83" i="6"/>
  <c r="AB44" i="6"/>
  <c r="AB100" i="6"/>
  <c r="AG100" i="6"/>
  <c r="AB129" i="6"/>
  <c r="AG129" i="6"/>
  <c r="AG98" i="6"/>
  <c r="AB98" i="6"/>
  <c r="AB156" i="6"/>
  <c r="AG156" i="6"/>
  <c r="AB96" i="6"/>
  <c r="AG96" i="6"/>
  <c r="AB79" i="6"/>
  <c r="AG79" i="6"/>
  <c r="AB57" i="6"/>
  <c r="AG57" i="6"/>
  <c r="AG45" i="6"/>
  <c r="AB45" i="6"/>
  <c r="AG20" i="6"/>
  <c r="AB20" i="6"/>
  <c r="AB68" i="6"/>
  <c r="AG68" i="6"/>
  <c r="AB71" i="6"/>
  <c r="AG71" i="6"/>
  <c r="AB77" i="6"/>
  <c r="AG77" i="6"/>
  <c r="AG36" i="6"/>
  <c r="AB36" i="6"/>
  <c r="AB123" i="6"/>
  <c r="AG123" i="6"/>
  <c r="AG60" i="6"/>
  <c r="AB60" i="6"/>
  <c r="AB66" i="6"/>
  <c r="AG66" i="6"/>
  <c r="AB64" i="6"/>
  <c r="AG64" i="6"/>
  <c r="Z171" i="6"/>
  <c r="AG8" i="6"/>
  <c r="AB8" i="6"/>
  <c r="AG35" i="6"/>
  <c r="AB35" i="6"/>
  <c r="BH171" i="6"/>
  <c r="AB112" i="6"/>
  <c r="AG112" i="6"/>
  <c r="AG15" i="6"/>
  <c r="AB15" i="6"/>
  <c r="AG89" i="6"/>
  <c r="AB89" i="6"/>
  <c r="AN151" i="6"/>
  <c r="AP151" i="6" s="1"/>
  <c r="AI151" i="6"/>
  <c r="AG154" i="6"/>
  <c r="AB154" i="6"/>
  <c r="AI17" i="6"/>
  <c r="AN17" i="6"/>
  <c r="AP17" i="6" s="1"/>
  <c r="U171" i="6"/>
  <c r="AI80" i="6"/>
  <c r="AN80" i="6"/>
  <c r="AP80" i="6" s="1"/>
  <c r="AN86" i="6"/>
  <c r="AP86" i="6" s="1"/>
  <c r="AI86" i="6"/>
  <c r="AN105" i="6"/>
  <c r="AP105" i="6" s="1"/>
  <c r="AI105" i="6"/>
  <c r="AI73" i="6"/>
  <c r="AN73" i="6"/>
  <c r="AP73" i="6" s="1"/>
  <c r="AN124" i="6"/>
  <c r="AP124" i="6" s="1"/>
  <c r="AI124" i="6"/>
  <c r="AG148" i="6"/>
  <c r="AB148" i="6"/>
  <c r="AG161" i="6"/>
  <c r="AB161" i="6"/>
  <c r="AB43" i="6"/>
  <c r="AG43" i="6"/>
  <c r="AI46" i="6"/>
  <c r="AN46" i="6"/>
  <c r="AP46" i="6" s="1"/>
  <c r="AG131" i="6"/>
  <c r="AB131" i="6"/>
  <c r="AG139" i="6"/>
  <c r="AB139" i="6"/>
  <c r="AN29" i="6"/>
  <c r="AP29" i="6" s="1"/>
  <c r="AI29" i="6"/>
  <c r="AB33" i="6"/>
  <c r="AG33" i="6"/>
  <c r="AG95" i="6"/>
  <c r="AB95" i="6"/>
  <c r="AG145" i="6"/>
  <c r="AB145" i="6"/>
  <c r="AG150" i="6"/>
  <c r="AB150" i="6"/>
  <c r="AN137" i="6"/>
  <c r="AP137" i="6" s="1"/>
  <c r="AI137" i="6"/>
  <c r="AG146" i="6"/>
  <c r="AB146" i="6"/>
  <c r="AB74" i="6"/>
  <c r="AG74" i="6"/>
  <c r="AN14" i="6"/>
  <c r="AP14" i="6" s="1"/>
  <c r="AI14" i="6"/>
  <c r="AN97" i="6"/>
  <c r="AP97" i="6" s="1"/>
  <c r="AI97" i="6"/>
  <c r="AB84" i="6"/>
  <c r="AG84" i="6"/>
  <c r="AI32" i="6"/>
  <c r="AN32" i="6"/>
  <c r="AP32" i="6" s="1"/>
  <c r="AN16" i="6"/>
  <c r="AP16" i="6" s="1"/>
  <c r="AI16" i="6"/>
  <c r="AG42" i="6"/>
  <c r="AB42" i="6"/>
  <c r="AG85" i="6"/>
  <c r="AB85" i="6"/>
  <c r="AN133" i="6"/>
  <c r="AP133" i="6" s="1"/>
  <c r="AI133" i="6"/>
  <c r="AI169" i="6"/>
  <c r="AN169" i="6"/>
  <c r="AP169" i="6" s="1"/>
  <c r="AI21" i="6"/>
  <c r="AN21" i="6"/>
  <c r="AP21" i="6" s="1"/>
  <c r="AG24" i="6"/>
  <c r="AB24" i="6"/>
  <c r="AG126" i="6"/>
  <c r="AB126" i="6"/>
  <c r="AI157" i="6"/>
  <c r="AN157" i="6"/>
  <c r="AP157" i="6" s="1"/>
  <c r="AB54" i="6"/>
  <c r="AG54" i="6"/>
  <c r="AG27" i="6"/>
  <c r="AB27" i="6"/>
  <c r="AI50" i="6"/>
  <c r="AN50" i="6"/>
  <c r="AP50" i="6" s="1"/>
  <c r="AN120" i="6"/>
  <c r="AP120" i="6" s="1"/>
  <c r="AI120" i="6"/>
  <c r="AN26" i="6"/>
  <c r="AP26" i="6" s="1"/>
  <c r="AI26" i="6"/>
  <c r="AI78" i="6"/>
  <c r="AN78" i="6"/>
  <c r="AP78" i="6" s="1"/>
  <c r="AG67" i="6"/>
  <c r="AB67" i="6"/>
  <c r="AG99" i="6"/>
  <c r="AB99" i="6"/>
  <c r="AN114" i="6"/>
  <c r="AP114" i="6" s="1"/>
  <c r="AI114" i="6"/>
  <c r="AG75" i="6"/>
  <c r="AB75" i="6"/>
  <c r="AG158" i="6"/>
  <c r="AB158" i="6"/>
  <c r="AI38" i="6"/>
  <c r="AN38" i="6"/>
  <c r="AP38" i="6" s="1"/>
  <c r="AG30" i="6"/>
  <c r="AB30" i="6"/>
  <c r="AG135" i="6"/>
  <c r="AB135" i="6"/>
  <c r="AG92" i="6"/>
  <c r="AB92" i="6"/>
  <c r="AN162" i="6"/>
  <c r="AP162" i="6" s="1"/>
  <c r="AI162" i="6"/>
  <c r="AN11" i="6"/>
  <c r="AP11" i="6" s="1"/>
  <c r="AG59" i="6"/>
  <c r="AB59" i="6"/>
  <c r="AB18" i="6"/>
  <c r="AG18" i="6"/>
  <c r="AB49" i="6"/>
  <c r="AG49" i="6"/>
  <c r="AN9" i="6"/>
  <c r="AP9" i="6" s="1"/>
  <c r="AI9" i="6"/>
  <c r="AG10" i="6"/>
  <c r="AB10" i="6"/>
  <c r="AB52" i="6"/>
  <c r="AG52" i="6"/>
  <c r="AN69" i="6"/>
  <c r="AP69" i="6" s="1"/>
  <c r="AI69" i="6"/>
  <c r="AN90" i="6"/>
  <c r="AP90" i="6" s="1"/>
  <c r="AI90" i="6"/>
  <c r="AG106" i="6"/>
  <c r="AB106" i="6"/>
  <c r="AG88" i="6"/>
  <c r="AB88" i="6"/>
  <c r="AN128" i="6"/>
  <c r="AP128" i="6" s="1"/>
  <c r="AI128" i="6"/>
  <c r="AN144" i="6"/>
  <c r="AP144" i="6" s="1"/>
  <c r="AI144" i="6"/>
  <c r="AN160" i="6"/>
  <c r="AP160" i="6" s="1"/>
  <c r="AI160" i="6"/>
  <c r="AI153" i="6"/>
  <c r="AN153" i="6"/>
  <c r="AP153" i="6" s="1"/>
  <c r="AG22" i="6"/>
  <c r="AB22" i="6"/>
  <c r="AI166" i="6"/>
  <c r="AN166" i="6"/>
  <c r="AP166" i="6" s="1"/>
  <c r="AN65" i="6"/>
  <c r="AP65" i="6" s="1"/>
  <c r="AI65" i="6"/>
  <c r="AG63" i="6"/>
  <c r="AB63" i="6"/>
  <c r="AN61" i="6"/>
  <c r="AP61" i="6" s="1"/>
  <c r="AI61" i="6"/>
  <c r="AG91" i="6"/>
  <c r="AB91" i="6"/>
  <c r="AN93" i="6"/>
  <c r="AP93" i="6" s="1"/>
  <c r="AI93" i="6"/>
  <c r="AG39" i="6"/>
  <c r="AB39" i="6"/>
  <c r="AG122" i="6"/>
  <c r="AB122" i="6"/>
  <c r="AG12" i="6"/>
  <c r="AB12" i="6"/>
  <c r="AG13" i="6"/>
  <c r="AB13" i="6"/>
  <c r="AI118" i="6"/>
  <c r="AN118" i="6"/>
  <c r="AP118" i="6" s="1"/>
  <c r="AG110" i="6"/>
  <c r="AB110" i="6"/>
  <c r="AG143" i="6"/>
  <c r="AB143" i="6"/>
  <c r="AI163" i="6"/>
  <c r="AN163" i="6"/>
  <c r="AP163" i="6" s="1"/>
  <c r="AB81" i="6"/>
  <c r="AG81" i="6"/>
  <c r="AI31" i="6" l="1"/>
  <c r="AN31" i="6"/>
  <c r="AP31" i="6" s="1"/>
  <c r="AN58" i="6"/>
  <c r="AP58" i="6" s="1"/>
  <c r="AI58" i="6"/>
  <c r="AN141" i="6"/>
  <c r="AP141" i="6" s="1"/>
  <c r="AI141" i="6"/>
  <c r="AI76" i="6"/>
  <c r="AN76" i="6"/>
  <c r="AP76" i="6" s="1"/>
  <c r="AN108" i="6"/>
  <c r="AP108" i="6" s="1"/>
  <c r="AI108" i="6"/>
  <c r="AN44" i="6"/>
  <c r="AP44" i="6" s="1"/>
  <c r="AI44" i="6"/>
  <c r="AI119" i="6"/>
  <c r="AN119" i="6"/>
  <c r="AP119" i="6" s="1"/>
  <c r="AI127" i="6"/>
  <c r="AN127" i="6"/>
  <c r="AP127" i="6" s="1"/>
  <c r="AN40" i="6"/>
  <c r="AP40" i="6" s="1"/>
  <c r="AI40" i="6"/>
  <c r="AI41" i="6"/>
  <c r="AI111" i="6"/>
  <c r="AI72" i="6"/>
  <c r="AI102" i="6"/>
  <c r="AN115" i="6"/>
  <c r="AP115" i="6" s="1"/>
  <c r="AN53" i="6"/>
  <c r="AP53" i="6" s="1"/>
  <c r="AI53" i="6"/>
  <c r="AN56" i="6"/>
  <c r="AP56" i="6" s="1"/>
  <c r="AN82" i="6"/>
  <c r="AP82" i="6" s="1"/>
  <c r="AI66" i="6"/>
  <c r="AN66" i="6"/>
  <c r="AP66" i="6" s="1"/>
  <c r="AI156" i="6"/>
  <c r="AN156" i="6"/>
  <c r="AP156" i="6" s="1"/>
  <c r="AN64" i="6"/>
  <c r="AP64" i="6" s="1"/>
  <c r="AI64" i="6"/>
  <c r="AI96" i="6"/>
  <c r="AN96" i="6"/>
  <c r="AP96" i="6" s="1"/>
  <c r="AN100" i="6"/>
  <c r="AP100" i="6" s="1"/>
  <c r="AI100" i="6"/>
  <c r="AN98" i="6"/>
  <c r="AP98" i="6" s="1"/>
  <c r="AI98" i="6"/>
  <c r="AI123" i="6"/>
  <c r="AN123" i="6"/>
  <c r="AP123" i="6" s="1"/>
  <c r="AN68" i="6"/>
  <c r="AP68" i="6" s="1"/>
  <c r="AI68" i="6"/>
  <c r="AI20" i="6"/>
  <c r="AN20" i="6"/>
  <c r="AP20" i="6" s="1"/>
  <c r="AN45" i="6"/>
  <c r="AP45" i="6" s="1"/>
  <c r="AI45" i="6"/>
  <c r="AN79" i="6"/>
  <c r="AP79" i="6" s="1"/>
  <c r="AI79" i="6"/>
  <c r="AN129" i="6"/>
  <c r="AP129" i="6" s="1"/>
  <c r="AI129" i="6"/>
  <c r="AI83" i="6"/>
  <c r="AN83" i="6"/>
  <c r="AP83" i="6" s="1"/>
  <c r="AN60" i="6"/>
  <c r="AP60" i="6" s="1"/>
  <c r="AI60" i="6"/>
  <c r="AI77" i="6"/>
  <c r="AN77" i="6"/>
  <c r="AP77" i="6" s="1"/>
  <c r="AN36" i="6"/>
  <c r="AP36" i="6" s="1"/>
  <c r="AI36" i="6"/>
  <c r="AN71" i="6"/>
  <c r="AP71" i="6" s="1"/>
  <c r="AI71" i="6"/>
  <c r="AI57" i="6"/>
  <c r="AN57" i="6"/>
  <c r="AP57" i="6" s="1"/>
  <c r="AI12" i="6"/>
  <c r="AN12" i="6"/>
  <c r="AP12" i="6" s="1"/>
  <c r="AI63" i="6"/>
  <c r="AN63" i="6"/>
  <c r="AP63" i="6" s="1"/>
  <c r="AN158" i="6"/>
  <c r="AP158" i="6" s="1"/>
  <c r="AI158" i="6"/>
  <c r="AI99" i="6"/>
  <c r="AN99" i="6"/>
  <c r="AP99" i="6" s="1"/>
  <c r="AN146" i="6"/>
  <c r="AP146" i="6" s="1"/>
  <c r="AI146" i="6"/>
  <c r="AN43" i="6"/>
  <c r="AP43" i="6" s="1"/>
  <c r="AI43" i="6"/>
  <c r="AB171" i="6"/>
  <c r="AI143" i="6"/>
  <c r="AN143" i="6"/>
  <c r="AP143" i="6" s="1"/>
  <c r="AN13" i="6"/>
  <c r="AP13" i="6" s="1"/>
  <c r="AI13" i="6"/>
  <c r="AN22" i="6"/>
  <c r="AP22" i="6" s="1"/>
  <c r="AI22" i="6"/>
  <c r="AI10" i="6"/>
  <c r="AN10" i="6"/>
  <c r="AP10" i="6" s="1"/>
  <c r="AI49" i="6"/>
  <c r="AN49" i="6"/>
  <c r="AP49" i="6" s="1"/>
  <c r="AN92" i="6"/>
  <c r="AP92" i="6" s="1"/>
  <c r="AI92" i="6"/>
  <c r="AI54" i="6"/>
  <c r="AN54" i="6"/>
  <c r="AP54" i="6" s="1"/>
  <c r="AI24" i="6"/>
  <c r="AN24" i="6"/>
  <c r="AP24" i="6" s="1"/>
  <c r="AI42" i="6"/>
  <c r="AN42" i="6"/>
  <c r="AP42" i="6" s="1"/>
  <c r="AI74" i="6"/>
  <c r="AN74" i="6"/>
  <c r="AP74" i="6" s="1"/>
  <c r="AI150" i="6"/>
  <c r="AN150" i="6"/>
  <c r="AP150" i="6" s="1"/>
  <c r="AI139" i="6"/>
  <c r="AN139" i="6"/>
  <c r="AP139" i="6" s="1"/>
  <c r="AN154" i="6"/>
  <c r="AP154" i="6" s="1"/>
  <c r="AI154" i="6"/>
  <c r="AI15" i="6"/>
  <c r="AN15" i="6"/>
  <c r="AP15" i="6" s="1"/>
  <c r="AG171" i="6"/>
  <c r="AI8" i="6"/>
  <c r="AN8" i="6"/>
  <c r="AI145" i="6"/>
  <c r="AN145" i="6"/>
  <c r="AP145" i="6" s="1"/>
  <c r="AI35" i="6"/>
  <c r="AN35" i="6"/>
  <c r="AP35" i="6" s="1"/>
  <c r="AN39" i="6"/>
  <c r="AP39" i="6" s="1"/>
  <c r="AI39" i="6"/>
  <c r="AI52" i="6"/>
  <c r="AN52" i="6"/>
  <c r="AP52" i="6" s="1"/>
  <c r="AN18" i="6"/>
  <c r="AP18" i="6" s="1"/>
  <c r="AI18" i="6"/>
  <c r="AI27" i="6"/>
  <c r="AN27" i="6"/>
  <c r="AP27" i="6" s="1"/>
  <c r="AI126" i="6"/>
  <c r="AN126" i="6"/>
  <c r="AP126" i="6" s="1"/>
  <c r="AN85" i="6"/>
  <c r="AP85" i="6" s="1"/>
  <c r="AI85" i="6"/>
  <c r="AN89" i="6"/>
  <c r="AP89" i="6" s="1"/>
  <c r="AI89" i="6"/>
  <c r="AI110" i="6"/>
  <c r="AN110" i="6"/>
  <c r="AP110" i="6" s="1"/>
  <c r="AI88" i="6"/>
  <c r="AN88" i="6"/>
  <c r="AP88" i="6" s="1"/>
  <c r="AI59" i="6"/>
  <c r="AN59" i="6"/>
  <c r="AP59" i="6" s="1"/>
  <c r="AI135" i="6"/>
  <c r="AN135" i="6"/>
  <c r="AP135" i="6" s="1"/>
  <c r="AI84" i="6"/>
  <c r="AN84" i="6"/>
  <c r="AP84" i="6" s="1"/>
  <c r="AI131" i="6"/>
  <c r="AN131" i="6"/>
  <c r="AP131" i="6" s="1"/>
  <c r="AN161" i="6"/>
  <c r="AP161" i="6" s="1"/>
  <c r="AI161" i="6"/>
  <c r="AI112" i="6"/>
  <c r="AN112" i="6"/>
  <c r="AP112" i="6" s="1"/>
  <c r="AI81" i="6"/>
  <c r="AN81" i="6"/>
  <c r="AP81" i="6" s="1"/>
  <c r="AI122" i="6"/>
  <c r="AN122" i="6"/>
  <c r="AP122" i="6" s="1"/>
  <c r="AI91" i="6"/>
  <c r="AN91" i="6"/>
  <c r="AP91" i="6" s="1"/>
  <c r="AI106" i="6"/>
  <c r="AN106" i="6"/>
  <c r="AP106" i="6" s="1"/>
  <c r="AI30" i="6"/>
  <c r="AN30" i="6"/>
  <c r="AP30" i="6" s="1"/>
  <c r="AN75" i="6"/>
  <c r="AP75" i="6" s="1"/>
  <c r="AI75" i="6"/>
  <c r="AI67" i="6"/>
  <c r="AN67" i="6"/>
  <c r="AP67" i="6" s="1"/>
  <c r="AI95" i="6"/>
  <c r="AN95" i="6"/>
  <c r="AP95" i="6" s="1"/>
  <c r="AN33" i="6"/>
  <c r="AP33" i="6" s="1"/>
  <c r="AI33" i="6"/>
  <c r="AN148" i="6"/>
  <c r="AP148" i="6" s="1"/>
  <c r="AI148" i="6"/>
  <c r="AP171" i="6" l="1"/>
  <c r="AP8" i="6"/>
  <c r="AN171" i="6"/>
  <c r="AI171" i="6"/>
  <c r="L57" i="5" l="1"/>
  <c r="K57" i="5"/>
  <c r="I57" i="5"/>
  <c r="H57" i="5"/>
  <c r="G57" i="5"/>
  <c r="N56" i="5"/>
  <c r="K56" i="5"/>
  <c r="M56" i="5" s="1"/>
  <c r="N55" i="5"/>
  <c r="M55" i="5"/>
  <c r="N54" i="5"/>
  <c r="M54" i="5"/>
  <c r="J53" i="5"/>
  <c r="N52" i="5"/>
  <c r="M52" i="5"/>
  <c r="N51" i="5"/>
  <c r="M51" i="5"/>
  <c r="J50" i="5"/>
  <c r="J49" i="5"/>
  <c r="N49" i="5" s="1"/>
  <c r="J48" i="5"/>
  <c r="N48" i="5" s="1"/>
  <c r="J47" i="5"/>
  <c r="J46" i="5"/>
  <c r="J45" i="5"/>
  <c r="M45" i="5" s="1"/>
  <c r="J44" i="5"/>
  <c r="N44" i="5" s="1"/>
  <c r="J43" i="5"/>
  <c r="J42" i="5"/>
  <c r="J41" i="5"/>
  <c r="M41" i="5" s="1"/>
  <c r="J40" i="5"/>
  <c r="N40" i="5" s="1"/>
  <c r="J39" i="5"/>
  <c r="J38" i="5"/>
  <c r="J37" i="5"/>
  <c r="M37" i="5" s="1"/>
  <c r="J36" i="5"/>
  <c r="N36" i="5" s="1"/>
  <c r="J35" i="5"/>
  <c r="J34" i="5"/>
  <c r="J33" i="5"/>
  <c r="N33" i="5" s="1"/>
  <c r="J32" i="5"/>
  <c r="N32" i="5" s="1"/>
  <c r="J31" i="5"/>
  <c r="J30" i="5"/>
  <c r="J29" i="5"/>
  <c r="M29" i="5" s="1"/>
  <c r="J28" i="5"/>
  <c r="N28" i="5" s="1"/>
  <c r="J27" i="5"/>
  <c r="J26" i="5"/>
  <c r="N25" i="5"/>
  <c r="M25" i="5"/>
  <c r="N24" i="5"/>
  <c r="M24" i="5"/>
  <c r="N23" i="5"/>
  <c r="K23" i="5"/>
  <c r="M23" i="5" s="1"/>
  <c r="N22" i="5"/>
  <c r="K22" i="5"/>
  <c r="M22" i="5" s="1"/>
  <c r="N21" i="5"/>
  <c r="M21" i="5"/>
  <c r="N20" i="5"/>
  <c r="M20" i="5"/>
  <c r="N19" i="5"/>
  <c r="M19" i="5"/>
  <c r="N18" i="5"/>
  <c r="M18" i="5"/>
  <c r="N17" i="5"/>
  <c r="K17" i="5"/>
  <c r="M17" i="5" s="1"/>
  <c r="J16" i="5"/>
  <c r="N15" i="5"/>
  <c r="K15" i="5"/>
  <c r="M15" i="5" s="1"/>
  <c r="N14" i="5"/>
  <c r="K14" i="5"/>
  <c r="M14" i="5" s="1"/>
  <c r="N13" i="5"/>
  <c r="M13" i="5"/>
  <c r="N12" i="5"/>
  <c r="M12" i="5"/>
  <c r="N11" i="5"/>
  <c r="K11" i="5"/>
  <c r="M11" i="5" s="1"/>
  <c r="N10" i="5"/>
  <c r="K10" i="5"/>
  <c r="M10" i="5" s="1"/>
  <c r="N9" i="5"/>
  <c r="M9" i="5"/>
  <c r="N8" i="5"/>
  <c r="M8" i="5"/>
  <c r="N7" i="5"/>
  <c r="M7" i="5"/>
  <c r="N6" i="5"/>
  <c r="N57" i="5" s="1"/>
  <c r="M6" i="5"/>
  <c r="D14" i="4"/>
  <c r="C25" i="3"/>
  <c r="M38" i="5" l="1"/>
  <c r="N38" i="5"/>
  <c r="M31" i="5"/>
  <c r="N31" i="5"/>
  <c r="J57" i="5"/>
  <c r="N53" i="5"/>
  <c r="M53" i="5"/>
  <c r="N50" i="5"/>
  <c r="M50" i="5"/>
  <c r="N47" i="5"/>
  <c r="M47" i="5"/>
  <c r="N46" i="5"/>
  <c r="M46" i="5"/>
  <c r="N43" i="5"/>
  <c r="M43" i="5"/>
  <c r="N42" i="5"/>
  <c r="M42" i="5"/>
  <c r="N39" i="5"/>
  <c r="M39" i="5"/>
  <c r="N35" i="5"/>
  <c r="M35" i="5"/>
  <c r="N34" i="5"/>
  <c r="M34" i="5"/>
  <c r="N30" i="5"/>
  <c r="M30" i="5"/>
  <c r="N27" i="5"/>
  <c r="M27" i="5"/>
  <c r="N26" i="5"/>
  <c r="M26" i="5"/>
  <c r="M16" i="5"/>
  <c r="N16" i="5"/>
  <c r="M33" i="5"/>
  <c r="M49" i="5"/>
  <c r="M28" i="5"/>
  <c r="N29" i="5"/>
  <c r="M32" i="5"/>
  <c r="M36" i="5"/>
  <c r="N37" i="5"/>
  <c r="M40" i="5"/>
  <c r="N41" i="5"/>
  <c r="M44" i="5"/>
  <c r="N45" i="5"/>
  <c r="M48" i="5"/>
  <c r="M57" i="5" l="1"/>
  <c r="J5" i="2"/>
  <c r="K5" i="2" s="1"/>
  <c r="J12" i="2"/>
  <c r="I3" i="2"/>
  <c r="J3" i="2" s="1"/>
  <c r="I4" i="2"/>
  <c r="J4" i="2" s="1"/>
  <c r="I7" i="2"/>
  <c r="J7" i="2" s="1"/>
  <c r="I6" i="2"/>
  <c r="J6" i="2" s="1"/>
  <c r="I9" i="2"/>
  <c r="J9" i="2" s="1"/>
  <c r="I10" i="2"/>
  <c r="J10" i="2" s="1"/>
  <c r="I11" i="2"/>
  <c r="J11" i="2" s="1"/>
  <c r="I12" i="2"/>
  <c r="I13" i="2"/>
  <c r="J13" i="2" s="1"/>
  <c r="I14" i="2"/>
  <c r="J14" i="2" s="1"/>
  <c r="I15" i="2"/>
  <c r="I2" i="2"/>
  <c r="J2" i="2" s="1"/>
  <c r="J15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Olga Lidia Martinez Ramirez</author>
  </authors>
  <commentList>
    <comment ref="L7" authorId="0" shapeId="0" xr:uid="{DEB47D22-5719-45B2-A2E2-61FD73565F31}">
      <text>
        <r>
          <rPr>
            <b/>
            <sz val="9"/>
            <color rgb="FF000000"/>
            <rFont val="Tahoma"/>
            <family val="2"/>
          </rPr>
          <t>Olga Lidia Martinez Ramirez: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INVENTARIO SE ELABORO EN LA MAÑANA
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Olga Lidia Martinez Ramirez</author>
  </authors>
  <commentList>
    <comment ref="M7" authorId="0" shapeId="0" xr:uid="{8408A38E-FE16-4D10-BC6F-C27F8362C88E}">
      <text>
        <r>
          <rPr>
            <b/>
            <sz val="9"/>
            <color rgb="FF000000"/>
            <rFont val="Tahoma"/>
            <family val="2"/>
          </rPr>
          <t>Olga Lidia Martinez Ramirez: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INVENTARIO SE ELABORO EN LA MAÑANA
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Olga Lidia Martinez Ramirez</author>
  </authors>
  <commentList>
    <comment ref="T7" authorId="0" shapeId="0" xr:uid="{00000000-0006-0000-0000-000001000000}">
      <text>
        <r>
          <rPr>
            <b/>
            <sz val="9"/>
            <color rgb="FF000000"/>
            <rFont val="Tahoma"/>
            <family val="2"/>
          </rPr>
          <t>Olga Lidia Martinez Ramirez: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INVENTARIO SE ELABORO EN LA MAÑANA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AA7" authorId="0" shapeId="0" xr:uid="{00000000-0006-0000-0000-000002000000}">
      <text>
        <r>
          <rPr>
            <b/>
            <sz val="9"/>
            <color rgb="FF000000"/>
            <rFont val="Tahoma"/>
            <family val="2"/>
          </rPr>
          <t>Olga Lidia Martinez Ramirez: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INVENTARIO SE ELABORO EN LA MAÑANA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AH7" authorId="0" shapeId="0" xr:uid="{00000000-0006-0000-0000-000003000000}">
      <text>
        <r>
          <rPr>
            <b/>
            <sz val="9"/>
            <color rgb="FF000000"/>
            <rFont val="Tahoma"/>
            <family val="2"/>
          </rPr>
          <t>Olga Lidia Martinez Ramirez: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INVENTARIO SE ELABORO EN LA MAÑANA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AO7" authorId="0" shapeId="0" xr:uid="{00000000-0006-0000-0000-000004000000}">
      <text>
        <r>
          <rPr>
            <b/>
            <sz val="9"/>
            <color rgb="FF000000"/>
            <rFont val="Tahoma"/>
            <family val="2"/>
          </rPr>
          <t>Olga Lidia Martinez Ramirez: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INVENTARIO SE ELABORO EN LA MAÑANA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AV7" authorId="0" shapeId="0" xr:uid="{00000000-0006-0000-0000-000005000000}">
      <text>
        <r>
          <rPr>
            <b/>
            <sz val="9"/>
            <color rgb="FF000000"/>
            <rFont val="Tahoma"/>
            <family val="2"/>
          </rPr>
          <t>Olga Lidia Martinez Ramirez: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INVENTARIO SE ELABORO EN LA MAÑANA
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Olga</author>
  </authors>
  <commentList>
    <comment ref="E6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Olga:</t>
        </r>
        <r>
          <rPr>
            <sz val="9"/>
            <color indexed="81"/>
            <rFont val="Tahoma"/>
            <family val="2"/>
          </rPr>
          <t xml:space="preserve">
se cobro un jugo de mas por error
</t>
        </r>
      </text>
    </comment>
  </commentList>
</comments>
</file>

<file path=xl/sharedStrings.xml><?xml version="1.0" encoding="utf-8"?>
<sst xmlns="http://schemas.openxmlformats.org/spreadsheetml/2006/main" count="1928" uniqueCount="748">
  <si>
    <t>COMISION DE PARQUES Y BIODIVERSIDAD DE TAMAULIPAS</t>
  </si>
  <si>
    <t>ZOOLOGICO Y PARQUE RECREATIVO TAMATAN</t>
  </si>
  <si>
    <t>CODIGO</t>
  </si>
  <si>
    <t>TIPO</t>
  </si>
  <si>
    <t>DESCRIPCION</t>
  </si>
  <si>
    <t>COSTO PROMEDIO
31 OCT</t>
  </si>
  <si>
    <t>COSTO PROMEDIO 
30 NOV</t>
  </si>
  <si>
    <t>INVENTARIO INICIAL</t>
  </si>
  <si>
    <t xml:space="preserve">ENTRADA
</t>
  </si>
  <si>
    <t xml:space="preserve">AJUSTE ENTRADA
</t>
  </si>
  <si>
    <t xml:space="preserve">SALIDAS
</t>
  </si>
  <si>
    <t xml:space="preserve">AJUSTE DE SALIDA (MERMA)
</t>
  </si>
  <si>
    <t xml:space="preserve">CONTEO FISICO </t>
  </si>
  <si>
    <t xml:space="preserve">DIFERENCIA </t>
  </si>
  <si>
    <t>OBSERVACIONES</t>
  </si>
  <si>
    <t>COSTO INVENTARIO INICIAL</t>
  </si>
  <si>
    <t>AJUSTE COSTO PROMEDIO</t>
  </si>
  <si>
    <t>COSTO ENTRADAS</t>
  </si>
  <si>
    <t>AJUSTE COSTO ENTRADA</t>
  </si>
  <si>
    <t>COSTOS 
SALIDAS</t>
  </si>
  <si>
    <t>AJUSTE COSTO SALIDA</t>
  </si>
  <si>
    <t xml:space="preserve">TOTAL </t>
  </si>
  <si>
    <t>SALIDAS</t>
  </si>
  <si>
    <t>CONTEO FISICO 16/03/26</t>
  </si>
  <si>
    <t>CONTEO FISICO 24/03/26</t>
  </si>
  <si>
    <t>S-2380001</t>
  </si>
  <si>
    <t>I</t>
  </si>
  <si>
    <t>ACEITE LT</t>
  </si>
  <si>
    <t>S-2380002</t>
  </si>
  <si>
    <t>V</t>
  </si>
  <si>
    <t>AGUA CIEL 600</t>
  </si>
  <si>
    <t>AGUA DE 1 LTO</t>
  </si>
  <si>
    <t>S-2380004</t>
  </si>
  <si>
    <t>AGUA DE 1.5 LTS</t>
  </si>
  <si>
    <t>S-2380005</t>
  </si>
  <si>
    <t>AGUACATE</t>
  </si>
  <si>
    <t>S-2380006</t>
  </si>
  <si>
    <t>AJO</t>
  </si>
  <si>
    <t>S-2380007</t>
  </si>
  <si>
    <t>ALUMINIO EN ROLLO</t>
  </si>
  <si>
    <t>S-2380008</t>
  </si>
  <si>
    <t>ATUN</t>
  </si>
  <si>
    <t>S-2380009</t>
  </si>
  <si>
    <t>AZUCAR 1KG</t>
  </si>
  <si>
    <t>S-2160001</t>
  </si>
  <si>
    <t>BACTERICIDA</t>
  </si>
  <si>
    <t>S-2380010</t>
  </si>
  <si>
    <t>BARRITAS FRESA</t>
  </si>
  <si>
    <t>BARRITAS</t>
  </si>
  <si>
    <t>S-2380122</t>
  </si>
  <si>
    <t>BIG MIX FUEGO</t>
  </si>
  <si>
    <t>S-2380134</t>
  </si>
  <si>
    <t>BIG MIX INGLESA LIMON</t>
  </si>
  <si>
    <t>S-2380121</t>
  </si>
  <si>
    <t>BIG MIX QUESO</t>
  </si>
  <si>
    <t>S-2380011</t>
  </si>
  <si>
    <t>BIGOTE</t>
  </si>
  <si>
    <t>S-2380012</t>
  </si>
  <si>
    <t>C</t>
  </si>
  <si>
    <t xml:space="preserve">BIMBOLLO 480GR BIMBO </t>
  </si>
  <si>
    <t>S-2560001</t>
  </si>
  <si>
    <t>BOLSA BOLLO 10X20 (PAQ 100)</t>
  </si>
  <si>
    <t>S-2560002</t>
  </si>
  <si>
    <t>BOLSA BOLLO 10X26 (PAQ 100)</t>
  </si>
  <si>
    <t>S-2380154</t>
  </si>
  <si>
    <t>BOLSA POLIPAPEL ALTA FUELLE 24X40</t>
  </si>
  <si>
    <t>BOLSA POLIPAPEL ALTA FUELLE 24*40</t>
  </si>
  <si>
    <t>S-2560003</t>
  </si>
  <si>
    <t>BOLSA ROLLO</t>
  </si>
  <si>
    <t>S-2380013</t>
  </si>
  <si>
    <t>CANELITAS</t>
  </si>
  <si>
    <t>S-2380014</t>
  </si>
  <si>
    <t>CARNE DE POLLO</t>
  </si>
  <si>
    <t>S-2380015</t>
  </si>
  <si>
    <t>CARNE DE RES</t>
  </si>
  <si>
    <t>S-2380138</t>
  </si>
  <si>
    <t>CATSUP (4)</t>
  </si>
  <si>
    <t>S-2380017</t>
  </si>
  <si>
    <t>CATSUP(3.8KG)</t>
  </si>
  <si>
    <t>S-2380018</t>
  </si>
  <si>
    <t>CEBOLLA</t>
  </si>
  <si>
    <t>S-2380019</t>
  </si>
  <si>
    <t>CHAROLA CHICA THERMICA #066</t>
  </si>
  <si>
    <t>S-2380020</t>
  </si>
  <si>
    <t>CHEETOS</t>
  </si>
  <si>
    <t>S-2380021</t>
  </si>
  <si>
    <t>CHICHARRON DE CERDO</t>
  </si>
  <si>
    <t>S-2380022</t>
  </si>
  <si>
    <t xml:space="preserve">CHILE </t>
  </si>
  <si>
    <t>S-2380023</t>
  </si>
  <si>
    <t>CHILE JALAPEÑO(3.8KG) EN RODAJAS</t>
  </si>
  <si>
    <t>S-2380123</t>
  </si>
  <si>
    <t xml:space="preserve">CHIPOTLES </t>
  </si>
  <si>
    <t>S-2380131</t>
  </si>
  <si>
    <t>CHIPS CHIPOTLES</t>
  </si>
  <si>
    <t>S-2380125</t>
  </si>
  <si>
    <t>CHIPS FUEGO</t>
  </si>
  <si>
    <t>S-2380137</t>
  </si>
  <si>
    <t>CHIPS HABANERO</t>
  </si>
  <si>
    <t>S-2380124</t>
  </si>
  <si>
    <t>CHIPS JALAPEÑO</t>
  </si>
  <si>
    <t>S-2380126</t>
  </si>
  <si>
    <t>CHIPS SAL</t>
  </si>
  <si>
    <t>S-2380024</t>
  </si>
  <si>
    <t>CHOCORROLES</t>
  </si>
  <si>
    <t>S-2380025</t>
  </si>
  <si>
    <t>CHURRUMAIZ</t>
  </si>
  <si>
    <t>S-2380026</t>
  </si>
  <si>
    <t xml:space="preserve">COCA COLA LATA 355 ML </t>
  </si>
  <si>
    <t>S-2380142</t>
  </si>
  <si>
    <t>COCA COLA LATA 355 ML  SIN AZUCAR</t>
  </si>
  <si>
    <t>S-2380027</t>
  </si>
  <si>
    <t>COCA COLA LATA VARIOS SABORES</t>
  </si>
  <si>
    <t>S-2380028</t>
  </si>
  <si>
    <t>COCA COLA LIGHT 355ML</t>
  </si>
  <si>
    <t>S-2380029</t>
  </si>
  <si>
    <t>CONSOME DE POLLO</t>
  </si>
  <si>
    <t>S-2380030</t>
  </si>
  <si>
    <t>CONTENEDOR TERMICO BISAGRA #7</t>
  </si>
  <si>
    <t>S-2380031</t>
  </si>
  <si>
    <t>CONTENEDOR TERMICO CON TAPA RECTANGULAR</t>
  </si>
  <si>
    <t>S-2380032</t>
  </si>
  <si>
    <t>CONTENEDOR TRANSPARENTE CHICO BISAGRA PARA NACHOS</t>
  </si>
  <si>
    <t>S-2380129</t>
  </si>
  <si>
    <t>CREMA LIQUIDAS BOLSA</t>
  </si>
  <si>
    <t>S-2380034</t>
  </si>
  <si>
    <t xml:space="preserve">CREMA NORTEÑITA BOTE </t>
  </si>
  <si>
    <t>S-2380035</t>
  </si>
  <si>
    <t>CRUJITOS</t>
  </si>
  <si>
    <t>S-2720001</t>
  </si>
  <si>
    <t>CUBRE PELO</t>
  </si>
  <si>
    <t>S-2380036</t>
  </si>
  <si>
    <t>DELAWARE 600</t>
  </si>
  <si>
    <t>S-2380037</t>
  </si>
  <si>
    <t>DONITAS</t>
  </si>
  <si>
    <t>S-2380038</t>
  </si>
  <si>
    <t>DORITOS  NACHOS</t>
  </si>
  <si>
    <t>S-2380143</t>
  </si>
  <si>
    <t>DORITOS DINAMITA CHILE Y LIMON</t>
  </si>
  <si>
    <t>S-2380144</t>
  </si>
  <si>
    <t>DORITOS DINAMITAS FLAMIN-HOT</t>
  </si>
  <si>
    <t>S-2380039</t>
  </si>
  <si>
    <t>DORITOS INCOGNITAS</t>
  </si>
  <si>
    <t>DORITO INCOGNITAS</t>
  </si>
  <si>
    <t>S-2380145</t>
  </si>
  <si>
    <t>DORITOS PIZZEROLAS</t>
  </si>
  <si>
    <t>S-2230005</t>
  </si>
  <si>
    <t>E</t>
  </si>
  <si>
    <t>ENCENDEDOR</t>
  </si>
  <si>
    <t>S-2160002</t>
  </si>
  <si>
    <t>FIBRA METALICA</t>
  </si>
  <si>
    <t>S-2380141</t>
  </si>
  <si>
    <t>FIZZ NARANJA 600 ML</t>
  </si>
  <si>
    <t>S-2380040</t>
  </si>
  <si>
    <t>FLAUTAS DE POLLO EL CAZO 720 GR</t>
  </si>
  <si>
    <t>S-2380041</t>
  </si>
  <si>
    <t>FLAUTAS DE RES EL CAZO 720 GR</t>
  </si>
  <si>
    <t>S-2380042</t>
  </si>
  <si>
    <t>FRIJOL</t>
  </si>
  <si>
    <t>S-2380043</t>
  </si>
  <si>
    <t>FRITOS</t>
  </si>
  <si>
    <t>S-2380044</t>
  </si>
  <si>
    <t>FRUTSI</t>
  </si>
  <si>
    <t>S-2380045</t>
  </si>
  <si>
    <t>GALLETA EMPERADOR</t>
  </si>
  <si>
    <t>S-2380046</t>
  </si>
  <si>
    <t>GALLETA SALADA</t>
  </si>
  <si>
    <t>S-2380047</t>
  </si>
  <si>
    <t>GANSITO</t>
  </si>
  <si>
    <t>S-2160003</t>
  </si>
  <si>
    <t>GUANTES DE PLASTICO</t>
  </si>
  <si>
    <t>S-2380139</t>
  </si>
  <si>
    <t>HOT NUTS ORIGINAL</t>
  </si>
  <si>
    <t>S-2380048</t>
  </si>
  <si>
    <t>JAMON AMERICANO PAVO KIR</t>
  </si>
  <si>
    <t>S-2380050</t>
  </si>
  <si>
    <t>JUGO DEL VALLE 600ML</t>
  </si>
  <si>
    <t>S-2380051</t>
  </si>
  <si>
    <t>JUGO DEL VALLE LATA</t>
  </si>
  <si>
    <t>S-2380133</t>
  </si>
  <si>
    <t>KARAMELADAS POP 1P</t>
  </si>
  <si>
    <t>S-2380052</t>
  </si>
  <si>
    <t>LAUREL</t>
  </si>
  <si>
    <t>S-2380053</t>
  </si>
  <si>
    <t>LECHUGA</t>
  </si>
  <si>
    <t>S-2380054</t>
  </si>
  <si>
    <t>LIMON AGRIO</t>
  </si>
  <si>
    <t>S-2380055</t>
  </si>
  <si>
    <t>MANTECA</t>
  </si>
  <si>
    <t>S-2380146</t>
  </si>
  <si>
    <t xml:space="preserve">MAYONESA (3.4 KG) </t>
  </si>
  <si>
    <t>MAYONES (3.8KG)</t>
  </si>
  <si>
    <t>S-2380056</t>
  </si>
  <si>
    <t>MAYONESA (3.8KG)</t>
  </si>
  <si>
    <t>S-2380140</t>
  </si>
  <si>
    <t>MAYONESA REAL HELLMAN 1.9 L</t>
  </si>
  <si>
    <t>S-2380057</t>
  </si>
  <si>
    <t>MOSTAZA</t>
  </si>
  <si>
    <t>S-2380058</t>
  </si>
  <si>
    <t>NAPOLITANO</t>
  </si>
  <si>
    <t>S-2380059</t>
  </si>
  <si>
    <t>NESTEA 600ML</t>
  </si>
  <si>
    <t>S-2380060</t>
  </si>
  <si>
    <t>NITO</t>
  </si>
  <si>
    <t>S-2380061</t>
  </si>
  <si>
    <t>NUGGETS</t>
  </si>
  <si>
    <t>S-2380062</t>
  </si>
  <si>
    <t>PALOMITAS</t>
  </si>
  <si>
    <t>S-2380063</t>
  </si>
  <si>
    <t>PAN (HOT-DOG) 8 PACK 340GR BIMBO</t>
  </si>
  <si>
    <t>S-2380064</t>
  </si>
  <si>
    <t>PAN BIMBO BARRA BLANCO 460 GR</t>
  </si>
  <si>
    <t>S-2380065</t>
  </si>
  <si>
    <t>PAN BIMBO BARRA INTEGRAL 480 GR</t>
  </si>
  <si>
    <t>S-2380066</t>
  </si>
  <si>
    <t>PAPA BOLA</t>
  </si>
  <si>
    <t>S-2380067</t>
  </si>
  <si>
    <t>PAPA FRANCESA PORCION</t>
  </si>
  <si>
    <t>PAPAS BARCEL ADOBADAS</t>
  </si>
  <si>
    <t>S-2380132</t>
  </si>
  <si>
    <t>PAPAS BARCEL LIMON</t>
  </si>
  <si>
    <t>PAPAS BARCEL TOREADAS</t>
  </si>
  <si>
    <t>S-2380069</t>
  </si>
  <si>
    <t>PAPEL ALUMINIO HOJA</t>
  </si>
  <si>
    <t>S-2380070</t>
  </si>
  <si>
    <t>PAY MINI</t>
  </si>
  <si>
    <t>S-2380071</t>
  </si>
  <si>
    <t>PECHUGA CORTE MARIPOSA (PARA COCER)</t>
  </si>
  <si>
    <t>S-2380072</t>
  </si>
  <si>
    <t>PECHUGA MESQUITE (PARA PLANCHA)</t>
  </si>
  <si>
    <t>S-2380073</t>
  </si>
  <si>
    <t>PINGUINOS</t>
  </si>
  <si>
    <t>S-2380074</t>
  </si>
  <si>
    <t>PLATIVORO</t>
  </si>
  <si>
    <t>S-2380075</t>
  </si>
  <si>
    <t>PLATO TERMICO RECTANGULAR #855 (LA GRANDE)</t>
  </si>
  <si>
    <t>S-2380076</t>
  </si>
  <si>
    <t xml:space="preserve">PLATO TERMICO REDONDO </t>
  </si>
  <si>
    <t>S-2380077</t>
  </si>
  <si>
    <t>POLVORONES</t>
  </si>
  <si>
    <t>S-2380078</t>
  </si>
  <si>
    <t>POWERADE</t>
  </si>
  <si>
    <t>S-2380079</t>
  </si>
  <si>
    <t>PRINCIPE</t>
  </si>
  <si>
    <t>S-2380080</t>
  </si>
  <si>
    <t>QUESO AMARILLO PORCION</t>
  </si>
  <si>
    <t>S-2380156</t>
  </si>
  <si>
    <t>QUESO BOLSA NACHO DE 2 KG</t>
  </si>
  <si>
    <t>QUESO NACHO BOLSA 2KG</t>
  </si>
  <si>
    <t>S-2380157</t>
  </si>
  <si>
    <t>QUESO BOLSA NACHO DE 3 KG</t>
  </si>
  <si>
    <t>QUESO NACHO BOLSA 3KG</t>
  </si>
  <si>
    <t>S-2380081</t>
  </si>
  <si>
    <t xml:space="preserve">QUESO FRESCO </t>
  </si>
  <si>
    <t>S-2380153</t>
  </si>
  <si>
    <t>QUESO FRESCO 340 GR</t>
  </si>
  <si>
    <t>S-2380082</t>
  </si>
  <si>
    <t>QUESO FRESCO 500GR</t>
  </si>
  <si>
    <t>S-2380083</t>
  </si>
  <si>
    <t>QUESO FRESCO 800 GR</t>
  </si>
  <si>
    <t>S-2380084</t>
  </si>
  <si>
    <t>QUESO NACHO</t>
  </si>
  <si>
    <t>S-2380130</t>
  </si>
  <si>
    <t>QUESO NACHO BOLSA 4 KG</t>
  </si>
  <si>
    <t>S-2380085</t>
  </si>
  <si>
    <t>QUESO REBANADA</t>
  </si>
  <si>
    <t>S-2380086</t>
  </si>
  <si>
    <t>RANCHERITOS</t>
  </si>
  <si>
    <t>S-2380087</t>
  </si>
  <si>
    <t>REBANADAS</t>
  </si>
  <si>
    <t>S-2380088</t>
  </si>
  <si>
    <t>REFRESCO COCA COLA  600 ML</t>
  </si>
  <si>
    <t>S-2380089</t>
  </si>
  <si>
    <t>REFRESCO ESCUIS DE VARIOS SABORES DE 600</t>
  </si>
  <si>
    <t>S-2380090</t>
  </si>
  <si>
    <t>REFRESCO LIGHT 600ML</t>
  </si>
  <si>
    <t>S-2380147</t>
  </si>
  <si>
    <t>RUFLES DE SAL</t>
  </si>
  <si>
    <t>S-2380148</t>
  </si>
  <si>
    <t>RUFLES QUESO</t>
  </si>
  <si>
    <t>S-2380128</t>
  </si>
  <si>
    <t>RUNNERS FUEGO</t>
  </si>
  <si>
    <t>S-2380155</t>
  </si>
  <si>
    <t>RUNNERS LIMON SAL</t>
  </si>
  <si>
    <t>RUNNERS ORIGINAL</t>
  </si>
  <si>
    <t>S-2380127</t>
  </si>
  <si>
    <t>RUNNERS SAL Y LIMON</t>
  </si>
  <si>
    <t>S-2380136</t>
  </si>
  <si>
    <t>RUNNERS WATZ QUESO</t>
  </si>
  <si>
    <t>S-2380149</t>
  </si>
  <si>
    <t>SABRITAS ADOBADAS</t>
  </si>
  <si>
    <t>S-2380068</t>
  </si>
  <si>
    <t>SABRITAS DE LIMON</t>
  </si>
  <si>
    <t>S-2380150</t>
  </si>
  <si>
    <t>SABRITAS ESPECIAS</t>
  </si>
  <si>
    <t>SABRITAS ESPECIES</t>
  </si>
  <si>
    <t>S-2380151</t>
  </si>
  <si>
    <t>SABRITAS FLAMIN</t>
  </si>
  <si>
    <t>SABRITAS HABANERAS</t>
  </si>
  <si>
    <t>S-2380152</t>
  </si>
  <si>
    <t>SABRITAS SAL</t>
  </si>
  <si>
    <t>S-2380091</t>
  </si>
  <si>
    <t>SABRITON</t>
  </si>
  <si>
    <t>S-2380092</t>
  </si>
  <si>
    <t>SAL (BOTE)</t>
  </si>
  <si>
    <t>S-2380095</t>
  </si>
  <si>
    <t>SALCHICHA P/ASAR BAFAR 800G PZ</t>
  </si>
  <si>
    <t>S-2380096</t>
  </si>
  <si>
    <t>SALCHICHA P/HOT-DOG ALPINO PZ.500GR</t>
  </si>
  <si>
    <t>S-2380097</t>
  </si>
  <si>
    <t>SALSA BOTANERA</t>
  </si>
  <si>
    <t>S-2380098</t>
  </si>
  <si>
    <t>SERVILLETA EN ROLLO</t>
  </si>
  <si>
    <t>S-2380099</t>
  </si>
  <si>
    <t>SERVILLETAS</t>
  </si>
  <si>
    <t>S-2380100</t>
  </si>
  <si>
    <t>SOBRE CATSUP</t>
  </si>
  <si>
    <t>S-2380101</t>
  </si>
  <si>
    <t>SOPA NISSIN</t>
  </si>
  <si>
    <t>S-2380102</t>
  </si>
  <si>
    <t>SPONCH</t>
  </si>
  <si>
    <t>S-2380103</t>
  </si>
  <si>
    <t>SUBMARINOS</t>
  </si>
  <si>
    <t>S-2380115</t>
  </si>
  <si>
    <t>TAKIS BLUE HEAT</t>
  </si>
  <si>
    <t>S-2380116</t>
  </si>
  <si>
    <t>TAKIS DRAGON SWEET CHILI</t>
  </si>
  <si>
    <t>S-2380114</t>
  </si>
  <si>
    <t>TAKIS FAJITA</t>
  </si>
  <si>
    <t>S-2380117</t>
  </si>
  <si>
    <t>TAKIS FUEGO</t>
  </si>
  <si>
    <t>S-2380118</t>
  </si>
  <si>
    <t>TAKIS HEXAS QUESO</t>
  </si>
  <si>
    <t>S-2380119</t>
  </si>
  <si>
    <t>TAKIS HUACAMOLES</t>
  </si>
  <si>
    <t>S-2380120</t>
  </si>
  <si>
    <t>TAKIS SALSA BRAVA</t>
  </si>
  <si>
    <t>S-2380104</t>
  </si>
  <si>
    <t>TAPA PRIMO  CUEVAS C/50</t>
  </si>
  <si>
    <t>S-2380105</t>
  </si>
  <si>
    <t>TENEDORES</t>
  </si>
  <si>
    <t>S-2160004</t>
  </si>
  <si>
    <t>TOALLAS MAGITEL</t>
  </si>
  <si>
    <t>S-2380106</t>
  </si>
  <si>
    <t>TOMATE</t>
  </si>
  <si>
    <t>S-2380107</t>
  </si>
  <si>
    <t>TORTILLA (TOSTADAS SAGITARIO BOLSA 25 PZA)</t>
  </si>
  <si>
    <t>S-2380108</t>
  </si>
  <si>
    <t>TORTILLA P/NACHOS</t>
  </si>
  <si>
    <t>S-2380109</t>
  </si>
  <si>
    <t>TOSTITOS</t>
  </si>
  <si>
    <t>TOSTITOS VERDE</t>
  </si>
  <si>
    <t>S-2380110</t>
  </si>
  <si>
    <t>TRIKI TRAKES</t>
  </si>
  <si>
    <t>S-2380111</t>
  </si>
  <si>
    <t>VASO PCO.#0 PRIMO  CUEVASC/100</t>
  </si>
  <si>
    <t>S-2380112</t>
  </si>
  <si>
    <t>VERDURA LATA</t>
  </si>
  <si>
    <t>S-2380113</t>
  </si>
  <si>
    <t>ZANAHORIA</t>
  </si>
  <si>
    <t>TOTAL</t>
  </si>
  <si>
    <t>ARTICULO</t>
  </si>
  <si>
    <t>01 - MIE</t>
  </si>
  <si>
    <t>02 - JUE</t>
  </si>
  <si>
    <t>03 - VIE</t>
  </si>
  <si>
    <t>04 - SAB</t>
  </si>
  <si>
    <t>05 - DOM</t>
  </si>
  <si>
    <t>06 - LUN</t>
  </si>
  <si>
    <t xml:space="preserve">Total </t>
  </si>
  <si>
    <t>AGUA CIEL 600 ML.</t>
  </si>
  <si>
    <t>AGUA DE 1.5LT</t>
  </si>
  <si>
    <t>DEL VALLE DURAZNO LATA</t>
  </si>
  <si>
    <t>DEL VALLE FRUT GUAYABA 600ML</t>
  </si>
  <si>
    <t>DEL VALLE MANGO LATA</t>
  </si>
  <si>
    <t>FANTA LATA 355ML</t>
  </si>
  <si>
    <t>FRUTSI FRUTOS</t>
  </si>
  <si>
    <t>FRUTSI MANZANA</t>
  </si>
  <si>
    <t>POWERADE MORAS</t>
  </si>
  <si>
    <t>POWERADE PONCHE DE FRUTAS</t>
  </si>
  <si>
    <t xml:space="preserve">SALSA BOTANERA </t>
  </si>
  <si>
    <t>Gran Total</t>
  </si>
  <si>
    <t>PRECIOS</t>
  </si>
  <si>
    <t>CANTIDAD</t>
  </si>
  <si>
    <t xml:space="preserve">BITACORA DE SALIDA </t>
  </si>
  <si>
    <t>FECHA</t>
  </si>
  <si>
    <t>(Todas)</t>
  </si>
  <si>
    <t>CI-2</t>
  </si>
  <si>
    <t>ANTONIO BARRON</t>
  </si>
  <si>
    <t>VICTOR HERNANDEZ</t>
  </si>
  <si>
    <t>PIEZA</t>
  </si>
  <si>
    <t>FOLIO</t>
  </si>
  <si>
    <t>UNIDAD</t>
  </si>
  <si>
    <t>ENTREGA</t>
  </si>
  <si>
    <t>NOMBRE</t>
  </si>
  <si>
    <t>OLGA MARTÍNEZ</t>
  </si>
  <si>
    <t xml:space="preserve">ROCIO GARCIA </t>
  </si>
  <si>
    <t>LITRO</t>
  </si>
  <si>
    <t>Etiquetas de fila</t>
  </si>
  <si>
    <t>Suma de CANTIDAD</t>
  </si>
  <si>
    <t>(en blanco)</t>
  </si>
  <si>
    <t>Total general</t>
  </si>
  <si>
    <t>SUBTOTAL</t>
  </si>
  <si>
    <t>CI-5</t>
  </si>
  <si>
    <t>OBSERVACION</t>
  </si>
  <si>
    <t>CI-3</t>
  </si>
  <si>
    <t>S</t>
  </si>
  <si>
    <t>PROVEEDOR</t>
  </si>
  <si>
    <t>FACTURA</t>
  </si>
  <si>
    <t>ARTICULO INVENTARIO</t>
  </si>
  <si>
    <t>CANT.XPAQ</t>
  </si>
  <si>
    <t>IMPORTE</t>
  </si>
  <si>
    <t>IEPS 8%</t>
  </si>
  <si>
    <t>IVA</t>
  </si>
  <si>
    <t>DESCUENTO</t>
  </si>
  <si>
    <t>COSTO UNITARIO</t>
  </si>
  <si>
    <t>Etiquetas de columna</t>
  </si>
  <si>
    <t>S1</t>
  </si>
  <si>
    <t>S2</t>
  </si>
  <si>
    <t>S3</t>
  </si>
  <si>
    <t>COMPRAS DE SNACK DEL MES DE ABRIL 2026</t>
  </si>
  <si>
    <t>MENSUAL</t>
  </si>
  <si>
    <t>DIFERENCIAS</t>
  </si>
  <si>
    <t xml:space="preserve">INVENTARIO FINAL
</t>
  </si>
  <si>
    <t>DIFERENCIA 
MENSUAL</t>
  </si>
  <si>
    <t>INVENTARIO DE SNACK DEL MES DE ABRIL 2026</t>
  </si>
  <si>
    <t>MERMAS DEL 01 AL 30 DE ABRIL DEL 2026</t>
  </si>
  <si>
    <t>DEL 01 AL 30 DE ABRIL  DEL 2026</t>
  </si>
  <si>
    <t>DEL 01 AL 06 DE ABRIL</t>
  </si>
  <si>
    <t>INVENTARIO FINAL
07/04/26</t>
  </si>
  <si>
    <t>DEL 07 AL 12 DE ABRIL</t>
  </si>
  <si>
    <t>INVENTARIO FINAL
14/04/26</t>
  </si>
  <si>
    <t>DEL 14 AL 19 DE ABRIL</t>
  </si>
  <si>
    <t>INVENTARIO FINAL
21/04/26</t>
  </si>
  <si>
    <t>INVENTARIO FINAL
28/04/26</t>
  </si>
  <si>
    <t>DEL 28 AL 30 DE ABRIL</t>
  </si>
  <si>
    <t>INVENTARIO FINAL
30/04/2026</t>
  </si>
  <si>
    <t>07 - MAR</t>
  </si>
  <si>
    <t>08 - MIE</t>
  </si>
  <si>
    <t>09 - JUE</t>
  </si>
  <si>
    <t>10 - VIE</t>
  </si>
  <si>
    <t>11 - SAB</t>
  </si>
  <si>
    <t>12 - DOM</t>
  </si>
  <si>
    <t>14 - MAR</t>
  </si>
  <si>
    <t>15 - MIE</t>
  </si>
  <si>
    <t>21 - MAR</t>
  </si>
  <si>
    <t>22 - MIE</t>
  </si>
  <si>
    <t>23 - JUE</t>
  </si>
  <si>
    <t>24 - VIE</t>
  </si>
  <si>
    <t>25 - SAB</t>
  </si>
  <si>
    <t>26 - DOM</t>
  </si>
  <si>
    <t xml:space="preserve">DEL 21 AL  26 DE ABRIL </t>
  </si>
  <si>
    <t>29 - MIE</t>
  </si>
  <si>
    <t>30 - JUE</t>
  </si>
  <si>
    <t>PAN BIMBO INTEGRAL</t>
  </si>
  <si>
    <t>PAN BIMBO BLANCO</t>
  </si>
  <si>
    <t>SANDWICH JAMON</t>
  </si>
  <si>
    <t>SANDWICH POLLO</t>
  </si>
  <si>
    <t>BARRITAS PIÑA</t>
  </si>
  <si>
    <t>PAPAS A LA FRANCESA</t>
  </si>
  <si>
    <t>HAMBURGUESA (1)</t>
  </si>
  <si>
    <t>BIG MIX INGLESA-LIMON</t>
  </si>
  <si>
    <t>NUGGETS (2)</t>
  </si>
  <si>
    <t>SALCHIPAPA (2)</t>
  </si>
  <si>
    <t>CACAHUATE HOT NUTS</t>
  </si>
  <si>
    <t>SANDWICH JAMON(1)</t>
  </si>
  <si>
    <t>CHEETOS BOLITA</t>
  </si>
  <si>
    <t>CHEETOS POFFS</t>
  </si>
  <si>
    <t>HOT DOGS (1)</t>
  </si>
  <si>
    <t>CHEETOS PALOMITA</t>
  </si>
  <si>
    <t>CHETTOS TORCIDITOS</t>
  </si>
  <si>
    <t>PAPAS A LA FRANCESA (2)</t>
  </si>
  <si>
    <t>CHEETOS FUEGO</t>
  </si>
  <si>
    <t>CHEETOS FLAMIN HOT</t>
  </si>
  <si>
    <t>PORCION POLLO DESHEBRADO</t>
  </si>
  <si>
    <t>SAND. POLLO (1)</t>
  </si>
  <si>
    <t>ENSALADA POLLO (2)</t>
  </si>
  <si>
    <t>CHOCOROLES</t>
  </si>
  <si>
    <t>TOSTADAS (2)</t>
  </si>
  <si>
    <t>COCA COLA 600 ML</t>
  </si>
  <si>
    <t>COCA COLA LATA  N/SA 355 ML</t>
  </si>
  <si>
    <t>COCA COLA LATA 355 ML</t>
  </si>
  <si>
    <t>PLATO TERMICO RECTANGULAR #855</t>
  </si>
  <si>
    <t>COCA COLA LIGHT LATA 355 ML</t>
  </si>
  <si>
    <t>FANTA LATA 355 ML</t>
  </si>
  <si>
    <t>HAMBURGUESA</t>
  </si>
  <si>
    <t xml:space="preserve">HOT DOGS </t>
  </si>
  <si>
    <t>TACOS</t>
  </si>
  <si>
    <t>FRIZZ LIMONADA</t>
  </si>
  <si>
    <t>TOSTADAS</t>
  </si>
  <si>
    <t>DEL VALLE FRUTOS CITRICOS</t>
  </si>
  <si>
    <t>DEL VALLE FRUT GUAYABA</t>
  </si>
  <si>
    <t>FUZE TEA</t>
  </si>
  <si>
    <t>FRESCA LATA</t>
  </si>
  <si>
    <t>FRITOS LIMON Y SAL</t>
  </si>
  <si>
    <t>DELAWARE</t>
  </si>
  <si>
    <t>DORITOS DINAMITA</t>
  </si>
  <si>
    <t>DORITOS DINAMITA FLAMINHO</t>
  </si>
  <si>
    <t>DORITOS FLAMIN HOT</t>
  </si>
  <si>
    <t>DORITOS INCOGNITA</t>
  </si>
  <si>
    <t>DORITOS NACHO</t>
  </si>
  <si>
    <t>TOSTADAS(3)</t>
  </si>
  <si>
    <t>ENSALADA DE ATUN</t>
  </si>
  <si>
    <t>ENSALADA DE TIRAS</t>
  </si>
  <si>
    <t>ENSALADA DE POLLO</t>
  </si>
  <si>
    <t>HAMBURGUESAS</t>
  </si>
  <si>
    <t>HAMBURGUESA DE POLLO</t>
  </si>
  <si>
    <t>SAND JAMON</t>
  </si>
  <si>
    <t>HAMBURGUESA DE RES</t>
  </si>
  <si>
    <t>ENSALADA DE LECHUGA</t>
  </si>
  <si>
    <t xml:space="preserve">HOT DOG </t>
  </si>
  <si>
    <t>NACHOS</t>
  </si>
  <si>
    <t>NUGGETS C/PAPAS</t>
  </si>
  <si>
    <t>PALOMITA POP</t>
  </si>
  <si>
    <t xml:space="preserve">PAPA FLAMING HOT </t>
  </si>
  <si>
    <t>PAPA BARCEL TOREADAS</t>
  </si>
  <si>
    <t>PRINCIPE CHOCOLATE</t>
  </si>
  <si>
    <t>SALCHIPAPA</t>
  </si>
  <si>
    <t>SAND. POLLO</t>
  </si>
  <si>
    <t>RANCHERTIS</t>
  </si>
  <si>
    <t>RUFFLES JALAPEÑO</t>
  </si>
  <si>
    <t>RUFFLES ORIGINAL</t>
  </si>
  <si>
    <t>JAMON</t>
  </si>
  <si>
    <t>RUFFLES QUESO</t>
  </si>
  <si>
    <t>RUFFLES SALSA ROJA</t>
  </si>
  <si>
    <t>RUNNERS CHILE LIMON</t>
  </si>
  <si>
    <t>SABORES VARIOS</t>
  </si>
  <si>
    <t>RUNNERS LIMON Y SAL</t>
  </si>
  <si>
    <t>+</t>
  </si>
  <si>
    <t>SABRITAS CREMA Y ESPECIAS</t>
  </si>
  <si>
    <t>PAPAS</t>
  </si>
  <si>
    <t>SABRITAS LIMON</t>
  </si>
  <si>
    <t>NUGGET</t>
  </si>
  <si>
    <t>SABRITAS ORIGINAL</t>
  </si>
  <si>
    <t>CHAROLAS</t>
  </si>
  <si>
    <t>SABRITAS FLAMIN HOT</t>
  </si>
  <si>
    <t>SUMA</t>
  </si>
  <si>
    <t>=</t>
  </si>
  <si>
    <t>NUGG Y PAPAS</t>
  </si>
  <si>
    <t>-</t>
  </si>
  <si>
    <t>SALIDAS TICKET</t>
  </si>
  <si>
    <t>SANDWICH DE PAN BLANCO JAMON</t>
  </si>
  <si>
    <t>SALIDAS BITACORA</t>
  </si>
  <si>
    <t>SANDWICH DE PAN BLANCO POLLO</t>
  </si>
  <si>
    <t>TOTAL SALIDAS INV.</t>
  </si>
  <si>
    <t>SANDWICH DE PAN INTEGRAL DE JAMON</t>
  </si>
  <si>
    <t>SANDWICH DE PAN INTEGRAL POLLO</t>
  </si>
  <si>
    <t>A1</t>
  </si>
  <si>
    <t>A2</t>
  </si>
  <si>
    <t>SIDRAL MUNDET 355ML</t>
  </si>
  <si>
    <t xml:space="preserve">SOPA NISSIN </t>
  </si>
  <si>
    <t>SPRITE 355ML</t>
  </si>
  <si>
    <t>TACOS POLLO</t>
  </si>
  <si>
    <t>TACOS RES</t>
  </si>
  <si>
    <t>TAKIS ORIGINAL</t>
  </si>
  <si>
    <t>TAKIS HUACAMOLE</t>
  </si>
  <si>
    <t>TOSTITOS FLAMIN HOT</t>
  </si>
  <si>
    <t>TOSTITOS SALSA VERDE</t>
  </si>
  <si>
    <t>ARTICULOS TICKET</t>
  </si>
  <si>
    <t>IMPORTE TOTAL TICKET</t>
  </si>
  <si>
    <t>ENTRADAS</t>
  </si>
  <si>
    <t xml:space="preserve">AJO </t>
  </si>
  <si>
    <t>BIG MIX INGLESA</t>
  </si>
  <si>
    <t>BOLSA 10X26 VALMOR</t>
  </si>
  <si>
    <t>BOLSA 20X30 ROLLO</t>
  </si>
  <si>
    <t>CARNE DE POLLO P/HAMB</t>
  </si>
  <si>
    <t>CARNE DE RES P/HAMB</t>
  </si>
  <si>
    <t>CATSUP 3.8 KG</t>
  </si>
  <si>
    <t>CHEETOS BOLITAS</t>
  </si>
  <si>
    <t>CHEETOS TORCIDITO 55GR</t>
  </si>
  <si>
    <t>CHOCO ROLES</t>
  </si>
  <si>
    <t>CIEL 1 LTO.</t>
  </si>
  <si>
    <t>CIEL 1.5 LT</t>
  </si>
  <si>
    <t>CIEL 600 ML.</t>
  </si>
  <si>
    <t>COCA COLA LIGHT 355 ML</t>
  </si>
  <si>
    <t>COCA COLA S/A 355 ML</t>
  </si>
  <si>
    <t>CREMA NORTEÑITA SIRVEFACIL</t>
  </si>
  <si>
    <t>DEL VALLE FIZZ NARANJADA</t>
  </si>
  <si>
    <t>DELAWARE 600 ML</t>
  </si>
  <si>
    <t>DORiTOS DINAMITA</t>
  </si>
  <si>
    <t>DORiTOS DINAMITA FLAMIN HOT</t>
  </si>
  <si>
    <t>DORITOS INCOGNITA HBSF</t>
  </si>
  <si>
    <t>DORITOS NACHO 61 GR</t>
  </si>
  <si>
    <t>DORITOS PIZZEROLA</t>
  </si>
  <si>
    <t>DORITOS XTRA FLAMIN HOT</t>
  </si>
  <si>
    <t>ESCUIS VARIOS SABORES</t>
  </si>
  <si>
    <t>FLAUTA DE POLLO</t>
  </si>
  <si>
    <t>FLAUTA DE RES</t>
  </si>
  <si>
    <t>FRIJOL PINTO</t>
  </si>
  <si>
    <t>FRITOS SAL</t>
  </si>
  <si>
    <t>FRUTSI PONCHE</t>
  </si>
  <si>
    <t>FRUTSI UVA</t>
  </si>
  <si>
    <t>GALLETAS SALADAS</t>
  </si>
  <si>
    <t>KARAMELADAS</t>
  </si>
  <si>
    <t>KNORR SUIZA</t>
  </si>
  <si>
    <t xml:space="preserve">LECHUGA </t>
  </si>
  <si>
    <t>LIMON</t>
  </si>
  <si>
    <t>MANTECA DE PUERCO</t>
  </si>
  <si>
    <t>MAYONESA</t>
  </si>
  <si>
    <t>MEDIAS NOCHES</t>
  </si>
  <si>
    <t>MEGALATA DURAZNO</t>
  </si>
  <si>
    <t>MEGALATA MANGO</t>
  </si>
  <si>
    <t>PALOMITAS POP</t>
  </si>
  <si>
    <t>PAN  BLANCO BARRA</t>
  </si>
  <si>
    <t>PAN INTEGRAL</t>
  </si>
  <si>
    <t>PAN P/HAMB</t>
  </si>
  <si>
    <t>PAPA CORTE DELGADO</t>
  </si>
  <si>
    <t>PECHUGA DE POLLO S/HUESO</t>
  </si>
  <si>
    <t>POLVORON</t>
  </si>
  <si>
    <t>PONCHE CITRICOS 600 ML</t>
  </si>
  <si>
    <t>POWERADE FRUTAS 500 ML</t>
  </si>
  <si>
    <t>POWERADE MORAS 500 ML</t>
  </si>
  <si>
    <t>PRINCIPE AVELLANA</t>
  </si>
  <si>
    <t xml:space="preserve">PRINCIPE CHOCOLATE </t>
  </si>
  <si>
    <t xml:space="preserve">QUESO AMARILLO P/NACHOS </t>
  </si>
  <si>
    <t>QUESO AMARILLO P/NACHOS 3 KG</t>
  </si>
  <si>
    <t>QUESO AMARILLO REBANADAS</t>
  </si>
  <si>
    <t>QUESO FRESCO</t>
  </si>
  <si>
    <t xml:space="preserve">REBANADA </t>
  </si>
  <si>
    <t>RODAJAS DE JALAPEÑO</t>
  </si>
  <si>
    <t>RUFFLES MC JAL 42GR</t>
  </si>
  <si>
    <t>RUFFLES QUESO 51 GR</t>
  </si>
  <si>
    <t>RUFFLES SAL HBSF 51GR</t>
  </si>
  <si>
    <t>SABRITAS ADOBADAS 48 GR</t>
  </si>
  <si>
    <t>SABRITAS CYE HBSF 48GR</t>
  </si>
  <si>
    <t xml:space="preserve">SABRITAS FLAMIN HOT </t>
  </si>
  <si>
    <t>SABRITAS LIMON HBSF 46GR</t>
  </si>
  <si>
    <t>SABRITAS SAL HBSF 46GR</t>
  </si>
  <si>
    <t>SALCHICHA HOT DOG</t>
  </si>
  <si>
    <t>SALCHIHA PARA ASAR</t>
  </si>
  <si>
    <t>SERVITOALLAS</t>
  </si>
  <si>
    <t>SOPA INSTANTANEA</t>
  </si>
  <si>
    <t>SPRITE LATA 355 ML</t>
  </si>
  <si>
    <t>TAPA P/VASO NO. 0 C/50</t>
  </si>
  <si>
    <t>TENEDOR</t>
  </si>
  <si>
    <t>TOSTITOS SV</t>
  </si>
  <si>
    <t>TOSTITOS XFH</t>
  </si>
  <si>
    <t>TOTOPO</t>
  </si>
  <si>
    <t>VERDURAS LATA DEL MONTE</t>
  </si>
  <si>
    <t xml:space="preserve">VF GUAYABA </t>
  </si>
  <si>
    <t>FACT</t>
  </si>
  <si>
    <t>IEPS</t>
  </si>
  <si>
    <t>DESC</t>
  </si>
  <si>
    <t>CAGJ970520HE4</t>
  </si>
  <si>
    <t>jmcg1997</t>
  </si>
  <si>
    <t>MERMAS</t>
  </si>
  <si>
    <t>CREMA</t>
  </si>
  <si>
    <t>TOSTADA</t>
  </si>
  <si>
    <t>SALCHICHA ASAR</t>
  </si>
  <si>
    <t>BIMBOLLOS</t>
  </si>
  <si>
    <t>PAN HOT DOGS</t>
  </si>
  <si>
    <t>PAN BIMBO BARRA INTEGRAL</t>
  </si>
  <si>
    <t>COCA COLA VARIOS SABORES</t>
  </si>
  <si>
    <t>COCA COLA LATA 355 ML.</t>
  </si>
  <si>
    <t>COCA COLA LIGHT</t>
  </si>
  <si>
    <t>CHAROLA CHICA #066</t>
  </si>
  <si>
    <t>SALIDAS DE BODEGA</t>
  </si>
  <si>
    <t>ACEITE</t>
  </si>
  <si>
    <t>ALUMINIO HOJAS</t>
  </si>
  <si>
    <t>ALUMINIO ROLLO</t>
  </si>
  <si>
    <t>BOLSA BOLLO 10*26</t>
  </si>
  <si>
    <t>CATSUP</t>
  </si>
  <si>
    <t>CHILE JALAPEÑO (3.8)</t>
  </si>
  <si>
    <t>CREMA NORTEÑITA</t>
  </si>
  <si>
    <t>SAL BOTE</t>
  </si>
  <si>
    <t xml:space="preserve">SERVILLETAS </t>
  </si>
  <si>
    <t>SERVILLETAS ROLLO</t>
  </si>
  <si>
    <t xml:space="preserve">TAPA PRIMO </t>
  </si>
  <si>
    <t>TOALLA MAGITEL}</t>
  </si>
  <si>
    <t>VASO PRIMO</t>
  </si>
  <si>
    <t>VERDURAS LATA</t>
  </si>
  <si>
    <t>MAGITEL</t>
  </si>
  <si>
    <t>BOLSA BOLLO 10X20</t>
  </si>
  <si>
    <t>28/04/20226</t>
  </si>
  <si>
    <t>COSTO PROMEDIO
31 MARZO</t>
  </si>
  <si>
    <t>ENTRADA</t>
  </si>
  <si>
    <t xml:space="preserve">AJUSTE DE SALIDA </t>
  </si>
  <si>
    <t>INVENTARIO FINAL</t>
  </si>
  <si>
    <t>S-2380003</t>
  </si>
  <si>
    <t>S-2380158</t>
  </si>
  <si>
    <t>S-2380159</t>
  </si>
  <si>
    <t>S-2380160</t>
  </si>
  <si>
    <t>ELABORO</t>
  </si>
  <si>
    <t>REVISÓ</t>
  </si>
  <si>
    <t>AUTORIZO</t>
  </si>
  <si>
    <t>C.P. IVONNE PATRICIA GONZALEZ BALDAZO</t>
  </si>
  <si>
    <t>ING. JUAN CARLOS VALLES DORIA</t>
  </si>
  <si>
    <t>DR. FEDERICO GABRIEL NAVARRO DE LA PIEDRA</t>
  </si>
  <si>
    <t>JEFA DE DEPARTAMENTO DE RECURSOS Y SERVICIOS</t>
  </si>
  <si>
    <t xml:space="preserve">SUBDIRECTOR ADMINISTRATIVO DEL ZOOLÓGICO Y PARQUE RECREATIVO TAMATÁN </t>
  </si>
  <si>
    <t>DIRECTOR DEL ZOOLÓGICO Y PARQUE RECREATIVO TAMATÁN</t>
  </si>
  <si>
    <t xml:space="preserve">COSTO PROMEDIO 
30 ABRIL </t>
  </si>
  <si>
    <t xml:space="preserve">INVENTARIO AL 30 DE ABRIL </t>
  </si>
  <si>
    <t xml:space="preserve">Se realizo el cobro duplicado de un jugo valle fruit 600 en donde al finalizar el turno el cliente regresa con su ticket y solicita el reembolso del jugo cobrado por duplicidad </t>
  </si>
  <si>
    <t>DIRECCION DE AREA: ZOOLOGICO Y PARQUE RECREATIVO TAMATAN</t>
  </si>
  <si>
    <t>COSTO PROMEDIO 31-03-2026</t>
  </si>
  <si>
    <t>INVENTARIO 
INICIAL</t>
  </si>
  <si>
    <t>AJUSTE DE ENTRADA</t>
  </si>
  <si>
    <t>AJUSTE
SALIDA</t>
  </si>
  <si>
    <t>CONTEO FISICO 28/02/25</t>
  </si>
  <si>
    <t>CONFIRMACIÓN</t>
  </si>
  <si>
    <t>S-2230001</t>
  </si>
  <si>
    <t>ABRELATAS</t>
  </si>
  <si>
    <t>S-2230002</t>
  </si>
  <si>
    <t>COLADOR MALLA</t>
  </si>
  <si>
    <t>S-2230003</t>
  </si>
  <si>
    <t>CUCHARON DE ACERO</t>
  </si>
  <si>
    <t>S-2230004</t>
  </si>
  <si>
    <t>CUCHILLO</t>
  </si>
  <si>
    <t>S-2230006</t>
  </si>
  <si>
    <t>JUEGO DE ESPATULA PLASTICO C/2</t>
  </si>
  <si>
    <t>S-2230007</t>
  </si>
  <si>
    <t>LICUADORA</t>
  </si>
  <si>
    <t>S-2230008</t>
  </si>
  <si>
    <t>MICROONDAS</t>
  </si>
  <si>
    <t>S-2230009</t>
  </si>
  <si>
    <t>PINZA</t>
  </si>
  <si>
    <t>S-2230010</t>
  </si>
  <si>
    <t>RECIPIENTE VIDRIO CUADRADO</t>
  </si>
  <si>
    <t>S-2230011</t>
  </si>
  <si>
    <t>SELLADOR MANUAL</t>
  </si>
  <si>
    <t>S-2230012</t>
  </si>
  <si>
    <t>TABLA METAL TEX BLANC</t>
  </si>
  <si>
    <t>S-2230013</t>
  </si>
  <si>
    <t>TAZON ACERO INOXIDABLE</t>
  </si>
  <si>
    <t>S-2230014</t>
  </si>
  <si>
    <t>TETERA</t>
  </si>
  <si>
    <t>S-2230015</t>
  </si>
  <si>
    <t>VOLTEADOR</t>
  </si>
  <si>
    <t>S-2230016</t>
  </si>
  <si>
    <t>CEPILLO CON PUNTA DE ESPONJA</t>
  </si>
  <si>
    <t>S-2230017</t>
  </si>
  <si>
    <t>RECIPIENTE VIDRIO REDONDO</t>
  </si>
  <si>
    <t>S-2230018</t>
  </si>
  <si>
    <t xml:space="preserve">EMBUDO CHICO </t>
  </si>
  <si>
    <t>S-2230019</t>
  </si>
  <si>
    <t>JUEGO DE ESPATULA METALICO C/2</t>
  </si>
  <si>
    <t>S-2230020</t>
  </si>
  <si>
    <t>PALA CHICA DE PLASTICO 2 PZAS</t>
  </si>
  <si>
    <t>S-2230021</t>
  </si>
  <si>
    <t>MOCTACERO 250 ML.</t>
  </si>
  <si>
    <t>S-2560004</t>
  </si>
  <si>
    <t>TAPETE ANTIFATIGA</t>
  </si>
  <si>
    <t>DR. FEDERICO GABRIEL NAVARRO DE LA PIERDA</t>
  </si>
  <si>
    <t>JEFE DE DEPARTAMENTO DE RECURSOS Y SERVICIOS</t>
  </si>
  <si>
    <t>asas</t>
  </si>
  <si>
    <t>sd</t>
  </si>
  <si>
    <t>INVENTARIO UTENCILIOS SNACK ABRIL DEL 2026</t>
  </si>
  <si>
    <t>COSTO PROMEDIO 30-04-2026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</si>
</sst>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&quot;$&quot;#,##0.00;[Red]\-&quot;$&quot;#,##0.00"/>
    <numFmt numFmtId="44" formatCode="_-&quot;$&quot;* #,##0.00_-;\-&quot;$&quot;* #,##0.00_-;_-&quot;$&quot;* &quot;-&quot;??_-;_-@_-"/>
    <numFmt numFmtId="164" formatCode="#,##0_ ;[Red]\-#,##0\ "/>
    <numFmt numFmtId="165" formatCode="###,###.00"/>
    <numFmt numFmtId="166" formatCode="00"/>
    <numFmt numFmtId="167" formatCode="[$-C0A]d\-mmm\-yy;@"/>
    <numFmt numFmtId="168" formatCode="000"/>
    <numFmt numFmtId="169" formatCode="[$-1540A]dd\-mmm\-yy;@"/>
    <numFmt numFmtId="170" formatCode="#,##0.00_ ;[Red]\-#,##0.00\ "/>
    <numFmt numFmtId="171" formatCode="_-[$$-80A]* #,##0.00_-;\-[$$-80A]* #,##0.00_-;_-[$$-80A]* &quot;-&quot;??_-;_-@_-"/>
    <numFmt numFmtId="172" formatCode="000000000"/>
    <numFmt numFmtId="173" formatCode="dd\-mm\-yy;@"/>
    <numFmt numFmtId="174" formatCode="_-&quot;$&quot;* #,##0.0_-;\-&quot;$&quot;* #,##0.0_-;_-&quot;$&quot;* &quot;-&quot;??_-;_-@_-"/>
  </numFmts>
  <fonts count="63" x14ac:knownFonts="1">
    <font>
      <sz val="11"/>
      <color theme="1"/>
      <name val="Calibri"/>
      <family val="2"/>
      <scheme val="minor"/>
    </font>
    <font>
      <b/>
      <sz val="12"/>
      <color theme="1"/>
      <name val="Abadi"/>
      <family val="2"/>
    </font>
    <font>
      <sz val="12"/>
      <color theme="1"/>
      <name val="Abadi"/>
      <family val="2"/>
    </font>
    <font>
      <sz val="8"/>
      <color theme="1"/>
      <name val="Abadi"/>
      <family val="2"/>
    </font>
    <font>
      <sz val="16"/>
      <color theme="1"/>
      <name val="Abadi"/>
      <family val="2"/>
    </font>
    <font>
      <b/>
      <sz val="9"/>
      <color theme="0"/>
      <name val="Abadi"/>
      <family val="2"/>
    </font>
    <font>
      <b/>
      <sz val="8"/>
      <color theme="0"/>
      <name val="Abadi"/>
      <family val="2"/>
    </font>
    <font>
      <sz val="9"/>
      <color theme="1"/>
      <name val="Abadi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2"/>
      <name val="Abadi"/>
      <family val="2"/>
    </font>
    <font>
      <sz val="8"/>
      <name val="Abadi"/>
      <family val="2"/>
    </font>
    <font>
      <sz val="9"/>
      <name val="Abadi"/>
      <family val="2"/>
    </font>
    <font>
      <sz val="10"/>
      <name val="Abadi"/>
      <family val="2"/>
    </font>
    <font>
      <sz val="11"/>
      <name val="Arial"/>
      <family val="2"/>
    </font>
    <font>
      <sz val="10"/>
      <name val="Calibri"/>
      <family val="2"/>
      <scheme val="minor"/>
    </font>
    <font>
      <sz val="11"/>
      <name val="Abadi"/>
      <family val="2"/>
    </font>
    <font>
      <sz val="10"/>
      <color theme="1"/>
      <name val="Abadi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63"/>
      <name val="Tahoma"/>
      <family val="2"/>
    </font>
    <font>
      <b/>
      <sz val="10"/>
      <color indexed="61"/>
      <name val="Tahoma"/>
      <family val="2"/>
    </font>
    <font>
      <sz val="9"/>
      <color indexed="61"/>
      <name val="Tahoma"/>
      <family val="2"/>
    </font>
    <font>
      <b/>
      <sz val="8"/>
      <color indexed="61"/>
      <name val="Tahoma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0"/>
      <name val="Abadi"/>
      <family val="2"/>
    </font>
    <font>
      <b/>
      <sz val="10"/>
      <color theme="0"/>
      <name val="Abadi"/>
      <family val="2"/>
    </font>
    <font>
      <b/>
      <sz val="10"/>
      <color theme="1"/>
      <name val="Arial Nova"/>
      <family val="2"/>
    </font>
    <font>
      <b/>
      <sz val="11"/>
      <name val="Arial Nova"/>
      <family val="2"/>
    </font>
    <font>
      <b/>
      <sz val="8"/>
      <name val="Arial Nova"/>
      <family val="2"/>
    </font>
    <font>
      <b/>
      <sz val="10"/>
      <name val="Arial Nov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sz val="10"/>
      <name val="Arial"/>
    </font>
    <font>
      <sz val="10"/>
      <color indexed="63"/>
      <name val="Tahoma"/>
    </font>
    <font>
      <b/>
      <sz val="10"/>
      <color indexed="61"/>
      <name val="Tahoma"/>
    </font>
    <font>
      <sz val="9"/>
      <color indexed="61"/>
      <name val="Tahoma"/>
    </font>
    <font>
      <b/>
      <sz val="8"/>
      <color indexed="61"/>
      <name val="Tahoma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0"/>
      <name val="Tahoma"/>
      <family val="2"/>
    </font>
    <font>
      <b/>
      <sz val="8"/>
      <color theme="1"/>
      <name val="Calibri"/>
      <family val="2"/>
      <scheme val="minor"/>
    </font>
    <font>
      <sz val="9"/>
      <name val="Tahoma"/>
      <family val="2"/>
    </font>
    <font>
      <sz val="9"/>
      <color theme="1"/>
      <name val="Tahoma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 Nova"/>
      <family val="2"/>
    </font>
    <font>
      <sz val="11"/>
      <name val="Arial Nova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ck">
        <color auto="1"/>
      </top>
      <bottom style="double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9">
    <xf numFmtId="0" fontId="0" fillId="0" borderId="0"/>
    <xf numFmtId="44" fontId="20" fillId="0" borderId="0" applyFont="0" applyFill="0" applyBorder="0" applyAlignment="0" applyProtection="0"/>
    <xf numFmtId="0" fontId="21" fillId="0" borderId="0"/>
    <xf numFmtId="0" fontId="40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44" fontId="20" fillId="0" borderId="0" applyFont="0" applyFill="0" applyBorder="0" applyAlignment="0" applyProtection="0"/>
  </cellStyleXfs>
  <cellXfs count="382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8" fontId="2" fillId="0" borderId="0" xfId="0" applyNumberFormat="1" applyFont="1"/>
    <xf numFmtId="0" fontId="2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8" fontId="4" fillId="0" borderId="0" xfId="0" applyNumberFormat="1" applyFont="1" applyAlignment="1">
      <alignment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38" fontId="5" fillId="3" borderId="1" xfId="0" applyNumberFormat="1" applyFont="1" applyFill="1" applyBorder="1" applyAlignment="1">
      <alignment horizontal="center" vertical="center" wrapText="1"/>
    </xf>
    <xf numFmtId="38" fontId="6" fillId="3" borderId="1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7" fillId="0" borderId="0" xfId="0" applyFont="1"/>
    <xf numFmtId="8" fontId="5" fillId="3" borderId="1" xfId="0" applyNumberFormat="1" applyFont="1" applyFill="1" applyBorder="1" applyAlignment="1">
      <alignment horizontal="center" vertical="center" wrapText="1" shrinkToFit="1"/>
    </xf>
    <xf numFmtId="8" fontId="7" fillId="0" borderId="0" xfId="0" applyNumberFormat="1" applyFont="1"/>
    <xf numFmtId="8" fontId="7" fillId="0" borderId="0" xfId="0" applyNumberFormat="1" applyFont="1" applyAlignment="1">
      <alignment horizontal="center" vertical="center" wrapText="1" shrinkToFit="1"/>
    </xf>
    <xf numFmtId="0" fontId="7" fillId="0" borderId="0" xfId="0" applyFont="1" applyAlignment="1">
      <alignment horizontal="center" vertical="center" wrapText="1" shrinkToFit="1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40" fontId="9" fillId="0" borderId="1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11" fillId="0" borderId="0" xfId="0" applyFont="1" applyAlignment="1">
      <alignment vertical="center"/>
    </xf>
    <xf numFmtId="8" fontId="12" fillId="0" borderId="1" xfId="0" applyNumberFormat="1" applyFont="1" applyBorder="1" applyAlignment="1">
      <alignment vertical="center"/>
    </xf>
    <xf numFmtId="8" fontId="13" fillId="0" borderId="1" xfId="0" applyNumberFormat="1" applyFont="1" applyBorder="1" applyAlignment="1">
      <alignment vertical="center"/>
    </xf>
    <xf numFmtId="8" fontId="13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4" fillId="0" borderId="1" xfId="0" applyFont="1" applyBorder="1" applyAlignment="1">
      <alignment vertical="center"/>
    </xf>
    <xf numFmtId="164" fontId="8" fillId="0" borderId="1" xfId="0" applyNumberFormat="1" applyFont="1" applyBorder="1" applyAlignment="1">
      <alignment horizontal="center" vertical="center"/>
    </xf>
    <xf numFmtId="38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 shrinkToFit="1"/>
    </xf>
    <xf numFmtId="40" fontId="9" fillId="0" borderId="1" xfId="0" applyNumberFormat="1" applyFont="1" applyBorder="1" applyAlignment="1">
      <alignment horizontal="center" vertical="center" wrapText="1" shrinkToFit="1"/>
    </xf>
    <xf numFmtId="0" fontId="10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40" fontId="16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40" fontId="9" fillId="0" borderId="0" xfId="0" applyNumberFormat="1" applyFont="1" applyAlignment="1">
      <alignment horizontal="center" vertical="center" wrapText="1"/>
    </xf>
    <xf numFmtId="0" fontId="17" fillId="0" borderId="0" xfId="0" applyFont="1"/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vertical="center" wrapText="1"/>
    </xf>
    <xf numFmtId="40" fontId="9" fillId="0" borderId="3" xfId="0" applyNumberFormat="1" applyFont="1" applyBorder="1" applyAlignment="1">
      <alignment horizontal="center" vertical="center" wrapText="1"/>
    </xf>
    <xf numFmtId="0" fontId="18" fillId="0" borderId="4" xfId="0" applyFont="1" applyBorder="1" applyAlignment="1">
      <alignment vertical="center"/>
    </xf>
    <xf numFmtId="0" fontId="18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 wrapText="1"/>
    </xf>
    <xf numFmtId="40" fontId="19" fillId="0" borderId="4" xfId="0" applyNumberFormat="1" applyFont="1" applyBorder="1" applyAlignment="1">
      <alignment horizontal="center" vertical="center" wrapText="1"/>
    </xf>
    <xf numFmtId="164" fontId="18" fillId="0" borderId="4" xfId="0" applyNumberFormat="1" applyFont="1" applyBorder="1" applyAlignment="1">
      <alignment horizontal="center" vertical="center"/>
    </xf>
    <xf numFmtId="38" fontId="18" fillId="0" borderId="4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 wrapText="1"/>
    </xf>
    <xf numFmtId="164" fontId="18" fillId="0" borderId="0" xfId="0" applyNumberFormat="1" applyFont="1" applyAlignment="1">
      <alignment horizontal="center" vertical="center"/>
    </xf>
    <xf numFmtId="38" fontId="18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38" fontId="2" fillId="0" borderId="0" xfId="0" applyNumberFormat="1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38" fontId="1" fillId="0" borderId="0" xfId="0" applyNumberFormat="1" applyFont="1" applyAlignment="1">
      <alignment horizontal="center"/>
    </xf>
    <xf numFmtId="0" fontId="21" fillId="0" borderId="0" xfId="2"/>
    <xf numFmtId="49" fontId="24" fillId="0" borderId="0" xfId="2" applyNumberFormat="1" applyFont="1" applyAlignment="1">
      <alignment horizontal="left" vertical="top" wrapText="1"/>
    </xf>
    <xf numFmtId="165" fontId="24" fillId="0" borderId="0" xfId="2" applyNumberFormat="1" applyFont="1" applyAlignment="1">
      <alignment horizontal="right" vertical="top"/>
    </xf>
    <xf numFmtId="165" fontId="25" fillId="0" borderId="0" xfId="2" applyNumberFormat="1" applyFont="1" applyAlignment="1">
      <alignment horizontal="right" vertical="top"/>
    </xf>
    <xf numFmtId="49" fontId="22" fillId="0" borderId="0" xfId="2" applyNumberFormat="1" applyFont="1" applyAlignment="1">
      <alignment horizontal="center" vertical="top" wrapText="1"/>
    </xf>
    <xf numFmtId="49" fontId="23" fillId="0" borderId="0" xfId="2" applyNumberFormat="1" applyFont="1" applyAlignment="1">
      <alignment horizontal="center" vertical="top" wrapText="1"/>
    </xf>
    <xf numFmtId="49" fontId="23" fillId="0" borderId="0" xfId="2" applyNumberFormat="1" applyFont="1" applyAlignment="1">
      <alignment horizontal="right" vertical="top" wrapText="1"/>
    </xf>
    <xf numFmtId="44" fontId="24" fillId="0" borderId="0" xfId="1" applyFont="1" applyAlignment="1">
      <alignment horizontal="left" vertical="top" wrapText="1"/>
    </xf>
    <xf numFmtId="44" fontId="22" fillId="0" borderId="0" xfId="1" applyFont="1" applyFill="1" applyAlignment="1">
      <alignment horizontal="center" vertical="top" wrapText="1"/>
    </xf>
    <xf numFmtId="0" fontId="1" fillId="0" borderId="0" xfId="0" applyFont="1" applyAlignment="1">
      <alignment horizontal="centerContinuous" wrapText="1"/>
    </xf>
    <xf numFmtId="166" fontId="1" fillId="0" borderId="0" xfId="0" applyNumberFormat="1" applyFont="1" applyAlignment="1">
      <alignment horizontal="centerContinuous" vertical="center" wrapText="1"/>
    </xf>
    <xf numFmtId="1" fontId="1" fillId="0" borderId="0" xfId="0" applyNumberFormat="1" applyFont="1" applyAlignment="1">
      <alignment horizontal="centerContinuous" vertical="center" wrapText="1"/>
    </xf>
    <xf numFmtId="0" fontId="2" fillId="0" borderId="0" xfId="0" applyFont="1" applyAlignment="1">
      <alignment horizontal="centerContinuous" wrapText="1"/>
    </xf>
    <xf numFmtId="0" fontId="0" fillId="0" borderId="0" xfId="0" applyAlignment="1">
      <alignment wrapText="1" shrinkToFit="1"/>
    </xf>
    <xf numFmtId="0" fontId="27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0" fontId="2" fillId="0" borderId="0" xfId="0" applyFont="1" applyAlignment="1">
      <alignment horizontal="right" wrapText="1"/>
    </xf>
    <xf numFmtId="0" fontId="28" fillId="3" borderId="1" xfId="0" applyFont="1" applyFill="1" applyBorder="1" applyAlignment="1">
      <alignment horizontal="center" vertical="center"/>
    </xf>
    <xf numFmtId="166" fontId="28" fillId="3" borderId="1" xfId="0" applyNumberFormat="1" applyFont="1" applyFill="1" applyBorder="1" applyAlignment="1">
      <alignment horizontal="center" vertical="center"/>
    </xf>
    <xf numFmtId="1" fontId="29" fillId="3" borderId="1" xfId="0" applyNumberFormat="1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 wrapText="1"/>
    </xf>
    <xf numFmtId="16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5" xfId="0" applyBorder="1"/>
    <xf numFmtId="0" fontId="0" fillId="0" borderId="6" xfId="0" applyBorder="1" applyAlignment="1">
      <alignment wrapText="1" shrinkToFit="1"/>
    </xf>
    <xf numFmtId="167" fontId="1" fillId="0" borderId="0" xfId="0" applyNumberFormat="1" applyFont="1" applyAlignment="1">
      <alignment horizontal="centerContinuous" wrapText="1"/>
    </xf>
    <xf numFmtId="167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167" fontId="26" fillId="4" borderId="7" xfId="0" applyNumberFormat="1" applyFont="1" applyFill="1" applyBorder="1" applyAlignment="1">
      <alignment horizontal="center"/>
    </xf>
    <xf numFmtId="0" fontId="26" fillId="4" borderId="7" xfId="0" applyFont="1" applyFill="1" applyBorder="1" applyAlignment="1">
      <alignment horizontal="center"/>
    </xf>
    <xf numFmtId="0" fontId="26" fillId="4" borderId="7" xfId="0" applyFont="1" applyFill="1" applyBorder="1" applyAlignment="1">
      <alignment horizontal="center" vertical="center"/>
    </xf>
    <xf numFmtId="0" fontId="26" fillId="0" borderId="0" xfId="0" applyFont="1"/>
    <xf numFmtId="167" fontId="0" fillId="0" borderId="8" xfId="0" applyNumberFormat="1" applyBorder="1"/>
    <xf numFmtId="168" fontId="0" fillId="0" borderId="9" xfId="0" applyNumberFormat="1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11" xfId="0" applyBorder="1"/>
    <xf numFmtId="167" fontId="0" fillId="0" borderId="12" xfId="0" applyNumberFormat="1" applyBorder="1"/>
    <xf numFmtId="168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13" xfId="0" applyBorder="1"/>
    <xf numFmtId="0" fontId="0" fillId="0" borderId="1" xfId="0" applyBorder="1" applyAlignment="1">
      <alignment horizontal="center" vertical="center"/>
    </xf>
    <xf numFmtId="167" fontId="0" fillId="0" borderId="12" xfId="0" applyNumberFormat="1" applyBorder="1" applyAlignment="1">
      <alignment vertical="center"/>
    </xf>
    <xf numFmtId="16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3" xfId="0" applyBorder="1" applyAlignment="1">
      <alignment wrapText="1"/>
    </xf>
    <xf numFmtId="167" fontId="0" fillId="0" borderId="14" xfId="0" applyNumberFormat="1" applyBorder="1"/>
    <xf numFmtId="168" fontId="0" fillId="0" borderId="15" xfId="0" applyNumberFormat="1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center" vertical="center"/>
    </xf>
    <xf numFmtId="0" fontId="0" fillId="0" borderId="16" xfId="0" applyBorder="1"/>
    <xf numFmtId="169" fontId="26" fillId="0" borderId="0" xfId="0" applyNumberFormat="1" applyFont="1" applyAlignment="1">
      <alignment horizontal="centerContinuous"/>
    </xf>
    <xf numFmtId="167" fontId="0" fillId="0" borderId="0" xfId="0" applyNumberFormat="1" applyAlignment="1">
      <alignment horizontal="centerContinuous" vertical="center"/>
    </xf>
    <xf numFmtId="0" fontId="0" fillId="0" borderId="0" xfId="0" applyAlignment="1">
      <alignment horizontal="centerContinuous"/>
    </xf>
    <xf numFmtId="4" fontId="0" fillId="0" borderId="0" xfId="0" applyNumberFormat="1" applyAlignment="1">
      <alignment horizontal="centerContinuous"/>
    </xf>
    <xf numFmtId="2" fontId="0" fillId="0" borderId="0" xfId="0" applyNumberFormat="1"/>
    <xf numFmtId="170" fontId="0" fillId="0" borderId="0" xfId="0" applyNumberFormat="1" applyAlignment="1">
      <alignment horizontal="center"/>
    </xf>
    <xf numFmtId="0" fontId="0" fillId="0" borderId="6" xfId="0" applyBorder="1"/>
    <xf numFmtId="0" fontId="26" fillId="0" borderId="0" xfId="0" applyFont="1" applyAlignment="1">
      <alignment horizontal="right"/>
    </xf>
    <xf numFmtId="0" fontId="30" fillId="4" borderId="17" xfId="0" applyFont="1" applyFill="1" applyBorder="1" applyAlignment="1">
      <alignment horizontal="center" vertical="center"/>
    </xf>
    <xf numFmtId="167" fontId="31" fillId="4" borderId="17" xfId="0" applyNumberFormat="1" applyFont="1" applyFill="1" applyBorder="1" applyAlignment="1">
      <alignment horizontal="center" vertical="center"/>
    </xf>
    <xf numFmtId="0" fontId="31" fillId="4" borderId="17" xfId="0" applyFont="1" applyFill="1" applyBorder="1" applyAlignment="1">
      <alignment horizontal="center" vertical="center"/>
    </xf>
    <xf numFmtId="0" fontId="32" fillId="4" borderId="17" xfId="0" applyFont="1" applyFill="1" applyBorder="1" applyAlignment="1">
      <alignment horizontal="center" vertical="center"/>
    </xf>
    <xf numFmtId="0" fontId="32" fillId="4" borderId="17" xfId="0" applyFont="1" applyFill="1" applyBorder="1" applyAlignment="1">
      <alignment horizontal="center" vertical="center" wrapText="1"/>
    </xf>
    <xf numFmtId="0" fontId="32" fillId="4" borderId="17" xfId="0" applyFont="1" applyFill="1" applyBorder="1" applyAlignment="1">
      <alignment horizontal="center" vertical="center" wrapText="1" shrinkToFit="1"/>
    </xf>
    <xf numFmtId="0" fontId="33" fillId="4" borderId="17" xfId="0" applyFont="1" applyFill="1" applyBorder="1" applyAlignment="1">
      <alignment horizontal="center" vertical="center" wrapText="1" shrinkToFit="1"/>
    </xf>
    <xf numFmtId="167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0" xfId="0" applyBorder="1"/>
    <xf numFmtId="171" fontId="0" fillId="0" borderId="10" xfId="0" applyNumberFormat="1" applyBorder="1"/>
    <xf numFmtId="171" fontId="0" fillId="5" borderId="10" xfId="0" applyNumberFormat="1" applyFill="1" applyBorder="1"/>
    <xf numFmtId="0" fontId="0" fillId="0" borderId="18" xfId="0" applyBorder="1" applyAlignment="1">
      <alignment horizontal="center"/>
    </xf>
    <xf numFmtId="16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171" fontId="0" fillId="0" borderId="9" xfId="0" applyNumberFormat="1" applyBorder="1"/>
    <xf numFmtId="171" fontId="0" fillId="5" borderId="9" xfId="0" applyNumberFormat="1" applyFill="1" applyBorder="1"/>
    <xf numFmtId="0" fontId="0" fillId="0" borderId="6" xfId="0" applyBorder="1" applyAlignment="1">
      <alignment horizontal="left"/>
    </xf>
    <xf numFmtId="171" fontId="0" fillId="0" borderId="1" xfId="0" applyNumberFormat="1" applyBorder="1"/>
    <xf numFmtId="172" fontId="0" fillId="0" borderId="1" xfId="0" applyNumberFormat="1" applyBorder="1" applyAlignment="1">
      <alignment horizontal="left"/>
    </xf>
    <xf numFmtId="0" fontId="0" fillId="0" borderId="19" xfId="0" applyBorder="1"/>
    <xf numFmtId="0" fontId="0" fillId="0" borderId="20" xfId="0" applyBorder="1"/>
    <xf numFmtId="8" fontId="0" fillId="0" borderId="20" xfId="0" applyNumberFormat="1" applyBorder="1"/>
    <xf numFmtId="3" fontId="10" fillId="0" borderId="1" xfId="0" applyNumberFormat="1" applyFont="1" applyBorder="1" applyAlignment="1">
      <alignment horizontal="center" vertical="center"/>
    </xf>
    <xf numFmtId="3" fontId="10" fillId="0" borderId="2" xfId="0" applyNumberFormat="1" applyFont="1" applyBorder="1" applyAlignment="1">
      <alignment horizontal="center" vertical="center"/>
    </xf>
    <xf numFmtId="3" fontId="10" fillId="0" borderId="18" xfId="0" applyNumberFormat="1" applyFont="1" applyBorder="1" applyAlignment="1">
      <alignment horizontal="center" vertical="center"/>
    </xf>
    <xf numFmtId="3" fontId="10" fillId="0" borderId="3" xfId="0" applyNumberFormat="1" applyFont="1" applyBorder="1" applyAlignment="1">
      <alignment horizontal="center" vertical="center"/>
    </xf>
    <xf numFmtId="3" fontId="10" fillId="0" borderId="22" xfId="0" applyNumberFormat="1" applyFont="1" applyBorder="1" applyAlignment="1">
      <alignment horizontal="center" vertical="center"/>
    </xf>
    <xf numFmtId="3" fontId="18" fillId="0" borderId="4" xfId="0" applyNumberFormat="1" applyFont="1" applyBorder="1" applyAlignment="1">
      <alignment horizontal="center" vertical="center"/>
    </xf>
    <xf numFmtId="44" fontId="23" fillId="0" borderId="0" xfId="1" applyFont="1" applyFill="1" applyAlignment="1">
      <alignment horizontal="right" vertical="top" wrapText="1"/>
    </xf>
    <xf numFmtId="44" fontId="21" fillId="0" borderId="0" xfId="1" applyFont="1"/>
    <xf numFmtId="0" fontId="37" fillId="0" borderId="0" xfId="2" applyFont="1"/>
    <xf numFmtId="0" fontId="8" fillId="4" borderId="1" xfId="0" applyFont="1" applyFill="1" applyBorder="1" applyAlignment="1">
      <alignment horizontal="center" vertical="center"/>
    </xf>
    <xf numFmtId="0" fontId="38" fillId="0" borderId="0" xfId="2" applyFont="1"/>
    <xf numFmtId="165" fontId="24" fillId="4" borderId="0" xfId="2" applyNumberFormat="1" applyFont="1" applyFill="1" applyAlignment="1">
      <alignment horizontal="right" vertical="top"/>
    </xf>
    <xf numFmtId="49" fontId="24" fillId="4" borderId="0" xfId="2" applyNumberFormat="1" applyFont="1" applyFill="1" applyAlignment="1">
      <alignment horizontal="left" vertical="top" wrapText="1"/>
    </xf>
    <xf numFmtId="44" fontId="24" fillId="4" borderId="0" xfId="1" applyFont="1" applyFill="1" applyAlignment="1">
      <alignment horizontal="left" vertical="top" wrapText="1"/>
    </xf>
    <xf numFmtId="165" fontId="25" fillId="4" borderId="0" xfId="2" applyNumberFormat="1" applyFont="1" applyFill="1" applyAlignment="1">
      <alignment horizontal="right" vertical="top"/>
    </xf>
    <xf numFmtId="0" fontId="21" fillId="4" borderId="0" xfId="2" applyFill="1"/>
    <xf numFmtId="49" fontId="24" fillId="6" borderId="0" xfId="2" applyNumberFormat="1" applyFont="1" applyFill="1" applyAlignment="1">
      <alignment horizontal="left" vertical="top" wrapText="1"/>
    </xf>
    <xf numFmtId="44" fontId="24" fillId="6" borderId="0" xfId="1" applyFont="1" applyFill="1" applyAlignment="1">
      <alignment horizontal="left" vertical="top" wrapText="1"/>
    </xf>
    <xf numFmtId="165" fontId="24" fillId="6" borderId="0" xfId="2" applyNumberFormat="1" applyFont="1" applyFill="1" applyAlignment="1">
      <alignment horizontal="right" vertical="top"/>
    </xf>
    <xf numFmtId="165" fontId="25" fillId="6" borderId="0" xfId="2" applyNumberFormat="1" applyFont="1" applyFill="1" applyAlignment="1">
      <alignment horizontal="right" vertical="top"/>
    </xf>
    <xf numFmtId="0" fontId="21" fillId="6" borderId="0" xfId="2" applyFill="1"/>
    <xf numFmtId="0" fontId="21" fillId="6" borderId="0" xfId="2" applyFill="1" applyAlignment="1">
      <alignment horizontal="center"/>
    </xf>
    <xf numFmtId="0" fontId="40" fillId="0" borderId="0" xfId="3"/>
    <xf numFmtId="49" fontId="43" fillId="0" borderId="0" xfId="3" applyNumberFormat="1" applyFont="1" applyAlignment="1">
      <alignment horizontal="left" vertical="top" wrapText="1"/>
    </xf>
    <xf numFmtId="165" fontId="43" fillId="0" borderId="0" xfId="3" applyNumberFormat="1" applyFont="1" applyAlignment="1">
      <alignment horizontal="right" vertical="top"/>
    </xf>
    <xf numFmtId="165" fontId="44" fillId="0" borderId="0" xfId="3" applyNumberFormat="1" applyFont="1" applyAlignment="1">
      <alignment horizontal="right" vertical="top"/>
    </xf>
    <xf numFmtId="49" fontId="41" fillId="0" borderId="0" xfId="3" applyNumberFormat="1" applyFont="1" applyAlignment="1">
      <alignment horizontal="center" vertical="top" wrapText="1"/>
    </xf>
    <xf numFmtId="49" fontId="42" fillId="0" borderId="0" xfId="3" applyNumberFormat="1" applyFont="1" applyAlignment="1">
      <alignment horizontal="center" vertical="top" wrapText="1"/>
    </xf>
    <xf numFmtId="49" fontId="42" fillId="0" borderId="0" xfId="3" applyNumberFormat="1" applyFont="1" applyAlignment="1">
      <alignment horizontal="right" vertical="top" wrapText="1"/>
    </xf>
    <xf numFmtId="44" fontId="41" fillId="0" borderId="0" xfId="1" applyFont="1" applyFill="1" applyAlignment="1">
      <alignment horizontal="center" vertical="top" wrapText="1"/>
    </xf>
    <xf numFmtId="44" fontId="43" fillId="0" borderId="0" xfId="1" applyFont="1" applyAlignment="1">
      <alignment horizontal="left" vertical="top" wrapText="1"/>
    </xf>
    <xf numFmtId="44" fontId="42" fillId="0" borderId="0" xfId="1" applyFont="1" applyFill="1" applyAlignment="1">
      <alignment horizontal="right" vertical="top" wrapText="1"/>
    </xf>
    <xf numFmtId="44" fontId="40" fillId="0" borderId="0" xfId="1" applyFont="1"/>
    <xf numFmtId="0" fontId="21" fillId="0" borderId="0" xfId="3" applyFont="1"/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49" fontId="50" fillId="0" borderId="1" xfId="5" applyNumberFormat="1" applyFont="1" applyBorder="1" applyAlignment="1">
      <alignment horizontal="left" vertical="top" wrapText="1"/>
    </xf>
    <xf numFmtId="44" fontId="50" fillId="0" borderId="1" xfId="1" applyFont="1" applyFill="1" applyBorder="1" applyAlignment="1">
      <alignment horizontal="left" vertical="top" wrapText="1"/>
    </xf>
    <xf numFmtId="44" fontId="0" fillId="0" borderId="0" xfId="0" applyNumberFormat="1"/>
    <xf numFmtId="0" fontId="0" fillId="0" borderId="25" xfId="0" applyBorder="1"/>
    <xf numFmtId="165" fontId="0" fillId="0" borderId="26" xfId="0" applyNumberFormat="1" applyBorder="1" applyAlignment="1">
      <alignment horizontal="center" vertical="center"/>
    </xf>
    <xf numFmtId="0" fontId="0" fillId="0" borderId="27" xfId="0" applyBorder="1"/>
    <xf numFmtId="165" fontId="0" fillId="0" borderId="28" xfId="0" applyNumberForma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/>
    <xf numFmtId="0" fontId="26" fillId="0" borderId="30" xfId="0" applyFont="1" applyBorder="1" applyAlignment="1">
      <alignment horizontal="center" vertical="center"/>
    </xf>
    <xf numFmtId="4" fontId="0" fillId="0" borderId="26" xfId="0" applyNumberFormat="1" applyBorder="1" applyAlignment="1">
      <alignment horizontal="center" vertical="center"/>
    </xf>
    <xf numFmtId="44" fontId="0" fillId="0" borderId="0" xfId="1" applyFont="1"/>
    <xf numFmtId="4" fontId="0" fillId="0" borderId="28" xfId="0" applyNumberFormat="1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4" fontId="26" fillId="0" borderId="30" xfId="0" applyNumberFormat="1" applyFont="1" applyBorder="1" applyAlignment="1">
      <alignment horizontal="center" vertical="center"/>
    </xf>
    <xf numFmtId="4" fontId="26" fillId="0" borderId="0" xfId="0" applyNumberFormat="1" applyFont="1" applyAlignment="1">
      <alignment horizontal="center" vertical="center"/>
    </xf>
    <xf numFmtId="0" fontId="0" fillId="14" borderId="0" xfId="0" applyFill="1"/>
    <xf numFmtId="49" fontId="50" fillId="4" borderId="1" xfId="5" applyNumberFormat="1" applyFont="1" applyFill="1" applyBorder="1" applyAlignment="1">
      <alignment horizontal="left" vertical="top" wrapText="1"/>
    </xf>
    <xf numFmtId="0" fontId="0" fillId="4" borderId="27" xfId="0" applyFill="1" applyBorder="1"/>
    <xf numFmtId="4" fontId="0" fillId="4" borderId="28" xfId="0" applyNumberFormat="1" applyFill="1" applyBorder="1" applyAlignment="1">
      <alignment horizontal="center" vertical="center"/>
    </xf>
    <xf numFmtId="0" fontId="0" fillId="4" borderId="0" xfId="0" applyFill="1"/>
    <xf numFmtId="49" fontId="50" fillId="15" borderId="1" xfId="5" applyNumberFormat="1" applyFont="1" applyFill="1" applyBorder="1" applyAlignment="1">
      <alignment horizontal="left" vertical="top" wrapText="1"/>
    </xf>
    <xf numFmtId="0" fontId="0" fillId="16" borderId="1" xfId="0" applyFill="1" applyBorder="1" applyAlignment="1">
      <alignment horizontal="center" vertical="center"/>
    </xf>
    <xf numFmtId="49" fontId="50" fillId="17" borderId="1" xfId="5" applyNumberFormat="1" applyFont="1" applyFill="1" applyBorder="1" applyAlignment="1">
      <alignment horizontal="left" vertical="top" wrapText="1"/>
    </xf>
    <xf numFmtId="0" fontId="0" fillId="0" borderId="26" xfId="0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26" fillId="14" borderId="0" xfId="0" applyFont="1" applyFill="1" applyAlignment="1">
      <alignment horizontal="right"/>
    </xf>
    <xf numFmtId="4" fontId="26" fillId="14" borderId="0" xfId="0" applyNumberFormat="1" applyFont="1" applyFill="1" applyAlignment="1">
      <alignment horizontal="center" vertical="center"/>
    </xf>
    <xf numFmtId="49" fontId="51" fillId="0" borderId="27" xfId="6" applyNumberFormat="1" applyFont="1" applyBorder="1" applyAlignment="1">
      <alignment horizontal="left" vertical="top" wrapText="1"/>
    </xf>
    <xf numFmtId="2" fontId="20" fillId="0" borderId="28" xfId="0" applyNumberFormat="1" applyFont="1" applyBorder="1" applyAlignment="1">
      <alignment horizontal="center"/>
    </xf>
    <xf numFmtId="2" fontId="20" fillId="0" borderId="28" xfId="0" applyNumberFormat="1" applyFont="1" applyBorder="1" applyAlignment="1">
      <alignment horizontal="center" vertical="center"/>
    </xf>
    <xf numFmtId="2" fontId="52" fillId="0" borderId="28" xfId="6" applyNumberFormat="1" applyFont="1" applyBorder="1" applyAlignment="1">
      <alignment horizontal="center"/>
    </xf>
    <xf numFmtId="49" fontId="51" fillId="0" borderId="29" xfId="6" applyNumberFormat="1" applyFont="1" applyBorder="1" applyAlignment="1">
      <alignment horizontal="left" vertical="top" wrapText="1"/>
    </xf>
    <xf numFmtId="2" fontId="52" fillId="0" borderId="30" xfId="6" applyNumberFormat="1" applyFont="1" applyBorder="1" applyAlignment="1">
      <alignment horizontal="center"/>
    </xf>
    <xf numFmtId="49" fontId="51" fillId="0" borderId="0" xfId="6" applyNumberFormat="1" applyFont="1" applyAlignment="1">
      <alignment horizontal="left" vertical="top" wrapText="1"/>
    </xf>
    <xf numFmtId="2" fontId="52" fillId="0" borderId="0" xfId="6" applyNumberFormat="1" applyFont="1" applyAlignment="1">
      <alignment horizontal="center"/>
    </xf>
    <xf numFmtId="0" fontId="21" fillId="0" borderId="0" xfId="6"/>
    <xf numFmtId="2" fontId="53" fillId="0" borderId="0" xfId="6" applyNumberFormat="1" applyFont="1" applyAlignment="1">
      <alignment horizontal="center"/>
    </xf>
    <xf numFmtId="0" fontId="21" fillId="0" borderId="1" xfId="6" applyBorder="1"/>
    <xf numFmtId="0" fontId="26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13" borderId="1" xfId="0" applyFill="1" applyBorder="1"/>
    <xf numFmtId="4" fontId="0" fillId="0" borderId="1" xfId="0" applyNumberFormat="1" applyBorder="1"/>
    <xf numFmtId="2" fontId="0" fillId="0" borderId="1" xfId="0" applyNumberFormat="1" applyBorder="1"/>
    <xf numFmtId="49" fontId="50" fillId="18" borderId="1" xfId="5" applyNumberFormat="1" applyFont="1" applyFill="1" applyBorder="1" applyAlignment="1">
      <alignment horizontal="left" vertical="top" wrapText="1"/>
    </xf>
    <xf numFmtId="2" fontId="0" fillId="0" borderId="0" xfId="0" applyNumberFormat="1" applyAlignment="1">
      <alignment vertical="center"/>
    </xf>
    <xf numFmtId="44" fontId="0" fillId="4" borderId="0" xfId="0" applyNumberFormat="1" applyFill="1"/>
    <xf numFmtId="49" fontId="48" fillId="11" borderId="1" xfId="4" applyNumberFormat="1" applyFont="1" applyFill="1" applyBorder="1" applyAlignment="1">
      <alignment horizontal="center" vertical="center" wrapText="1"/>
    </xf>
    <xf numFmtId="14" fontId="27" fillId="11" borderId="1" xfId="0" applyNumberFormat="1" applyFont="1" applyFill="1" applyBorder="1" applyAlignment="1">
      <alignment horizontal="center" vertical="center" wrapText="1"/>
    </xf>
    <xf numFmtId="14" fontId="27" fillId="11" borderId="1" xfId="0" applyNumberFormat="1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26" fillId="8" borderId="1" xfId="0" applyFont="1" applyFill="1" applyBorder="1" applyAlignment="1">
      <alignment horizontal="center" vertical="center"/>
    </xf>
    <xf numFmtId="44" fontId="54" fillId="0" borderId="1" xfId="1" applyFont="1" applyFill="1" applyBorder="1" applyAlignment="1">
      <alignment vertical="center"/>
    </xf>
    <xf numFmtId="44" fontId="55" fillId="19" borderId="1" xfId="1" applyFont="1" applyFill="1" applyBorder="1" applyAlignment="1">
      <alignment vertical="center"/>
    </xf>
    <xf numFmtId="0" fontId="46" fillId="0" borderId="0" xfId="0" applyFont="1"/>
    <xf numFmtId="0" fontId="46" fillId="0" borderId="0" xfId="0" applyFont="1" applyAlignment="1">
      <alignment vertical="center"/>
    </xf>
    <xf numFmtId="173" fontId="0" fillId="0" borderId="1" xfId="0" applyNumberFormat="1" applyBorder="1" applyAlignment="1">
      <alignment horizontal="center"/>
    </xf>
    <xf numFmtId="44" fontId="56" fillId="0" borderId="1" xfId="1" applyFont="1" applyFill="1" applyBorder="1" applyAlignment="1">
      <alignment vertical="center"/>
    </xf>
    <xf numFmtId="14" fontId="0" fillId="0" borderId="1" xfId="0" applyNumberFormat="1" applyBorder="1"/>
    <xf numFmtId="44" fontId="54" fillId="0" borderId="1" xfId="1" applyFont="1" applyBorder="1" applyAlignment="1">
      <alignment vertical="center"/>
    </xf>
    <xf numFmtId="14" fontId="0" fillId="0" borderId="0" xfId="0" applyNumberFormat="1"/>
    <xf numFmtId="44" fontId="54" fillId="0" borderId="0" xfId="1" applyFont="1" applyAlignment="1">
      <alignment vertical="center"/>
    </xf>
    <xf numFmtId="44" fontId="55" fillId="0" borderId="0" xfId="1" applyFont="1" applyAlignment="1">
      <alignment vertical="center"/>
    </xf>
    <xf numFmtId="14" fontId="49" fillId="11" borderId="1" xfId="0" applyNumberFormat="1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/>
    </xf>
    <xf numFmtId="0" fontId="26" fillId="0" borderId="0" xfId="0" applyFont="1" applyAlignment="1">
      <alignment horizontal="center" vertical="center"/>
    </xf>
    <xf numFmtId="14" fontId="49" fillId="11" borderId="5" xfId="0" applyNumberFormat="1" applyFont="1" applyFill="1" applyBorder="1" applyAlignment="1">
      <alignment horizontal="center" vertical="center" wrapText="1"/>
    </xf>
    <xf numFmtId="14" fontId="49" fillId="12" borderId="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4" fontId="48" fillId="11" borderId="1" xfId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26" fillId="0" borderId="0" xfId="0" applyFont="1" applyAlignment="1">
      <alignment horizontal="center" wrapText="1"/>
    </xf>
    <xf numFmtId="0" fontId="26" fillId="0" borderId="0" xfId="0" applyFont="1" applyAlignment="1">
      <alignment horizontal="center"/>
    </xf>
    <xf numFmtId="44" fontId="26" fillId="0" borderId="0" xfId="1" applyFont="1" applyAlignment="1">
      <alignment horizontal="center"/>
    </xf>
    <xf numFmtId="8" fontId="0" fillId="0" borderId="0" xfId="0" applyNumberFormat="1"/>
    <xf numFmtId="0" fontId="0" fillId="0" borderId="0" xfId="0" applyAlignment="1">
      <alignment horizontal="center" wrapText="1"/>
    </xf>
    <xf numFmtId="44" fontId="0" fillId="0" borderId="0" xfId="1" applyFont="1" applyAlignment="1">
      <alignment wrapText="1"/>
    </xf>
    <xf numFmtId="8" fontId="0" fillId="0" borderId="0" xfId="0" applyNumberFormat="1" applyAlignment="1">
      <alignment wrapText="1"/>
    </xf>
    <xf numFmtId="0" fontId="45" fillId="3" borderId="1" xfId="0" applyFont="1" applyFill="1" applyBorder="1" applyAlignment="1">
      <alignment horizontal="center" vertical="center"/>
    </xf>
    <xf numFmtId="0" fontId="45" fillId="3" borderId="1" xfId="0" applyFont="1" applyFill="1" applyBorder="1" applyAlignment="1">
      <alignment horizontal="center" vertical="center" wrapText="1"/>
    </xf>
    <xf numFmtId="44" fontId="45" fillId="3" borderId="1" xfId="1" applyFont="1" applyFill="1" applyBorder="1" applyAlignment="1">
      <alignment horizontal="center" vertical="center" wrapText="1"/>
    </xf>
    <xf numFmtId="0" fontId="45" fillId="3" borderId="2" xfId="0" applyFont="1" applyFill="1" applyBorder="1" applyAlignment="1">
      <alignment horizontal="center" vertical="center" wrapText="1"/>
    </xf>
    <xf numFmtId="8" fontId="45" fillId="3" borderId="1" xfId="0" applyNumberFormat="1" applyFont="1" applyFill="1" applyBorder="1" applyAlignment="1">
      <alignment horizontal="center" vertical="center" wrapText="1" shrinkToFit="1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44" fontId="9" fillId="0" borderId="1" xfId="1" applyFont="1" applyFill="1" applyBorder="1" applyAlignment="1">
      <alignment horizontal="center" vertical="center" wrapText="1"/>
    </xf>
    <xf numFmtId="3" fontId="9" fillId="0" borderId="2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3" fontId="9" fillId="4" borderId="2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8" fontId="9" fillId="0" borderId="1" xfId="0" applyNumberFormat="1" applyFont="1" applyBorder="1" applyAlignment="1">
      <alignment vertical="center"/>
    </xf>
    <xf numFmtId="44" fontId="9" fillId="0" borderId="0" xfId="0" applyNumberFormat="1" applyFont="1" applyAlignment="1">
      <alignment vertical="center"/>
    </xf>
    <xf numFmtId="0" fontId="9" fillId="0" borderId="1" xfId="0" applyFont="1" applyBorder="1" applyAlignment="1">
      <alignment vertical="center" wrapText="1" shrinkToFit="1"/>
    </xf>
    <xf numFmtId="44" fontId="9" fillId="0" borderId="1" xfId="1" applyFont="1" applyFill="1" applyBorder="1" applyAlignment="1">
      <alignment horizontal="center" vertical="center" wrapText="1" shrinkToFit="1"/>
    </xf>
    <xf numFmtId="174" fontId="9" fillId="0" borderId="1" xfId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44" fontId="9" fillId="0" borderId="0" xfId="1" applyFont="1" applyFill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44" fontId="9" fillId="0" borderId="3" xfId="1" applyFont="1" applyFill="1" applyBorder="1" applyAlignment="1">
      <alignment horizontal="center" vertical="center" wrapText="1"/>
    </xf>
    <xf numFmtId="0" fontId="19" fillId="19" borderId="4" xfId="0" applyFont="1" applyFill="1" applyBorder="1" applyAlignment="1">
      <alignment vertical="center"/>
    </xf>
    <xf numFmtId="0" fontId="19" fillId="19" borderId="4" xfId="0" applyFont="1" applyFill="1" applyBorder="1" applyAlignment="1">
      <alignment vertical="center" wrapText="1"/>
    </xf>
    <xf numFmtId="44" fontId="19" fillId="19" borderId="4" xfId="1" applyFont="1" applyFill="1" applyBorder="1" applyAlignment="1">
      <alignment vertical="center"/>
    </xf>
    <xf numFmtId="4" fontId="19" fillId="19" borderId="4" xfId="0" applyNumberFormat="1" applyFont="1" applyFill="1" applyBorder="1" applyAlignment="1">
      <alignment horizontal="center" vertical="center"/>
    </xf>
    <xf numFmtId="8" fontId="19" fillId="19" borderId="34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44" fontId="19" fillId="0" borderId="0" xfId="1" applyFont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0" fillId="0" borderId="0" xfId="6" applyFont="1"/>
    <xf numFmtId="0" fontId="2" fillId="0" borderId="0" xfId="0" applyFont="1" applyAlignment="1">
      <alignment horizontal="left"/>
    </xf>
    <xf numFmtId="44" fontId="2" fillId="0" borderId="0" xfId="1" applyFont="1" applyAlignment="1">
      <alignment vertical="center" wrapText="1"/>
    </xf>
    <xf numFmtId="0" fontId="3" fillId="0" borderId="0" xfId="0" applyFont="1" applyAlignment="1">
      <alignment horizontal="left"/>
    </xf>
    <xf numFmtId="3" fontId="9" fillId="0" borderId="2" xfId="0" quotePrefix="1" applyNumberFormat="1" applyFont="1" applyBorder="1" applyAlignment="1">
      <alignment horizontal="center" vertical="center"/>
    </xf>
    <xf numFmtId="0" fontId="58" fillId="0" borderId="35" xfId="7" applyFont="1" applyBorder="1" applyAlignment="1">
      <alignment horizontal="center"/>
    </xf>
    <xf numFmtId="0" fontId="58" fillId="0" borderId="0" xfId="7" applyFont="1" applyAlignment="1">
      <alignment horizontal="center" wrapText="1"/>
    </xf>
    <xf numFmtId="0" fontId="58" fillId="0" borderId="0" xfId="6" applyFont="1" applyAlignment="1">
      <alignment horizontal="center" vertical="top" wrapText="1"/>
    </xf>
    <xf numFmtId="0" fontId="18" fillId="0" borderId="0" xfId="6" applyFont="1" applyAlignment="1">
      <alignment horizontal="center" vertical="center"/>
    </xf>
    <xf numFmtId="0" fontId="58" fillId="0" borderId="0" xfId="7" applyFont="1" applyAlignment="1">
      <alignment horizontal="center" vertical="center" wrapText="1"/>
    </xf>
    <xf numFmtId="0" fontId="0" fillId="0" borderId="21" xfId="6" applyFont="1" applyBorder="1" applyAlignment="1">
      <alignment horizontal="center"/>
    </xf>
    <xf numFmtId="44" fontId="59" fillId="0" borderId="21" xfId="1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wrapText="1"/>
    </xf>
    <xf numFmtId="0" fontId="26" fillId="0" borderId="0" xfId="0" applyFont="1" applyAlignment="1">
      <alignment horizontal="center"/>
    </xf>
    <xf numFmtId="8" fontId="57" fillId="0" borderId="0" xfId="0" applyNumberFormat="1" applyFont="1" applyAlignment="1">
      <alignment horizontal="center"/>
    </xf>
    <xf numFmtId="0" fontId="0" fillId="0" borderId="21" xfId="0" applyBorder="1" applyAlignment="1">
      <alignment horizontal="center" wrapText="1"/>
    </xf>
    <xf numFmtId="0" fontId="47" fillId="10" borderId="21" xfId="0" applyFont="1" applyFill="1" applyBorder="1" applyAlignment="1">
      <alignment horizontal="center" vertical="center"/>
    </xf>
    <xf numFmtId="0" fontId="47" fillId="10" borderId="1" xfId="0" applyFont="1" applyFill="1" applyBorder="1" applyAlignment="1">
      <alignment horizontal="center" vertical="center"/>
    </xf>
    <xf numFmtId="0" fontId="47" fillId="10" borderId="33" xfId="0" applyFont="1" applyFill="1" applyBorder="1" applyAlignment="1">
      <alignment horizontal="center" vertical="center"/>
    </xf>
    <xf numFmtId="0" fontId="0" fillId="13" borderId="23" xfId="0" applyFill="1" applyBorder="1" applyAlignment="1">
      <alignment horizontal="center" vertical="center" wrapText="1"/>
    </xf>
    <xf numFmtId="0" fontId="0" fillId="13" borderId="24" xfId="0" applyFill="1" applyBorder="1" applyAlignment="1">
      <alignment horizontal="center" vertical="center" wrapText="1"/>
    </xf>
    <xf numFmtId="0" fontId="0" fillId="13" borderId="23" xfId="0" applyFill="1" applyBorder="1" applyAlignment="1">
      <alignment horizontal="center"/>
    </xf>
    <xf numFmtId="0" fontId="0" fillId="13" borderId="24" xfId="0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4" fillId="8" borderId="21" xfId="0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164" fontId="1" fillId="0" borderId="0" xfId="0" applyNumberFormat="1" applyFont="1" applyAlignment="1">
      <alignment horizontal="center" wrapText="1"/>
    </xf>
    <xf numFmtId="38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38" fontId="1" fillId="0" borderId="0" xfId="0" applyNumberFormat="1" applyFont="1" applyAlignment="1">
      <alignment horizontal="center"/>
    </xf>
    <xf numFmtId="0" fontId="4" fillId="6" borderId="21" xfId="0" applyFont="1" applyFill="1" applyBorder="1" applyAlignment="1">
      <alignment horizontal="center" wrapText="1"/>
    </xf>
    <xf numFmtId="0" fontId="4" fillId="9" borderId="21" xfId="0" applyFont="1" applyFill="1" applyBorder="1" applyAlignment="1">
      <alignment horizontal="center" wrapText="1"/>
    </xf>
    <xf numFmtId="0" fontId="4" fillId="2" borderId="21" xfId="0" applyFont="1" applyFill="1" applyBorder="1" applyAlignment="1">
      <alignment horizontal="center" wrapText="1"/>
    </xf>
    <xf numFmtId="0" fontId="4" fillId="5" borderId="21" xfId="0" applyFont="1" applyFill="1" applyBorder="1" applyAlignment="1">
      <alignment horizontal="center"/>
    </xf>
    <xf numFmtId="0" fontId="4" fillId="7" borderId="21" xfId="0" applyFont="1" applyFill="1" applyBorder="1" applyAlignment="1">
      <alignment horizontal="center"/>
    </xf>
    <xf numFmtId="0" fontId="21" fillId="4" borderId="0" xfId="2" applyFill="1" applyAlignment="1">
      <alignment horizontal="center" wrapText="1"/>
    </xf>
    <xf numFmtId="0" fontId="60" fillId="0" borderId="0" xfId="0" applyFont="1"/>
    <xf numFmtId="0" fontId="60" fillId="0" borderId="0" xfId="0" applyFont="1" applyAlignment="1">
      <alignment horizontal="center"/>
    </xf>
    <xf numFmtId="0" fontId="58" fillId="0" borderId="0" xfId="0" applyFont="1" applyAlignment="1">
      <alignment horizontal="center"/>
    </xf>
    <xf numFmtId="0" fontId="58" fillId="0" borderId="0" xfId="0" applyFont="1" applyAlignment="1">
      <alignment horizontal="center" wrapText="1"/>
    </xf>
    <xf numFmtId="0" fontId="45" fillId="3" borderId="3" xfId="0" applyFont="1" applyFill="1" applyBorder="1" applyAlignment="1">
      <alignment horizontal="center" vertical="center"/>
    </xf>
    <xf numFmtId="0" fontId="45" fillId="3" borderId="3" xfId="0" applyFont="1" applyFill="1" applyBorder="1" applyAlignment="1">
      <alignment horizontal="center" vertical="center" wrapText="1"/>
    </xf>
    <xf numFmtId="0" fontId="30" fillId="0" borderId="6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59" fillId="0" borderId="1" xfId="0" applyFont="1" applyBorder="1" applyAlignment="1">
      <alignment vertical="center"/>
    </xf>
    <xf numFmtId="44" fontId="59" fillId="0" borderId="1" xfId="1" applyFont="1" applyFill="1" applyBorder="1" applyAlignment="1">
      <alignment vertical="center"/>
    </xf>
    <xf numFmtId="3" fontId="59" fillId="0" borderId="1" xfId="0" applyNumberFormat="1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59" fillId="0" borderId="0" xfId="0" applyFont="1"/>
    <xf numFmtId="44" fontId="8" fillId="0" borderId="1" xfId="1" applyFont="1" applyFill="1" applyBorder="1" applyAlignment="1">
      <alignment vertical="center"/>
    </xf>
    <xf numFmtId="44" fontId="61" fillId="0" borderId="0" xfId="0" applyNumberFormat="1" applyFont="1" applyAlignment="1">
      <alignment vertical="center"/>
    </xf>
    <xf numFmtId="44" fontId="62" fillId="0" borderId="0" xfId="0" applyNumberFormat="1" applyFont="1" applyAlignment="1">
      <alignment vertical="center"/>
    </xf>
    <xf numFmtId="44" fontId="58" fillId="20" borderId="34" xfId="1" applyFont="1" applyFill="1" applyBorder="1" applyAlignment="1"/>
    <xf numFmtId="44" fontId="58" fillId="20" borderId="34" xfId="1" applyFont="1" applyFill="1" applyBorder="1" applyAlignment="1">
      <alignment horizontal="right"/>
    </xf>
    <xf numFmtId="3" fontId="18" fillId="20" borderId="36" xfId="0" applyNumberFormat="1" applyFont="1" applyFill="1" applyBorder="1" applyAlignment="1">
      <alignment horizontal="center" vertical="center"/>
    </xf>
    <xf numFmtId="0" fontId="59" fillId="0" borderId="0" xfId="5" applyFont="1" applyAlignment="1">
      <alignment vertical="center"/>
    </xf>
    <xf numFmtId="44" fontId="18" fillId="20" borderId="36" xfId="1" applyFont="1" applyFill="1" applyBorder="1" applyAlignment="1">
      <alignment horizontal="center" vertical="center"/>
    </xf>
    <xf numFmtId="0" fontId="18" fillId="0" borderId="0" xfId="6" applyFont="1" applyAlignment="1">
      <alignment vertical="center"/>
    </xf>
    <xf numFmtId="44" fontId="59" fillId="0" borderId="0" xfId="8" applyFont="1" applyBorder="1" applyAlignment="1">
      <alignment vertical="center"/>
    </xf>
    <xf numFmtId="0" fontId="0" fillId="0" borderId="21" xfId="0" applyBorder="1"/>
    <xf numFmtId="0" fontId="59" fillId="0" borderId="0" xfId="5" applyFont="1"/>
    <xf numFmtId="0" fontId="59" fillId="0" borderId="0" xfId="6" applyFont="1"/>
    <xf numFmtId="0" fontId="58" fillId="0" borderId="0" xfId="7" applyFont="1"/>
    <xf numFmtId="44" fontId="59" fillId="0" borderId="0" xfId="8" applyFont="1" applyBorder="1"/>
    <xf numFmtId="0" fontId="58" fillId="0" borderId="35" xfId="7" applyFont="1" applyBorder="1" applyAlignment="1">
      <alignment horizontal="center" wrapText="1"/>
    </xf>
    <xf numFmtId="0" fontId="58" fillId="0" borderId="0" xfId="6" applyFont="1" applyAlignment="1">
      <alignment vertical="top" wrapText="1"/>
    </xf>
  </cellXfs>
  <cellStyles count="9">
    <cellStyle name="Moneda" xfId="1" builtinId="4"/>
    <cellStyle name="Moneda 2" xfId="8" xr:uid="{1F7AADF6-4551-405F-BAB1-6CBF817B1B91}"/>
    <cellStyle name="Normal" xfId="0" builtinId="0"/>
    <cellStyle name="Normal 11" xfId="7" xr:uid="{4F2DEAD9-63CF-411C-8740-653803AA44FA}"/>
    <cellStyle name="Normal 2" xfId="2" xr:uid="{00000000-0005-0000-0000-000002000000}"/>
    <cellStyle name="Normal 2 4 2" xfId="4" xr:uid="{035B6632-0DC2-4926-985E-2C7A1D0E5C7F}"/>
    <cellStyle name="Normal 3" xfId="3" xr:uid="{00000000-0005-0000-0000-000003000000}"/>
    <cellStyle name="Normal 3 2" xfId="6" xr:uid="{55C02FB4-4532-42A1-AA35-5878CDB3805A}"/>
    <cellStyle name="Normal 4 2" xfId="5" xr:uid="{90CFF736-E349-4F51-8EF1-E4B53565CBC4}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alignment horizontal="center"/>
    </dxf>
    <dxf>
      <alignment vertical="center"/>
    </dxf>
    <dxf>
      <fill>
        <patternFill patternType="solid">
          <bgColor rgb="FFFFFF00"/>
        </patternFill>
      </fill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133350</xdr:rowOff>
    </xdr:from>
    <xdr:ext cx="2457450" cy="781050"/>
    <xdr:pic>
      <xdr:nvPicPr>
        <xdr:cNvPr id="2" name="Imagen 2" descr="C:\Users\lidia.martinez\Downloads\thumbnail_image.png">
          <a:extLst>
            <a:ext uri="{FF2B5EF4-FFF2-40B4-BE49-F238E27FC236}">
              <a16:creationId xmlns:a16="http://schemas.microsoft.com/office/drawing/2014/main" id="{6CE73463-8FC7-4FA7-AC8E-D9C7417714F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33350"/>
          <a:ext cx="24574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18</xdr:col>
      <xdr:colOff>333375</xdr:colOff>
      <xdr:row>0</xdr:row>
      <xdr:rowOff>161925</xdr:rowOff>
    </xdr:from>
    <xdr:ext cx="1673512" cy="928315"/>
    <xdr:pic>
      <xdr:nvPicPr>
        <xdr:cNvPr id="3" name="Picture 2" descr="C:\Users\Amada\Desktop\logo.png">
          <a:extLst>
            <a:ext uri="{FF2B5EF4-FFF2-40B4-BE49-F238E27FC236}">
              <a16:creationId xmlns:a16="http://schemas.microsoft.com/office/drawing/2014/main" id="{79346043-25DD-49E9-ACF9-2AE42E082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0" y="161925"/>
          <a:ext cx="1673512" cy="928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171450</xdr:colOff>
      <xdr:row>0</xdr:row>
      <xdr:rowOff>47625</xdr:rowOff>
    </xdr:from>
    <xdr:ext cx="1834028" cy="828721"/>
    <xdr:pic>
      <xdr:nvPicPr>
        <xdr:cNvPr id="2" name="Picture 2" descr="C:\Users\Amada\Desktop\logo.png">
          <a:extLst>
            <a:ext uri="{FF2B5EF4-FFF2-40B4-BE49-F238E27FC236}">
              <a16:creationId xmlns:a16="http://schemas.microsoft.com/office/drawing/2014/main" id="{F79D525E-8041-4893-ADF7-C35F45EA5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59375" y="47625"/>
          <a:ext cx="1834028" cy="8287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36512</xdr:colOff>
      <xdr:row>0</xdr:row>
      <xdr:rowOff>119516</xdr:rowOff>
    </xdr:from>
    <xdr:ext cx="2307545" cy="652009"/>
    <xdr:pic>
      <xdr:nvPicPr>
        <xdr:cNvPr id="3" name="Imagen 2" descr="C:\Users\lidia.martinez\Downloads\thumbnail_image.png">
          <a:extLst>
            <a:ext uri="{FF2B5EF4-FFF2-40B4-BE49-F238E27FC236}">
              <a16:creationId xmlns:a16="http://schemas.microsoft.com/office/drawing/2014/main" id="{D87B34BA-055B-47AF-9B44-CFE2822531FE}"/>
            </a:ext>
          </a:extLst>
        </xdr:cNvPr>
        <xdr:cNvPicPr/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060" b="18292"/>
        <a:stretch/>
      </xdr:blipFill>
      <xdr:spPr bwMode="auto">
        <a:xfrm>
          <a:off x="560387" y="119516"/>
          <a:ext cx="2307545" cy="65200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703033</xdr:colOff>
      <xdr:row>0</xdr:row>
      <xdr:rowOff>28348</xdr:rowOff>
    </xdr:from>
    <xdr:ext cx="1834028" cy="828721"/>
    <xdr:pic>
      <xdr:nvPicPr>
        <xdr:cNvPr id="2" name="Picture 2" descr="C:\Users\Amada\Desktop\logo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23733" y="28348"/>
          <a:ext cx="1834028" cy="8287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198437</xdr:colOff>
      <xdr:row>0</xdr:row>
      <xdr:rowOff>62366</xdr:rowOff>
    </xdr:from>
    <xdr:ext cx="2307545" cy="652009"/>
    <xdr:pic>
      <xdr:nvPicPr>
        <xdr:cNvPr id="3" name="Imagen 2" descr="C:\Users\lidia.martinez\Downloads\thumbnail_image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060" b="18292"/>
        <a:stretch/>
      </xdr:blipFill>
      <xdr:spPr bwMode="auto">
        <a:xfrm>
          <a:off x="198437" y="62366"/>
          <a:ext cx="2307545" cy="65200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409575</xdr:colOff>
      <xdr:row>0</xdr:row>
      <xdr:rowOff>47624</xdr:rowOff>
    </xdr:from>
    <xdr:ext cx="1514475" cy="523875"/>
    <xdr:pic>
      <xdr:nvPicPr>
        <xdr:cNvPr id="2" name="Imagen 1" descr="C:\Users\lidia.martinez\Downloads\thumbnail_image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39" t="13794" r="2166" b="14654"/>
        <a:stretch/>
      </xdr:blipFill>
      <xdr:spPr bwMode="auto">
        <a:xfrm>
          <a:off x="238125" y="47624"/>
          <a:ext cx="1514475" cy="5238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3562349</xdr:colOff>
      <xdr:row>0</xdr:row>
      <xdr:rowOff>85725</xdr:rowOff>
    </xdr:from>
    <xdr:ext cx="1114425" cy="609600"/>
    <xdr:pic>
      <xdr:nvPicPr>
        <xdr:cNvPr id="3" name="Picture 2" descr="C:\Users\Amada\Desktop\logo.png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1174" y="85725"/>
          <a:ext cx="1114425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142875</xdr:colOff>
      <xdr:row>0</xdr:row>
      <xdr:rowOff>111933</xdr:rowOff>
    </xdr:from>
    <xdr:ext cx="1072028" cy="484405"/>
    <xdr:pic>
      <xdr:nvPicPr>
        <xdr:cNvPr id="2" name="Picture 2" descr="C:\Users\Amada\Desktop\logo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9575" y="111933"/>
          <a:ext cx="1072028" cy="484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28575</xdr:colOff>
      <xdr:row>0</xdr:row>
      <xdr:rowOff>38100</xdr:rowOff>
    </xdr:from>
    <xdr:ext cx="1095375" cy="381000"/>
    <xdr:pic>
      <xdr:nvPicPr>
        <xdr:cNvPr id="3" name="Imagen 2" descr="C:\Users\lidia.martinez\Downloads\thumbnail_image.pn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61" t="19959" b="10440"/>
        <a:stretch/>
      </xdr:blipFill>
      <xdr:spPr bwMode="auto">
        <a:xfrm>
          <a:off x="28575" y="38100"/>
          <a:ext cx="1095375" cy="381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142875</xdr:colOff>
      <xdr:row>0</xdr:row>
      <xdr:rowOff>111933</xdr:rowOff>
    </xdr:from>
    <xdr:ext cx="1072028" cy="484405"/>
    <xdr:pic>
      <xdr:nvPicPr>
        <xdr:cNvPr id="2" name="Picture 2" descr="C:\Users\Amada\Desktop\logo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39150" y="111933"/>
          <a:ext cx="1072028" cy="484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28575</xdr:colOff>
      <xdr:row>0</xdr:row>
      <xdr:rowOff>38100</xdr:rowOff>
    </xdr:from>
    <xdr:ext cx="1095375" cy="381000"/>
    <xdr:pic>
      <xdr:nvPicPr>
        <xdr:cNvPr id="3" name="Imagen 2" descr="C:\Users\lidia.martinez\Downloads\thumbnail_image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61" t="19959" b="10440"/>
        <a:stretch/>
      </xdr:blipFill>
      <xdr:spPr bwMode="auto">
        <a:xfrm>
          <a:off x="28575" y="38100"/>
          <a:ext cx="1095375" cy="381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ga\AppData\Local\Microsoft\Olk\Attachments\ooa-9fc0e822-d478-4dbe-b916-0eacdb478803\9db98a9dbbf73006342e8254daa92cb9c0d0de6a42023bab443fa27dbf57056b\03.MARZO.2026%20INVENTARIO%20DE%20SNACK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ga\AppData\Local\Microsoft\Olk\Attachments\ooa-9fc0e822-d478-4dbe-b916-0eacdb478803\9db98a9dbbf73006342e8254daa92cb9c0d0de6a42023bab443fa27dbf57056b\03.MARZO.2026%20INVENTARIO%20DE%20SNACK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 Martinez" refreshedDate="46099.404197453703" createdVersion="8" refreshedVersion="8" minRefreshableVersion="3" recordCount="17" xr:uid="{00000000-000A-0000-FFFF-FFFF00000000}">
  <cacheSource type="worksheet">
    <worksheetSource ref="A7:G24" sheet="BITACORA" r:id="rId2"/>
  </cacheSource>
  <cacheFields count="10">
    <cacheField name="FECHA" numFmtId="16">
      <sharedItems containsNonDate="0" containsDate="1" containsString="0" containsBlank="1" minDate="1905-01-01T00:00:00" maxDate="2026-02-28T00:00:00" count="9">
        <m/>
        <d v="2026-02-06T00:00:00" u="1"/>
        <d v="2026-02-16T00:00:00" u="1"/>
        <d v="2026-02-27T00:00:00" u="1"/>
        <d v="2026-01-04T00:00:00" u="1"/>
        <d v="2026-01-07T00:00:00" u="1"/>
        <d v="2026-01-23T00:00:00" u="1"/>
        <d v="2026-01-30T00:00:00" u="1"/>
        <d v="2025-12-22T00:00:00" u="1"/>
      </sharedItems>
      <fieldGroup par="9"/>
    </cacheField>
    <cacheField name="FOLIO" numFmtId="166">
      <sharedItems containsNonDate="0" containsString="0" containsBlank="1"/>
    </cacheField>
    <cacheField name="CANTIDAD" numFmtId="0">
      <sharedItems containsNonDate="0" containsString="0" containsBlank="1"/>
    </cacheField>
    <cacheField name="UNIDAD" numFmtId="0">
      <sharedItems containsNonDate="0" containsString="0" containsBlank="1"/>
    </cacheField>
    <cacheField name="DESCRIPCION" numFmtId="0">
      <sharedItems containsNonDate="0" containsBlank="1" count="6">
        <m/>
        <s v="TENEDORES" u="1"/>
        <s v="SERVILLETA EN ROLLO" u="1"/>
        <s v="SERVILLETAS" u="1"/>
        <s v="CHILE JALAPEÑO(3.8KG) EN RODAJAS" u="1"/>
        <s v="TAPA PRIMO  CUEVAS C/50" u="1"/>
      </sharedItems>
    </cacheField>
    <cacheField name="ENTREGA" numFmtId="0">
      <sharedItems containsNonDate="0" containsString="0" containsBlank="1"/>
    </cacheField>
    <cacheField name="NOMBRE" numFmtId="0">
      <sharedItems containsNonDate="0" containsString="0" containsBlank="1"/>
    </cacheField>
    <cacheField name="Meses (FECHA)" numFmtId="0" databaseField="0">
      <fieldGroup base="0">
        <rangePr groupBy="months" startDate="1905-01-01T00:00:00" endDate="1905-01-01T00:00:00"/>
        <groupItems count="14">
          <s v="&lt;01/01/0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1/01/05"/>
        </groupItems>
      </fieldGroup>
    </cacheField>
    <cacheField name="Trimestres (FECHA)" numFmtId="0" databaseField="0">
      <fieldGroup base="0">
        <rangePr groupBy="quarters" startDate="1905-01-01T00:00:00" endDate="1905-01-01T00:00:00"/>
        <groupItems count="6">
          <s v="&lt;01/01/05"/>
          <s v="Trim.1"/>
          <s v="Trim.2"/>
          <s v="Trim.3"/>
          <s v="Trim.4"/>
          <s v="&gt;01/01/05"/>
        </groupItems>
      </fieldGroup>
    </cacheField>
    <cacheField name="Años (FECHA)" numFmtId="0" databaseField="0">
      <fieldGroup base="0">
        <rangePr groupBy="years" startDate="1905-01-01T00:00:00" endDate="1905-01-01T00:00:00"/>
        <groupItems count="3">
          <s v="&lt;01/01/05"/>
          <s v="1905"/>
          <s v="&gt;01/01/0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 Martinez" refreshedDate="46064.472894328705" createdVersion="8" refreshedVersion="8" minRefreshableVersion="3" recordCount="51" xr:uid="{00000000-000A-0000-FFFF-FFFF01000000}">
  <cacheSource type="worksheet">
    <worksheetSource ref="A5:N56" sheet="ENTRADAS" r:id="rId2"/>
  </cacheSource>
  <cacheFields count="14">
    <cacheField name="S" numFmtId="0">
      <sharedItems count="3">
        <s v="S1"/>
        <s v="S2"/>
        <s v="S3"/>
      </sharedItems>
    </cacheField>
    <cacheField name="FECHA" numFmtId="165">
      <sharedItems containsNonDate="0" containsDate="1" containsString="0" containsBlank="1" minDate="2024-12-02T00:00:00" maxDate="2027-09-12T00:00:00" count="25">
        <m/>
        <d v="2024-12-02T00:00:00" u="1"/>
        <d v="2025-12-04T00:00:00" u="1"/>
        <d v="2025-12-08T00:00:00" u="1"/>
        <d v="2025-12-09T00:00:00" u="1"/>
        <d v="2025-12-12T00:00:00" u="1"/>
        <d v="2025-12-17T00:00:00" u="1"/>
        <d v="2025-12-18T00:00:00" u="1"/>
        <d v="2025-12-19T00:00:00" u="1"/>
        <d v="2025-11-05T00:00:00" u="1"/>
        <d v="2025-11-07T00:00:00" u="1"/>
        <d v="2025-11-14T00:00:00" u="1"/>
        <d v="2025-11-20T00:00:00" u="1"/>
        <d v="2025-11-28T00:00:00" u="1"/>
        <d v="2025-10-08T00:00:00" u="1"/>
        <d v="2025-10-10T00:00:00" u="1"/>
        <d v="2025-10-07T00:00:00" u="1"/>
        <d v="2025-09-02T00:00:00" u="1"/>
        <d v="2025-09-04T00:00:00" u="1"/>
        <d v="2025-09-11T00:00:00" u="1"/>
        <d v="2025-09-12T00:00:00" u="1"/>
        <d v="2025-09-20T00:00:00" u="1"/>
        <d v="2025-09-23T00:00:00" u="1"/>
        <d v="2025-09-26T00:00:00" u="1"/>
        <d v="2027-09-11T00:00:00" u="1"/>
      </sharedItems>
    </cacheField>
    <cacheField name="PROVEEDOR" numFmtId="0">
      <sharedItems containsNonDate="0" containsString="0" containsBlank="1"/>
    </cacheField>
    <cacheField name="FACTURA" numFmtId="0">
      <sharedItems containsNonDate="0" containsString="0" containsBlank="1"/>
    </cacheField>
    <cacheField name="ARTICULO INVENTARIO" numFmtId="0">
      <sharedItems containsNonDate="0" containsBlank="1" count="57">
        <m/>
        <s v="REFRESCO COCA COLA  600 ML" u="1"/>
        <s v="AGUA CIEL 600" u="1"/>
        <s v="AGUA DE 1.5 LTS" u="1"/>
        <s v="AGUA DE 1 LTO" u="1"/>
        <s v="POWERADE" u="1"/>
        <s v="JUGO DEL VALLE LATA" u="1"/>
        <s v="COCA COLA LATA VARIOS SABORES" u="1"/>
        <s v="TORTILLA P/NACHOS" u="1"/>
        <s v="COCA COLA LATA 355 ML " u="1"/>
        <s v="JUGO DEL VALLE 600ML" u="1"/>
        <s v="FRUTSI" u="1"/>
        <s v="NESTEA 600ML" u="1"/>
        <s v="RANCHERITOS" u="1"/>
        <s v="TOSTITOS" u="1"/>
        <s v="SABRITAS HABANERAS" u="1"/>
        <s v="RUFLES QUESO" u="1"/>
        <s v="RUFLES DE SAL" u="1"/>
        <s v="SABRITAS SAL" u="1"/>
        <s v="SABRITAS ADOBADAS" u="1"/>
        <s v="SABRITAS DE LIMON" u="1"/>
        <s v="DORITOS  NACHOS" u="1"/>
        <s v="DORITOS PIZZEROLAS" u="1"/>
        <s v="CHEETOS" u="1"/>
        <s v="CRUJITOS" u="1"/>
        <s v="FRITOS" u="1"/>
        <s v="BIG MIX QUESO" u="1"/>
        <s v="BIG MIX FUEGO" u="1"/>
        <s v="CHIPS JALAPEÑO" u="1"/>
        <s v="CHIPS SAL" u="1"/>
        <s v="CHIPS FUEGO" u="1"/>
        <s v="TAKIS FUEGO" u="1"/>
        <s v="TAKIS FAJITA" u="1"/>
        <s v="TAKIS HUACAMOLES" u="1"/>
        <s v="TAKIS BLUE HEAT" u="1"/>
        <s v="CHILE JALAPEÑO(3.8KG) EN RODAJAS" u="1"/>
        <s v="NUGGETS" u="1"/>
        <s v="PALOMITAS" u="1"/>
        <s v="PAPA FRANCESA PORCION" u="1"/>
        <s v="QUESO NACHO" u="1"/>
        <s v="SERVILLETAS" u="1"/>
        <s v="QUESO BOLSA NACHO DE 2 KG" u="1"/>
        <s v="SALCHICHA P/ASAR BAFAR 800G PZ" u="1"/>
        <s v="BOLSA ROLLO" u="1"/>
        <s v="COCA COLA LIGHT 355ML" u="1"/>
        <s v="TAKIS SALSA BRAVA" u="1"/>
        <s v="HOT NUTS ORIGINAL" u="1"/>
        <s v="DORITOS DINAMITA CHILE Y LIMON" u="1"/>
        <s v="SABRITAS FLAMIN" u="1"/>
        <s v="SABRITAS ESPECIAS" u="1"/>
        <s v="DORITOS DINAMITAS FLAMIN-HOT" u="1"/>
        <s v="COCA COLA LATA 355 ML  SIN AZUCAR" u="1"/>
        <s v="SOPA NISSIN" u="1"/>
        <s v="LIMON AGRIO" u="1"/>
        <s v="PAPAS BARCEL TOREADAS" u="1"/>
        <s v="DORITOS INCOGNITAS" u="1"/>
        <s v="PAPAS BARCEL ADOBADAS" u="1"/>
      </sharedItems>
    </cacheField>
    <cacheField name="DESCRIPCION" numFmtId="0">
      <sharedItems containsNonDate="0" containsString="0" containsBlank="1"/>
    </cacheField>
    <cacheField name="CANT.XPAQ" numFmtId="0">
      <sharedItems containsNonDate="0" containsString="0" containsBlank="1"/>
    </cacheField>
    <cacheField name="CANTIDAD" numFmtId="0">
      <sharedItems containsNonDate="0" containsString="0" containsBlank="1"/>
    </cacheField>
    <cacheField name="IMPORTE" numFmtId="169">
      <sharedItems containsNonDate="0" containsString="0" containsBlank="1"/>
    </cacheField>
    <cacheField name="IEPS 8%" numFmtId="169">
      <sharedItems containsSemiMixedTypes="0" containsString="0" containsNumber="1" containsInteger="1" minValue="0" maxValue="0"/>
    </cacheField>
    <cacheField name="IVA" numFmtId="169">
      <sharedItems containsString="0" containsBlank="1" containsNumber="1" containsInteger="1" minValue="0" maxValue="0"/>
    </cacheField>
    <cacheField name="DESCUENTO" numFmtId="169">
      <sharedItems containsString="0" containsBlank="1" containsNumber="1" minValue="0" maxValue="389.66"/>
    </cacheField>
    <cacheField name="TOTAL" numFmtId="169">
      <sharedItems containsSemiMixedTypes="0" containsString="0" containsNumber="1" minValue="-389.66" maxValue="0"/>
    </cacheField>
    <cacheField name="COSTO UNITARIO" numFmtId="16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">
  <r>
    <x v="0"/>
    <m/>
    <m/>
    <m/>
    <x v="0"/>
    <m/>
    <m/>
  </r>
  <r>
    <x v="0"/>
    <m/>
    <m/>
    <m/>
    <x v="0"/>
    <m/>
    <m/>
  </r>
  <r>
    <x v="0"/>
    <m/>
    <m/>
    <m/>
    <x v="0"/>
    <m/>
    <m/>
  </r>
  <r>
    <x v="0"/>
    <m/>
    <m/>
    <m/>
    <x v="0"/>
    <m/>
    <m/>
  </r>
  <r>
    <x v="0"/>
    <m/>
    <m/>
    <m/>
    <x v="0"/>
    <m/>
    <m/>
  </r>
  <r>
    <x v="0"/>
    <m/>
    <m/>
    <m/>
    <x v="0"/>
    <m/>
    <m/>
  </r>
  <r>
    <x v="0"/>
    <m/>
    <m/>
    <m/>
    <x v="0"/>
    <m/>
    <m/>
  </r>
  <r>
    <x v="0"/>
    <m/>
    <m/>
    <m/>
    <x v="0"/>
    <m/>
    <m/>
  </r>
  <r>
    <x v="0"/>
    <m/>
    <m/>
    <m/>
    <x v="0"/>
    <m/>
    <m/>
  </r>
  <r>
    <x v="0"/>
    <m/>
    <m/>
    <m/>
    <x v="0"/>
    <m/>
    <m/>
  </r>
  <r>
    <x v="0"/>
    <m/>
    <m/>
    <m/>
    <x v="0"/>
    <m/>
    <m/>
  </r>
  <r>
    <x v="0"/>
    <m/>
    <m/>
    <m/>
    <x v="0"/>
    <m/>
    <m/>
  </r>
  <r>
    <x v="0"/>
    <m/>
    <m/>
    <m/>
    <x v="0"/>
    <m/>
    <m/>
  </r>
  <r>
    <x v="0"/>
    <m/>
    <m/>
    <m/>
    <x v="0"/>
    <m/>
    <m/>
  </r>
  <r>
    <x v="0"/>
    <m/>
    <m/>
    <m/>
    <x v="0"/>
    <m/>
    <m/>
  </r>
  <r>
    <x v="0"/>
    <m/>
    <m/>
    <m/>
    <x v="0"/>
    <m/>
    <m/>
  </r>
  <r>
    <x v="0"/>
    <m/>
    <m/>
    <m/>
    <x v="0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1">
  <r>
    <x v="0"/>
    <x v="0"/>
    <m/>
    <m/>
    <x v="0"/>
    <m/>
    <m/>
    <m/>
    <m/>
    <n v="0"/>
    <n v="0"/>
    <n v="389.66"/>
    <n v="-389.66"/>
    <e v="#DIV/0!"/>
  </r>
  <r>
    <x v="0"/>
    <x v="0"/>
    <m/>
    <m/>
    <x v="0"/>
    <m/>
    <m/>
    <m/>
    <m/>
    <n v="0"/>
    <n v="0"/>
    <n v="0"/>
    <n v="0"/>
    <e v="#DIV/0!"/>
  </r>
  <r>
    <x v="0"/>
    <x v="0"/>
    <m/>
    <m/>
    <x v="0"/>
    <m/>
    <m/>
    <m/>
    <m/>
    <n v="0"/>
    <n v="0"/>
    <n v="0"/>
    <n v="0"/>
    <e v="#DIV/0!"/>
  </r>
  <r>
    <x v="0"/>
    <x v="0"/>
    <m/>
    <m/>
    <x v="0"/>
    <m/>
    <m/>
    <m/>
    <m/>
    <n v="0"/>
    <n v="0"/>
    <n v="0"/>
    <n v="0"/>
    <e v="#DIV/0!"/>
  </r>
  <r>
    <x v="0"/>
    <x v="0"/>
    <m/>
    <m/>
    <x v="0"/>
    <m/>
    <m/>
    <m/>
    <m/>
    <n v="0"/>
    <n v="0"/>
    <n v="0"/>
    <n v="0"/>
    <e v="#DIV/0!"/>
  </r>
  <r>
    <x v="0"/>
    <x v="0"/>
    <m/>
    <m/>
    <x v="0"/>
    <m/>
    <m/>
    <m/>
    <m/>
    <n v="0"/>
    <n v="0"/>
    <n v="0"/>
    <n v="0"/>
    <e v="#DIV/0!"/>
  </r>
  <r>
    <x v="0"/>
    <x v="0"/>
    <m/>
    <m/>
    <x v="0"/>
    <m/>
    <m/>
    <m/>
    <m/>
    <n v="0"/>
    <n v="0"/>
    <n v="0"/>
    <n v="0"/>
    <e v="#DIV/0!"/>
  </r>
  <r>
    <x v="0"/>
    <x v="0"/>
    <m/>
    <m/>
    <x v="0"/>
    <m/>
    <m/>
    <m/>
    <m/>
    <n v="0"/>
    <n v="0"/>
    <n v="0"/>
    <n v="0"/>
    <e v="#DIV/0!"/>
  </r>
  <r>
    <x v="0"/>
    <x v="0"/>
    <m/>
    <m/>
    <x v="0"/>
    <m/>
    <m/>
    <m/>
    <m/>
    <n v="0"/>
    <n v="0"/>
    <n v="0"/>
    <n v="0"/>
    <e v="#DIV/0!"/>
  </r>
  <r>
    <x v="0"/>
    <x v="0"/>
    <m/>
    <m/>
    <x v="0"/>
    <m/>
    <m/>
    <m/>
    <m/>
    <n v="0"/>
    <n v="0"/>
    <n v="0"/>
    <n v="0"/>
    <e v="#DIV/0!"/>
  </r>
  <r>
    <x v="0"/>
    <x v="0"/>
    <m/>
    <m/>
    <x v="0"/>
    <m/>
    <m/>
    <m/>
    <m/>
    <n v="0"/>
    <n v="0"/>
    <n v="0"/>
    <n v="0"/>
    <e v="#DIV/0!"/>
  </r>
  <r>
    <x v="1"/>
    <x v="0"/>
    <m/>
    <m/>
    <x v="0"/>
    <m/>
    <m/>
    <m/>
    <m/>
    <n v="0"/>
    <n v="0"/>
    <n v="0"/>
    <n v="0"/>
    <e v="#DIV/0!"/>
  </r>
  <r>
    <x v="1"/>
    <x v="0"/>
    <m/>
    <m/>
    <x v="0"/>
    <m/>
    <m/>
    <m/>
    <m/>
    <n v="0"/>
    <n v="0"/>
    <n v="0"/>
    <n v="0"/>
    <e v="#DIV/0!"/>
  </r>
  <r>
    <x v="1"/>
    <x v="0"/>
    <m/>
    <m/>
    <x v="0"/>
    <m/>
    <m/>
    <m/>
    <m/>
    <n v="0"/>
    <n v="0"/>
    <n v="0"/>
    <n v="0"/>
    <e v="#DIV/0!"/>
  </r>
  <r>
    <x v="1"/>
    <x v="0"/>
    <m/>
    <m/>
    <x v="0"/>
    <m/>
    <m/>
    <m/>
    <m/>
    <n v="0"/>
    <n v="0"/>
    <n v="0"/>
    <n v="0"/>
    <e v="#DIV/0!"/>
  </r>
  <r>
    <x v="1"/>
    <x v="0"/>
    <m/>
    <m/>
    <x v="0"/>
    <m/>
    <m/>
    <m/>
    <m/>
    <n v="0"/>
    <n v="0"/>
    <n v="0"/>
    <n v="0"/>
    <e v="#DIV/0!"/>
  </r>
  <r>
    <x v="1"/>
    <x v="0"/>
    <m/>
    <m/>
    <x v="0"/>
    <m/>
    <m/>
    <m/>
    <m/>
    <n v="0"/>
    <n v="0"/>
    <n v="0"/>
    <n v="0"/>
    <e v="#DIV/0!"/>
  </r>
  <r>
    <x v="1"/>
    <x v="0"/>
    <m/>
    <m/>
    <x v="0"/>
    <m/>
    <m/>
    <m/>
    <m/>
    <n v="0"/>
    <n v="0"/>
    <n v="0"/>
    <n v="0"/>
    <e v="#DIV/0!"/>
  </r>
  <r>
    <x v="1"/>
    <x v="0"/>
    <m/>
    <m/>
    <x v="0"/>
    <m/>
    <m/>
    <m/>
    <m/>
    <n v="0"/>
    <n v="0"/>
    <n v="0"/>
    <n v="0"/>
    <e v="#DIV/0!"/>
  </r>
  <r>
    <x v="1"/>
    <x v="0"/>
    <m/>
    <m/>
    <x v="0"/>
    <m/>
    <m/>
    <m/>
    <m/>
    <n v="0"/>
    <n v="0"/>
    <n v="0"/>
    <n v="0"/>
    <e v="#DIV/0!"/>
  </r>
  <r>
    <x v="1"/>
    <x v="0"/>
    <m/>
    <m/>
    <x v="0"/>
    <m/>
    <m/>
    <m/>
    <m/>
    <n v="0"/>
    <m/>
    <m/>
    <n v="0"/>
    <e v="#DIV/0!"/>
  </r>
  <r>
    <x v="1"/>
    <x v="0"/>
    <m/>
    <m/>
    <x v="0"/>
    <m/>
    <m/>
    <m/>
    <m/>
    <n v="0"/>
    <m/>
    <m/>
    <n v="0"/>
    <e v="#DIV/0!"/>
  </r>
  <r>
    <x v="1"/>
    <x v="0"/>
    <m/>
    <m/>
    <x v="0"/>
    <m/>
    <m/>
    <m/>
    <m/>
    <n v="0"/>
    <m/>
    <m/>
    <n v="0"/>
    <e v="#DIV/0!"/>
  </r>
  <r>
    <x v="1"/>
    <x v="0"/>
    <m/>
    <m/>
    <x v="0"/>
    <m/>
    <m/>
    <m/>
    <m/>
    <n v="0"/>
    <n v="0"/>
    <n v="0"/>
    <n v="0"/>
    <e v="#DIV/0!"/>
  </r>
  <r>
    <x v="1"/>
    <x v="0"/>
    <m/>
    <m/>
    <x v="0"/>
    <m/>
    <m/>
    <m/>
    <m/>
    <n v="0"/>
    <n v="0"/>
    <n v="0"/>
    <n v="0"/>
    <e v="#DIV/0!"/>
  </r>
  <r>
    <x v="1"/>
    <x v="0"/>
    <m/>
    <m/>
    <x v="0"/>
    <m/>
    <m/>
    <m/>
    <m/>
    <n v="0"/>
    <n v="0"/>
    <n v="0"/>
    <n v="0"/>
    <e v="#DIV/0!"/>
  </r>
  <r>
    <x v="1"/>
    <x v="0"/>
    <m/>
    <m/>
    <x v="0"/>
    <m/>
    <m/>
    <m/>
    <m/>
    <n v="0"/>
    <n v="0"/>
    <n v="0"/>
    <n v="0"/>
    <e v="#DIV/0!"/>
  </r>
  <r>
    <x v="1"/>
    <x v="0"/>
    <m/>
    <m/>
    <x v="0"/>
    <m/>
    <m/>
    <m/>
    <m/>
    <n v="0"/>
    <n v="0"/>
    <n v="0"/>
    <n v="0"/>
    <e v="#DIV/0!"/>
  </r>
  <r>
    <x v="1"/>
    <x v="0"/>
    <m/>
    <m/>
    <x v="0"/>
    <m/>
    <m/>
    <m/>
    <m/>
    <n v="0"/>
    <n v="0"/>
    <n v="0"/>
    <n v="0"/>
    <e v="#DIV/0!"/>
  </r>
  <r>
    <x v="1"/>
    <x v="0"/>
    <m/>
    <m/>
    <x v="0"/>
    <m/>
    <m/>
    <m/>
    <m/>
    <n v="0"/>
    <n v="0"/>
    <n v="0"/>
    <n v="0"/>
    <e v="#DIV/0!"/>
  </r>
  <r>
    <x v="1"/>
    <x v="0"/>
    <m/>
    <m/>
    <x v="0"/>
    <m/>
    <m/>
    <m/>
    <m/>
    <n v="0"/>
    <n v="0"/>
    <n v="0"/>
    <n v="0"/>
    <e v="#DIV/0!"/>
  </r>
  <r>
    <x v="1"/>
    <x v="0"/>
    <m/>
    <m/>
    <x v="0"/>
    <m/>
    <m/>
    <m/>
    <m/>
    <n v="0"/>
    <n v="0"/>
    <n v="0"/>
    <n v="0"/>
    <e v="#DIV/0!"/>
  </r>
  <r>
    <x v="1"/>
    <x v="0"/>
    <m/>
    <m/>
    <x v="0"/>
    <m/>
    <m/>
    <m/>
    <m/>
    <n v="0"/>
    <n v="0"/>
    <n v="0"/>
    <n v="0"/>
    <e v="#DIV/0!"/>
  </r>
  <r>
    <x v="1"/>
    <x v="0"/>
    <m/>
    <m/>
    <x v="0"/>
    <m/>
    <m/>
    <m/>
    <m/>
    <n v="0"/>
    <n v="0"/>
    <n v="0"/>
    <n v="0"/>
    <e v="#DIV/0!"/>
  </r>
  <r>
    <x v="1"/>
    <x v="0"/>
    <m/>
    <m/>
    <x v="0"/>
    <m/>
    <m/>
    <m/>
    <m/>
    <n v="0"/>
    <n v="0"/>
    <n v="0"/>
    <n v="0"/>
    <e v="#DIV/0!"/>
  </r>
  <r>
    <x v="2"/>
    <x v="0"/>
    <m/>
    <m/>
    <x v="0"/>
    <m/>
    <m/>
    <m/>
    <m/>
    <n v="0"/>
    <n v="0"/>
    <n v="0"/>
    <n v="0"/>
    <e v="#DIV/0!"/>
  </r>
  <r>
    <x v="2"/>
    <x v="0"/>
    <m/>
    <m/>
    <x v="0"/>
    <m/>
    <m/>
    <m/>
    <m/>
    <n v="0"/>
    <n v="0"/>
    <n v="0"/>
    <n v="0"/>
    <e v="#DIV/0!"/>
  </r>
  <r>
    <x v="2"/>
    <x v="0"/>
    <m/>
    <m/>
    <x v="0"/>
    <m/>
    <m/>
    <m/>
    <m/>
    <n v="0"/>
    <n v="0"/>
    <n v="0"/>
    <n v="0"/>
    <e v="#DIV/0!"/>
  </r>
  <r>
    <x v="2"/>
    <x v="0"/>
    <m/>
    <m/>
    <x v="0"/>
    <m/>
    <m/>
    <m/>
    <m/>
    <n v="0"/>
    <n v="0"/>
    <n v="0"/>
    <n v="0"/>
    <e v="#DIV/0!"/>
  </r>
  <r>
    <x v="2"/>
    <x v="0"/>
    <m/>
    <m/>
    <x v="0"/>
    <m/>
    <m/>
    <m/>
    <m/>
    <n v="0"/>
    <n v="0"/>
    <n v="0"/>
    <n v="0"/>
    <e v="#DIV/0!"/>
  </r>
  <r>
    <x v="2"/>
    <x v="0"/>
    <m/>
    <m/>
    <x v="0"/>
    <m/>
    <m/>
    <m/>
    <m/>
    <n v="0"/>
    <n v="0"/>
    <n v="0"/>
    <n v="0"/>
    <e v="#DIV/0!"/>
  </r>
  <r>
    <x v="2"/>
    <x v="0"/>
    <m/>
    <m/>
    <x v="0"/>
    <m/>
    <m/>
    <m/>
    <m/>
    <n v="0"/>
    <n v="0"/>
    <n v="0"/>
    <n v="0"/>
    <e v="#DIV/0!"/>
  </r>
  <r>
    <x v="2"/>
    <x v="0"/>
    <m/>
    <m/>
    <x v="0"/>
    <m/>
    <m/>
    <m/>
    <m/>
    <n v="0"/>
    <n v="0"/>
    <n v="0"/>
    <n v="0"/>
    <e v="#DIV/0!"/>
  </r>
  <r>
    <x v="2"/>
    <x v="0"/>
    <m/>
    <m/>
    <x v="0"/>
    <m/>
    <m/>
    <m/>
    <m/>
    <n v="0"/>
    <n v="0"/>
    <n v="0"/>
    <n v="0"/>
    <e v="#DIV/0!"/>
  </r>
  <r>
    <x v="2"/>
    <x v="0"/>
    <m/>
    <m/>
    <x v="0"/>
    <m/>
    <m/>
    <m/>
    <m/>
    <n v="0"/>
    <n v="0"/>
    <n v="0"/>
    <n v="0"/>
    <e v="#DIV/0!"/>
  </r>
  <r>
    <x v="2"/>
    <x v="0"/>
    <m/>
    <m/>
    <x v="0"/>
    <m/>
    <m/>
    <m/>
    <m/>
    <n v="0"/>
    <n v="0"/>
    <n v="0"/>
    <n v="0"/>
    <e v="#DIV/0!"/>
  </r>
  <r>
    <x v="2"/>
    <x v="0"/>
    <m/>
    <m/>
    <x v="0"/>
    <m/>
    <m/>
    <m/>
    <m/>
    <n v="0"/>
    <n v="0"/>
    <n v="0"/>
    <n v="0"/>
    <e v="#DIV/0!"/>
  </r>
  <r>
    <x v="2"/>
    <x v="0"/>
    <m/>
    <m/>
    <x v="0"/>
    <m/>
    <m/>
    <m/>
    <m/>
    <n v="0"/>
    <n v="0"/>
    <n v="0"/>
    <n v="0"/>
    <e v="#DIV/0!"/>
  </r>
  <r>
    <x v="2"/>
    <x v="0"/>
    <m/>
    <m/>
    <x v="0"/>
    <m/>
    <m/>
    <m/>
    <m/>
    <n v="0"/>
    <n v="0"/>
    <n v="0"/>
    <n v="0"/>
    <e v="#DIV/0!"/>
  </r>
  <r>
    <x v="2"/>
    <x v="0"/>
    <m/>
    <m/>
    <x v="0"/>
    <m/>
    <m/>
    <m/>
    <m/>
    <n v="0"/>
    <n v="0"/>
    <n v="0"/>
    <n v="0"/>
    <e v="#DIV/0!"/>
  </r>
  <r>
    <x v="2"/>
    <x v="0"/>
    <m/>
    <m/>
    <x v="0"/>
    <m/>
    <m/>
    <m/>
    <m/>
    <n v="0"/>
    <n v="0"/>
    <n v="0"/>
    <n v="0"/>
    <e v="#DIV/0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P5:T8" firstHeaderRow="1" firstDataRow="2" firstDataCol="1" rowPageCount="1" colPageCount="1"/>
  <pivotFields count="14">
    <pivotField axis="axisCol" showAll="0">
      <items count="4">
        <item x="0"/>
        <item x="1"/>
        <item x="2"/>
        <item t="default"/>
      </items>
    </pivotField>
    <pivotField axis="axisPage" showAll="0" sortType="ascending">
      <items count="26">
        <item m="1" x="1"/>
        <item m="1" x="17"/>
        <item m="1" x="18"/>
        <item m="1" x="19"/>
        <item m="1" x="20"/>
        <item m="1" x="21"/>
        <item m="1" x="22"/>
        <item m="1" x="23"/>
        <item m="1" x="16"/>
        <item m="1" x="14"/>
        <item m="1" x="15"/>
        <item m="1" x="9"/>
        <item m="1" x="10"/>
        <item m="1" x="11"/>
        <item m="1" x="12"/>
        <item m="1" x="13"/>
        <item m="1" x="2"/>
        <item m="1" x="3"/>
        <item m="1" x="4"/>
        <item m="1" x="5"/>
        <item m="1" x="6"/>
        <item m="1" x="7"/>
        <item m="1" x="8"/>
        <item m="1" x="24"/>
        <item x="0"/>
        <item t="default"/>
      </items>
    </pivotField>
    <pivotField showAll="0"/>
    <pivotField showAll="0"/>
    <pivotField axis="axisRow" showAll="0" sortType="ascending">
      <items count="58">
        <item m="1" x="2"/>
        <item m="1" x="4"/>
        <item m="1" x="3"/>
        <item m="1" x="27"/>
        <item m="1" x="26"/>
        <item m="1" x="43"/>
        <item m="1" x="23"/>
        <item m="1" x="35"/>
        <item m="1" x="30"/>
        <item m="1" x="28"/>
        <item m="1" x="29"/>
        <item m="1" x="9"/>
        <item m="1" x="51"/>
        <item m="1" x="7"/>
        <item m="1" x="44"/>
        <item m="1" x="24"/>
        <item m="1" x="21"/>
        <item m="1" x="47"/>
        <item m="1" x="50"/>
        <item m="1" x="55"/>
        <item m="1" x="22"/>
        <item m="1" x="25"/>
        <item m="1" x="11"/>
        <item m="1" x="46"/>
        <item m="1" x="10"/>
        <item m="1" x="6"/>
        <item m="1" x="53"/>
        <item m="1" x="12"/>
        <item m="1" x="36"/>
        <item m="1" x="37"/>
        <item m="1" x="38"/>
        <item m="1" x="56"/>
        <item m="1" x="54"/>
        <item m="1" x="5"/>
        <item m="1" x="41"/>
        <item m="1" x="39"/>
        <item m="1" x="13"/>
        <item m="1" x="1"/>
        <item m="1" x="17"/>
        <item m="1" x="16"/>
        <item m="1" x="19"/>
        <item m="1" x="20"/>
        <item m="1" x="49"/>
        <item m="1" x="48"/>
        <item m="1" x="15"/>
        <item m="1" x="18"/>
        <item m="1" x="42"/>
        <item m="1" x="40"/>
        <item m="1" x="52"/>
        <item m="1" x="34"/>
        <item m="1" x="32"/>
        <item m="1" x="31"/>
        <item m="1" x="33"/>
        <item m="1" x="45"/>
        <item m="1" x="8"/>
        <item m="1" x="14"/>
        <item x="0"/>
        <item t="default"/>
      </items>
    </pivotField>
    <pivotField showAll="0"/>
    <pivotField showAll="0"/>
    <pivotField dataField="1" showAll="0"/>
    <pivotField showAll="0"/>
    <pivotField numFmtId="171" showAll="0"/>
    <pivotField showAll="0"/>
    <pivotField showAll="0"/>
    <pivotField numFmtId="171" showAll="0"/>
    <pivotField showAll="0"/>
  </pivotFields>
  <rowFields count="1">
    <field x="4"/>
  </rowFields>
  <rowItems count="2">
    <i>
      <x v="56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pageFields count="1">
    <pageField fld="1" hier="-1"/>
  </pageFields>
  <dataFields count="1">
    <dataField name="Suma de CANTIDAD" fld="7" baseField="0" baseItem="0"/>
  </dataFields>
  <formats count="30">
    <format dxfId="32">
      <pivotArea outline="0" collapsedLevelsAreSubtotals="1" fieldPosition="0"/>
    </format>
    <format dxfId="31">
      <pivotArea field="4" type="button" dataOnly="0" labelOnly="1" outline="0" axis="axisRow" fieldPosition="0"/>
    </format>
    <format dxfId="30">
      <pivotArea dataOnly="0" labelOnly="1" grandRow="1" outline="0" fieldPosition="0"/>
    </format>
    <format dxfId="29">
      <pivotArea dataOnly="0" labelOnly="1" grandCol="1" outline="0" fieldPosition="0"/>
    </format>
    <format dxfId="28">
      <pivotArea collapsedLevelsAreSubtotals="1" fieldPosition="0">
        <references count="1">
          <reference field="4" count="1">
            <x v="6"/>
          </reference>
        </references>
      </pivotArea>
    </format>
    <format dxfId="27">
      <pivotArea collapsedLevelsAreSubtotals="1" fieldPosition="0">
        <references count="1">
          <reference field="4" count="1">
            <x v="8"/>
          </reference>
        </references>
      </pivotArea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4" type="button" dataOnly="0" labelOnly="1" outline="0" axis="axisRow" fieldPosition="0"/>
    </format>
    <format dxfId="23">
      <pivotArea dataOnly="0" labelOnly="1" fieldPosition="0">
        <references count="1">
          <reference field="4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  <format dxfId="20">
      <pivotArea collapsedLevelsAreSubtotals="1" fieldPosition="0">
        <references count="1">
          <reference field="4" count="1">
            <x v="55"/>
          </reference>
        </references>
      </pivotArea>
    </format>
    <format dxfId="19">
      <pivotArea collapsedLevelsAreSubtotals="1" fieldPosition="0">
        <references count="1">
          <reference field="4" count="0"/>
        </references>
      </pivotArea>
    </format>
    <format dxfId="18">
      <pivotArea collapsedLevelsAreSubtotals="1" fieldPosition="0">
        <references count="1">
          <reference field="4" count="0"/>
        </references>
      </pivotArea>
    </format>
    <format dxfId="17">
      <pivotArea collapsedLevelsAreSubtotals="1" fieldPosition="0">
        <references count="2">
          <reference field="0" count="1" selected="0">
            <x v="1"/>
          </reference>
          <reference field="4" count="5">
            <x v="0"/>
            <x v="1"/>
            <x v="2"/>
            <x v="6"/>
            <x v="11"/>
          </reference>
        </references>
      </pivotArea>
    </format>
    <format dxfId="16">
      <pivotArea collapsedLevelsAreSubtotals="1" fieldPosition="0">
        <references count="2">
          <reference field="0" count="1" selected="0">
            <x v="1"/>
          </reference>
          <reference field="4" count="3">
            <x v="21"/>
            <x v="22"/>
            <x v="24"/>
          </reference>
        </references>
      </pivotArea>
    </format>
    <format dxfId="15">
      <pivotArea collapsedLevelsAreSubtotals="1" fieldPosition="0">
        <references count="2">
          <reference field="0" count="1" selected="0">
            <x v="1"/>
          </reference>
          <reference field="4" count="3">
            <x v="27"/>
            <x v="33"/>
            <x v="36"/>
          </reference>
        </references>
      </pivotArea>
    </format>
    <format dxfId="14">
      <pivotArea outline="0" collapsedLevelsAreSubtotals="1" fieldPosition="0">
        <references count="1">
          <reference field="0" count="0" selected="0"/>
        </references>
      </pivotArea>
    </format>
    <format dxfId="13">
      <pivotArea dataOnly="0" labelOnly="1" outline="0" fieldPosition="0">
        <references count="1">
          <reference field="1" count="0"/>
        </references>
      </pivotArea>
    </format>
    <format dxfId="12">
      <pivotArea field="0" type="button" dataOnly="0" labelOnly="1" outline="0" axis="axisCol" fieldPosition="0"/>
    </format>
    <format dxfId="11">
      <pivotArea type="topRight" dataOnly="0" labelOnly="1" outline="0" fieldPosition="0"/>
    </format>
    <format dxfId="10">
      <pivotArea dataOnly="0" labelOnly="1" fieldPosition="0">
        <references count="1">
          <reference field="0" count="0"/>
        </references>
      </pivotArea>
    </format>
    <format dxfId="9">
      <pivotArea collapsedLevelsAreSubtotals="1" fieldPosition="0">
        <references count="1">
          <reference field="4" count="5">
            <x v="0"/>
            <x v="1"/>
            <x v="2"/>
            <x v="3"/>
            <x v="4"/>
          </reference>
        </references>
      </pivotArea>
    </format>
    <format dxfId="8">
      <pivotArea field="4" type="button" dataOnly="0" labelOnly="1" outline="0" axis="axisRow" fieldPosition="0"/>
    </format>
    <format dxfId="7">
      <pivotArea dataOnly="0" labelOnly="1" fieldPosition="0">
        <references count="1">
          <reference field="4" count="5">
            <x v="0"/>
            <x v="1"/>
            <x v="2"/>
            <x v="3"/>
            <x v="4"/>
          </reference>
        </references>
      </pivotArea>
    </format>
    <format dxfId="6">
      <pivotArea dataOnly="0" labelOnly="1" fieldPosition="0">
        <references count="1">
          <reference field="0" count="0"/>
        </references>
      </pivotArea>
    </format>
    <format dxfId="5">
      <pivotArea dataOnly="0" labelOnly="1" grandCol="1" outline="0" fieldPosition="0"/>
    </format>
    <format dxfId="4">
      <pivotArea field="4" grandCol="1" collapsedLevelsAreSubtotals="1" axis="axisRow" fieldPosition="0">
        <references count="1">
          <reference field="4" count="0"/>
        </references>
      </pivotArea>
    </format>
    <format dxfId="3">
      <pivotArea collapsedLevelsAreSubtotals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1000000}" name="TablaDiná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M7:N9" firstHeaderRow="1" firstDataRow="1" firstDataCol="1" rowPageCount="1" colPageCount="1"/>
  <pivotFields count="10">
    <pivotField axis="axisPage" showAll="0">
      <items count="10">
        <item m="1" x="8"/>
        <item m="1" x="4"/>
        <item m="1" x="5"/>
        <item x="0"/>
        <item m="1" x="6"/>
        <item m="1" x="7"/>
        <item m="1" x="1"/>
        <item m="1" x="2"/>
        <item m="1" x="3"/>
        <item t="default"/>
      </items>
    </pivotField>
    <pivotField showAll="0"/>
    <pivotField dataField="1" showAll="0"/>
    <pivotField showAll="0"/>
    <pivotField axis="axisRow" showAll="0" sortType="ascending">
      <items count="7">
        <item m="1" x="4"/>
        <item m="1" x="2"/>
        <item m="1" x="3"/>
        <item m="1" x="5"/>
        <item m="1" x="1"/>
        <item x="0"/>
        <item t="default"/>
      </items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4"/>
  </rowFields>
  <rowItems count="2">
    <i>
      <x v="5"/>
    </i>
    <i t="grand">
      <x/>
    </i>
  </rowItems>
  <colItems count="1">
    <i/>
  </colItems>
  <pageFields count="1">
    <pageField fld="0" hier="-1"/>
  </pageFields>
  <dataFields count="1">
    <dataField name="Suma de CANTIDAD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6892C-ED1F-4E30-B2A7-B1024EF1277E}">
  <sheetPr>
    <tabColor rgb="FF7030A0"/>
  </sheetPr>
  <dimension ref="A1:XEW39"/>
  <sheetViews>
    <sheetView tabSelected="1" zoomScale="70" zoomScaleNormal="70" workbookViewId="0">
      <selection activeCell="P20" sqref="P20"/>
    </sheetView>
  </sheetViews>
  <sheetFormatPr baseColWidth="10" defaultColWidth="0" defaultRowHeight="15" x14ac:dyDescent="0.25"/>
  <cols>
    <col min="1" max="1" width="11" customWidth="1"/>
    <col min="2" max="2" width="38.5703125" bestFit="1" customWidth="1"/>
    <col min="3" max="3" width="9" customWidth="1"/>
    <col min="4" max="4" width="12.7109375" customWidth="1"/>
    <col min="5" max="6" width="13" customWidth="1"/>
    <col min="7" max="10" width="11.42578125" customWidth="1"/>
    <col min="11" max="11" width="12.7109375" customWidth="1"/>
    <col min="12" max="12" width="11.42578125" hidden="1" customWidth="1"/>
    <col min="13" max="13" width="14.140625" hidden="1" customWidth="1"/>
    <col min="14" max="14" width="3.28515625" customWidth="1"/>
    <col min="15" max="15" width="16" customWidth="1"/>
    <col min="16" max="20" width="11.42578125" customWidth="1"/>
    <col min="21" max="21" width="14.42578125" customWidth="1"/>
    <col min="22" max="23" width="11.42578125" hidden="1" customWidth="1"/>
    <col min="24" max="24" width="11" customWidth="1"/>
    <col min="25" max="16361" width="11" hidden="1"/>
    <col min="16378" max="16384" width="11" hidden="1"/>
  </cols>
  <sheetData>
    <row r="1" spans="1:23" s="351" customFormat="1" ht="14.25" x14ac:dyDescent="0.2">
      <c r="K1" s="352"/>
    </row>
    <row r="2" spans="1:23" s="351" customFormat="1" ht="15" customHeight="1" x14ac:dyDescent="0.25">
      <c r="A2" s="353" t="s">
        <v>0</v>
      </c>
      <c r="B2" s="353"/>
      <c r="C2" s="353"/>
      <c r="D2" s="353"/>
      <c r="E2" s="353"/>
      <c r="F2" s="353"/>
      <c r="G2" s="353"/>
      <c r="H2" s="353"/>
      <c r="I2" s="353"/>
      <c r="J2" s="353"/>
      <c r="K2" s="353"/>
      <c r="L2" s="353"/>
      <c r="M2" s="353"/>
      <c r="N2" s="353"/>
      <c r="O2" s="353"/>
      <c r="P2" s="353"/>
      <c r="Q2" s="353"/>
      <c r="R2" s="353"/>
      <c r="S2" s="353"/>
      <c r="T2" s="353"/>
      <c r="U2" s="353"/>
    </row>
    <row r="3" spans="1:23" s="351" customFormat="1" ht="15" customHeight="1" x14ac:dyDescent="0.25">
      <c r="A3" s="354" t="s">
        <v>693</v>
      </c>
      <c r="B3" s="354"/>
      <c r="C3" s="354"/>
      <c r="D3" s="354"/>
      <c r="E3" s="354"/>
      <c r="F3" s="354"/>
      <c r="G3" s="354"/>
      <c r="H3" s="354"/>
      <c r="I3" s="354"/>
      <c r="J3" s="354"/>
      <c r="K3" s="354"/>
      <c r="L3" s="354"/>
      <c r="M3" s="354"/>
      <c r="N3" s="354"/>
      <c r="O3" s="354"/>
      <c r="P3" s="354"/>
      <c r="Q3" s="354"/>
      <c r="R3" s="354"/>
      <c r="S3" s="354"/>
      <c r="T3" s="354"/>
      <c r="U3" s="354"/>
    </row>
    <row r="4" spans="1:23" s="351" customFormat="1" ht="15" customHeight="1" x14ac:dyDescent="0.25">
      <c r="A4" s="353" t="s">
        <v>746</v>
      </c>
      <c r="B4" s="353"/>
      <c r="C4" s="353"/>
      <c r="D4" s="353"/>
      <c r="E4" s="353"/>
      <c r="F4" s="353"/>
      <c r="G4" s="353"/>
      <c r="H4" s="353"/>
      <c r="I4" s="353"/>
      <c r="J4" s="353"/>
      <c r="K4" s="353"/>
      <c r="L4" s="353"/>
      <c r="M4" s="353"/>
      <c r="N4" s="353"/>
      <c r="O4" s="353"/>
      <c r="P4" s="353"/>
      <c r="Q4" s="353"/>
      <c r="R4" s="353"/>
      <c r="S4" s="353"/>
      <c r="T4" s="353"/>
      <c r="U4" s="353"/>
    </row>
    <row r="7" spans="1:23" ht="45" x14ac:dyDescent="0.25">
      <c r="A7" s="355" t="s">
        <v>2</v>
      </c>
      <c r="B7" s="355" t="s">
        <v>4</v>
      </c>
      <c r="C7" s="355" t="s">
        <v>391</v>
      </c>
      <c r="D7" s="278" t="s">
        <v>694</v>
      </c>
      <c r="E7" s="278" t="s">
        <v>747</v>
      </c>
      <c r="F7" s="356" t="s">
        <v>695</v>
      </c>
      <c r="G7" s="355" t="s">
        <v>559</v>
      </c>
      <c r="H7" s="356" t="s">
        <v>696</v>
      </c>
      <c r="I7" s="356" t="s">
        <v>22</v>
      </c>
      <c r="J7" s="356" t="s">
        <v>697</v>
      </c>
      <c r="K7" s="356" t="s">
        <v>676</v>
      </c>
      <c r="L7" s="356" t="s">
        <v>698</v>
      </c>
      <c r="M7" s="356" t="s">
        <v>421</v>
      </c>
      <c r="O7" s="356" t="s">
        <v>15</v>
      </c>
      <c r="P7" s="356" t="s">
        <v>16</v>
      </c>
      <c r="Q7" s="356" t="s">
        <v>17</v>
      </c>
      <c r="R7" s="356" t="s">
        <v>18</v>
      </c>
      <c r="S7" s="356" t="s">
        <v>19</v>
      </c>
      <c r="T7" s="356" t="s">
        <v>20</v>
      </c>
      <c r="U7" s="356" t="s">
        <v>21</v>
      </c>
      <c r="V7" s="357" t="s">
        <v>699</v>
      </c>
      <c r="W7" s="358"/>
    </row>
    <row r="8" spans="1:23" ht="15.75" x14ac:dyDescent="0.25">
      <c r="A8" s="21" t="s">
        <v>700</v>
      </c>
      <c r="B8" s="359" t="s">
        <v>701</v>
      </c>
      <c r="C8" s="359" t="s">
        <v>389</v>
      </c>
      <c r="D8" s="360">
        <v>59.45</v>
      </c>
      <c r="E8" s="360">
        <v>59.45</v>
      </c>
      <c r="F8" s="361">
        <v>1</v>
      </c>
      <c r="G8" s="361">
        <v>0</v>
      </c>
      <c r="H8" s="361">
        <v>0</v>
      </c>
      <c r="I8" s="361">
        <v>0</v>
      </c>
      <c r="J8" s="361">
        <v>0</v>
      </c>
      <c r="K8" s="361">
        <f t="shared" ref="K8:K28" si="0">F8+G8+H8-I8-J8</f>
        <v>1</v>
      </c>
      <c r="L8" s="362">
        <v>1</v>
      </c>
      <c r="M8" s="363">
        <f t="shared" ref="M8:M28" si="1">L8-K8</f>
        <v>0</v>
      </c>
      <c r="N8" s="364"/>
      <c r="O8" s="365">
        <f t="shared" ref="O8:O28" si="2">F8*D8</f>
        <v>59.45</v>
      </c>
      <c r="P8" s="365">
        <v>0</v>
      </c>
      <c r="Q8" s="365">
        <f t="shared" ref="Q8:Q28" si="3">G8*E8</f>
        <v>0</v>
      </c>
      <c r="R8" s="365">
        <f t="shared" ref="R8:R28" si="4">H8*E8</f>
        <v>0</v>
      </c>
      <c r="S8" s="365">
        <f t="shared" ref="S8:S28" si="5">I8*E8</f>
        <v>0</v>
      </c>
      <c r="T8" s="365">
        <f t="shared" ref="T8:T28" si="6">J8*E8</f>
        <v>0</v>
      </c>
      <c r="U8" s="365">
        <f t="shared" ref="U8:U28" si="7">O8+P8+Q8+R8-S8-T8</f>
        <v>59.45</v>
      </c>
      <c r="V8" s="366">
        <v>59.45</v>
      </c>
      <c r="W8" s="367">
        <v>0</v>
      </c>
    </row>
    <row r="9" spans="1:23" ht="15.75" x14ac:dyDescent="0.25">
      <c r="A9" s="21" t="s">
        <v>702</v>
      </c>
      <c r="B9" s="359" t="s">
        <v>703</v>
      </c>
      <c r="C9" s="359" t="s">
        <v>389</v>
      </c>
      <c r="D9" s="360">
        <v>95.55</v>
      </c>
      <c r="E9" s="360">
        <v>95.55</v>
      </c>
      <c r="F9" s="361">
        <v>1</v>
      </c>
      <c r="G9" s="361">
        <v>0</v>
      </c>
      <c r="H9" s="361">
        <v>0</v>
      </c>
      <c r="I9" s="361">
        <v>0</v>
      </c>
      <c r="J9" s="361">
        <v>0</v>
      </c>
      <c r="K9" s="361">
        <f t="shared" si="0"/>
        <v>1</v>
      </c>
      <c r="L9" s="362">
        <v>1</v>
      </c>
      <c r="M9" s="363">
        <f t="shared" si="1"/>
        <v>0</v>
      </c>
      <c r="N9" s="364"/>
      <c r="O9" s="365">
        <f t="shared" si="2"/>
        <v>95.55</v>
      </c>
      <c r="P9" s="365">
        <v>0</v>
      </c>
      <c r="Q9" s="365">
        <f t="shared" si="3"/>
        <v>0</v>
      </c>
      <c r="R9" s="365">
        <f t="shared" si="4"/>
        <v>0</v>
      </c>
      <c r="S9" s="365">
        <f t="shared" si="5"/>
        <v>0</v>
      </c>
      <c r="T9" s="365">
        <f t="shared" si="6"/>
        <v>0</v>
      </c>
      <c r="U9" s="365">
        <f t="shared" si="7"/>
        <v>95.55</v>
      </c>
      <c r="V9" s="366">
        <v>54.22</v>
      </c>
      <c r="W9" s="367">
        <v>0</v>
      </c>
    </row>
    <row r="10" spans="1:23" ht="15.75" x14ac:dyDescent="0.25">
      <c r="A10" s="21" t="s">
        <v>704</v>
      </c>
      <c r="B10" s="359" t="s">
        <v>705</v>
      </c>
      <c r="C10" s="359" t="s">
        <v>389</v>
      </c>
      <c r="D10" s="360">
        <v>36.159999999999997</v>
      </c>
      <c r="E10" s="360">
        <v>36.159999999999997</v>
      </c>
      <c r="F10" s="361">
        <v>1</v>
      </c>
      <c r="G10" s="361">
        <v>0</v>
      </c>
      <c r="H10" s="361">
        <v>0</v>
      </c>
      <c r="I10" s="361">
        <v>0</v>
      </c>
      <c r="J10" s="361">
        <v>0</v>
      </c>
      <c r="K10" s="361">
        <f t="shared" si="0"/>
        <v>1</v>
      </c>
      <c r="L10" s="362">
        <v>1</v>
      </c>
      <c r="M10" s="363">
        <f t="shared" si="1"/>
        <v>0</v>
      </c>
      <c r="N10" s="364"/>
      <c r="O10" s="365">
        <f t="shared" si="2"/>
        <v>36.159999999999997</v>
      </c>
      <c r="P10" s="365">
        <v>0</v>
      </c>
      <c r="Q10" s="365">
        <f t="shared" si="3"/>
        <v>0</v>
      </c>
      <c r="R10" s="365">
        <f t="shared" si="4"/>
        <v>0</v>
      </c>
      <c r="S10" s="365">
        <f t="shared" si="5"/>
        <v>0</v>
      </c>
      <c r="T10" s="365">
        <f t="shared" si="6"/>
        <v>0</v>
      </c>
      <c r="U10" s="365">
        <f t="shared" si="7"/>
        <v>36.159999999999997</v>
      </c>
      <c r="V10" s="366">
        <v>95.55</v>
      </c>
      <c r="W10" s="367">
        <v>0</v>
      </c>
    </row>
    <row r="11" spans="1:23" ht="15.75" x14ac:dyDescent="0.25">
      <c r="A11" s="21" t="s">
        <v>706</v>
      </c>
      <c r="B11" s="359" t="s">
        <v>707</v>
      </c>
      <c r="C11" s="359" t="s">
        <v>389</v>
      </c>
      <c r="D11" s="360">
        <v>142.15</v>
      </c>
      <c r="E11" s="360">
        <v>142.15</v>
      </c>
      <c r="F11" s="361">
        <v>3</v>
      </c>
      <c r="G11" s="361">
        <v>0</v>
      </c>
      <c r="H11" s="361">
        <v>0</v>
      </c>
      <c r="I11" s="361">
        <v>0</v>
      </c>
      <c r="J11" s="361">
        <v>0</v>
      </c>
      <c r="K11" s="361">
        <f t="shared" si="0"/>
        <v>3</v>
      </c>
      <c r="L11" s="362">
        <v>3</v>
      </c>
      <c r="M11" s="363">
        <f t="shared" si="1"/>
        <v>0</v>
      </c>
      <c r="N11" s="364"/>
      <c r="O11" s="365">
        <f t="shared" si="2"/>
        <v>426.45000000000005</v>
      </c>
      <c r="P11" s="365">
        <v>0</v>
      </c>
      <c r="Q11" s="365">
        <f t="shared" si="3"/>
        <v>0</v>
      </c>
      <c r="R11" s="365">
        <f t="shared" si="4"/>
        <v>0</v>
      </c>
      <c r="S11" s="365">
        <f t="shared" si="5"/>
        <v>0</v>
      </c>
      <c r="T11" s="365">
        <f t="shared" si="6"/>
        <v>0</v>
      </c>
      <c r="U11" s="365">
        <f t="shared" si="7"/>
        <v>426.45000000000005</v>
      </c>
      <c r="V11" s="366">
        <v>36.159999999999997</v>
      </c>
      <c r="W11" s="367">
        <v>0</v>
      </c>
    </row>
    <row r="12" spans="1:23" ht="15.75" x14ac:dyDescent="0.25">
      <c r="A12" s="21" t="s">
        <v>708</v>
      </c>
      <c r="B12" s="359" t="s">
        <v>709</v>
      </c>
      <c r="C12" s="359" t="s">
        <v>389</v>
      </c>
      <c r="D12" s="360">
        <v>32.950000000000003</v>
      </c>
      <c r="E12" s="360">
        <v>32.950000000000003</v>
      </c>
      <c r="F12" s="361">
        <v>2</v>
      </c>
      <c r="G12" s="361">
        <v>0</v>
      </c>
      <c r="H12" s="361">
        <v>0</v>
      </c>
      <c r="I12" s="361">
        <v>0</v>
      </c>
      <c r="J12" s="361">
        <v>0</v>
      </c>
      <c r="K12" s="361">
        <f t="shared" si="0"/>
        <v>2</v>
      </c>
      <c r="L12" s="362">
        <v>2</v>
      </c>
      <c r="M12" s="363">
        <f t="shared" si="1"/>
        <v>0</v>
      </c>
      <c r="N12" s="364"/>
      <c r="O12" s="365">
        <f t="shared" si="2"/>
        <v>65.900000000000006</v>
      </c>
      <c r="P12" s="365">
        <v>0</v>
      </c>
      <c r="Q12" s="365">
        <f t="shared" si="3"/>
        <v>0</v>
      </c>
      <c r="R12" s="365">
        <f t="shared" si="4"/>
        <v>0</v>
      </c>
      <c r="S12" s="365">
        <f t="shared" si="5"/>
        <v>0</v>
      </c>
      <c r="T12" s="365">
        <f t="shared" si="6"/>
        <v>0</v>
      </c>
      <c r="U12" s="365">
        <f t="shared" si="7"/>
        <v>65.900000000000006</v>
      </c>
      <c r="V12" s="366">
        <v>426.45000000000005</v>
      </c>
      <c r="W12" s="367">
        <v>0</v>
      </c>
    </row>
    <row r="13" spans="1:23" ht="15.75" x14ac:dyDescent="0.25">
      <c r="A13" s="21" t="s">
        <v>710</v>
      </c>
      <c r="B13" s="359" t="s">
        <v>711</v>
      </c>
      <c r="C13" s="359" t="s">
        <v>389</v>
      </c>
      <c r="D13" s="360">
        <v>528.26</v>
      </c>
      <c r="E13" s="360">
        <v>528.26</v>
      </c>
      <c r="F13" s="361">
        <v>2</v>
      </c>
      <c r="G13" s="361">
        <v>0</v>
      </c>
      <c r="H13" s="361">
        <v>0</v>
      </c>
      <c r="I13" s="361">
        <v>0</v>
      </c>
      <c r="J13" s="361">
        <v>0</v>
      </c>
      <c r="K13" s="361">
        <f t="shared" si="0"/>
        <v>2</v>
      </c>
      <c r="L13" s="362">
        <v>2</v>
      </c>
      <c r="M13" s="363">
        <f t="shared" si="1"/>
        <v>0</v>
      </c>
      <c r="N13" s="364"/>
      <c r="O13" s="365">
        <f t="shared" si="2"/>
        <v>1056.52</v>
      </c>
      <c r="P13" s="365">
        <v>0</v>
      </c>
      <c r="Q13" s="365">
        <f t="shared" si="3"/>
        <v>0</v>
      </c>
      <c r="R13" s="365">
        <f t="shared" si="4"/>
        <v>0</v>
      </c>
      <c r="S13" s="365">
        <f t="shared" si="5"/>
        <v>0</v>
      </c>
      <c r="T13" s="365">
        <f t="shared" si="6"/>
        <v>0</v>
      </c>
      <c r="U13" s="365">
        <f t="shared" si="7"/>
        <v>1056.52</v>
      </c>
      <c r="V13" s="366">
        <v>11.98</v>
      </c>
      <c r="W13" s="367">
        <v>0</v>
      </c>
    </row>
    <row r="14" spans="1:23" ht="15.75" x14ac:dyDescent="0.25">
      <c r="A14" s="21" t="s">
        <v>712</v>
      </c>
      <c r="B14" s="359" t="s">
        <v>713</v>
      </c>
      <c r="C14" s="359" t="s">
        <v>389</v>
      </c>
      <c r="D14" s="360">
        <v>2059.48</v>
      </c>
      <c r="E14" s="360">
        <v>2059.48</v>
      </c>
      <c r="F14" s="361">
        <v>2</v>
      </c>
      <c r="G14" s="361">
        <v>0</v>
      </c>
      <c r="H14" s="361">
        <v>0</v>
      </c>
      <c r="I14" s="361">
        <v>0</v>
      </c>
      <c r="J14" s="361">
        <v>0</v>
      </c>
      <c r="K14" s="361">
        <f t="shared" si="0"/>
        <v>2</v>
      </c>
      <c r="L14" s="362">
        <v>2</v>
      </c>
      <c r="M14" s="363">
        <f t="shared" si="1"/>
        <v>0</v>
      </c>
      <c r="N14" s="364"/>
      <c r="O14" s="365">
        <f t="shared" si="2"/>
        <v>4118.96</v>
      </c>
      <c r="P14" s="365">
        <v>0</v>
      </c>
      <c r="Q14" s="365">
        <f t="shared" si="3"/>
        <v>0</v>
      </c>
      <c r="R14" s="365">
        <f t="shared" si="4"/>
        <v>0</v>
      </c>
      <c r="S14" s="365">
        <f t="shared" si="5"/>
        <v>0</v>
      </c>
      <c r="T14" s="365">
        <f t="shared" si="6"/>
        <v>0</v>
      </c>
      <c r="U14" s="365">
        <f t="shared" si="7"/>
        <v>4118.96</v>
      </c>
      <c r="V14" s="366">
        <v>23.96</v>
      </c>
      <c r="W14" s="367">
        <v>0</v>
      </c>
    </row>
    <row r="15" spans="1:23" ht="15.75" x14ac:dyDescent="0.25">
      <c r="A15" s="21" t="s">
        <v>714</v>
      </c>
      <c r="B15" s="359" t="s">
        <v>715</v>
      </c>
      <c r="C15" s="359" t="s">
        <v>389</v>
      </c>
      <c r="D15" s="360">
        <v>76.72</v>
      </c>
      <c r="E15" s="360">
        <v>76.72</v>
      </c>
      <c r="F15" s="361">
        <v>3</v>
      </c>
      <c r="G15" s="361">
        <v>0</v>
      </c>
      <c r="H15" s="361">
        <v>0</v>
      </c>
      <c r="I15" s="361">
        <v>0</v>
      </c>
      <c r="J15" s="361">
        <v>0</v>
      </c>
      <c r="K15" s="361">
        <f t="shared" si="0"/>
        <v>3</v>
      </c>
      <c r="L15" s="362">
        <v>3</v>
      </c>
      <c r="M15" s="363">
        <f t="shared" si="1"/>
        <v>0</v>
      </c>
      <c r="N15" s="364"/>
      <c r="O15" s="365">
        <f t="shared" si="2"/>
        <v>230.16</v>
      </c>
      <c r="P15" s="365">
        <v>0</v>
      </c>
      <c r="Q15" s="365">
        <f t="shared" si="3"/>
        <v>0</v>
      </c>
      <c r="R15" s="365">
        <f t="shared" si="4"/>
        <v>0</v>
      </c>
      <c r="S15" s="365">
        <f t="shared" si="5"/>
        <v>0</v>
      </c>
      <c r="T15" s="365">
        <f t="shared" si="6"/>
        <v>0</v>
      </c>
      <c r="U15" s="365">
        <f t="shared" si="7"/>
        <v>230.16</v>
      </c>
      <c r="V15" s="366">
        <v>65.900000000000006</v>
      </c>
      <c r="W15" s="367">
        <v>0</v>
      </c>
    </row>
    <row r="16" spans="1:23" ht="15.75" x14ac:dyDescent="0.25">
      <c r="A16" s="21" t="s">
        <v>716</v>
      </c>
      <c r="B16" s="359" t="s">
        <v>717</v>
      </c>
      <c r="C16" s="359" t="s">
        <v>389</v>
      </c>
      <c r="D16" s="360">
        <v>114.22</v>
      </c>
      <c r="E16" s="360">
        <v>114.22</v>
      </c>
      <c r="F16" s="361">
        <v>2</v>
      </c>
      <c r="G16" s="361">
        <v>0</v>
      </c>
      <c r="H16" s="361">
        <v>0</v>
      </c>
      <c r="I16" s="361">
        <v>0</v>
      </c>
      <c r="J16" s="361">
        <v>0</v>
      </c>
      <c r="K16" s="361">
        <f t="shared" si="0"/>
        <v>2</v>
      </c>
      <c r="L16" s="362">
        <v>2</v>
      </c>
      <c r="M16" s="363">
        <f t="shared" si="1"/>
        <v>0</v>
      </c>
      <c r="N16" s="364"/>
      <c r="O16" s="365">
        <f t="shared" si="2"/>
        <v>228.44</v>
      </c>
      <c r="P16" s="365">
        <v>0</v>
      </c>
      <c r="Q16" s="365">
        <f t="shared" si="3"/>
        <v>0</v>
      </c>
      <c r="R16" s="365">
        <f t="shared" si="4"/>
        <v>0</v>
      </c>
      <c r="S16" s="365">
        <f t="shared" si="5"/>
        <v>0</v>
      </c>
      <c r="T16" s="365">
        <f t="shared" si="6"/>
        <v>0</v>
      </c>
      <c r="U16" s="365">
        <f t="shared" si="7"/>
        <v>228.44</v>
      </c>
      <c r="V16" s="366">
        <v>1056.52</v>
      </c>
      <c r="W16" s="367">
        <v>0</v>
      </c>
    </row>
    <row r="17" spans="1:23" ht="15.75" x14ac:dyDescent="0.25">
      <c r="A17" s="21" t="s">
        <v>718</v>
      </c>
      <c r="B17" s="359" t="s">
        <v>719</v>
      </c>
      <c r="C17" s="359" t="s">
        <v>389</v>
      </c>
      <c r="D17" s="360">
        <v>415.52</v>
      </c>
      <c r="E17" s="360">
        <v>415.52</v>
      </c>
      <c r="F17" s="361">
        <v>1</v>
      </c>
      <c r="G17" s="361">
        <v>0</v>
      </c>
      <c r="H17" s="361">
        <v>0</v>
      </c>
      <c r="I17" s="361">
        <v>0</v>
      </c>
      <c r="J17" s="361">
        <v>0</v>
      </c>
      <c r="K17" s="361">
        <f t="shared" si="0"/>
        <v>1</v>
      </c>
      <c r="L17" s="362">
        <v>1</v>
      </c>
      <c r="M17" s="363">
        <f t="shared" si="1"/>
        <v>0</v>
      </c>
      <c r="N17" s="364"/>
      <c r="O17" s="365">
        <f t="shared" si="2"/>
        <v>415.52</v>
      </c>
      <c r="P17" s="365">
        <v>0</v>
      </c>
      <c r="Q17" s="365">
        <f t="shared" si="3"/>
        <v>0</v>
      </c>
      <c r="R17" s="365">
        <f t="shared" si="4"/>
        <v>0</v>
      </c>
      <c r="S17" s="365">
        <f t="shared" si="5"/>
        <v>0</v>
      </c>
      <c r="T17" s="365">
        <f t="shared" si="6"/>
        <v>0</v>
      </c>
      <c r="U17" s="365">
        <f t="shared" si="7"/>
        <v>415.52</v>
      </c>
      <c r="V17" s="366">
        <v>4118.96</v>
      </c>
      <c r="W17" s="367">
        <v>0</v>
      </c>
    </row>
    <row r="18" spans="1:23" ht="15.75" x14ac:dyDescent="0.25">
      <c r="A18" s="21" t="s">
        <v>720</v>
      </c>
      <c r="B18" s="359" t="s">
        <v>721</v>
      </c>
      <c r="C18" s="359" t="s">
        <v>389</v>
      </c>
      <c r="D18" s="360">
        <v>94.82</v>
      </c>
      <c r="E18" s="360">
        <v>94.82</v>
      </c>
      <c r="F18" s="361">
        <v>2</v>
      </c>
      <c r="G18" s="361">
        <v>0</v>
      </c>
      <c r="H18" s="361">
        <v>0</v>
      </c>
      <c r="I18" s="361">
        <v>0</v>
      </c>
      <c r="J18" s="361">
        <v>0</v>
      </c>
      <c r="K18" s="361">
        <f t="shared" si="0"/>
        <v>2</v>
      </c>
      <c r="L18" s="362">
        <v>2</v>
      </c>
      <c r="M18" s="363">
        <f t="shared" si="1"/>
        <v>0</v>
      </c>
      <c r="N18" s="364"/>
      <c r="O18" s="365">
        <f t="shared" si="2"/>
        <v>189.64</v>
      </c>
      <c r="P18" s="365">
        <v>0</v>
      </c>
      <c r="Q18" s="365">
        <f t="shared" si="3"/>
        <v>0</v>
      </c>
      <c r="R18" s="365">
        <f t="shared" si="4"/>
        <v>0</v>
      </c>
      <c r="S18" s="365">
        <f t="shared" si="5"/>
        <v>0</v>
      </c>
      <c r="T18" s="365">
        <f t="shared" si="6"/>
        <v>0</v>
      </c>
      <c r="U18" s="365">
        <f t="shared" si="7"/>
        <v>189.64</v>
      </c>
      <c r="V18" s="366">
        <v>51.36</v>
      </c>
      <c r="W18" s="367">
        <v>0</v>
      </c>
    </row>
    <row r="19" spans="1:23" ht="15.75" x14ac:dyDescent="0.25">
      <c r="A19" s="21" t="s">
        <v>722</v>
      </c>
      <c r="B19" s="359" t="s">
        <v>723</v>
      </c>
      <c r="C19" s="359" t="s">
        <v>389</v>
      </c>
      <c r="D19" s="360">
        <v>19.73</v>
      </c>
      <c r="E19" s="360">
        <v>19.73</v>
      </c>
      <c r="F19" s="361">
        <v>2</v>
      </c>
      <c r="G19" s="361">
        <v>0</v>
      </c>
      <c r="H19" s="361">
        <v>0</v>
      </c>
      <c r="I19" s="361">
        <v>0</v>
      </c>
      <c r="J19" s="361">
        <v>0</v>
      </c>
      <c r="K19" s="361">
        <f t="shared" si="0"/>
        <v>2</v>
      </c>
      <c r="L19" s="362">
        <v>2</v>
      </c>
      <c r="M19" s="363">
        <f t="shared" si="1"/>
        <v>0</v>
      </c>
      <c r="N19" s="364"/>
      <c r="O19" s="365">
        <f t="shared" si="2"/>
        <v>39.46</v>
      </c>
      <c r="P19" s="365">
        <v>0</v>
      </c>
      <c r="Q19" s="365">
        <f t="shared" si="3"/>
        <v>0</v>
      </c>
      <c r="R19" s="365">
        <f t="shared" si="4"/>
        <v>0</v>
      </c>
      <c r="S19" s="365">
        <f t="shared" si="5"/>
        <v>0</v>
      </c>
      <c r="T19" s="365">
        <f t="shared" si="6"/>
        <v>0</v>
      </c>
      <c r="U19" s="365">
        <f t="shared" si="7"/>
        <v>39.46</v>
      </c>
      <c r="V19" s="366">
        <v>5.13</v>
      </c>
      <c r="W19" s="367">
        <v>0</v>
      </c>
    </row>
    <row r="20" spans="1:23" ht="15.75" x14ac:dyDescent="0.25">
      <c r="A20" s="21" t="s">
        <v>724</v>
      </c>
      <c r="B20" s="359" t="s">
        <v>725</v>
      </c>
      <c r="C20" s="359" t="s">
        <v>389</v>
      </c>
      <c r="D20" s="360">
        <v>257.76</v>
      </c>
      <c r="E20" s="360">
        <v>257.76</v>
      </c>
      <c r="F20" s="361">
        <v>1</v>
      </c>
      <c r="G20" s="361">
        <v>0</v>
      </c>
      <c r="H20" s="361">
        <v>0</v>
      </c>
      <c r="I20" s="361">
        <v>0</v>
      </c>
      <c r="J20" s="361">
        <v>0</v>
      </c>
      <c r="K20" s="361">
        <f t="shared" si="0"/>
        <v>1</v>
      </c>
      <c r="L20" s="362">
        <v>1</v>
      </c>
      <c r="M20" s="363">
        <f t="shared" si="1"/>
        <v>0</v>
      </c>
      <c r="N20" s="364"/>
      <c r="O20" s="365">
        <f t="shared" si="2"/>
        <v>257.76</v>
      </c>
      <c r="P20" s="365">
        <v>0</v>
      </c>
      <c r="Q20" s="365">
        <f t="shared" si="3"/>
        <v>0</v>
      </c>
      <c r="R20" s="365">
        <f t="shared" si="4"/>
        <v>0</v>
      </c>
      <c r="S20" s="365">
        <f t="shared" si="5"/>
        <v>0</v>
      </c>
      <c r="T20" s="365">
        <f t="shared" si="6"/>
        <v>0</v>
      </c>
      <c r="U20" s="365">
        <f t="shared" si="7"/>
        <v>257.76</v>
      </c>
      <c r="V20" s="366">
        <v>230.16</v>
      </c>
      <c r="W20" s="367">
        <v>0</v>
      </c>
    </row>
    <row r="21" spans="1:23" ht="15.75" x14ac:dyDescent="0.25">
      <c r="A21" s="21" t="s">
        <v>726</v>
      </c>
      <c r="B21" s="359" t="s">
        <v>727</v>
      </c>
      <c r="C21" s="359" t="s">
        <v>389</v>
      </c>
      <c r="D21" s="360">
        <v>145.26</v>
      </c>
      <c r="E21" s="360">
        <v>145.26</v>
      </c>
      <c r="F21" s="361">
        <v>2</v>
      </c>
      <c r="G21" s="361">
        <v>0</v>
      </c>
      <c r="H21" s="361">
        <v>0</v>
      </c>
      <c r="I21" s="361">
        <v>0</v>
      </c>
      <c r="J21" s="361">
        <v>0</v>
      </c>
      <c r="K21" s="361">
        <f t="shared" si="0"/>
        <v>2</v>
      </c>
      <c r="L21" s="362">
        <v>2</v>
      </c>
      <c r="M21" s="363">
        <f t="shared" si="1"/>
        <v>0</v>
      </c>
      <c r="N21" s="364"/>
      <c r="O21" s="365">
        <f t="shared" si="2"/>
        <v>290.52</v>
      </c>
      <c r="P21" s="365">
        <v>0</v>
      </c>
      <c r="Q21" s="365">
        <f t="shared" si="3"/>
        <v>0</v>
      </c>
      <c r="R21" s="365">
        <f t="shared" si="4"/>
        <v>0</v>
      </c>
      <c r="S21" s="365">
        <f t="shared" si="5"/>
        <v>0</v>
      </c>
      <c r="T21" s="365">
        <f t="shared" si="6"/>
        <v>0</v>
      </c>
      <c r="U21" s="365">
        <f t="shared" si="7"/>
        <v>290.52</v>
      </c>
      <c r="V21" s="366">
        <v>342.65999999999997</v>
      </c>
      <c r="W21" s="367">
        <v>0</v>
      </c>
    </row>
    <row r="22" spans="1:23" ht="15.75" x14ac:dyDescent="0.25">
      <c r="A22" s="21" t="s">
        <v>728</v>
      </c>
      <c r="B22" s="359" t="s">
        <v>729</v>
      </c>
      <c r="C22" s="359" t="s">
        <v>389</v>
      </c>
      <c r="D22" s="360">
        <v>54.22</v>
      </c>
      <c r="E22" s="360">
        <v>54.22</v>
      </c>
      <c r="F22" s="361">
        <v>1</v>
      </c>
      <c r="G22" s="361">
        <v>0</v>
      </c>
      <c r="H22" s="361">
        <v>0</v>
      </c>
      <c r="I22" s="361">
        <v>0</v>
      </c>
      <c r="J22" s="361">
        <v>0</v>
      </c>
      <c r="K22" s="361">
        <f t="shared" si="0"/>
        <v>1</v>
      </c>
      <c r="L22" s="362">
        <v>1</v>
      </c>
      <c r="M22" s="363">
        <f t="shared" si="1"/>
        <v>0</v>
      </c>
      <c r="N22" s="364"/>
      <c r="O22" s="365">
        <f t="shared" si="2"/>
        <v>54.22</v>
      </c>
      <c r="P22" s="365">
        <v>0</v>
      </c>
      <c r="Q22" s="365">
        <f t="shared" si="3"/>
        <v>0</v>
      </c>
      <c r="R22" s="365">
        <f t="shared" si="4"/>
        <v>0</v>
      </c>
      <c r="S22" s="365">
        <f t="shared" si="5"/>
        <v>0</v>
      </c>
      <c r="T22" s="365">
        <f t="shared" si="6"/>
        <v>0</v>
      </c>
      <c r="U22" s="365">
        <f t="shared" si="7"/>
        <v>54.22</v>
      </c>
      <c r="V22" s="366">
        <v>54.22</v>
      </c>
      <c r="W22" s="367">
        <v>0</v>
      </c>
    </row>
    <row r="23" spans="1:23" ht="15.75" x14ac:dyDescent="0.25">
      <c r="A23" s="21" t="s">
        <v>730</v>
      </c>
      <c r="B23" s="359" t="s">
        <v>731</v>
      </c>
      <c r="C23" s="359" t="s">
        <v>389</v>
      </c>
      <c r="D23" s="360">
        <v>54.22</v>
      </c>
      <c r="E23" s="360">
        <v>54.22</v>
      </c>
      <c r="F23" s="361">
        <v>1</v>
      </c>
      <c r="G23" s="361">
        <v>0</v>
      </c>
      <c r="H23" s="361">
        <v>0</v>
      </c>
      <c r="I23" s="361">
        <v>0</v>
      </c>
      <c r="J23" s="361">
        <v>0</v>
      </c>
      <c r="K23" s="361">
        <f t="shared" si="0"/>
        <v>1</v>
      </c>
      <c r="L23" s="362">
        <v>1</v>
      </c>
      <c r="M23" s="363">
        <f t="shared" si="1"/>
        <v>0</v>
      </c>
      <c r="N23" s="364"/>
      <c r="O23" s="365">
        <f t="shared" si="2"/>
        <v>54.22</v>
      </c>
      <c r="P23" s="365">
        <v>0</v>
      </c>
      <c r="Q23" s="365">
        <f t="shared" si="3"/>
        <v>0</v>
      </c>
      <c r="R23" s="365">
        <f t="shared" si="4"/>
        <v>0</v>
      </c>
      <c r="S23" s="365">
        <f t="shared" si="5"/>
        <v>0</v>
      </c>
      <c r="T23" s="365">
        <f t="shared" si="6"/>
        <v>0</v>
      </c>
      <c r="U23" s="365">
        <f t="shared" si="7"/>
        <v>54.22</v>
      </c>
      <c r="V23" s="366">
        <v>415.52</v>
      </c>
      <c r="W23" s="367">
        <v>0</v>
      </c>
    </row>
    <row r="24" spans="1:23" ht="15.75" x14ac:dyDescent="0.25">
      <c r="A24" s="21" t="s">
        <v>732</v>
      </c>
      <c r="B24" s="359" t="s">
        <v>733</v>
      </c>
      <c r="C24" s="359" t="s">
        <v>389</v>
      </c>
      <c r="D24" s="360">
        <v>11.98</v>
      </c>
      <c r="E24" s="360">
        <v>11.98</v>
      </c>
      <c r="F24" s="361">
        <v>1</v>
      </c>
      <c r="G24" s="361">
        <v>0</v>
      </c>
      <c r="H24" s="361">
        <v>0</v>
      </c>
      <c r="I24" s="361">
        <v>0</v>
      </c>
      <c r="J24" s="361">
        <v>0</v>
      </c>
      <c r="K24" s="361">
        <f t="shared" si="0"/>
        <v>1</v>
      </c>
      <c r="L24" s="362">
        <v>1</v>
      </c>
      <c r="M24" s="363">
        <f t="shared" si="1"/>
        <v>0</v>
      </c>
      <c r="N24" s="364"/>
      <c r="O24" s="365">
        <f t="shared" si="2"/>
        <v>11.98</v>
      </c>
      <c r="P24" s="365">
        <v>0</v>
      </c>
      <c r="Q24" s="365">
        <f t="shared" si="3"/>
        <v>0</v>
      </c>
      <c r="R24" s="365">
        <f t="shared" si="4"/>
        <v>0</v>
      </c>
      <c r="S24" s="365">
        <f t="shared" si="5"/>
        <v>0</v>
      </c>
      <c r="T24" s="365">
        <f t="shared" si="6"/>
        <v>0</v>
      </c>
      <c r="U24" s="365">
        <f t="shared" si="7"/>
        <v>11.98</v>
      </c>
      <c r="V24" s="366">
        <v>189.64</v>
      </c>
      <c r="W24" s="367">
        <v>0</v>
      </c>
    </row>
    <row r="25" spans="1:23" ht="15.75" x14ac:dyDescent="0.25">
      <c r="A25" s="21" t="s">
        <v>734</v>
      </c>
      <c r="B25" s="359" t="s">
        <v>735</v>
      </c>
      <c r="C25" s="359" t="s">
        <v>389</v>
      </c>
      <c r="D25" s="360">
        <v>11.98</v>
      </c>
      <c r="E25" s="360">
        <v>11.98</v>
      </c>
      <c r="F25" s="361">
        <v>2</v>
      </c>
      <c r="G25" s="361">
        <v>0</v>
      </c>
      <c r="H25" s="361">
        <v>0</v>
      </c>
      <c r="I25" s="361">
        <v>0</v>
      </c>
      <c r="J25" s="361">
        <v>0</v>
      </c>
      <c r="K25" s="361">
        <f t="shared" si="0"/>
        <v>2</v>
      </c>
      <c r="L25" s="362">
        <v>2</v>
      </c>
      <c r="M25" s="363">
        <f t="shared" si="1"/>
        <v>0</v>
      </c>
      <c r="N25" s="364"/>
      <c r="O25" s="365">
        <f t="shared" si="2"/>
        <v>23.96</v>
      </c>
      <c r="P25" s="365">
        <v>0</v>
      </c>
      <c r="Q25" s="365">
        <f t="shared" si="3"/>
        <v>0</v>
      </c>
      <c r="R25" s="365">
        <f t="shared" si="4"/>
        <v>0</v>
      </c>
      <c r="S25" s="365">
        <f t="shared" si="5"/>
        <v>0</v>
      </c>
      <c r="T25" s="365">
        <f t="shared" si="6"/>
        <v>0</v>
      </c>
      <c r="U25" s="365">
        <f t="shared" si="7"/>
        <v>23.96</v>
      </c>
      <c r="V25" s="366">
        <v>280.17</v>
      </c>
      <c r="W25" s="367">
        <v>0</v>
      </c>
    </row>
    <row r="26" spans="1:23" ht="15.75" x14ac:dyDescent="0.25">
      <c r="A26" s="21" t="s">
        <v>736</v>
      </c>
      <c r="B26" s="359" t="s">
        <v>737</v>
      </c>
      <c r="C26" s="359" t="s">
        <v>389</v>
      </c>
      <c r="D26" s="360">
        <v>5.13</v>
      </c>
      <c r="E26" s="360">
        <v>5.13</v>
      </c>
      <c r="F26" s="361">
        <v>1</v>
      </c>
      <c r="G26" s="361">
        <v>0</v>
      </c>
      <c r="H26" s="361">
        <v>0</v>
      </c>
      <c r="I26" s="361">
        <v>0</v>
      </c>
      <c r="J26" s="361">
        <v>0</v>
      </c>
      <c r="K26" s="361">
        <f t="shared" si="0"/>
        <v>1</v>
      </c>
      <c r="L26" s="362">
        <v>1</v>
      </c>
      <c r="M26" s="363">
        <f t="shared" si="1"/>
        <v>0</v>
      </c>
      <c r="N26" s="364"/>
      <c r="O26" s="365">
        <f t="shared" si="2"/>
        <v>5.13</v>
      </c>
      <c r="P26" s="365">
        <v>0</v>
      </c>
      <c r="Q26" s="365">
        <f t="shared" si="3"/>
        <v>0</v>
      </c>
      <c r="R26" s="365">
        <f t="shared" si="4"/>
        <v>0</v>
      </c>
      <c r="S26" s="365">
        <f t="shared" si="5"/>
        <v>0</v>
      </c>
      <c r="T26" s="365">
        <f t="shared" si="6"/>
        <v>0</v>
      </c>
      <c r="U26" s="365">
        <f t="shared" si="7"/>
        <v>5.13</v>
      </c>
      <c r="V26" s="366">
        <v>39.46</v>
      </c>
      <c r="W26" s="367">
        <v>0</v>
      </c>
    </row>
    <row r="27" spans="1:23" ht="15.75" x14ac:dyDescent="0.25">
      <c r="A27" s="21" t="s">
        <v>738</v>
      </c>
      <c r="B27" s="359" t="s">
        <v>739</v>
      </c>
      <c r="C27" s="359" t="s">
        <v>389</v>
      </c>
      <c r="D27" s="360">
        <v>12.84</v>
      </c>
      <c r="E27" s="360">
        <v>12.84</v>
      </c>
      <c r="F27" s="361">
        <v>4</v>
      </c>
      <c r="G27" s="361">
        <v>0</v>
      </c>
      <c r="H27" s="361">
        <v>0</v>
      </c>
      <c r="I27" s="361">
        <v>0</v>
      </c>
      <c r="J27" s="361">
        <v>0</v>
      </c>
      <c r="K27" s="361">
        <f t="shared" si="0"/>
        <v>4</v>
      </c>
      <c r="L27" s="362">
        <v>4</v>
      </c>
      <c r="M27" s="363">
        <f t="shared" si="1"/>
        <v>0</v>
      </c>
      <c r="N27" s="364"/>
      <c r="O27" s="365">
        <f t="shared" si="2"/>
        <v>51.36</v>
      </c>
      <c r="P27" s="365">
        <v>0</v>
      </c>
      <c r="Q27" s="365">
        <f t="shared" si="3"/>
        <v>0</v>
      </c>
      <c r="R27" s="365">
        <f t="shared" si="4"/>
        <v>0</v>
      </c>
      <c r="S27" s="365">
        <f t="shared" si="5"/>
        <v>0</v>
      </c>
      <c r="T27" s="365">
        <f t="shared" si="6"/>
        <v>0</v>
      </c>
      <c r="U27" s="365">
        <f t="shared" si="7"/>
        <v>51.36</v>
      </c>
      <c r="V27" s="366">
        <v>257.76</v>
      </c>
      <c r="W27" s="367">
        <v>0</v>
      </c>
    </row>
    <row r="28" spans="1:23" s="351" customFormat="1" ht="15.75" x14ac:dyDescent="0.25">
      <c r="A28" s="21" t="s">
        <v>740</v>
      </c>
      <c r="B28" s="359" t="s">
        <v>741</v>
      </c>
      <c r="C28" s="359" t="s">
        <v>389</v>
      </c>
      <c r="D28" s="360">
        <v>280.17</v>
      </c>
      <c r="E28" s="360">
        <v>280.17</v>
      </c>
      <c r="F28" s="361">
        <v>1</v>
      </c>
      <c r="G28" s="361">
        <v>0</v>
      </c>
      <c r="H28" s="361">
        <v>0</v>
      </c>
      <c r="I28" s="361">
        <v>0</v>
      </c>
      <c r="J28" s="361">
        <v>0</v>
      </c>
      <c r="K28" s="361">
        <f t="shared" si="0"/>
        <v>1</v>
      </c>
      <c r="L28" s="362">
        <v>1</v>
      </c>
      <c r="M28" s="363">
        <f t="shared" si="1"/>
        <v>0</v>
      </c>
      <c r="N28" s="364"/>
      <c r="O28" s="365">
        <f t="shared" si="2"/>
        <v>280.17</v>
      </c>
      <c r="P28" s="365">
        <v>0</v>
      </c>
      <c r="Q28" s="365">
        <f t="shared" si="3"/>
        <v>0</v>
      </c>
      <c r="R28" s="365">
        <f t="shared" si="4"/>
        <v>0</v>
      </c>
      <c r="S28" s="365">
        <f t="shared" si="5"/>
        <v>0</v>
      </c>
      <c r="T28" s="365">
        <f t="shared" si="6"/>
        <v>0</v>
      </c>
      <c r="U28" s="365">
        <f t="shared" si="7"/>
        <v>280.17</v>
      </c>
      <c r="V28" s="366">
        <v>290.52</v>
      </c>
      <c r="W28" s="367">
        <v>0</v>
      </c>
    </row>
    <row r="29" spans="1:23" ht="16.5" thickBot="1" x14ac:dyDescent="0.3">
      <c r="A29" s="368" t="s">
        <v>360</v>
      </c>
      <c r="B29" s="368"/>
      <c r="C29" s="369"/>
      <c r="D29" s="368"/>
      <c r="E29" s="368"/>
      <c r="F29" s="370">
        <f t="shared" ref="F29:M29" si="8">SUM(F8:F28)</f>
        <v>36</v>
      </c>
      <c r="G29" s="370">
        <f t="shared" si="8"/>
        <v>0</v>
      </c>
      <c r="H29" s="370">
        <f t="shared" si="8"/>
        <v>0</v>
      </c>
      <c r="I29" s="370">
        <f t="shared" si="8"/>
        <v>0</v>
      </c>
      <c r="J29" s="370">
        <f t="shared" si="8"/>
        <v>0</v>
      </c>
      <c r="K29" s="370">
        <f t="shared" si="8"/>
        <v>36</v>
      </c>
      <c r="L29" s="370">
        <f t="shared" si="8"/>
        <v>36</v>
      </c>
      <c r="M29" s="370">
        <f t="shared" si="8"/>
        <v>0</v>
      </c>
      <c r="N29" s="371"/>
      <c r="O29" s="372">
        <f t="shared" ref="O29:U29" si="9">SUM(O8:O28)</f>
        <v>7991.53</v>
      </c>
      <c r="P29" s="372">
        <f t="shared" si="9"/>
        <v>0</v>
      </c>
      <c r="Q29" s="372">
        <f t="shared" si="9"/>
        <v>0</v>
      </c>
      <c r="R29" s="372">
        <f t="shared" si="9"/>
        <v>0</v>
      </c>
      <c r="S29" s="372">
        <f t="shared" si="9"/>
        <v>0</v>
      </c>
      <c r="T29" s="372">
        <f t="shared" si="9"/>
        <v>0</v>
      </c>
      <c r="U29" s="372">
        <f t="shared" si="9"/>
        <v>7991.53</v>
      </c>
    </row>
    <row r="30" spans="1:23" ht="15.75" thickTop="1" x14ac:dyDescent="0.25"/>
    <row r="32" spans="1:23" ht="15.75" x14ac:dyDescent="0.25">
      <c r="B32" s="319" t="s">
        <v>681</v>
      </c>
      <c r="C32" s="319"/>
      <c r="D32" s="319"/>
      <c r="E32" s="373"/>
      <c r="F32" s="373"/>
      <c r="H32" s="320" t="s">
        <v>682</v>
      </c>
      <c r="I32" s="320"/>
      <c r="J32" s="320"/>
      <c r="K32" s="320"/>
      <c r="L32" s="320"/>
      <c r="M32" s="320"/>
      <c r="N32" s="371"/>
      <c r="O32" s="374"/>
      <c r="P32" s="374"/>
      <c r="R32" s="320" t="s">
        <v>683</v>
      </c>
      <c r="S32" s="320"/>
      <c r="T32" s="320"/>
      <c r="U32" s="320"/>
      <c r="V32" s="320"/>
    </row>
    <row r="33" spans="1:22" ht="38.25" customHeight="1" x14ac:dyDescent="0.25">
      <c r="A33" s="311"/>
      <c r="B33" s="311"/>
      <c r="C33" s="311"/>
      <c r="D33" s="311"/>
      <c r="H33" s="322"/>
      <c r="I33" s="322"/>
      <c r="J33" s="322"/>
      <c r="K33" s="322"/>
      <c r="L33" s="322"/>
      <c r="M33" s="375"/>
      <c r="N33" s="376"/>
      <c r="O33" s="377"/>
      <c r="P33" s="377"/>
    </row>
    <row r="34" spans="1:22" ht="15.75" x14ac:dyDescent="0.25">
      <c r="B34" s="316" t="s">
        <v>684</v>
      </c>
      <c r="C34" s="316"/>
      <c r="D34" s="316"/>
      <c r="E34" s="378"/>
      <c r="F34" s="378"/>
      <c r="H34" s="317" t="s">
        <v>685</v>
      </c>
      <c r="I34" s="317"/>
      <c r="J34" s="317"/>
      <c r="K34" s="317"/>
      <c r="L34" s="317"/>
      <c r="M34" s="317"/>
      <c r="N34" s="379"/>
      <c r="O34" s="377"/>
      <c r="P34" s="377"/>
      <c r="R34" s="380" t="s">
        <v>742</v>
      </c>
      <c r="S34" s="380"/>
      <c r="T34" s="380"/>
      <c r="U34" s="380"/>
      <c r="V34" s="380"/>
    </row>
    <row r="35" spans="1:22" ht="44.25" customHeight="1" x14ac:dyDescent="0.25">
      <c r="B35" s="318" t="s">
        <v>743</v>
      </c>
      <c r="C35" s="318"/>
      <c r="D35" s="318"/>
      <c r="E35" s="381"/>
      <c r="F35" s="381"/>
      <c r="H35" s="318" t="s">
        <v>688</v>
      </c>
      <c r="I35" s="318"/>
      <c r="J35" s="318"/>
      <c r="K35" s="318"/>
      <c r="L35" s="318"/>
      <c r="M35" s="318"/>
      <c r="N35" s="377"/>
      <c r="O35" s="377"/>
      <c r="P35" s="377"/>
      <c r="R35" s="318" t="s">
        <v>689</v>
      </c>
      <c r="S35" s="318"/>
      <c r="T35" s="318"/>
      <c r="U35" s="318"/>
      <c r="V35" s="318"/>
    </row>
    <row r="37" spans="1:22" x14ac:dyDescent="0.25">
      <c r="K37" t="s">
        <v>744</v>
      </c>
    </row>
    <row r="39" spans="1:22" x14ac:dyDescent="0.25">
      <c r="E39" t="s">
        <v>745</v>
      </c>
    </row>
  </sheetData>
  <autoFilter ref="A7:U7" xr:uid="{572CDA03-BE4E-4F70-955D-57BA62EF4D15}">
    <sortState xmlns:xlrd2="http://schemas.microsoft.com/office/spreadsheetml/2017/richdata2" ref="A8:U29">
      <sortCondition ref="A7"/>
    </sortState>
  </autoFilter>
  <mergeCells count="14">
    <mergeCell ref="H33:L33"/>
    <mergeCell ref="B34:D34"/>
    <mergeCell ref="H34:M34"/>
    <mergeCell ref="R34:V34"/>
    <mergeCell ref="B35:D35"/>
    <mergeCell ref="H35:M35"/>
    <mergeCell ref="R35:V35"/>
    <mergeCell ref="A2:U2"/>
    <mergeCell ref="A3:U3"/>
    <mergeCell ref="A4:U4"/>
    <mergeCell ref="V7:W7"/>
    <mergeCell ref="B32:D32"/>
    <mergeCell ref="H32:M32"/>
    <mergeCell ref="R32:V32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98683-B22D-4701-ABD8-DEB260965469}">
  <sheetPr>
    <tabColor rgb="FFFF0066"/>
    <pageSetUpPr fitToPage="1"/>
  </sheetPr>
  <dimension ref="A1:BK317"/>
  <sheetViews>
    <sheetView zoomScale="85" zoomScaleNormal="85" zoomScaleSheetLayoutView="10" workbookViewId="0">
      <pane xSplit="2" ySplit="1" topLeftCell="C15" activePane="bottomRight" state="frozen"/>
      <selection pane="topRight" activeCell="C1" sqref="C1"/>
      <selection pane="bottomLeft" activeCell="A2" sqref="A2"/>
      <selection pane="bottomRight" activeCell="W35" sqref="D35:W35"/>
    </sheetView>
  </sheetViews>
  <sheetFormatPr baseColWidth="10" defaultRowHeight="15" x14ac:dyDescent="0.25"/>
  <cols>
    <col min="1" max="1" width="36.7109375" bestFit="1" customWidth="1"/>
    <col min="2" max="2" width="16.28515625" customWidth="1"/>
    <col min="3" max="3" width="14.28515625" customWidth="1"/>
    <col min="4" max="4" width="17" customWidth="1"/>
    <col min="5" max="5" width="15.7109375" customWidth="1"/>
    <col min="6" max="7" width="11.85546875" style="242" customWidth="1"/>
    <col min="8" max="8" width="16.85546875" style="242" customWidth="1"/>
    <col min="9" max="12" width="13.28515625" style="242" customWidth="1"/>
    <col min="13" max="14" width="12.85546875" style="242" customWidth="1"/>
    <col min="15" max="15" width="12.140625" style="242" customWidth="1"/>
    <col min="16" max="17" width="11.140625" style="242" customWidth="1"/>
    <col min="18" max="19" width="12.28515625" style="242" customWidth="1"/>
    <col min="20" max="20" width="14" style="242" customWidth="1"/>
    <col min="21" max="21" width="11.28515625" style="242" customWidth="1"/>
    <col min="22" max="22" width="12.140625" style="242" customWidth="1"/>
    <col min="23" max="29" width="11.28515625" style="242" customWidth="1"/>
    <col min="30" max="30" width="15.140625" style="242" customWidth="1"/>
    <col min="31" max="31" width="15.7109375" customWidth="1"/>
    <col min="32" max="32" width="25.28515625" customWidth="1"/>
    <col min="33" max="33" width="14.7109375" customWidth="1"/>
    <col min="34" max="34" width="26.140625" customWidth="1"/>
    <col min="35" max="35" width="13.140625" customWidth="1"/>
    <col min="36" max="36" width="16.85546875" customWidth="1"/>
    <col min="37" max="45" width="11.28515625" customWidth="1"/>
  </cols>
  <sheetData>
    <row r="1" spans="1:62" ht="27.75" customHeight="1" thickBot="1" x14ac:dyDescent="0.3">
      <c r="A1" s="329" t="s">
        <v>22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  <c r="T1" s="329"/>
      <c r="U1" s="329"/>
      <c r="V1" s="329"/>
      <c r="W1" s="329"/>
      <c r="X1" s="329"/>
      <c r="Y1" s="329"/>
      <c r="Z1" s="329"/>
      <c r="AA1" s="329"/>
      <c r="AB1" s="329"/>
      <c r="AC1" s="329"/>
      <c r="AD1" s="329"/>
    </row>
    <row r="2" spans="1:62" s="267" customFormat="1" ht="40.5" customHeight="1" thickBot="1" x14ac:dyDescent="0.3">
      <c r="A2" s="238" t="s">
        <v>361</v>
      </c>
      <c r="B2" s="266" t="s">
        <v>381</v>
      </c>
      <c r="C2" s="263">
        <v>46113</v>
      </c>
      <c r="D2" s="263">
        <v>46114</v>
      </c>
      <c r="E2" s="263">
        <v>46115</v>
      </c>
      <c r="F2" s="263">
        <v>46116</v>
      </c>
      <c r="G2" s="263">
        <v>46117</v>
      </c>
      <c r="H2" s="263">
        <v>46118</v>
      </c>
      <c r="I2" s="263">
        <v>46119</v>
      </c>
      <c r="J2" s="263">
        <v>46120</v>
      </c>
      <c r="K2" s="263">
        <v>46121</v>
      </c>
      <c r="L2" s="263">
        <v>46122</v>
      </c>
      <c r="M2" s="263">
        <v>46123</v>
      </c>
      <c r="N2" s="263">
        <v>46124</v>
      </c>
      <c r="O2" s="263">
        <v>46126</v>
      </c>
      <c r="P2" s="263">
        <v>46127</v>
      </c>
      <c r="Q2" s="264">
        <v>46128</v>
      </c>
      <c r="R2" s="264">
        <v>46129</v>
      </c>
      <c r="S2" s="264">
        <v>46130</v>
      </c>
      <c r="T2" s="264">
        <v>46131</v>
      </c>
      <c r="U2" s="263">
        <v>46133</v>
      </c>
      <c r="V2" s="263">
        <v>46134</v>
      </c>
      <c r="W2" s="263">
        <v>46135</v>
      </c>
      <c r="X2" s="263">
        <v>46136</v>
      </c>
      <c r="Y2" s="263">
        <v>46137</v>
      </c>
      <c r="Z2" s="263">
        <v>46138</v>
      </c>
      <c r="AA2" s="264" t="s">
        <v>672</v>
      </c>
      <c r="AB2" s="263">
        <v>46141</v>
      </c>
      <c r="AC2" s="263">
        <v>46142</v>
      </c>
      <c r="AD2" s="263" t="s">
        <v>360</v>
      </c>
      <c r="AF2" s="332" t="s">
        <v>453</v>
      </c>
      <c r="AG2" s="333"/>
      <c r="AI2" s="268" t="s">
        <v>454</v>
      </c>
      <c r="AJ2" s="269"/>
    </row>
    <row r="3" spans="1:62" x14ac:dyDescent="0.25">
      <c r="A3" s="189" t="s">
        <v>369</v>
      </c>
      <c r="B3" s="190">
        <v>15</v>
      </c>
      <c r="C3" s="112">
        <v>9</v>
      </c>
      <c r="D3" s="112">
        <v>18</v>
      </c>
      <c r="E3" s="112">
        <v>5</v>
      </c>
      <c r="F3" s="112">
        <v>11</v>
      </c>
      <c r="G3" s="112">
        <v>4</v>
      </c>
      <c r="H3" s="112">
        <v>2</v>
      </c>
      <c r="I3" s="112">
        <v>2</v>
      </c>
      <c r="J3" s="112">
        <v>5</v>
      </c>
      <c r="K3" s="112">
        <v>1</v>
      </c>
      <c r="L3" s="112">
        <v>3</v>
      </c>
      <c r="M3" s="112">
        <v>5</v>
      </c>
      <c r="N3" s="112">
        <v>5</v>
      </c>
      <c r="O3" s="112"/>
      <c r="P3" s="112">
        <v>14</v>
      </c>
      <c r="Q3" s="112"/>
      <c r="R3" s="112"/>
      <c r="S3" s="112"/>
      <c r="T3" s="112"/>
      <c r="U3" s="112"/>
      <c r="V3" s="112">
        <v>6</v>
      </c>
      <c r="W3" s="112">
        <v>82</v>
      </c>
      <c r="X3" s="112">
        <v>4</v>
      </c>
      <c r="Y3" s="112"/>
      <c r="Z3" s="112"/>
      <c r="AA3" s="112"/>
      <c r="AB3" s="112"/>
      <c r="AC3" s="112"/>
      <c r="AD3" s="112">
        <f t="shared" ref="AD3:AD34" si="0">SUM(C3:AC3)</f>
        <v>176</v>
      </c>
      <c r="AE3" s="191">
        <f t="shared" ref="AE3:AE34" si="1">AD3*B3</f>
        <v>2640</v>
      </c>
      <c r="AF3" s="192" t="s">
        <v>455</v>
      </c>
      <c r="AG3" s="193">
        <f>AD84</f>
        <v>0</v>
      </c>
      <c r="AI3" s="192" t="s">
        <v>455</v>
      </c>
      <c r="AJ3" s="193">
        <f>AD82+AD83</f>
        <v>0</v>
      </c>
    </row>
    <row r="4" spans="1:62" x14ac:dyDescent="0.25">
      <c r="A4" s="189" t="s">
        <v>31</v>
      </c>
      <c r="B4" s="190">
        <v>20</v>
      </c>
      <c r="C4" s="112">
        <v>7</v>
      </c>
      <c r="D4" s="112">
        <v>21</v>
      </c>
      <c r="E4" s="112">
        <v>19</v>
      </c>
      <c r="F4" s="112">
        <v>20</v>
      </c>
      <c r="G4" s="112"/>
      <c r="H4" s="112">
        <v>2</v>
      </c>
      <c r="I4" s="112">
        <v>7</v>
      </c>
      <c r="J4" s="112"/>
      <c r="K4" s="112">
        <v>3</v>
      </c>
      <c r="L4" s="112">
        <v>4</v>
      </c>
      <c r="M4" s="112">
        <v>5</v>
      </c>
      <c r="N4" s="112">
        <v>5</v>
      </c>
      <c r="O4" s="112"/>
      <c r="P4" s="112">
        <v>7</v>
      </c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>
        <f t="shared" si="0"/>
        <v>100</v>
      </c>
      <c r="AE4" s="191">
        <f t="shared" si="1"/>
        <v>2000</v>
      </c>
      <c r="AF4" s="194" t="s">
        <v>456</v>
      </c>
      <c r="AG4" s="195">
        <f>AD85</f>
        <v>0</v>
      </c>
      <c r="AI4" s="194" t="s">
        <v>456</v>
      </c>
      <c r="AJ4" s="195">
        <f>AG84</f>
        <v>0</v>
      </c>
      <c r="BG4">
        <v>65</v>
      </c>
      <c r="BH4">
        <v>65</v>
      </c>
      <c r="BJ4">
        <f>((BH4-BG4)/BG4)*100</f>
        <v>0</v>
      </c>
    </row>
    <row r="5" spans="1:62" x14ac:dyDescent="0.25">
      <c r="A5" s="189" t="s">
        <v>370</v>
      </c>
      <c r="B5" s="190">
        <v>25</v>
      </c>
      <c r="C5" s="112">
        <v>7</v>
      </c>
      <c r="D5" s="112">
        <v>20</v>
      </c>
      <c r="E5" s="112">
        <v>9</v>
      </c>
      <c r="F5" s="112">
        <v>15</v>
      </c>
      <c r="G5" s="112">
        <v>2</v>
      </c>
      <c r="H5" s="112"/>
      <c r="I5" s="112">
        <v>5</v>
      </c>
      <c r="J5" s="112">
        <v>2</v>
      </c>
      <c r="K5" s="112"/>
      <c r="L5" s="112">
        <v>3</v>
      </c>
      <c r="M5" s="112">
        <v>2</v>
      </c>
      <c r="N5" s="112">
        <v>9</v>
      </c>
      <c r="O5" s="112">
        <v>1</v>
      </c>
      <c r="P5" s="112">
        <v>1</v>
      </c>
      <c r="Q5" s="112"/>
      <c r="R5" s="112"/>
      <c r="S5" s="112"/>
      <c r="T5" s="112"/>
      <c r="U5" s="112">
        <v>4</v>
      </c>
      <c r="V5" s="112"/>
      <c r="W5" s="112">
        <v>23</v>
      </c>
      <c r="X5" s="112">
        <v>11</v>
      </c>
      <c r="Y5" s="112">
        <v>4</v>
      </c>
      <c r="Z5" s="112">
        <v>21</v>
      </c>
      <c r="AA5" s="112"/>
      <c r="AB5" s="112">
        <v>19</v>
      </c>
      <c r="AC5" s="112">
        <v>29</v>
      </c>
      <c r="AD5" s="112">
        <f t="shared" si="0"/>
        <v>187</v>
      </c>
      <c r="AE5" s="191">
        <f t="shared" si="1"/>
        <v>4675</v>
      </c>
      <c r="AF5" s="194"/>
      <c r="AG5" s="196"/>
      <c r="AI5" s="194"/>
      <c r="AJ5" s="196"/>
    </row>
    <row r="6" spans="1:62" ht="15.75" thickBot="1" x14ac:dyDescent="0.3">
      <c r="A6" s="189" t="s">
        <v>47</v>
      </c>
      <c r="B6" s="190">
        <v>15</v>
      </c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>
        <f t="shared" si="0"/>
        <v>0</v>
      </c>
      <c r="AE6" s="191">
        <f t="shared" si="1"/>
        <v>0</v>
      </c>
      <c r="AF6" s="197"/>
      <c r="AG6" s="198">
        <f>SUM(AG3:AG5)*2</f>
        <v>0</v>
      </c>
      <c r="AI6" s="197"/>
      <c r="AJ6" s="198">
        <f>SUM(AJ3:AJ5)*2</f>
        <v>0</v>
      </c>
    </row>
    <row r="7" spans="1:62" ht="15.75" thickBot="1" x14ac:dyDescent="0.3">
      <c r="A7" s="189" t="s">
        <v>457</v>
      </c>
      <c r="B7" s="190">
        <v>15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>
        <f t="shared" si="0"/>
        <v>0</v>
      </c>
      <c r="AE7" s="191">
        <f t="shared" si="1"/>
        <v>0</v>
      </c>
    </row>
    <row r="8" spans="1:62" ht="15.75" thickBot="1" x14ac:dyDescent="0.3">
      <c r="A8" s="189" t="s">
        <v>50</v>
      </c>
      <c r="B8" s="190">
        <v>20</v>
      </c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>
        <f t="shared" si="0"/>
        <v>0</v>
      </c>
      <c r="AE8" s="191">
        <f t="shared" si="1"/>
        <v>0</v>
      </c>
      <c r="AF8" s="334" t="s">
        <v>458</v>
      </c>
      <c r="AG8" s="335"/>
    </row>
    <row r="9" spans="1:62" x14ac:dyDescent="0.25">
      <c r="A9" s="189" t="s">
        <v>54</v>
      </c>
      <c r="B9" s="190">
        <v>20</v>
      </c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>
        <f t="shared" si="0"/>
        <v>0</v>
      </c>
      <c r="AE9" s="191">
        <f t="shared" si="1"/>
        <v>0</v>
      </c>
      <c r="AF9" s="192" t="s">
        <v>459</v>
      </c>
      <c r="AG9" s="199">
        <f>AD50+AD51</f>
        <v>0</v>
      </c>
      <c r="AI9" s="200"/>
    </row>
    <row r="10" spans="1:62" x14ac:dyDescent="0.25">
      <c r="A10" s="189" t="s">
        <v>460</v>
      </c>
      <c r="B10" s="190">
        <v>20</v>
      </c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>
        <f t="shared" si="0"/>
        <v>0</v>
      </c>
      <c r="AE10" s="191">
        <f t="shared" si="1"/>
        <v>0</v>
      </c>
      <c r="AF10" s="194" t="s">
        <v>461</v>
      </c>
      <c r="AG10" s="195">
        <f>(AD54)*2</f>
        <v>0</v>
      </c>
      <c r="AI10" s="200"/>
    </row>
    <row r="11" spans="1:62" x14ac:dyDescent="0.25">
      <c r="A11" s="189" t="s">
        <v>70</v>
      </c>
      <c r="B11" s="190">
        <v>18</v>
      </c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>
        <f t="shared" si="0"/>
        <v>0</v>
      </c>
      <c r="AE11" s="191">
        <f t="shared" si="1"/>
        <v>0</v>
      </c>
      <c r="AF11" s="194" t="s">
        <v>462</v>
      </c>
      <c r="AG11" s="195">
        <f>(AD80)*2</f>
        <v>0</v>
      </c>
      <c r="AI11" s="200"/>
    </row>
    <row r="12" spans="1:62" x14ac:dyDescent="0.25">
      <c r="A12" s="189" t="s">
        <v>463</v>
      </c>
      <c r="B12" s="190">
        <v>20</v>
      </c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>
        <f t="shared" si="0"/>
        <v>0</v>
      </c>
      <c r="AE12" s="191">
        <f t="shared" si="1"/>
        <v>0</v>
      </c>
      <c r="AF12" s="194" t="s">
        <v>464</v>
      </c>
      <c r="AG12" s="201">
        <f>AD82+AD84</f>
        <v>0</v>
      </c>
      <c r="AI12" s="200"/>
    </row>
    <row r="13" spans="1:62" x14ac:dyDescent="0.25">
      <c r="A13" s="189" t="s">
        <v>465</v>
      </c>
      <c r="B13" s="190">
        <v>20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>
        <f t="shared" si="0"/>
        <v>0</v>
      </c>
      <c r="AE13" s="191">
        <f t="shared" si="1"/>
        <v>0</v>
      </c>
      <c r="AF13" s="194"/>
      <c r="AG13" s="201"/>
      <c r="AI13" s="200"/>
    </row>
    <row r="14" spans="1:62" x14ac:dyDescent="0.25">
      <c r="A14" s="189" t="s">
        <v>466</v>
      </c>
      <c r="B14" s="190">
        <v>20</v>
      </c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>
        <f t="shared" si="0"/>
        <v>0</v>
      </c>
      <c r="AE14" s="191">
        <f t="shared" si="1"/>
        <v>0</v>
      </c>
      <c r="AF14" s="194" t="s">
        <v>467</v>
      </c>
      <c r="AG14" s="195">
        <f>AD52</f>
        <v>0</v>
      </c>
    </row>
    <row r="15" spans="1:62" x14ac:dyDescent="0.25">
      <c r="A15" s="189" t="s">
        <v>468</v>
      </c>
      <c r="B15" s="190">
        <v>20</v>
      </c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>
        <f t="shared" si="0"/>
        <v>0</v>
      </c>
      <c r="AE15" s="191">
        <f t="shared" si="1"/>
        <v>0</v>
      </c>
      <c r="AF15" s="194"/>
      <c r="AG15" s="195"/>
    </row>
    <row r="16" spans="1:62" x14ac:dyDescent="0.25">
      <c r="A16" s="189" t="s">
        <v>469</v>
      </c>
      <c r="B16" s="190">
        <v>20</v>
      </c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>
        <f t="shared" si="0"/>
        <v>0</v>
      </c>
      <c r="AE16" s="191">
        <f t="shared" si="1"/>
        <v>0</v>
      </c>
      <c r="AF16" s="194" t="s">
        <v>470</v>
      </c>
      <c r="AG16" s="202">
        <f>(AD57)*2</f>
        <v>0</v>
      </c>
    </row>
    <row r="17" spans="1:33" ht="15.75" thickBot="1" x14ac:dyDescent="0.3">
      <c r="A17" s="189" t="s">
        <v>471</v>
      </c>
      <c r="B17" s="190">
        <v>20</v>
      </c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>
        <f t="shared" si="0"/>
        <v>0</v>
      </c>
      <c r="AE17" s="191">
        <f t="shared" si="1"/>
        <v>0</v>
      </c>
      <c r="AF17" s="197"/>
      <c r="AG17" s="203">
        <f>SUM(AG9:AG16)</f>
        <v>0</v>
      </c>
    </row>
    <row r="18" spans="1:33" x14ac:dyDescent="0.25">
      <c r="A18" s="189" t="s">
        <v>472</v>
      </c>
      <c r="B18" s="190">
        <v>20</v>
      </c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>
        <f t="shared" si="0"/>
        <v>0</v>
      </c>
      <c r="AE18" s="191">
        <f t="shared" si="1"/>
        <v>0</v>
      </c>
      <c r="AG18" s="204"/>
    </row>
    <row r="19" spans="1:33" ht="15.75" thickBot="1" x14ac:dyDescent="0.3">
      <c r="A19" s="189" t="s">
        <v>98</v>
      </c>
      <c r="B19" s="190">
        <v>20</v>
      </c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>
        <f t="shared" si="0"/>
        <v>0</v>
      </c>
      <c r="AE19" s="191">
        <f t="shared" si="1"/>
        <v>0</v>
      </c>
    </row>
    <row r="20" spans="1:33" ht="15.75" thickBot="1" x14ac:dyDescent="0.3">
      <c r="A20" s="189" t="s">
        <v>102</v>
      </c>
      <c r="B20" s="190">
        <v>20</v>
      </c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>
        <f t="shared" si="0"/>
        <v>0</v>
      </c>
      <c r="AE20" s="191">
        <f t="shared" si="1"/>
        <v>0</v>
      </c>
      <c r="AF20" s="334" t="s">
        <v>473</v>
      </c>
      <c r="AG20" s="335"/>
    </row>
    <row r="21" spans="1:33" x14ac:dyDescent="0.25">
      <c r="A21" s="189" t="s">
        <v>96</v>
      </c>
      <c r="B21" s="190">
        <v>20</v>
      </c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>
        <f t="shared" si="0"/>
        <v>0</v>
      </c>
      <c r="AE21" s="191">
        <f t="shared" si="1"/>
        <v>0</v>
      </c>
      <c r="AF21" s="192" t="s">
        <v>474</v>
      </c>
      <c r="AG21" s="199">
        <f>AD83+AD85</f>
        <v>0</v>
      </c>
    </row>
    <row r="22" spans="1:33" x14ac:dyDescent="0.25">
      <c r="A22" s="189" t="s">
        <v>100</v>
      </c>
      <c r="B22" s="190">
        <v>20</v>
      </c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>
        <f t="shared" si="0"/>
        <v>0</v>
      </c>
      <c r="AE22" s="191">
        <f t="shared" si="1"/>
        <v>0</v>
      </c>
      <c r="AF22" s="194" t="s">
        <v>475</v>
      </c>
      <c r="AG22" s="196">
        <f>(AD48)*2</f>
        <v>0</v>
      </c>
    </row>
    <row r="23" spans="1:33" x14ac:dyDescent="0.25">
      <c r="A23" s="189" t="s">
        <v>128</v>
      </c>
      <c r="B23" s="190">
        <v>20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>
        <f t="shared" si="0"/>
        <v>0</v>
      </c>
      <c r="AE23" s="191">
        <f t="shared" si="1"/>
        <v>0</v>
      </c>
      <c r="AF23" s="194"/>
      <c r="AG23" s="196"/>
    </row>
    <row r="24" spans="1:33" x14ac:dyDescent="0.25">
      <c r="A24" s="189" t="s">
        <v>476</v>
      </c>
      <c r="B24" s="190">
        <v>19</v>
      </c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>
        <f t="shared" si="0"/>
        <v>0</v>
      </c>
      <c r="AE24" s="191">
        <f t="shared" si="1"/>
        <v>0</v>
      </c>
      <c r="AF24" s="194" t="s">
        <v>477</v>
      </c>
      <c r="AG24" s="196">
        <f>(AD98)*2</f>
        <v>0</v>
      </c>
    </row>
    <row r="25" spans="1:33" ht="15.75" thickBot="1" x14ac:dyDescent="0.3">
      <c r="A25" s="189" t="s">
        <v>478</v>
      </c>
      <c r="B25" s="190">
        <v>28</v>
      </c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>
        <f t="shared" si="0"/>
        <v>0</v>
      </c>
      <c r="AE25" s="191">
        <f t="shared" si="1"/>
        <v>0</v>
      </c>
      <c r="AF25" s="197"/>
      <c r="AG25" s="203">
        <f>SUM(AG21:AG24)</f>
        <v>0</v>
      </c>
    </row>
    <row r="26" spans="1:33" s="205" customFormat="1" ht="15.75" thickBot="1" x14ac:dyDescent="0.3">
      <c r="A26" s="189" t="s">
        <v>479</v>
      </c>
      <c r="B26" s="190">
        <v>22</v>
      </c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>
        <f t="shared" si="0"/>
        <v>0</v>
      </c>
      <c r="AE26" s="191">
        <f t="shared" si="1"/>
        <v>0</v>
      </c>
      <c r="AF26"/>
      <c r="AG26"/>
    </row>
    <row r="27" spans="1:33" s="205" customFormat="1" ht="15.75" thickBot="1" x14ac:dyDescent="0.3">
      <c r="A27" s="189" t="s">
        <v>480</v>
      </c>
      <c r="B27" s="190">
        <v>22</v>
      </c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>
        <f t="shared" si="0"/>
        <v>0</v>
      </c>
      <c r="AE27" s="191">
        <f t="shared" si="1"/>
        <v>0</v>
      </c>
      <c r="AF27" s="334" t="s">
        <v>481</v>
      </c>
      <c r="AG27" s="335"/>
    </row>
    <row r="28" spans="1:33" x14ac:dyDescent="0.25">
      <c r="A28" s="189" t="s">
        <v>482</v>
      </c>
      <c r="B28" s="190">
        <v>22</v>
      </c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>
        <f t="shared" si="0"/>
        <v>0</v>
      </c>
      <c r="AE28" s="191">
        <f t="shared" si="1"/>
        <v>0</v>
      </c>
      <c r="AF28" s="192" t="s">
        <v>455</v>
      </c>
      <c r="AG28" s="199">
        <f>AD82+AD84</f>
        <v>0</v>
      </c>
    </row>
    <row r="29" spans="1:33" s="209" customFormat="1" x14ac:dyDescent="0.25">
      <c r="A29" s="206" t="s">
        <v>483</v>
      </c>
      <c r="B29" s="190">
        <f>66/3</f>
        <v>22</v>
      </c>
      <c r="C29" s="112">
        <v>2</v>
      </c>
      <c r="D29" s="112">
        <v>4</v>
      </c>
      <c r="E29" s="112">
        <v>2</v>
      </c>
      <c r="F29" s="112">
        <v>8</v>
      </c>
      <c r="G29" s="112">
        <v>1</v>
      </c>
      <c r="H29" s="112"/>
      <c r="I29" s="112"/>
      <c r="J29" s="112">
        <v>1</v>
      </c>
      <c r="K29" s="112"/>
      <c r="L29" s="112"/>
      <c r="M29" s="112">
        <v>2</v>
      </c>
      <c r="N29" s="112">
        <v>2</v>
      </c>
      <c r="O29" s="112"/>
      <c r="P29" s="112">
        <v>7</v>
      </c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>
        <f t="shared" si="0"/>
        <v>29</v>
      </c>
      <c r="AE29" s="191">
        <f t="shared" si="1"/>
        <v>638</v>
      </c>
      <c r="AF29" s="207" t="s">
        <v>484</v>
      </c>
      <c r="AG29" s="208">
        <f>AD50+AD51</f>
        <v>0</v>
      </c>
    </row>
    <row r="30" spans="1:33" x14ac:dyDescent="0.25">
      <c r="A30" s="210" t="s">
        <v>371</v>
      </c>
      <c r="B30" s="190">
        <v>22</v>
      </c>
      <c r="C30" s="211">
        <v>3</v>
      </c>
      <c r="D30" s="211">
        <v>2</v>
      </c>
      <c r="E30" s="112">
        <v>4</v>
      </c>
      <c r="F30" s="112">
        <v>5</v>
      </c>
      <c r="G30" s="112">
        <v>2</v>
      </c>
      <c r="H30" s="112">
        <v>3</v>
      </c>
      <c r="I30" s="112">
        <v>1</v>
      </c>
      <c r="J30" s="112"/>
      <c r="K30" s="112"/>
      <c r="L30" s="112">
        <v>2</v>
      </c>
      <c r="M30" s="112">
        <v>1</v>
      </c>
      <c r="N30" s="112">
        <v>1</v>
      </c>
      <c r="O30" s="112"/>
      <c r="P30" s="112">
        <v>7</v>
      </c>
      <c r="Q30" s="112"/>
      <c r="R30" s="112"/>
      <c r="S30" s="112"/>
      <c r="T30" s="112"/>
      <c r="U30" s="112"/>
      <c r="V30" s="112"/>
      <c r="W30" s="112">
        <v>1</v>
      </c>
      <c r="X30" s="112"/>
      <c r="Y30" s="112"/>
      <c r="Z30" s="112"/>
      <c r="AA30" s="112"/>
      <c r="AB30" s="112"/>
      <c r="AC30" s="112"/>
      <c r="AD30" s="112">
        <f t="shared" si="0"/>
        <v>32</v>
      </c>
      <c r="AE30" s="191">
        <f t="shared" si="1"/>
        <v>704</v>
      </c>
      <c r="AF30" s="194" t="s">
        <v>485</v>
      </c>
      <c r="AG30" s="202">
        <f>AD52</f>
        <v>0</v>
      </c>
    </row>
    <row r="31" spans="1:33" x14ac:dyDescent="0.25">
      <c r="A31" s="210" t="s">
        <v>373</v>
      </c>
      <c r="B31" s="190">
        <v>22</v>
      </c>
      <c r="C31" s="211">
        <v>4</v>
      </c>
      <c r="D31" s="211">
        <v>10</v>
      </c>
      <c r="E31" s="112">
        <v>2</v>
      </c>
      <c r="F31" s="112">
        <v>7</v>
      </c>
      <c r="G31" s="112">
        <v>4</v>
      </c>
      <c r="H31" s="112">
        <v>1</v>
      </c>
      <c r="I31" s="112"/>
      <c r="J31" s="112">
        <v>4</v>
      </c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>
        <f t="shared" si="0"/>
        <v>32</v>
      </c>
      <c r="AE31" s="191">
        <f t="shared" si="1"/>
        <v>704</v>
      </c>
      <c r="AF31" s="194" t="s">
        <v>486</v>
      </c>
      <c r="AG31" s="201">
        <f>AD90+AD91</f>
        <v>0</v>
      </c>
    </row>
    <row r="32" spans="1:33" x14ac:dyDescent="0.25">
      <c r="A32" s="189" t="s">
        <v>487</v>
      </c>
      <c r="B32" s="190">
        <v>28</v>
      </c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>
        <f t="shared" si="0"/>
        <v>0</v>
      </c>
      <c r="AE32" s="191">
        <f t="shared" si="1"/>
        <v>0</v>
      </c>
      <c r="AF32" s="194" t="s">
        <v>488</v>
      </c>
      <c r="AG32" s="201">
        <f>AD98</f>
        <v>0</v>
      </c>
    </row>
    <row r="33" spans="1:33" x14ac:dyDescent="0.25">
      <c r="A33" s="189" t="s">
        <v>162</v>
      </c>
      <c r="B33" s="190">
        <v>15</v>
      </c>
      <c r="C33" s="112"/>
      <c r="D33" s="112">
        <v>14</v>
      </c>
      <c r="E33" s="112">
        <v>7</v>
      </c>
      <c r="F33" s="112">
        <v>9</v>
      </c>
      <c r="G33" s="112">
        <v>2</v>
      </c>
      <c r="H33" s="112">
        <v>1</v>
      </c>
      <c r="I33" s="112">
        <v>8</v>
      </c>
      <c r="J33" s="112">
        <v>2</v>
      </c>
      <c r="K33" s="112"/>
      <c r="L33" s="112">
        <v>2</v>
      </c>
      <c r="M33" s="112">
        <v>3</v>
      </c>
      <c r="N33" s="112">
        <v>4</v>
      </c>
      <c r="O33" s="112"/>
      <c r="P33" s="112">
        <v>18</v>
      </c>
      <c r="Q33" s="112"/>
      <c r="R33" s="112"/>
      <c r="S33" s="112"/>
      <c r="T33" s="112"/>
      <c r="U33" s="112"/>
      <c r="V33" s="112">
        <v>5</v>
      </c>
      <c r="W33" s="112">
        <v>8</v>
      </c>
      <c r="X33" s="112">
        <v>11</v>
      </c>
      <c r="Y33" s="112">
        <v>2</v>
      </c>
      <c r="Z33" s="112"/>
      <c r="AA33" s="112"/>
      <c r="AB33" s="112"/>
      <c r="AC33" s="112"/>
      <c r="AD33" s="112">
        <f t="shared" si="0"/>
        <v>96</v>
      </c>
      <c r="AE33" s="191">
        <f t="shared" si="1"/>
        <v>1440</v>
      </c>
      <c r="AF33" s="194"/>
      <c r="AG33" s="201"/>
    </row>
    <row r="34" spans="1:33" x14ac:dyDescent="0.25">
      <c r="A34" s="212" t="s">
        <v>489</v>
      </c>
      <c r="B34" s="190">
        <v>22</v>
      </c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>
        <f t="shared" si="0"/>
        <v>0</v>
      </c>
      <c r="AE34" s="191">
        <f t="shared" si="1"/>
        <v>0</v>
      </c>
      <c r="AF34" s="194"/>
      <c r="AG34" s="201"/>
    </row>
    <row r="35" spans="1:33" x14ac:dyDescent="0.25">
      <c r="A35" s="212" t="s">
        <v>490</v>
      </c>
      <c r="B35" s="190">
        <v>22</v>
      </c>
      <c r="C35" s="112"/>
      <c r="D35" s="245">
        <v>2</v>
      </c>
      <c r="E35" s="245">
        <v>1</v>
      </c>
      <c r="F35" s="245">
        <v>2</v>
      </c>
      <c r="G35" s="245">
        <v>2</v>
      </c>
      <c r="H35" s="245">
        <v>1</v>
      </c>
      <c r="I35" s="245">
        <v>1</v>
      </c>
      <c r="J35" s="245">
        <v>3</v>
      </c>
      <c r="K35" s="245">
        <v>2</v>
      </c>
      <c r="L35" s="245">
        <v>1</v>
      </c>
      <c r="M35" s="245">
        <v>1</v>
      </c>
      <c r="N35" s="245">
        <v>1</v>
      </c>
      <c r="O35" s="112"/>
      <c r="P35" s="245">
        <v>6</v>
      </c>
      <c r="Q35" s="112"/>
      <c r="R35" s="112"/>
      <c r="S35" s="112"/>
      <c r="T35" s="112"/>
      <c r="U35" s="245">
        <v>1</v>
      </c>
      <c r="V35" s="112"/>
      <c r="W35" s="245">
        <v>5</v>
      </c>
      <c r="X35" s="112"/>
      <c r="Y35" s="112"/>
      <c r="Z35" s="112"/>
      <c r="AA35" s="112"/>
      <c r="AB35" s="112"/>
      <c r="AC35" s="112"/>
      <c r="AD35" s="112">
        <f t="shared" ref="AD35:AD66" si="2">SUM(C35:AC35)</f>
        <v>29</v>
      </c>
      <c r="AE35" s="191">
        <f t="shared" ref="AE35:AE66" si="3">AD35*B35</f>
        <v>638</v>
      </c>
      <c r="AF35" s="194"/>
      <c r="AG35" s="201"/>
    </row>
    <row r="36" spans="1:33" ht="18" customHeight="1" x14ac:dyDescent="0.25">
      <c r="A36" s="189" t="s">
        <v>491</v>
      </c>
      <c r="B36" s="190">
        <v>25</v>
      </c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>
        <f t="shared" si="2"/>
        <v>0</v>
      </c>
      <c r="AE36" s="191">
        <f t="shared" si="3"/>
        <v>0</v>
      </c>
      <c r="AF36" s="194"/>
      <c r="AG36" s="201"/>
    </row>
    <row r="37" spans="1:33" x14ac:dyDescent="0.25">
      <c r="A37" s="206" t="s">
        <v>492</v>
      </c>
      <c r="B37" s="190">
        <v>22</v>
      </c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>
        <f t="shared" si="2"/>
        <v>0</v>
      </c>
      <c r="AE37" s="191">
        <f t="shared" si="3"/>
        <v>0</v>
      </c>
      <c r="AF37" s="194"/>
      <c r="AG37" s="201"/>
    </row>
    <row r="38" spans="1:33" ht="15.75" thickBot="1" x14ac:dyDescent="0.3">
      <c r="A38" s="189" t="s">
        <v>493</v>
      </c>
      <c r="B38" s="190">
        <v>20</v>
      </c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  <c r="AD38" s="112">
        <f t="shared" si="2"/>
        <v>0</v>
      </c>
      <c r="AE38" s="191">
        <f t="shared" si="3"/>
        <v>0</v>
      </c>
      <c r="AF38" s="197"/>
      <c r="AG38" s="203">
        <f>SUM(AG28:AG32)</f>
        <v>0</v>
      </c>
    </row>
    <row r="39" spans="1:33" x14ac:dyDescent="0.25">
      <c r="A39" s="189" t="s">
        <v>494</v>
      </c>
      <c r="B39" s="190">
        <v>28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  <c r="AA39" s="112"/>
      <c r="AB39" s="112"/>
      <c r="AC39" s="112"/>
      <c r="AD39" s="112">
        <f t="shared" si="2"/>
        <v>0</v>
      </c>
      <c r="AE39" s="191">
        <f t="shared" si="3"/>
        <v>0</v>
      </c>
    </row>
    <row r="40" spans="1:33" x14ac:dyDescent="0.25">
      <c r="A40" s="189" t="s">
        <v>495</v>
      </c>
      <c r="B40" s="190">
        <v>20</v>
      </c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>
        <f t="shared" si="2"/>
        <v>0</v>
      </c>
      <c r="AE40" s="191">
        <f t="shared" si="3"/>
        <v>0</v>
      </c>
    </row>
    <row r="41" spans="1:33" x14ac:dyDescent="0.25">
      <c r="A41" s="189" t="s">
        <v>496</v>
      </c>
      <c r="B41" s="190">
        <v>20</v>
      </c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>
        <f t="shared" si="2"/>
        <v>0</v>
      </c>
      <c r="AE41" s="191">
        <f t="shared" si="3"/>
        <v>0</v>
      </c>
    </row>
    <row r="42" spans="1:33" ht="15.75" thickBot="1" x14ac:dyDescent="0.3">
      <c r="A42" s="189" t="s">
        <v>497</v>
      </c>
      <c r="B42" s="190">
        <v>20</v>
      </c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>
        <f t="shared" si="2"/>
        <v>0</v>
      </c>
      <c r="AE42" s="191">
        <f t="shared" si="3"/>
        <v>0</v>
      </c>
    </row>
    <row r="43" spans="1:33" ht="15.75" thickBot="1" x14ac:dyDescent="0.3">
      <c r="A43" s="189" t="s">
        <v>498</v>
      </c>
      <c r="B43" s="190">
        <v>20</v>
      </c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>
        <f t="shared" si="2"/>
        <v>0</v>
      </c>
      <c r="AE43" s="191">
        <f t="shared" si="3"/>
        <v>0</v>
      </c>
      <c r="AF43" s="187" t="s">
        <v>488</v>
      </c>
      <c r="AG43" s="188"/>
    </row>
    <row r="44" spans="1:33" x14ac:dyDescent="0.25">
      <c r="A44" s="189" t="s">
        <v>499</v>
      </c>
      <c r="B44" s="190">
        <v>20</v>
      </c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  <c r="AA44" s="112"/>
      <c r="AB44" s="112"/>
      <c r="AC44" s="112"/>
      <c r="AD44" s="112">
        <f t="shared" si="2"/>
        <v>0</v>
      </c>
      <c r="AE44" s="191">
        <f t="shared" si="3"/>
        <v>0</v>
      </c>
      <c r="AF44" s="192" t="s">
        <v>500</v>
      </c>
      <c r="AG44" s="213">
        <f>(AD98)*3</f>
        <v>0</v>
      </c>
    </row>
    <row r="45" spans="1:33" x14ac:dyDescent="0.25">
      <c r="A45" s="189" t="s">
        <v>145</v>
      </c>
      <c r="B45" s="190">
        <v>20</v>
      </c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>
        <f t="shared" si="2"/>
        <v>0</v>
      </c>
      <c r="AE45" s="191">
        <f t="shared" si="3"/>
        <v>0</v>
      </c>
      <c r="AF45" s="194"/>
      <c r="AG45" s="214">
        <f>SUM(AG44)</f>
        <v>0</v>
      </c>
    </row>
    <row r="46" spans="1:33" ht="15.75" thickBot="1" x14ac:dyDescent="0.3">
      <c r="A46" s="189" t="s">
        <v>501</v>
      </c>
      <c r="B46" s="190">
        <v>55</v>
      </c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>
        <f t="shared" si="2"/>
        <v>0</v>
      </c>
      <c r="AE46" s="191">
        <f t="shared" si="3"/>
        <v>0</v>
      </c>
      <c r="AF46" s="197"/>
      <c r="AG46" s="215"/>
    </row>
    <row r="47" spans="1:33" x14ac:dyDescent="0.25">
      <c r="A47" s="189" t="s">
        <v>502</v>
      </c>
      <c r="B47" s="190">
        <v>55</v>
      </c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112">
        <f t="shared" si="2"/>
        <v>0</v>
      </c>
      <c r="AE47" s="191">
        <f t="shared" si="3"/>
        <v>0</v>
      </c>
    </row>
    <row r="48" spans="1:33" ht="15.75" thickBot="1" x14ac:dyDescent="0.3">
      <c r="A48" s="189" t="s">
        <v>503</v>
      </c>
      <c r="B48" s="190">
        <v>55</v>
      </c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  <c r="AD48" s="112">
        <f t="shared" si="2"/>
        <v>0</v>
      </c>
      <c r="AE48" s="191">
        <f t="shared" si="3"/>
        <v>0</v>
      </c>
    </row>
    <row r="49" spans="1:33" x14ac:dyDescent="0.25">
      <c r="A49" s="189" t="s">
        <v>168</v>
      </c>
      <c r="B49" s="190">
        <v>15</v>
      </c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  <c r="AA49" s="112"/>
      <c r="AB49" s="112"/>
      <c r="AC49" s="112"/>
      <c r="AD49" s="112">
        <f t="shared" si="2"/>
        <v>0</v>
      </c>
      <c r="AE49" s="191">
        <f t="shared" si="3"/>
        <v>0</v>
      </c>
      <c r="AF49" s="192" t="s">
        <v>504</v>
      </c>
      <c r="AG49" s="199">
        <f>AD50+AD51</f>
        <v>0</v>
      </c>
    </row>
    <row r="50" spans="1:33" x14ac:dyDescent="0.25">
      <c r="A50" s="189" t="s">
        <v>505</v>
      </c>
      <c r="B50" s="190">
        <v>55</v>
      </c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  <c r="AA50" s="112"/>
      <c r="AB50" s="112"/>
      <c r="AC50" s="112"/>
      <c r="AD50" s="112">
        <f t="shared" si="2"/>
        <v>0</v>
      </c>
      <c r="AE50" s="191">
        <f t="shared" si="3"/>
        <v>0</v>
      </c>
      <c r="AF50" s="194" t="s">
        <v>506</v>
      </c>
      <c r="AG50" s="201">
        <f>AD82+AD84</f>
        <v>0</v>
      </c>
    </row>
    <row r="51" spans="1:33" x14ac:dyDescent="0.25">
      <c r="A51" s="189" t="s">
        <v>507</v>
      </c>
      <c r="B51" s="190">
        <v>55</v>
      </c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112">
        <f t="shared" si="2"/>
        <v>0</v>
      </c>
      <c r="AE51" s="191">
        <f t="shared" si="3"/>
        <v>0</v>
      </c>
      <c r="AF51" s="194" t="s">
        <v>508</v>
      </c>
      <c r="AG51" s="195">
        <f>AD47</f>
        <v>0</v>
      </c>
    </row>
    <row r="52" spans="1:33" ht="15.75" thickBot="1" x14ac:dyDescent="0.3">
      <c r="A52" s="189" t="s">
        <v>509</v>
      </c>
      <c r="B52" s="190">
        <v>35</v>
      </c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  <c r="AA52" s="112"/>
      <c r="AB52" s="112"/>
      <c r="AC52" s="112"/>
      <c r="AD52" s="112">
        <f t="shared" si="2"/>
        <v>0</v>
      </c>
      <c r="AE52" s="191">
        <f t="shared" si="3"/>
        <v>0</v>
      </c>
      <c r="AF52" s="197"/>
      <c r="AG52" s="203">
        <f>SUM(AG49:AG51)</f>
        <v>0</v>
      </c>
    </row>
    <row r="53" spans="1:33" x14ac:dyDescent="0.25">
      <c r="A53" s="189" t="s">
        <v>510</v>
      </c>
      <c r="B53" s="190">
        <v>30</v>
      </c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  <c r="AA53" s="112"/>
      <c r="AB53" s="112"/>
      <c r="AC53" s="112"/>
      <c r="AD53" s="112">
        <f t="shared" si="2"/>
        <v>0</v>
      </c>
      <c r="AE53" s="191">
        <f t="shared" si="3"/>
        <v>0</v>
      </c>
      <c r="AG53" s="204"/>
    </row>
    <row r="54" spans="1:33" s="205" customFormat="1" x14ac:dyDescent="0.25">
      <c r="A54" s="189" t="s">
        <v>511</v>
      </c>
      <c r="B54" s="190">
        <v>35</v>
      </c>
      <c r="C54" s="216"/>
      <c r="D54" s="216"/>
      <c r="E54" s="216"/>
      <c r="F54" s="216"/>
      <c r="G54" s="216"/>
      <c r="H54" s="216"/>
      <c r="I54" s="216"/>
      <c r="J54" s="216"/>
      <c r="K54" s="216"/>
      <c r="L54" s="216"/>
      <c r="M54" s="216"/>
      <c r="N54" s="216"/>
      <c r="O54" s="216"/>
      <c r="P54" s="216"/>
      <c r="Q54" s="216"/>
      <c r="R54" s="216"/>
      <c r="S54" s="216"/>
      <c r="T54" s="216"/>
      <c r="U54" s="216"/>
      <c r="V54" s="216"/>
      <c r="W54" s="216"/>
      <c r="X54" s="216"/>
      <c r="Y54" s="216"/>
      <c r="Z54" s="216"/>
      <c r="AA54" s="216"/>
      <c r="AB54" s="216"/>
      <c r="AC54" s="216"/>
      <c r="AD54" s="112">
        <f t="shared" si="2"/>
        <v>0</v>
      </c>
      <c r="AE54" s="191">
        <f t="shared" si="3"/>
        <v>0</v>
      </c>
      <c r="AF54" s="217" t="s">
        <v>205</v>
      </c>
      <c r="AG54" s="218">
        <f>AD54*5</f>
        <v>0</v>
      </c>
    </row>
    <row r="55" spans="1:33" ht="15.75" thickBot="1" x14ac:dyDescent="0.3">
      <c r="A55" s="189" t="s">
        <v>512</v>
      </c>
      <c r="B55" s="190">
        <v>15</v>
      </c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  <c r="AA55" s="112"/>
      <c r="AB55" s="112"/>
      <c r="AC55" s="112"/>
      <c r="AD55" s="112">
        <f t="shared" si="2"/>
        <v>0</v>
      </c>
      <c r="AE55" s="191">
        <f t="shared" si="3"/>
        <v>0</v>
      </c>
    </row>
    <row r="56" spans="1:33" x14ac:dyDescent="0.25">
      <c r="A56" s="189" t="s">
        <v>513</v>
      </c>
      <c r="B56" s="190">
        <v>20</v>
      </c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  <c r="AA56" s="112"/>
      <c r="AB56" s="112"/>
      <c r="AC56" s="112"/>
      <c r="AD56" s="112">
        <f t="shared" si="2"/>
        <v>0</v>
      </c>
      <c r="AE56" s="191">
        <f t="shared" si="3"/>
        <v>0</v>
      </c>
      <c r="AF56" s="336" t="s">
        <v>82</v>
      </c>
      <c r="AG56" s="337"/>
    </row>
    <row r="57" spans="1:33" ht="14.25" customHeight="1" x14ac:dyDescent="0.25">
      <c r="A57" s="189" t="s">
        <v>458</v>
      </c>
      <c r="B57" s="190">
        <v>30</v>
      </c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  <c r="AA57" s="112"/>
      <c r="AB57" s="112"/>
      <c r="AC57" s="112"/>
      <c r="AD57" s="112">
        <f t="shared" si="2"/>
        <v>0</v>
      </c>
      <c r="AE57" s="191">
        <f t="shared" si="3"/>
        <v>0</v>
      </c>
      <c r="AF57" s="219" t="s">
        <v>501</v>
      </c>
      <c r="AG57" s="220">
        <f>AD46</f>
        <v>0</v>
      </c>
    </row>
    <row r="58" spans="1:33" ht="14.25" customHeight="1" x14ac:dyDescent="0.25">
      <c r="A58" s="189" t="s">
        <v>514</v>
      </c>
      <c r="B58" s="190">
        <v>20</v>
      </c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2"/>
      <c r="AC58" s="112"/>
      <c r="AD58" s="112">
        <f t="shared" si="2"/>
        <v>0</v>
      </c>
      <c r="AE58" s="191">
        <f t="shared" si="3"/>
        <v>0</v>
      </c>
      <c r="AF58" s="219"/>
      <c r="AG58" s="220"/>
    </row>
    <row r="59" spans="1:33" ht="14.25" customHeight="1" x14ac:dyDescent="0.25">
      <c r="A59" s="189" t="s">
        <v>231</v>
      </c>
      <c r="B59" s="190">
        <v>19</v>
      </c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>
        <f t="shared" si="2"/>
        <v>0</v>
      </c>
      <c r="AE59" s="191">
        <f t="shared" si="3"/>
        <v>0</v>
      </c>
      <c r="AF59" s="219" t="s">
        <v>503</v>
      </c>
      <c r="AG59" s="220">
        <f>AD48</f>
        <v>0</v>
      </c>
    </row>
    <row r="60" spans="1:33" ht="14.25" customHeight="1" x14ac:dyDescent="0.25">
      <c r="A60" s="189" t="s">
        <v>377</v>
      </c>
      <c r="B60" s="190">
        <v>25</v>
      </c>
      <c r="C60" s="112">
        <v>4</v>
      </c>
      <c r="D60" s="112">
        <v>5</v>
      </c>
      <c r="E60" s="112">
        <v>4</v>
      </c>
      <c r="F60" s="112">
        <v>9</v>
      </c>
      <c r="G60" s="112">
        <v>1</v>
      </c>
      <c r="H60" s="112"/>
      <c r="I60" s="112">
        <v>1</v>
      </c>
      <c r="J60" s="112">
        <v>2</v>
      </c>
      <c r="K60" s="112"/>
      <c r="L60" s="112">
        <v>1</v>
      </c>
      <c r="M60" s="112">
        <v>6</v>
      </c>
      <c r="N60" s="112">
        <v>7</v>
      </c>
      <c r="O60" s="112"/>
      <c r="P60" s="112">
        <v>7</v>
      </c>
      <c r="Q60" s="112"/>
      <c r="R60" s="112"/>
      <c r="S60" s="112"/>
      <c r="T60" s="112"/>
      <c r="U60" s="112"/>
      <c r="V60" s="112"/>
      <c r="W60" s="112">
        <v>1</v>
      </c>
      <c r="X60" s="112"/>
      <c r="Y60" s="112"/>
      <c r="Z60" s="112"/>
      <c r="AA60" s="112"/>
      <c r="AB60" s="112"/>
      <c r="AC60" s="112"/>
      <c r="AD60" s="112">
        <f t="shared" si="2"/>
        <v>48</v>
      </c>
      <c r="AE60" s="191">
        <f t="shared" si="3"/>
        <v>1200</v>
      </c>
      <c r="AF60" s="219" t="s">
        <v>502</v>
      </c>
      <c r="AG60" s="220">
        <f>AD47</f>
        <v>0</v>
      </c>
    </row>
    <row r="61" spans="1:33" x14ac:dyDescent="0.25">
      <c r="A61" s="189" t="s">
        <v>378</v>
      </c>
      <c r="B61" s="190">
        <v>25</v>
      </c>
      <c r="C61" s="112">
        <v>2</v>
      </c>
      <c r="D61" s="112">
        <v>6</v>
      </c>
      <c r="E61" s="112">
        <v>4</v>
      </c>
      <c r="F61" s="112">
        <v>1</v>
      </c>
      <c r="G61" s="112">
        <v>2</v>
      </c>
      <c r="H61" s="112">
        <v>2</v>
      </c>
      <c r="I61" s="112">
        <v>1</v>
      </c>
      <c r="J61" s="112">
        <v>1</v>
      </c>
      <c r="K61" s="112"/>
      <c r="L61" s="112">
        <v>2</v>
      </c>
      <c r="M61" s="112">
        <v>3</v>
      </c>
      <c r="N61" s="112">
        <v>2</v>
      </c>
      <c r="O61" s="112"/>
      <c r="P61" s="112">
        <v>7</v>
      </c>
      <c r="Q61" s="112"/>
      <c r="R61" s="112"/>
      <c r="S61" s="112"/>
      <c r="T61" s="112"/>
      <c r="U61" s="112"/>
      <c r="V61" s="112"/>
      <c r="W61" s="112">
        <v>16</v>
      </c>
      <c r="X61" s="112">
        <v>1</v>
      </c>
      <c r="Y61" s="112"/>
      <c r="Z61" s="112"/>
      <c r="AA61" s="112"/>
      <c r="AB61" s="112"/>
      <c r="AC61" s="112"/>
      <c r="AD61" s="112">
        <f t="shared" si="2"/>
        <v>50</v>
      </c>
      <c r="AE61" s="191">
        <f t="shared" si="3"/>
        <v>1250</v>
      </c>
      <c r="AF61" s="219" t="s">
        <v>510</v>
      </c>
      <c r="AG61" s="221">
        <f>AD53</f>
        <v>0</v>
      </c>
    </row>
    <row r="62" spans="1:33" x14ac:dyDescent="0.25">
      <c r="A62" s="189" t="s">
        <v>239</v>
      </c>
      <c r="B62" s="190">
        <v>18</v>
      </c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  <c r="AA62" s="112"/>
      <c r="AB62" s="112"/>
      <c r="AC62" s="112"/>
      <c r="AD62" s="112">
        <f t="shared" si="2"/>
        <v>0</v>
      </c>
      <c r="AE62" s="191">
        <f t="shared" si="3"/>
        <v>0</v>
      </c>
      <c r="AF62" s="219" t="s">
        <v>511</v>
      </c>
      <c r="AG62" s="221">
        <f>AD54</f>
        <v>0</v>
      </c>
    </row>
    <row r="63" spans="1:33" x14ac:dyDescent="0.25">
      <c r="A63" s="189" t="s">
        <v>243</v>
      </c>
      <c r="B63" s="190">
        <v>16</v>
      </c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  <c r="AA63" s="112"/>
      <c r="AB63" s="112"/>
      <c r="AC63" s="112"/>
      <c r="AD63" s="112">
        <f t="shared" si="2"/>
        <v>0</v>
      </c>
      <c r="AE63" s="191">
        <f t="shared" si="3"/>
        <v>0</v>
      </c>
      <c r="AF63" s="219" t="s">
        <v>458</v>
      </c>
      <c r="AG63" s="221">
        <f>AD57</f>
        <v>0</v>
      </c>
    </row>
    <row r="64" spans="1:33" x14ac:dyDescent="0.25">
      <c r="A64" s="189" t="s">
        <v>515</v>
      </c>
      <c r="B64" s="190">
        <v>16</v>
      </c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  <c r="AA64" s="112"/>
      <c r="AB64" s="112"/>
      <c r="AC64" s="112"/>
      <c r="AD64" s="112">
        <f t="shared" si="2"/>
        <v>0</v>
      </c>
      <c r="AE64" s="191">
        <f t="shared" si="3"/>
        <v>0</v>
      </c>
      <c r="AF64" s="219" t="s">
        <v>516</v>
      </c>
      <c r="AG64" s="222">
        <f>AD80</f>
        <v>0</v>
      </c>
    </row>
    <row r="65" spans="1:34" ht="15.75" thickBot="1" x14ac:dyDescent="0.3">
      <c r="A65" s="189" t="s">
        <v>245</v>
      </c>
      <c r="B65" s="190">
        <v>5</v>
      </c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  <c r="AA65" s="112"/>
      <c r="AB65" s="112"/>
      <c r="AC65" s="112"/>
      <c r="AD65" s="112">
        <f t="shared" si="2"/>
        <v>0</v>
      </c>
      <c r="AE65" s="191">
        <f t="shared" si="3"/>
        <v>0</v>
      </c>
      <c r="AF65" s="223" t="s">
        <v>517</v>
      </c>
      <c r="AG65" s="224">
        <f>AD83+AD85</f>
        <v>0</v>
      </c>
    </row>
    <row r="66" spans="1:34" x14ac:dyDescent="0.25">
      <c r="A66" s="189" t="s">
        <v>518</v>
      </c>
      <c r="B66" s="190">
        <v>20</v>
      </c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  <c r="AA66" s="112"/>
      <c r="AB66" s="112"/>
      <c r="AC66" s="112"/>
      <c r="AD66" s="112">
        <f t="shared" si="2"/>
        <v>0</v>
      </c>
      <c r="AE66" s="191">
        <f t="shared" si="3"/>
        <v>0</v>
      </c>
      <c r="AF66" s="225"/>
      <c r="AG66" s="226"/>
    </row>
    <row r="67" spans="1:34" x14ac:dyDescent="0.25">
      <c r="A67" s="189" t="s">
        <v>269</v>
      </c>
      <c r="B67" s="190">
        <v>7</v>
      </c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  <c r="AA67" s="112"/>
      <c r="AB67" s="112"/>
      <c r="AC67" s="112"/>
      <c r="AD67" s="112">
        <f t="shared" ref="AD67:AD98" si="4">SUM(C67:AC67)</f>
        <v>0</v>
      </c>
      <c r="AE67" s="191">
        <f t="shared" ref="AE67:AE98" si="5">AD67*B67</f>
        <v>0</v>
      </c>
      <c r="AF67" s="227"/>
      <c r="AG67" s="228">
        <f>SUM(AG57:AG65)</f>
        <v>0</v>
      </c>
    </row>
    <row r="68" spans="1:34" x14ac:dyDescent="0.25">
      <c r="A68" s="189" t="s">
        <v>519</v>
      </c>
      <c r="B68" s="190">
        <v>20</v>
      </c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  <c r="AA68" s="112"/>
      <c r="AB68" s="112"/>
      <c r="AC68" s="112"/>
      <c r="AD68" s="112">
        <f t="shared" si="4"/>
        <v>0</v>
      </c>
      <c r="AE68" s="191">
        <f t="shared" si="5"/>
        <v>0</v>
      </c>
      <c r="AF68" s="227"/>
      <c r="AG68" s="227"/>
    </row>
    <row r="69" spans="1:34" x14ac:dyDescent="0.25">
      <c r="A69" s="189" t="s">
        <v>520</v>
      </c>
      <c r="B69" s="190">
        <v>20</v>
      </c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  <c r="AA69" s="112"/>
      <c r="AB69" s="112"/>
      <c r="AC69" s="112"/>
      <c r="AD69" s="112">
        <f t="shared" si="4"/>
        <v>0</v>
      </c>
      <c r="AE69" s="191">
        <f t="shared" si="5"/>
        <v>0</v>
      </c>
      <c r="AF69" s="229" t="s">
        <v>521</v>
      </c>
      <c r="AG69" s="229"/>
    </row>
    <row r="70" spans="1:34" x14ac:dyDescent="0.25">
      <c r="A70" s="189" t="s">
        <v>522</v>
      </c>
      <c r="B70" s="190">
        <v>20</v>
      </c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  <c r="AA70" s="112"/>
      <c r="AB70" s="112"/>
      <c r="AC70" s="112"/>
      <c r="AD70" s="112">
        <f t="shared" si="4"/>
        <v>0</v>
      </c>
      <c r="AE70" s="191">
        <f t="shared" si="5"/>
        <v>0</v>
      </c>
    </row>
    <row r="71" spans="1:34" x14ac:dyDescent="0.25">
      <c r="A71" s="189" t="s">
        <v>523</v>
      </c>
      <c r="B71" s="190">
        <v>20</v>
      </c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  <c r="AA71" s="112"/>
      <c r="AB71" s="112"/>
      <c r="AC71" s="112"/>
      <c r="AD71" s="112">
        <f t="shared" si="4"/>
        <v>0</v>
      </c>
      <c r="AE71" s="191">
        <f t="shared" si="5"/>
        <v>0</v>
      </c>
    </row>
    <row r="72" spans="1:34" x14ac:dyDescent="0.25">
      <c r="A72" s="189" t="s">
        <v>524</v>
      </c>
      <c r="B72" s="190">
        <v>20</v>
      </c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  <c r="AA72" s="112"/>
      <c r="AB72" s="112"/>
      <c r="AC72" s="112"/>
      <c r="AD72" s="112">
        <f t="shared" si="4"/>
        <v>0</v>
      </c>
      <c r="AE72" s="191">
        <f t="shared" si="5"/>
        <v>0</v>
      </c>
      <c r="AF72" s="230" t="s">
        <v>525</v>
      </c>
    </row>
    <row r="73" spans="1:34" x14ac:dyDescent="0.25">
      <c r="A73" s="189" t="s">
        <v>526</v>
      </c>
      <c r="B73" s="190">
        <v>20</v>
      </c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  <c r="AA73" s="112"/>
      <c r="AB73" s="112"/>
      <c r="AC73" s="112"/>
      <c r="AD73" s="112">
        <f t="shared" si="4"/>
        <v>0</v>
      </c>
      <c r="AE73" s="191">
        <f t="shared" si="5"/>
        <v>0</v>
      </c>
      <c r="AF73" s="231">
        <f>AD29+AD37+AD89</f>
        <v>29</v>
      </c>
    </row>
    <row r="74" spans="1:34" x14ac:dyDescent="0.25">
      <c r="A74" s="189" t="s">
        <v>298</v>
      </c>
      <c r="B74" s="190">
        <v>20</v>
      </c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  <c r="AA74" s="112"/>
      <c r="AB74" s="112"/>
      <c r="AC74" s="112"/>
      <c r="AD74" s="112">
        <f t="shared" si="4"/>
        <v>0</v>
      </c>
      <c r="AE74" s="191">
        <f t="shared" si="5"/>
        <v>0</v>
      </c>
    </row>
    <row r="75" spans="1:34" x14ac:dyDescent="0.25">
      <c r="A75" s="189" t="s">
        <v>290</v>
      </c>
      <c r="B75" s="190">
        <v>20</v>
      </c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  <c r="AA75" s="112"/>
      <c r="AB75" s="112"/>
      <c r="AC75" s="112"/>
      <c r="AD75" s="112">
        <f t="shared" si="4"/>
        <v>0</v>
      </c>
      <c r="AE75" s="191">
        <f t="shared" si="5"/>
        <v>0</v>
      </c>
      <c r="AF75" s="92">
        <f>AD102</f>
        <v>780</v>
      </c>
      <c r="AG75" s="232" t="s">
        <v>22</v>
      </c>
      <c r="AH75" t="s">
        <v>527</v>
      </c>
    </row>
    <row r="76" spans="1:34" x14ac:dyDescent="0.25">
      <c r="A76" s="189" t="s">
        <v>528</v>
      </c>
      <c r="B76" s="190">
        <v>20</v>
      </c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  <c r="AA76" s="112"/>
      <c r="AB76" s="112"/>
      <c r="AC76" s="112"/>
      <c r="AD76" s="112">
        <f t="shared" si="4"/>
        <v>0</v>
      </c>
      <c r="AE76" s="191">
        <f t="shared" si="5"/>
        <v>0</v>
      </c>
      <c r="AF76" s="233">
        <f>AG17</f>
        <v>0</v>
      </c>
      <c r="AG76" s="232" t="s">
        <v>529</v>
      </c>
      <c r="AH76" t="s">
        <v>527</v>
      </c>
    </row>
    <row r="77" spans="1:34" x14ac:dyDescent="0.25">
      <c r="A77" s="189" t="s">
        <v>530</v>
      </c>
      <c r="B77" s="190">
        <v>20</v>
      </c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>
        <f t="shared" si="4"/>
        <v>0</v>
      </c>
      <c r="AE77" s="191">
        <f t="shared" si="5"/>
        <v>0</v>
      </c>
      <c r="AF77" s="233">
        <f>AG54</f>
        <v>0</v>
      </c>
      <c r="AG77" s="232" t="s">
        <v>531</v>
      </c>
      <c r="AH77" t="s">
        <v>527</v>
      </c>
    </row>
    <row r="78" spans="1:34" x14ac:dyDescent="0.25">
      <c r="A78" s="189" t="s">
        <v>532</v>
      </c>
      <c r="B78" s="190">
        <v>20</v>
      </c>
      <c r="C78" s="112"/>
      <c r="D78" s="112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  <c r="AA78" s="112"/>
      <c r="AB78" s="112"/>
      <c r="AC78" s="112"/>
      <c r="AD78" s="112">
        <f t="shared" si="4"/>
        <v>0</v>
      </c>
      <c r="AE78" s="191">
        <f t="shared" si="5"/>
        <v>0</v>
      </c>
      <c r="AF78" s="234">
        <f>AG67</f>
        <v>0</v>
      </c>
      <c r="AG78" s="232" t="s">
        <v>533</v>
      </c>
      <c r="AH78" t="s">
        <v>527</v>
      </c>
    </row>
    <row r="79" spans="1:34" x14ac:dyDescent="0.25">
      <c r="A79" s="189" t="s">
        <v>534</v>
      </c>
      <c r="B79" s="190">
        <v>20</v>
      </c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  <c r="AA79" s="112"/>
      <c r="AB79" s="112"/>
      <c r="AC79" s="112"/>
      <c r="AD79" s="112">
        <f t="shared" si="4"/>
        <v>0</v>
      </c>
      <c r="AE79" s="191">
        <f t="shared" si="5"/>
        <v>0</v>
      </c>
      <c r="AF79" s="92">
        <f>SUM(AF75:AF78)</f>
        <v>780</v>
      </c>
      <c r="AG79" s="232" t="s">
        <v>535</v>
      </c>
      <c r="AH79" t="s">
        <v>536</v>
      </c>
    </row>
    <row r="80" spans="1:34" x14ac:dyDescent="0.25">
      <c r="A80" s="189" t="s">
        <v>516</v>
      </c>
      <c r="B80" s="190">
        <v>35</v>
      </c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  <c r="AA80" s="112"/>
      <c r="AB80" s="112"/>
      <c r="AC80" s="112"/>
      <c r="AD80" s="112">
        <f t="shared" si="4"/>
        <v>0</v>
      </c>
      <c r="AE80" s="191">
        <f t="shared" si="5"/>
        <v>0</v>
      </c>
      <c r="AF80" s="233">
        <f>AD54+AD57</f>
        <v>0</v>
      </c>
      <c r="AG80" s="232" t="s">
        <v>537</v>
      </c>
      <c r="AH80" t="s">
        <v>538</v>
      </c>
    </row>
    <row r="81" spans="1:56" x14ac:dyDescent="0.25">
      <c r="A81" s="189" t="s">
        <v>379</v>
      </c>
      <c r="B81" s="190">
        <v>1</v>
      </c>
      <c r="C81" s="112">
        <v>1</v>
      </c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>
        <f t="shared" si="4"/>
        <v>1</v>
      </c>
      <c r="AE81" s="191">
        <f t="shared" si="5"/>
        <v>1</v>
      </c>
      <c r="AF81" s="233">
        <f>AF79-AF80</f>
        <v>780</v>
      </c>
      <c r="AG81" s="232" t="s">
        <v>539</v>
      </c>
      <c r="AH81" t="s">
        <v>536</v>
      </c>
    </row>
    <row r="82" spans="1:56" x14ac:dyDescent="0.25">
      <c r="A82" s="189" t="s">
        <v>540</v>
      </c>
      <c r="B82" s="190">
        <v>40</v>
      </c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  <c r="AA82" s="112"/>
      <c r="AB82" s="112"/>
      <c r="AC82" s="112"/>
      <c r="AD82" s="112">
        <f t="shared" si="4"/>
        <v>0</v>
      </c>
      <c r="AE82" s="191">
        <f t="shared" si="5"/>
        <v>0</v>
      </c>
      <c r="AF82" s="233">
        <v>1</v>
      </c>
      <c r="AG82" s="232" t="s">
        <v>541</v>
      </c>
      <c r="AH82" t="s">
        <v>527</v>
      </c>
    </row>
    <row r="83" spans="1:56" x14ac:dyDescent="0.25">
      <c r="A83" s="189" t="s">
        <v>542</v>
      </c>
      <c r="B83" s="190">
        <v>30</v>
      </c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  <c r="AA83" s="112"/>
      <c r="AB83" s="112"/>
      <c r="AC83" s="112"/>
      <c r="AD83" s="112">
        <f t="shared" si="4"/>
        <v>0</v>
      </c>
      <c r="AE83" s="191">
        <f t="shared" si="5"/>
        <v>0</v>
      </c>
      <c r="AF83" s="233">
        <f>SUM(AF81:AF82)</f>
        <v>781</v>
      </c>
      <c r="AG83" s="232" t="s">
        <v>543</v>
      </c>
      <c r="AH83" t="s">
        <v>536</v>
      </c>
    </row>
    <row r="84" spans="1:56" x14ac:dyDescent="0.25">
      <c r="A84" s="189" t="s">
        <v>544</v>
      </c>
      <c r="B84" s="190">
        <v>40</v>
      </c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  <c r="AA84" s="112"/>
      <c r="AB84" s="112"/>
      <c r="AC84" s="112"/>
      <c r="AD84" s="112">
        <f t="shared" si="4"/>
        <v>0</v>
      </c>
      <c r="AE84" s="191">
        <f t="shared" si="5"/>
        <v>0</v>
      </c>
    </row>
    <row r="85" spans="1:56" x14ac:dyDescent="0.25">
      <c r="A85" s="189" t="s">
        <v>545</v>
      </c>
      <c r="B85" s="190">
        <v>30</v>
      </c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>
        <f t="shared" si="4"/>
        <v>0</v>
      </c>
      <c r="AE85" s="191">
        <f t="shared" si="5"/>
        <v>0</v>
      </c>
      <c r="BB85" t="s">
        <v>546</v>
      </c>
      <c r="BC85" t="s">
        <v>547</v>
      </c>
    </row>
    <row r="86" spans="1:56" x14ac:dyDescent="0.25">
      <c r="A86" s="189" t="s">
        <v>548</v>
      </c>
      <c r="B86" s="190">
        <v>22</v>
      </c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  <c r="AA86" s="112"/>
      <c r="AB86" s="112"/>
      <c r="AC86" s="112"/>
      <c r="AD86" s="112">
        <f t="shared" si="4"/>
        <v>0</v>
      </c>
      <c r="AE86" s="191">
        <f t="shared" si="5"/>
        <v>0</v>
      </c>
      <c r="BB86" s="200">
        <v>100</v>
      </c>
      <c r="BC86" s="200">
        <v>200</v>
      </c>
      <c r="BD86">
        <f>((BC86-BB86)/BB86)*100</f>
        <v>100</v>
      </c>
    </row>
    <row r="87" spans="1:56" x14ac:dyDescent="0.25">
      <c r="A87" s="189" t="s">
        <v>549</v>
      </c>
      <c r="B87" s="190">
        <v>20</v>
      </c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  <c r="AA87" s="112"/>
      <c r="AB87" s="112"/>
      <c r="AC87" s="112"/>
      <c r="AD87" s="112">
        <f t="shared" si="4"/>
        <v>0</v>
      </c>
      <c r="AE87" s="191">
        <f t="shared" si="5"/>
        <v>0</v>
      </c>
    </row>
    <row r="88" spans="1:56" x14ac:dyDescent="0.25">
      <c r="A88" s="189" t="s">
        <v>320</v>
      </c>
      <c r="B88" s="190">
        <v>19</v>
      </c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  <c r="AA88" s="112"/>
      <c r="AB88" s="112"/>
      <c r="AC88" s="112"/>
      <c r="AD88" s="112">
        <f t="shared" si="4"/>
        <v>0</v>
      </c>
      <c r="AE88" s="191">
        <f t="shared" si="5"/>
        <v>0</v>
      </c>
      <c r="AM88" s="191"/>
    </row>
    <row r="89" spans="1:56" x14ac:dyDescent="0.25">
      <c r="A89" s="206" t="s">
        <v>550</v>
      </c>
      <c r="B89" s="190">
        <v>22</v>
      </c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  <c r="AA89" s="112"/>
      <c r="AB89" s="112"/>
      <c r="AC89" s="112"/>
      <c r="AD89" s="112">
        <f t="shared" si="4"/>
        <v>0</v>
      </c>
      <c r="AE89" s="191">
        <f t="shared" si="5"/>
        <v>0</v>
      </c>
    </row>
    <row r="90" spans="1:56" x14ac:dyDescent="0.25">
      <c r="A90" s="189" t="s">
        <v>551</v>
      </c>
      <c r="B90" s="190">
        <v>45</v>
      </c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  <c r="AA90" s="112"/>
      <c r="AB90" s="112"/>
      <c r="AC90" s="112"/>
      <c r="AD90" s="112">
        <f t="shared" si="4"/>
        <v>0</v>
      </c>
      <c r="AE90" s="191">
        <f t="shared" si="5"/>
        <v>0</v>
      </c>
    </row>
    <row r="91" spans="1:56" x14ac:dyDescent="0.25">
      <c r="A91" s="189" t="s">
        <v>552</v>
      </c>
      <c r="B91" s="190">
        <v>45</v>
      </c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  <c r="AA91" s="112"/>
      <c r="AB91" s="112"/>
      <c r="AC91" s="112"/>
      <c r="AD91" s="112">
        <f t="shared" si="4"/>
        <v>0</v>
      </c>
      <c r="AE91" s="191">
        <f t="shared" si="5"/>
        <v>0</v>
      </c>
    </row>
    <row r="92" spans="1:56" x14ac:dyDescent="0.25">
      <c r="A92" s="189" t="s">
        <v>553</v>
      </c>
      <c r="B92" s="190">
        <v>20</v>
      </c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  <c r="AA92" s="112"/>
      <c r="AB92" s="112"/>
      <c r="AC92" s="112"/>
      <c r="AD92" s="112">
        <f t="shared" si="4"/>
        <v>0</v>
      </c>
      <c r="AE92" s="191">
        <f t="shared" si="5"/>
        <v>0</v>
      </c>
    </row>
    <row r="93" spans="1:56" x14ac:dyDescent="0.25">
      <c r="A93" s="189" t="s">
        <v>324</v>
      </c>
      <c r="B93" s="190">
        <v>20</v>
      </c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  <c r="AA93" s="112"/>
      <c r="AB93" s="112"/>
      <c r="AC93" s="112"/>
      <c r="AD93" s="112">
        <f t="shared" si="4"/>
        <v>0</v>
      </c>
      <c r="AE93" s="191">
        <f t="shared" si="5"/>
        <v>0</v>
      </c>
    </row>
    <row r="94" spans="1:56" x14ac:dyDescent="0.25">
      <c r="A94" s="189" t="s">
        <v>330</v>
      </c>
      <c r="B94" s="190">
        <v>20</v>
      </c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  <c r="AA94" s="112"/>
      <c r="AB94" s="112"/>
      <c r="AC94" s="112"/>
      <c r="AD94" s="112">
        <f t="shared" si="4"/>
        <v>0</v>
      </c>
      <c r="AE94" s="191">
        <f t="shared" si="5"/>
        <v>0</v>
      </c>
    </row>
    <row r="95" spans="1:56" x14ac:dyDescent="0.25">
      <c r="A95" s="189" t="s">
        <v>332</v>
      </c>
      <c r="B95" s="190">
        <v>20</v>
      </c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  <c r="AA95" s="112"/>
      <c r="AB95" s="112"/>
      <c r="AC95" s="112"/>
      <c r="AD95" s="112">
        <f t="shared" si="4"/>
        <v>0</v>
      </c>
      <c r="AE95" s="191">
        <f t="shared" si="5"/>
        <v>0</v>
      </c>
    </row>
    <row r="96" spans="1:56" x14ac:dyDescent="0.25">
      <c r="A96" s="189" t="s">
        <v>336</v>
      </c>
      <c r="B96" s="190">
        <v>20</v>
      </c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  <c r="AA96" s="112"/>
      <c r="AB96" s="112"/>
      <c r="AC96" s="112"/>
      <c r="AD96" s="112">
        <f t="shared" si="4"/>
        <v>0</v>
      </c>
      <c r="AE96" s="191">
        <f t="shared" si="5"/>
        <v>0</v>
      </c>
    </row>
    <row r="97" spans="1:37" x14ac:dyDescent="0.25">
      <c r="A97" s="189" t="s">
        <v>554</v>
      </c>
      <c r="B97" s="190">
        <v>20</v>
      </c>
      <c r="C97" s="112"/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  <c r="AA97" s="112"/>
      <c r="AB97" s="112"/>
      <c r="AC97" s="112"/>
      <c r="AD97" s="112">
        <f t="shared" si="4"/>
        <v>0</v>
      </c>
      <c r="AE97" s="191">
        <f t="shared" si="5"/>
        <v>0</v>
      </c>
    </row>
    <row r="98" spans="1:37" x14ac:dyDescent="0.25">
      <c r="A98" s="189" t="s">
        <v>488</v>
      </c>
      <c r="B98" s="190">
        <v>45</v>
      </c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  <c r="AA98" s="112"/>
      <c r="AB98" s="112"/>
      <c r="AC98" s="112"/>
      <c r="AD98" s="112">
        <f t="shared" si="4"/>
        <v>0</v>
      </c>
      <c r="AE98" s="191">
        <f t="shared" si="5"/>
        <v>0</v>
      </c>
    </row>
    <row r="99" spans="1:37" ht="15" customHeight="1" x14ac:dyDescent="0.25">
      <c r="A99" s="189" t="s">
        <v>353</v>
      </c>
      <c r="B99" s="190">
        <v>15</v>
      </c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  <c r="AA99" s="112"/>
      <c r="AB99" s="112"/>
      <c r="AC99" s="112"/>
      <c r="AD99" s="112">
        <f t="shared" ref="AD99:AD103" si="6">SUM(C99:AC99)</f>
        <v>0</v>
      </c>
      <c r="AE99" s="191">
        <f t="shared" ref="AE99:AE101" si="7">AD99*B99</f>
        <v>0</v>
      </c>
    </row>
    <row r="100" spans="1:37" ht="15" customHeight="1" x14ac:dyDescent="0.25">
      <c r="A100" s="189" t="s">
        <v>555</v>
      </c>
      <c r="B100" s="190">
        <v>20</v>
      </c>
      <c r="C100" s="112"/>
      <c r="D100" s="112"/>
      <c r="E100" s="112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  <c r="AA100" s="112"/>
      <c r="AB100" s="112"/>
      <c r="AC100" s="112"/>
      <c r="AD100" s="112">
        <f t="shared" si="6"/>
        <v>0</v>
      </c>
      <c r="AE100" s="191">
        <f t="shared" si="7"/>
        <v>0</v>
      </c>
    </row>
    <row r="101" spans="1:37" x14ac:dyDescent="0.25">
      <c r="A101" s="189" t="s">
        <v>556</v>
      </c>
      <c r="B101" s="190">
        <v>20</v>
      </c>
      <c r="C101" s="112"/>
      <c r="D101" s="112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  <c r="AA101" s="112"/>
      <c r="AB101" s="112"/>
      <c r="AC101" s="112"/>
      <c r="AD101" s="112">
        <f t="shared" si="6"/>
        <v>0</v>
      </c>
      <c r="AE101" s="191">
        <f t="shared" si="7"/>
        <v>0</v>
      </c>
    </row>
    <row r="102" spans="1:37" s="126" customFormat="1" x14ac:dyDescent="0.25">
      <c r="A102" s="235" t="s">
        <v>557</v>
      </c>
      <c r="C102" s="236">
        <f t="shared" ref="C102:AC102" si="8">SUM(C3:C101)</f>
        <v>39</v>
      </c>
      <c r="D102" s="236">
        <f t="shared" si="8"/>
        <v>102</v>
      </c>
      <c r="E102" s="236">
        <f t="shared" si="8"/>
        <v>57</v>
      </c>
      <c r="F102" s="236">
        <f t="shared" si="8"/>
        <v>87</v>
      </c>
      <c r="G102" s="236">
        <f t="shared" si="8"/>
        <v>20</v>
      </c>
      <c r="H102" s="236">
        <f t="shared" si="8"/>
        <v>12</v>
      </c>
      <c r="I102" s="236">
        <f t="shared" si="8"/>
        <v>26</v>
      </c>
      <c r="J102" s="236">
        <f t="shared" si="8"/>
        <v>20</v>
      </c>
      <c r="K102" s="236">
        <f t="shared" si="8"/>
        <v>6</v>
      </c>
      <c r="L102" s="236">
        <f t="shared" si="8"/>
        <v>18</v>
      </c>
      <c r="M102" s="236">
        <f t="shared" si="8"/>
        <v>28</v>
      </c>
      <c r="N102" s="236">
        <f t="shared" si="8"/>
        <v>36</v>
      </c>
      <c r="O102" s="236">
        <f t="shared" si="8"/>
        <v>1</v>
      </c>
      <c r="P102" s="236">
        <f t="shared" si="8"/>
        <v>74</v>
      </c>
      <c r="Q102" s="236">
        <f t="shared" si="8"/>
        <v>0</v>
      </c>
      <c r="R102" s="236">
        <f t="shared" si="8"/>
        <v>0</v>
      </c>
      <c r="S102" s="236">
        <f t="shared" si="8"/>
        <v>0</v>
      </c>
      <c r="T102" s="236">
        <f t="shared" si="8"/>
        <v>0</v>
      </c>
      <c r="U102" s="236">
        <f t="shared" si="8"/>
        <v>5</v>
      </c>
      <c r="V102" s="236">
        <f t="shared" si="8"/>
        <v>11</v>
      </c>
      <c r="W102" s="236">
        <f t="shared" si="8"/>
        <v>136</v>
      </c>
      <c r="X102" s="236">
        <f t="shared" si="8"/>
        <v>27</v>
      </c>
      <c r="Y102" s="236">
        <f t="shared" si="8"/>
        <v>6</v>
      </c>
      <c r="Z102" s="236">
        <f t="shared" si="8"/>
        <v>21</v>
      </c>
      <c r="AA102" s="236">
        <f t="shared" si="8"/>
        <v>0</v>
      </c>
      <c r="AB102" s="236">
        <f t="shared" si="8"/>
        <v>19</v>
      </c>
      <c r="AC102" s="236">
        <f t="shared" si="8"/>
        <v>29</v>
      </c>
      <c r="AD102" s="112">
        <f t="shared" si="6"/>
        <v>780</v>
      </c>
      <c r="AE102" s="126">
        <f>SUM(AE3:AE101)</f>
        <v>15890</v>
      </c>
    </row>
    <row r="103" spans="1:37" s="191" customFormat="1" x14ac:dyDescent="0.25">
      <c r="A103" s="189" t="s">
        <v>558</v>
      </c>
      <c r="C103" s="237">
        <f t="shared" ref="C103:AC103" si="9">SUMPRODUCT($B$3:$B$101, C3:C101)</f>
        <v>799</v>
      </c>
      <c r="D103" s="237">
        <f t="shared" si="9"/>
        <v>2071</v>
      </c>
      <c r="E103" s="237">
        <f t="shared" si="9"/>
        <v>1183</v>
      </c>
      <c r="F103" s="237">
        <f t="shared" si="9"/>
        <v>1809</v>
      </c>
      <c r="G103" s="237">
        <f t="shared" si="9"/>
        <v>413</v>
      </c>
      <c r="H103" s="237">
        <f t="shared" si="9"/>
        <v>245</v>
      </c>
      <c r="I103" s="237">
        <f t="shared" si="9"/>
        <v>509</v>
      </c>
      <c r="J103" s="237">
        <f t="shared" si="9"/>
        <v>406</v>
      </c>
      <c r="K103" s="237">
        <f t="shared" si="9"/>
        <v>119</v>
      </c>
      <c r="L103" s="237">
        <f>SUMPRODUCT($B$3:$B$101, L3:L101)</f>
        <v>371</v>
      </c>
      <c r="M103" s="237">
        <f t="shared" si="9"/>
        <v>583</v>
      </c>
      <c r="N103" s="237">
        <f t="shared" si="9"/>
        <v>773</v>
      </c>
      <c r="O103" s="237">
        <f t="shared" si="9"/>
        <v>25</v>
      </c>
      <c r="P103" s="237">
        <f>SUMPRODUCT($B$3:$B$101, P3:P101)</f>
        <v>1435</v>
      </c>
      <c r="Q103" s="191">
        <f t="shared" si="9"/>
        <v>0</v>
      </c>
      <c r="R103" s="191">
        <f t="shared" si="9"/>
        <v>0</v>
      </c>
      <c r="S103" s="191">
        <f t="shared" si="9"/>
        <v>0</v>
      </c>
      <c r="T103" s="191">
        <f t="shared" si="9"/>
        <v>0</v>
      </c>
      <c r="U103" s="237">
        <f t="shared" si="9"/>
        <v>122</v>
      </c>
      <c r="V103" s="237">
        <f t="shared" si="9"/>
        <v>165</v>
      </c>
      <c r="W103" s="237">
        <f t="shared" si="9"/>
        <v>2482</v>
      </c>
      <c r="X103" s="237">
        <f t="shared" si="9"/>
        <v>525</v>
      </c>
      <c r="Y103" s="237">
        <f t="shared" si="9"/>
        <v>130</v>
      </c>
      <c r="Z103" s="237">
        <f t="shared" si="9"/>
        <v>525</v>
      </c>
      <c r="AA103" s="191">
        <f t="shared" si="9"/>
        <v>0</v>
      </c>
      <c r="AB103" s="237">
        <f t="shared" si="9"/>
        <v>475</v>
      </c>
      <c r="AC103" s="237">
        <f t="shared" si="9"/>
        <v>725</v>
      </c>
      <c r="AD103" s="112">
        <f t="shared" si="6"/>
        <v>15890</v>
      </c>
    </row>
    <row r="104" spans="1:37" ht="28.5" x14ac:dyDescent="0.25">
      <c r="A104" s="329" t="s">
        <v>559</v>
      </c>
      <c r="B104" s="329"/>
      <c r="C104" s="329"/>
      <c r="D104" s="329"/>
      <c r="E104" s="329"/>
      <c r="F104" s="329"/>
      <c r="G104" s="329"/>
      <c r="H104" s="329"/>
      <c r="I104" s="329"/>
      <c r="J104" s="329"/>
      <c r="K104" s="329"/>
      <c r="L104" s="329"/>
      <c r="M104" s="329"/>
      <c r="N104" s="329"/>
      <c r="O104" s="329"/>
      <c r="P104" s="329"/>
      <c r="Q104" s="329"/>
      <c r="R104" s="329"/>
      <c r="S104" s="329"/>
      <c r="T104" s="329"/>
      <c r="U104" s="329"/>
      <c r="V104" s="329"/>
      <c r="W104" s="329"/>
      <c r="X104" s="329"/>
      <c r="Y104" s="329"/>
      <c r="Z104" s="329"/>
      <c r="AA104" s="329"/>
      <c r="AB104" s="329"/>
      <c r="AC104" s="329"/>
      <c r="AD104" s="329"/>
    </row>
    <row r="105" spans="1:37" x14ac:dyDescent="0.25">
      <c r="A105" s="238" t="s">
        <v>361</v>
      </c>
      <c r="B105" s="239"/>
      <c r="C105" s="239"/>
      <c r="D105" s="239"/>
      <c r="E105" s="239"/>
      <c r="F105" s="239"/>
      <c r="G105" s="239"/>
      <c r="H105" s="239"/>
      <c r="I105" s="239"/>
      <c r="J105" s="239" t="s">
        <v>360</v>
      </c>
      <c r="K105" s="240"/>
      <c r="L105" s="240"/>
      <c r="M105" s="240"/>
      <c r="N105" s="240"/>
      <c r="O105" s="240"/>
      <c r="P105" s="240"/>
      <c r="Q105" s="240"/>
      <c r="R105" s="241"/>
      <c r="S105" s="241"/>
      <c r="T105" s="241"/>
      <c r="U105" s="241"/>
      <c r="V105" s="241"/>
      <c r="W105" s="241"/>
      <c r="X105" s="241"/>
      <c r="Y105" s="241"/>
      <c r="Z105" s="241"/>
      <c r="AA105" s="241"/>
      <c r="AB105" s="241"/>
      <c r="AC105" s="241"/>
      <c r="AD105" s="241"/>
      <c r="AE105" s="242"/>
    </row>
    <row r="106" spans="1:37" x14ac:dyDescent="0.25">
      <c r="A106" s="92" t="s">
        <v>35</v>
      </c>
      <c r="B106" s="112"/>
      <c r="C106" s="112"/>
      <c r="D106" s="112"/>
      <c r="E106" s="112"/>
      <c r="F106" s="112"/>
      <c r="G106" s="112"/>
      <c r="H106" s="112"/>
      <c r="I106" s="112"/>
      <c r="J106" s="112">
        <f t="shared" ref="J106:J169" si="10">SUM(B106:I106)</f>
        <v>0</v>
      </c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  <c r="AA106" s="112"/>
      <c r="AB106" s="112"/>
      <c r="AC106" s="112"/>
      <c r="AD106" s="112"/>
      <c r="AE106" s="242"/>
      <c r="AF106" s="112"/>
      <c r="AG106" s="112"/>
      <c r="AH106" s="112"/>
      <c r="AI106" s="112"/>
      <c r="AJ106" s="112"/>
      <c r="AK106" t="e">
        <f t="shared" ref="AK106:AK121" si="11">AVERAGE(AF106:AJ106)</f>
        <v>#DIV/0!</v>
      </c>
    </row>
    <row r="107" spans="1:37" x14ac:dyDescent="0.25">
      <c r="A107" s="92" t="s">
        <v>560</v>
      </c>
      <c r="B107" s="112"/>
      <c r="C107" s="112"/>
      <c r="D107" s="112"/>
      <c r="E107" s="112"/>
      <c r="F107" s="112"/>
      <c r="G107" s="112"/>
      <c r="H107" s="112"/>
      <c r="I107" s="112"/>
      <c r="J107" s="112">
        <f t="shared" si="10"/>
        <v>0</v>
      </c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  <c r="AA107" s="112"/>
      <c r="AB107" s="112"/>
      <c r="AC107" s="112"/>
      <c r="AD107" s="112"/>
      <c r="AE107" s="242"/>
      <c r="AF107" s="112"/>
      <c r="AG107" s="112"/>
      <c r="AH107" s="112"/>
      <c r="AI107" s="112"/>
      <c r="AJ107" s="112"/>
      <c r="AK107" t="e">
        <f t="shared" si="11"/>
        <v>#DIV/0!</v>
      </c>
    </row>
    <row r="108" spans="1:37" x14ac:dyDescent="0.25">
      <c r="A108" s="92" t="s">
        <v>39</v>
      </c>
      <c r="B108" s="112"/>
      <c r="C108" s="112"/>
      <c r="D108" s="112"/>
      <c r="E108" s="112"/>
      <c r="F108" s="112"/>
      <c r="G108" s="112"/>
      <c r="H108" s="112"/>
      <c r="I108" s="112"/>
      <c r="J108" s="112">
        <f t="shared" si="10"/>
        <v>0</v>
      </c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  <c r="AA108" s="112"/>
      <c r="AB108" s="112"/>
      <c r="AC108" s="112"/>
      <c r="AD108" s="112"/>
      <c r="AE108" s="242"/>
      <c r="AF108" s="112"/>
      <c r="AG108" s="112"/>
      <c r="AH108" s="112"/>
      <c r="AI108" s="112"/>
      <c r="AJ108" s="112"/>
      <c r="AK108" t="e">
        <f t="shared" si="11"/>
        <v>#DIV/0!</v>
      </c>
    </row>
    <row r="109" spans="1:37" x14ac:dyDescent="0.25">
      <c r="A109" s="92" t="s">
        <v>41</v>
      </c>
      <c r="B109" s="112"/>
      <c r="C109" s="112"/>
      <c r="D109" s="112"/>
      <c r="E109" s="112"/>
      <c r="F109" s="112"/>
      <c r="G109" s="112"/>
      <c r="H109" s="112"/>
      <c r="I109" s="112"/>
      <c r="J109" s="112">
        <f t="shared" si="10"/>
        <v>0</v>
      </c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  <c r="AA109" s="112"/>
      <c r="AB109" s="112"/>
      <c r="AC109" s="112"/>
      <c r="AD109" s="112"/>
      <c r="AE109" s="242"/>
      <c r="AF109" s="112"/>
      <c r="AG109" s="112"/>
      <c r="AH109" s="112"/>
      <c r="AI109" s="112"/>
      <c r="AJ109" s="112"/>
      <c r="AK109" t="e">
        <f t="shared" si="11"/>
        <v>#DIV/0!</v>
      </c>
    </row>
    <row r="110" spans="1:37" x14ac:dyDescent="0.25">
      <c r="A110" s="92" t="s">
        <v>47</v>
      </c>
      <c r="B110" s="112"/>
      <c r="C110" s="112"/>
      <c r="D110" s="112"/>
      <c r="E110" s="112"/>
      <c r="F110" s="112"/>
      <c r="G110" s="112"/>
      <c r="H110" s="112"/>
      <c r="I110" s="112"/>
      <c r="J110" s="112">
        <f t="shared" si="10"/>
        <v>0</v>
      </c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  <c r="AA110" s="112"/>
      <c r="AB110" s="112"/>
      <c r="AC110" s="112"/>
      <c r="AD110" s="112"/>
      <c r="AE110" s="242"/>
      <c r="AF110" s="112"/>
      <c r="AG110" s="112"/>
      <c r="AH110" s="112"/>
      <c r="AI110" s="112"/>
      <c r="AJ110" s="112"/>
      <c r="AK110" t="e">
        <f t="shared" si="11"/>
        <v>#DIV/0!</v>
      </c>
    </row>
    <row r="111" spans="1:37" x14ac:dyDescent="0.25">
      <c r="A111" s="92" t="s">
        <v>457</v>
      </c>
      <c r="B111" s="112"/>
      <c r="C111" s="112"/>
      <c r="D111" s="112"/>
      <c r="E111" s="112"/>
      <c r="F111" s="112"/>
      <c r="G111" s="112"/>
      <c r="H111" s="112"/>
      <c r="I111" s="112"/>
      <c r="J111" s="112">
        <f t="shared" si="10"/>
        <v>0</v>
      </c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  <c r="AA111" s="112"/>
      <c r="AB111" s="112"/>
      <c r="AC111" s="112"/>
      <c r="AD111" s="112"/>
      <c r="AE111" s="242"/>
      <c r="AF111" s="112"/>
      <c r="AG111" s="112"/>
      <c r="AH111" s="112"/>
      <c r="AI111" s="112"/>
      <c r="AJ111" s="112"/>
      <c r="AK111" t="e">
        <f t="shared" si="11"/>
        <v>#DIV/0!</v>
      </c>
    </row>
    <row r="112" spans="1:37" x14ac:dyDescent="0.25">
      <c r="A112" s="92" t="s">
        <v>50</v>
      </c>
      <c r="B112" s="112"/>
      <c r="C112" s="112"/>
      <c r="D112" s="112"/>
      <c r="E112" s="112"/>
      <c r="F112" s="112"/>
      <c r="G112" s="112"/>
      <c r="H112" s="112"/>
      <c r="I112" s="112"/>
      <c r="J112" s="112">
        <f t="shared" si="10"/>
        <v>0</v>
      </c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  <c r="AA112" s="112"/>
      <c r="AB112" s="112"/>
      <c r="AC112" s="112"/>
      <c r="AD112" s="112"/>
      <c r="AE112" s="242"/>
      <c r="AF112" s="112"/>
      <c r="AG112" s="112"/>
      <c r="AH112" s="112"/>
      <c r="AI112" s="112"/>
      <c r="AJ112" s="112"/>
      <c r="AK112" t="e">
        <f t="shared" si="11"/>
        <v>#DIV/0!</v>
      </c>
    </row>
    <row r="113" spans="1:63" x14ac:dyDescent="0.25">
      <c r="A113" s="92" t="s">
        <v>561</v>
      </c>
      <c r="B113" s="112"/>
      <c r="C113" s="112"/>
      <c r="D113" s="112"/>
      <c r="E113" s="112"/>
      <c r="F113" s="112"/>
      <c r="G113" s="112"/>
      <c r="H113" s="112"/>
      <c r="I113" s="112"/>
      <c r="J113" s="112">
        <f t="shared" si="10"/>
        <v>0</v>
      </c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  <c r="AA113" s="112"/>
      <c r="AB113" s="112"/>
      <c r="AC113" s="112"/>
      <c r="AD113" s="112"/>
      <c r="AE113" s="242"/>
      <c r="AF113" s="112"/>
      <c r="AG113" s="112"/>
      <c r="AH113" s="112"/>
      <c r="AI113" s="112"/>
      <c r="AJ113" s="112"/>
      <c r="AK113" t="e">
        <f t="shared" si="11"/>
        <v>#DIV/0!</v>
      </c>
    </row>
    <row r="114" spans="1:63" x14ac:dyDescent="0.25">
      <c r="A114" s="92" t="s">
        <v>54</v>
      </c>
      <c r="B114" s="112"/>
      <c r="C114" s="112"/>
      <c r="D114" s="112"/>
      <c r="E114" s="112"/>
      <c r="F114" s="112"/>
      <c r="G114" s="112"/>
      <c r="H114" s="112"/>
      <c r="I114" s="112"/>
      <c r="J114" s="112">
        <f t="shared" si="10"/>
        <v>0</v>
      </c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  <c r="AA114" s="112"/>
      <c r="AB114" s="112"/>
      <c r="AC114" s="112"/>
      <c r="AD114" s="112"/>
      <c r="AE114" s="242"/>
      <c r="AF114" s="112"/>
      <c r="AG114" s="112"/>
      <c r="AH114" s="112"/>
      <c r="AI114" s="112"/>
      <c r="AJ114" s="112"/>
      <c r="AK114" t="e">
        <f t="shared" si="11"/>
        <v>#DIV/0!</v>
      </c>
    </row>
    <row r="115" spans="1:63" x14ac:dyDescent="0.25">
      <c r="A115" s="92" t="s">
        <v>562</v>
      </c>
      <c r="B115" s="112"/>
      <c r="C115" s="112"/>
      <c r="D115" s="112"/>
      <c r="E115" s="112"/>
      <c r="F115" s="112"/>
      <c r="G115" s="112"/>
      <c r="H115" s="112"/>
      <c r="I115" s="112"/>
      <c r="J115" s="112">
        <f t="shared" si="10"/>
        <v>0</v>
      </c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242"/>
      <c r="AF115" s="112"/>
      <c r="AG115" s="112"/>
      <c r="AH115" s="112"/>
      <c r="AI115" s="112"/>
      <c r="AJ115" s="112"/>
      <c r="AK115" t="e">
        <f t="shared" si="11"/>
        <v>#DIV/0!</v>
      </c>
    </row>
    <row r="116" spans="1:63" x14ac:dyDescent="0.25">
      <c r="A116" s="92" t="s">
        <v>563</v>
      </c>
      <c r="B116" s="112"/>
      <c r="C116" s="112"/>
      <c r="D116" s="112"/>
      <c r="E116" s="112"/>
      <c r="F116" s="112"/>
      <c r="G116" s="112"/>
      <c r="H116" s="112"/>
      <c r="I116" s="112"/>
      <c r="J116" s="112">
        <f t="shared" si="10"/>
        <v>0</v>
      </c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  <c r="AA116" s="112"/>
      <c r="AB116" s="112"/>
      <c r="AC116" s="112"/>
      <c r="AD116" s="112"/>
      <c r="AE116" s="242"/>
      <c r="AF116" s="112"/>
      <c r="AG116" s="112"/>
      <c r="AH116" s="112"/>
      <c r="AI116" s="112"/>
      <c r="AJ116" s="112"/>
      <c r="AK116" t="e">
        <f t="shared" si="11"/>
        <v>#DIV/0!</v>
      </c>
    </row>
    <row r="117" spans="1:63" x14ac:dyDescent="0.25">
      <c r="A117" s="92" t="s">
        <v>70</v>
      </c>
      <c r="B117" s="112"/>
      <c r="C117" s="112"/>
      <c r="D117" s="112"/>
      <c r="E117" s="112"/>
      <c r="F117" s="112"/>
      <c r="G117" s="112"/>
      <c r="H117" s="112"/>
      <c r="I117" s="112"/>
      <c r="J117" s="112">
        <f t="shared" si="10"/>
        <v>0</v>
      </c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  <c r="AA117" s="112"/>
      <c r="AB117" s="112"/>
      <c r="AC117" s="112"/>
      <c r="AD117" s="112"/>
      <c r="AE117" s="242"/>
      <c r="AF117" s="112"/>
      <c r="AG117" s="112"/>
      <c r="AH117" s="112"/>
      <c r="AI117" s="112"/>
      <c r="AJ117" s="112"/>
      <c r="AK117" t="e">
        <f t="shared" si="11"/>
        <v>#DIV/0!</v>
      </c>
    </row>
    <row r="118" spans="1:63" x14ac:dyDescent="0.25">
      <c r="A118" s="92" t="s">
        <v>564</v>
      </c>
      <c r="B118" s="112"/>
      <c r="C118" s="112"/>
      <c r="D118" s="112"/>
      <c r="E118" s="112"/>
      <c r="F118" s="112"/>
      <c r="G118" s="112"/>
      <c r="H118" s="112"/>
      <c r="I118" s="112"/>
      <c r="J118" s="112">
        <f t="shared" si="10"/>
        <v>0</v>
      </c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  <c r="AA118" s="112"/>
      <c r="AB118" s="112"/>
      <c r="AC118" s="112"/>
      <c r="AD118" s="112"/>
      <c r="AE118" s="242"/>
      <c r="AF118" s="112"/>
      <c r="AG118" s="112"/>
      <c r="AH118" s="112"/>
      <c r="AI118" s="112"/>
      <c r="AJ118" s="112"/>
      <c r="AK118" t="e">
        <f t="shared" si="11"/>
        <v>#DIV/0!</v>
      </c>
    </row>
    <row r="119" spans="1:63" x14ac:dyDescent="0.25">
      <c r="A119" s="92" t="s">
        <v>565</v>
      </c>
      <c r="B119" s="112"/>
      <c r="C119" s="112"/>
      <c r="D119" s="112"/>
      <c r="E119" s="112"/>
      <c r="F119" s="112"/>
      <c r="G119" s="112"/>
      <c r="H119" s="112"/>
      <c r="I119" s="112"/>
      <c r="J119" s="112">
        <f t="shared" si="10"/>
        <v>0</v>
      </c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  <c r="AA119" s="112"/>
      <c r="AB119" s="112"/>
      <c r="AC119" s="112"/>
      <c r="AD119" s="112"/>
      <c r="AE119" s="242"/>
      <c r="AF119" s="112"/>
      <c r="AG119" s="112"/>
      <c r="AH119" s="112"/>
      <c r="AI119" s="112"/>
      <c r="AJ119" s="112"/>
      <c r="AK119" t="e">
        <f t="shared" si="11"/>
        <v>#DIV/0!</v>
      </c>
    </row>
    <row r="120" spans="1:63" s="242" customFormat="1" x14ac:dyDescent="0.25">
      <c r="A120" s="92" t="s">
        <v>566</v>
      </c>
      <c r="B120" s="112"/>
      <c r="C120" s="112"/>
      <c r="D120" s="112"/>
      <c r="E120" s="112"/>
      <c r="F120" s="112"/>
      <c r="G120" s="112"/>
      <c r="H120" s="112"/>
      <c r="I120" s="112"/>
      <c r="J120" s="112">
        <f t="shared" si="10"/>
        <v>0</v>
      </c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  <c r="AA120" s="112"/>
      <c r="AB120" s="112"/>
      <c r="AC120" s="112"/>
      <c r="AD120" s="112"/>
      <c r="AF120" s="112">
        <v>87.2</v>
      </c>
      <c r="AG120" s="112"/>
      <c r="AH120" s="112"/>
      <c r="AI120" s="112"/>
      <c r="AJ120" s="112"/>
      <c r="AK120">
        <f t="shared" si="11"/>
        <v>87.2</v>
      </c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</row>
    <row r="121" spans="1:63" s="242" customFormat="1" x14ac:dyDescent="0.25">
      <c r="A121" s="92" t="s">
        <v>80</v>
      </c>
      <c r="B121" s="112"/>
      <c r="C121" s="112"/>
      <c r="D121" s="112"/>
      <c r="E121" s="112"/>
      <c r="F121" s="112"/>
      <c r="G121" s="112"/>
      <c r="H121" s="112"/>
      <c r="I121" s="112"/>
      <c r="J121" s="112">
        <f t="shared" si="10"/>
        <v>0</v>
      </c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  <c r="AA121" s="112"/>
      <c r="AB121" s="112"/>
      <c r="AC121" s="112"/>
      <c r="AD121" s="112"/>
      <c r="AF121" s="112"/>
      <c r="AG121" s="112"/>
      <c r="AH121" s="112"/>
      <c r="AI121" s="112"/>
      <c r="AJ121" s="112"/>
      <c r="AK121" t="e">
        <f t="shared" si="11"/>
        <v>#DIV/0!</v>
      </c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</row>
    <row r="122" spans="1:63" s="242" customFormat="1" x14ac:dyDescent="0.25">
      <c r="A122" s="92" t="s">
        <v>468</v>
      </c>
      <c r="B122" s="112"/>
      <c r="C122" s="112"/>
      <c r="D122" s="112"/>
      <c r="E122" s="112"/>
      <c r="F122" s="112"/>
      <c r="G122" s="112"/>
      <c r="H122" s="112"/>
      <c r="I122" s="112"/>
      <c r="J122" s="112">
        <f t="shared" si="10"/>
        <v>0</v>
      </c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  <c r="AA122" s="112"/>
      <c r="AB122" s="112"/>
      <c r="AC122" s="112"/>
      <c r="AD122" s="112"/>
      <c r="AF122" s="112"/>
      <c r="AG122" s="112"/>
      <c r="AH122" s="112"/>
      <c r="AI122" s="112"/>
      <c r="AJ122" s="11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</row>
    <row r="123" spans="1:63" s="242" customFormat="1" x14ac:dyDescent="0.25">
      <c r="A123" s="92" t="s">
        <v>567</v>
      </c>
      <c r="B123" s="112"/>
      <c r="C123" s="112"/>
      <c r="D123" s="112"/>
      <c r="E123" s="112"/>
      <c r="F123" s="112"/>
      <c r="G123" s="112"/>
      <c r="H123" s="112"/>
      <c r="I123" s="112"/>
      <c r="J123" s="112">
        <f t="shared" si="10"/>
        <v>0</v>
      </c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  <c r="AA123" s="112"/>
      <c r="AB123" s="112"/>
      <c r="AC123" s="112"/>
      <c r="AD123" s="112"/>
      <c r="AF123" s="112"/>
      <c r="AG123" s="112"/>
      <c r="AH123" s="112"/>
      <c r="AI123" s="112"/>
      <c r="AJ123" s="112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</row>
    <row r="124" spans="1:63" s="242" customFormat="1" x14ac:dyDescent="0.25">
      <c r="A124" s="92" t="s">
        <v>472</v>
      </c>
      <c r="B124" s="112"/>
      <c r="C124" s="112"/>
      <c r="D124" s="112"/>
      <c r="E124" s="112"/>
      <c r="F124" s="112"/>
      <c r="G124" s="112"/>
      <c r="H124" s="112"/>
      <c r="I124" s="112"/>
      <c r="J124" s="112">
        <f t="shared" si="10"/>
        <v>0</v>
      </c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  <c r="AA124" s="112"/>
      <c r="AB124" s="112"/>
      <c r="AC124" s="112"/>
      <c r="AD124" s="112"/>
      <c r="AF124" s="112"/>
      <c r="AG124" s="112"/>
      <c r="AH124" s="112"/>
      <c r="AI124" s="112"/>
      <c r="AJ124" s="112"/>
      <c r="AK124" t="e">
        <f t="shared" ref="AK124:AK134" si="12">AVERAGE(AF124:AJ124)</f>
        <v>#DIV/0!</v>
      </c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</row>
    <row r="125" spans="1:63" s="242" customFormat="1" x14ac:dyDescent="0.25">
      <c r="A125" s="92" t="s">
        <v>466</v>
      </c>
      <c r="B125" s="112"/>
      <c r="C125" s="112"/>
      <c r="D125" s="112"/>
      <c r="E125" s="112"/>
      <c r="F125" s="112"/>
      <c r="G125" s="112"/>
      <c r="H125" s="112"/>
      <c r="I125" s="112"/>
      <c r="J125" s="112">
        <f t="shared" si="10"/>
        <v>0</v>
      </c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  <c r="AA125" s="112"/>
      <c r="AB125" s="112"/>
      <c r="AC125" s="112"/>
      <c r="AD125" s="112"/>
      <c r="AF125" s="112"/>
      <c r="AG125" s="112"/>
      <c r="AH125" s="112"/>
      <c r="AI125" s="112"/>
      <c r="AJ125" s="112"/>
      <c r="AK125" t="e">
        <f t="shared" si="12"/>
        <v>#DIV/0!</v>
      </c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</row>
    <row r="126" spans="1:63" s="242" customFormat="1" x14ac:dyDescent="0.25">
      <c r="A126" s="92" t="s">
        <v>568</v>
      </c>
      <c r="B126" s="112"/>
      <c r="C126" s="112"/>
      <c r="D126" s="112"/>
      <c r="E126" s="112"/>
      <c r="F126" s="112"/>
      <c r="G126" s="112"/>
      <c r="H126" s="112"/>
      <c r="I126" s="112"/>
      <c r="J126" s="112">
        <f t="shared" si="10"/>
        <v>0</v>
      </c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  <c r="AA126" s="112"/>
      <c r="AB126" s="112"/>
      <c r="AC126" s="112"/>
      <c r="AD126" s="112"/>
      <c r="AF126" s="112">
        <f>12.84</f>
        <v>12.84</v>
      </c>
      <c r="AG126" s="112"/>
      <c r="AH126" s="112"/>
      <c r="AI126" s="112"/>
      <c r="AJ126" s="112"/>
      <c r="AK126">
        <f t="shared" si="12"/>
        <v>12.84</v>
      </c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</row>
    <row r="127" spans="1:63" s="242" customFormat="1" x14ac:dyDescent="0.25">
      <c r="A127" s="92" t="s">
        <v>88</v>
      </c>
      <c r="B127" s="112"/>
      <c r="C127" s="112"/>
      <c r="D127" s="112"/>
      <c r="E127" s="112"/>
      <c r="F127" s="112"/>
      <c r="G127" s="112"/>
      <c r="H127" s="112"/>
      <c r="I127" s="112"/>
      <c r="J127" s="112">
        <f t="shared" si="10"/>
        <v>0</v>
      </c>
      <c r="K127" s="112"/>
      <c r="L127" s="112"/>
      <c r="M127" s="112"/>
      <c r="N127" s="112"/>
      <c r="O127" s="112"/>
      <c r="P127" s="112"/>
      <c r="Q127" s="243"/>
      <c r="R127" s="112"/>
      <c r="S127" s="112"/>
      <c r="T127" s="112"/>
      <c r="U127" s="112"/>
      <c r="V127" s="112"/>
      <c r="W127" s="112"/>
      <c r="X127" s="112"/>
      <c r="Y127" s="112"/>
      <c r="Z127" s="112"/>
      <c r="AA127" s="112"/>
      <c r="AB127" s="112"/>
      <c r="AC127" s="112"/>
      <c r="AD127" s="112"/>
      <c r="AF127" s="112"/>
      <c r="AG127" s="112"/>
      <c r="AH127" s="112"/>
      <c r="AI127" s="112"/>
      <c r="AJ127" s="112"/>
      <c r="AK127" t="e">
        <f t="shared" si="12"/>
        <v>#DIV/0!</v>
      </c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</row>
    <row r="128" spans="1:63" s="242" customFormat="1" x14ac:dyDescent="0.25">
      <c r="A128" s="92" t="s">
        <v>96</v>
      </c>
      <c r="B128" s="112"/>
      <c r="C128" s="112"/>
      <c r="D128" s="112"/>
      <c r="E128" s="112"/>
      <c r="F128" s="112"/>
      <c r="G128" s="112"/>
      <c r="H128" s="112"/>
      <c r="I128" s="112"/>
      <c r="J128" s="112">
        <f t="shared" si="10"/>
        <v>0</v>
      </c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  <c r="AA128" s="112"/>
      <c r="AB128" s="112"/>
      <c r="AC128" s="112"/>
      <c r="AD128" s="112"/>
      <c r="AF128" s="112">
        <v>16.8</v>
      </c>
      <c r="AG128" s="112">
        <v>16.8</v>
      </c>
      <c r="AH128" s="112">
        <v>16.809999999999999</v>
      </c>
      <c r="AI128" s="112"/>
      <c r="AJ128" s="112"/>
      <c r="AK128">
        <f t="shared" si="12"/>
        <v>16.803333333333331</v>
      </c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</row>
    <row r="129" spans="1:63" s="242" customFormat="1" x14ac:dyDescent="0.25">
      <c r="A129" s="92" t="s">
        <v>100</v>
      </c>
      <c r="B129" s="112"/>
      <c r="C129" s="112"/>
      <c r="D129" s="112"/>
      <c r="E129" s="112"/>
      <c r="F129" s="112"/>
      <c r="G129" s="112"/>
      <c r="H129" s="112"/>
      <c r="I129" s="112"/>
      <c r="J129" s="112">
        <f t="shared" si="10"/>
        <v>0</v>
      </c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  <c r="AA129" s="112"/>
      <c r="AB129" s="112"/>
      <c r="AC129" s="112"/>
      <c r="AD129" s="112"/>
      <c r="AF129" s="112">
        <v>16.809999999999999</v>
      </c>
      <c r="AG129" s="112">
        <v>16.809999999999999</v>
      </c>
      <c r="AH129" s="112">
        <f>16.81</f>
        <v>16.809999999999999</v>
      </c>
      <c r="AI129" s="112"/>
      <c r="AJ129" s="112"/>
      <c r="AK129">
        <f t="shared" si="12"/>
        <v>16.809999999999999</v>
      </c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</row>
    <row r="130" spans="1:63" s="242" customFormat="1" ht="17.25" customHeight="1" x14ac:dyDescent="0.25">
      <c r="A130" s="92" t="s">
        <v>102</v>
      </c>
      <c r="B130" s="112"/>
      <c r="C130" s="112"/>
      <c r="D130" s="112"/>
      <c r="E130" s="112"/>
      <c r="F130" s="112"/>
      <c r="G130" s="112"/>
      <c r="H130" s="112"/>
      <c r="I130" s="112"/>
      <c r="J130" s="112">
        <f t="shared" si="10"/>
        <v>0</v>
      </c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  <c r="AA130" s="112"/>
      <c r="AB130" s="112"/>
      <c r="AC130" s="112"/>
      <c r="AD130" s="112"/>
      <c r="AF130" s="112">
        <v>16.809999999999999</v>
      </c>
      <c r="AG130" s="112">
        <v>16.809999999999999</v>
      </c>
      <c r="AH130" s="112">
        <v>16.809999999999999</v>
      </c>
      <c r="AI130" s="112"/>
      <c r="AJ130" s="112"/>
      <c r="AK130">
        <f t="shared" si="12"/>
        <v>16.809999999999999</v>
      </c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</row>
    <row r="131" spans="1:63" s="242" customFormat="1" x14ac:dyDescent="0.25">
      <c r="A131" s="92" t="s">
        <v>569</v>
      </c>
      <c r="B131" s="112"/>
      <c r="C131" s="112"/>
      <c r="D131" s="112"/>
      <c r="E131" s="112"/>
      <c r="F131" s="112"/>
      <c r="G131" s="112"/>
      <c r="H131" s="112"/>
      <c r="I131" s="112"/>
      <c r="J131" s="112">
        <f t="shared" si="10"/>
        <v>0</v>
      </c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  <c r="AA131" s="112"/>
      <c r="AB131" s="112"/>
      <c r="AC131" s="112"/>
      <c r="AD131" s="112"/>
      <c r="AF131" s="112"/>
      <c r="AG131" s="112"/>
      <c r="AH131" s="112"/>
      <c r="AI131" s="112"/>
      <c r="AJ131" s="112"/>
      <c r="AK131" t="e">
        <f t="shared" si="12"/>
        <v>#DIV/0!</v>
      </c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</row>
    <row r="132" spans="1:63" s="242" customFormat="1" x14ac:dyDescent="0.25">
      <c r="A132" s="92" t="s">
        <v>570</v>
      </c>
      <c r="B132" s="112"/>
      <c r="C132" s="112"/>
      <c r="D132" s="112"/>
      <c r="E132" s="112"/>
      <c r="F132" s="112"/>
      <c r="G132" s="112"/>
      <c r="H132" s="112"/>
      <c r="I132" s="112"/>
      <c r="J132" s="112">
        <f t="shared" si="10"/>
        <v>0</v>
      </c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  <c r="AA132" s="112"/>
      <c r="AB132" s="112"/>
      <c r="AC132" s="112"/>
      <c r="AD132" s="112"/>
      <c r="AF132" s="112">
        <v>13.33</v>
      </c>
      <c r="AG132" s="112">
        <v>13.33</v>
      </c>
      <c r="AH132" s="112"/>
      <c r="AI132" s="112"/>
      <c r="AJ132" s="112"/>
      <c r="AK132">
        <f t="shared" si="12"/>
        <v>13.33</v>
      </c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</row>
    <row r="133" spans="1:63" s="242" customFormat="1" x14ac:dyDescent="0.25">
      <c r="A133" s="92" t="s">
        <v>571</v>
      </c>
      <c r="B133" s="112"/>
      <c r="C133" s="112"/>
      <c r="D133" s="112"/>
      <c r="E133" s="112"/>
      <c r="F133" s="112"/>
      <c r="G133" s="112"/>
      <c r="H133" s="112"/>
      <c r="I133" s="112"/>
      <c r="J133" s="112">
        <f t="shared" si="10"/>
        <v>0</v>
      </c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  <c r="AA133" s="112"/>
      <c r="AB133" s="112"/>
      <c r="AC133" s="112"/>
      <c r="AD133" s="112"/>
      <c r="AF133" s="112">
        <v>15.83</v>
      </c>
      <c r="AG133" s="112"/>
      <c r="AH133" s="112"/>
      <c r="AI133" s="112"/>
      <c r="AJ133" s="112"/>
      <c r="AK133">
        <f t="shared" si="12"/>
        <v>15.83</v>
      </c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</row>
    <row r="134" spans="1:63" s="242" customFormat="1" x14ac:dyDescent="0.25">
      <c r="A134" s="92" t="s">
        <v>572</v>
      </c>
      <c r="B134" s="112"/>
      <c r="C134" s="112"/>
      <c r="D134" s="112"/>
      <c r="E134" s="112"/>
      <c r="F134" s="112"/>
      <c r="G134" s="112"/>
      <c r="H134" s="112"/>
      <c r="I134" s="112"/>
      <c r="J134" s="112">
        <f t="shared" si="10"/>
        <v>0</v>
      </c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  <c r="AA134" s="112"/>
      <c r="AB134" s="112"/>
      <c r="AC134" s="112"/>
      <c r="AD134" s="112"/>
      <c r="AF134" s="112">
        <v>10.83</v>
      </c>
      <c r="AG134" s="112"/>
      <c r="AH134" s="112"/>
      <c r="AI134" s="112"/>
      <c r="AJ134" s="112"/>
      <c r="AK134">
        <f t="shared" si="12"/>
        <v>10.83</v>
      </c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</row>
    <row r="135" spans="1:63" s="242" customFormat="1" x14ac:dyDescent="0.25">
      <c r="A135" s="92" t="s">
        <v>478</v>
      </c>
      <c r="B135" s="112"/>
      <c r="C135" s="112"/>
      <c r="D135" s="112"/>
      <c r="E135" s="112"/>
      <c r="F135" s="112"/>
      <c r="G135" s="112"/>
      <c r="H135" s="112"/>
      <c r="I135" s="112"/>
      <c r="J135" s="112">
        <f t="shared" si="10"/>
        <v>0</v>
      </c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  <c r="AA135" s="112"/>
      <c r="AB135" s="112"/>
      <c r="AC135" s="112"/>
      <c r="AD135" s="112"/>
      <c r="AF135" s="112"/>
      <c r="AG135" s="112"/>
      <c r="AH135" s="112"/>
      <c r="AI135" s="112"/>
      <c r="AJ135" s="112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</row>
    <row r="136" spans="1:63" s="242" customFormat="1" x14ac:dyDescent="0.25">
      <c r="A136" s="92" t="s">
        <v>480</v>
      </c>
      <c r="B136" s="112"/>
      <c r="C136" s="112"/>
      <c r="D136" s="112"/>
      <c r="E136" s="112"/>
      <c r="F136" s="112"/>
      <c r="G136" s="112"/>
      <c r="H136" s="112"/>
      <c r="I136" s="112"/>
      <c r="J136" s="112">
        <f t="shared" si="10"/>
        <v>0</v>
      </c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  <c r="AA136" s="112"/>
      <c r="AB136" s="112"/>
      <c r="AC136" s="112"/>
      <c r="AD136" s="112"/>
      <c r="AF136" s="112">
        <v>16.239999999999998</v>
      </c>
      <c r="AG136" s="112">
        <v>16.239999999999998</v>
      </c>
      <c r="AH136" s="112"/>
      <c r="AI136" s="112"/>
      <c r="AJ136" s="112"/>
      <c r="AK136">
        <f>AVERAGE(AF136:AJ136)</f>
        <v>16.239999999999998</v>
      </c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</row>
    <row r="137" spans="1:63" s="242" customFormat="1" x14ac:dyDescent="0.25">
      <c r="A137" s="92" t="s">
        <v>573</v>
      </c>
      <c r="B137" s="112"/>
      <c r="C137" s="112"/>
      <c r="D137" s="112"/>
      <c r="E137" s="112"/>
      <c r="F137" s="112"/>
      <c r="G137" s="112"/>
      <c r="H137" s="112"/>
      <c r="I137" s="112"/>
      <c r="J137" s="112">
        <f t="shared" si="10"/>
        <v>0</v>
      </c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  <c r="AA137" s="112"/>
      <c r="AB137" s="112"/>
      <c r="AC137" s="112"/>
      <c r="AD137" s="112"/>
      <c r="AF137" s="112">
        <v>16.239999999999998</v>
      </c>
      <c r="AG137" s="112"/>
      <c r="AH137" s="112"/>
      <c r="AI137" s="112"/>
      <c r="AJ137" s="112"/>
      <c r="AK137">
        <f>AVERAGE(AF137:AJ137)</f>
        <v>16.239999999999998</v>
      </c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</row>
    <row r="138" spans="1:63" s="242" customFormat="1" x14ac:dyDescent="0.25">
      <c r="A138" s="92" t="s">
        <v>574</v>
      </c>
      <c r="B138" s="112"/>
      <c r="C138" s="112"/>
      <c r="D138" s="112"/>
      <c r="E138" s="112"/>
      <c r="F138" s="112"/>
      <c r="G138" s="112"/>
      <c r="H138" s="112"/>
      <c r="I138" s="112"/>
      <c r="J138" s="112">
        <f t="shared" si="10"/>
        <v>0</v>
      </c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  <c r="AA138" s="112"/>
      <c r="AB138" s="112"/>
      <c r="AC138" s="112"/>
      <c r="AD138" s="112"/>
      <c r="AF138" s="112">
        <v>16.239999999999998</v>
      </c>
      <c r="AG138" s="112">
        <v>16.239999999999998</v>
      </c>
      <c r="AH138" s="112"/>
      <c r="AI138" s="112"/>
      <c r="AJ138" s="112"/>
      <c r="AK138">
        <f>AVERAGE(AF138:AJ138)</f>
        <v>16.239999999999998</v>
      </c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</row>
    <row r="139" spans="1:63" s="242" customFormat="1" x14ac:dyDescent="0.25">
      <c r="A139" s="92" t="s">
        <v>128</v>
      </c>
      <c r="B139" s="112"/>
      <c r="C139" s="112"/>
      <c r="D139" s="112"/>
      <c r="E139" s="112"/>
      <c r="F139" s="112"/>
      <c r="G139" s="112"/>
      <c r="H139" s="112"/>
      <c r="I139" s="112"/>
      <c r="J139" s="112">
        <f t="shared" si="10"/>
        <v>0</v>
      </c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  <c r="AA139" s="112"/>
      <c r="AB139" s="112"/>
      <c r="AC139" s="112"/>
      <c r="AD139" s="112"/>
      <c r="AF139" s="112"/>
      <c r="AG139" s="112"/>
      <c r="AH139" s="112"/>
      <c r="AI139" s="112"/>
      <c r="AJ139" s="112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</row>
    <row r="140" spans="1:63" s="242" customFormat="1" x14ac:dyDescent="0.25">
      <c r="A140" s="92" t="s">
        <v>575</v>
      </c>
      <c r="B140" s="112"/>
      <c r="C140" s="112"/>
      <c r="D140" s="112"/>
      <c r="E140" s="112"/>
      <c r="F140" s="112"/>
      <c r="G140" s="112"/>
      <c r="H140" s="112"/>
      <c r="I140" s="112"/>
      <c r="J140" s="112">
        <f t="shared" si="10"/>
        <v>0</v>
      </c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  <c r="AA140" s="112"/>
      <c r="AB140" s="112"/>
      <c r="AC140" s="112"/>
      <c r="AD140" s="112"/>
      <c r="AF140" s="112"/>
      <c r="AG140" s="112"/>
      <c r="AH140" s="112"/>
      <c r="AI140" s="112"/>
      <c r="AJ140" s="112"/>
      <c r="AK140" t="e">
        <f t="shared" ref="AK140:AK148" si="13">AVERAGE(AF140:AJ140)</f>
        <v>#DIV/0!</v>
      </c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</row>
    <row r="141" spans="1:63" s="242" customFormat="1" x14ac:dyDescent="0.25">
      <c r="A141" s="92" t="s">
        <v>576</v>
      </c>
      <c r="B141" s="112"/>
      <c r="C141" s="112"/>
      <c r="D141" s="112"/>
      <c r="E141" s="112"/>
      <c r="F141" s="112"/>
      <c r="G141" s="112"/>
      <c r="H141" s="112"/>
      <c r="I141" s="112"/>
      <c r="J141" s="112">
        <f t="shared" si="10"/>
        <v>0</v>
      </c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  <c r="AA141" s="112"/>
      <c r="AB141" s="112"/>
      <c r="AC141" s="112"/>
      <c r="AD141" s="112"/>
      <c r="AF141" s="112"/>
      <c r="AG141" s="112"/>
      <c r="AH141" s="112"/>
      <c r="AI141" s="112"/>
      <c r="AJ141" s="112"/>
      <c r="AK141" t="e">
        <f t="shared" si="13"/>
        <v>#DIV/0!</v>
      </c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</row>
    <row r="142" spans="1:63" s="242" customFormat="1" x14ac:dyDescent="0.25">
      <c r="A142" s="92" t="s">
        <v>577</v>
      </c>
      <c r="B142" s="112"/>
      <c r="C142" s="112"/>
      <c r="D142" s="112"/>
      <c r="E142" s="112"/>
      <c r="F142" s="112"/>
      <c r="G142" s="112"/>
      <c r="H142" s="112"/>
      <c r="I142" s="112"/>
      <c r="J142" s="112">
        <f t="shared" si="10"/>
        <v>0</v>
      </c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  <c r="AA142" s="112"/>
      <c r="AB142" s="112"/>
      <c r="AC142" s="112"/>
      <c r="AD142" s="112"/>
      <c r="AF142" s="112"/>
      <c r="AG142" s="112"/>
      <c r="AH142" s="112"/>
      <c r="AI142" s="112"/>
      <c r="AJ142" s="112"/>
      <c r="AK142" t="e">
        <f t="shared" si="13"/>
        <v>#DIV/0!</v>
      </c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</row>
    <row r="143" spans="1:63" s="242" customFormat="1" x14ac:dyDescent="0.25">
      <c r="A143" s="92" t="s">
        <v>578</v>
      </c>
      <c r="B143" s="112"/>
      <c r="C143" s="112"/>
      <c r="D143" s="112"/>
      <c r="E143" s="112"/>
      <c r="F143" s="112"/>
      <c r="G143" s="112"/>
      <c r="H143" s="112"/>
      <c r="I143" s="112"/>
      <c r="J143" s="112">
        <f t="shared" si="10"/>
        <v>0</v>
      </c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  <c r="AA143" s="112"/>
      <c r="AB143" s="112"/>
      <c r="AC143" s="112"/>
      <c r="AD143" s="112"/>
      <c r="AF143" s="112">
        <f>15.41</f>
        <v>15.41</v>
      </c>
      <c r="AG143" s="112"/>
      <c r="AH143" s="112"/>
      <c r="AI143" s="112"/>
      <c r="AJ143" s="112"/>
      <c r="AK143">
        <f t="shared" si="13"/>
        <v>15.41</v>
      </c>
      <c r="AL143" s="209"/>
      <c r="AM143" s="209"/>
      <c r="AN143" s="209"/>
      <c r="AO143" s="209"/>
      <c r="AP143" s="209"/>
      <c r="AQ143" s="209"/>
      <c r="AR143" s="209"/>
      <c r="AS143" s="209"/>
      <c r="AT143" s="209"/>
      <c r="AU143" s="209"/>
      <c r="AV143" s="209"/>
      <c r="AW143" s="209"/>
      <c r="AX143" s="209"/>
      <c r="AY143" s="209"/>
      <c r="AZ143" s="209"/>
      <c r="BA143" s="209"/>
      <c r="BB143" s="209"/>
      <c r="BC143" s="209"/>
      <c r="BD143" s="209"/>
      <c r="BE143" s="209"/>
      <c r="BF143" s="209"/>
      <c r="BG143" s="209"/>
      <c r="BH143" s="209"/>
      <c r="BI143" s="209"/>
      <c r="BJ143" s="209"/>
      <c r="BK143" s="209"/>
    </row>
    <row r="144" spans="1:63" s="242" customFormat="1" x14ac:dyDescent="0.25">
      <c r="A144" s="244" t="s">
        <v>579</v>
      </c>
      <c r="B144" s="245"/>
      <c r="C144" s="245"/>
      <c r="D144" s="245"/>
      <c r="E144" s="245"/>
      <c r="F144" s="245"/>
      <c r="G144" s="245"/>
      <c r="H144" s="245"/>
      <c r="I144" s="245"/>
      <c r="J144" s="112">
        <f t="shared" si="10"/>
        <v>0</v>
      </c>
      <c r="K144" s="245"/>
      <c r="L144" s="245"/>
      <c r="M144" s="245"/>
      <c r="N144" s="245"/>
      <c r="O144" s="245"/>
      <c r="P144" s="245"/>
      <c r="Q144" s="245"/>
      <c r="R144" s="245"/>
      <c r="S144" s="245"/>
      <c r="T144" s="245"/>
      <c r="U144" s="245"/>
      <c r="V144" s="245"/>
      <c r="W144" s="245"/>
      <c r="X144" s="245"/>
      <c r="Y144" s="245"/>
      <c r="Z144" s="245"/>
      <c r="AA144" s="245"/>
      <c r="AB144" s="245"/>
      <c r="AC144" s="245"/>
      <c r="AD144" s="245"/>
      <c r="AE144" s="246"/>
      <c r="AF144" s="112"/>
      <c r="AG144" s="112"/>
      <c r="AH144" s="112"/>
      <c r="AI144" s="112"/>
      <c r="AJ144" s="112"/>
      <c r="AK144" t="e">
        <f t="shared" si="13"/>
        <v>#DIV/0!</v>
      </c>
      <c r="AL144" s="209"/>
      <c r="AM144" s="209"/>
      <c r="AN144" s="209"/>
      <c r="AO144" s="209"/>
      <c r="AP144" s="209"/>
      <c r="AQ144" s="209"/>
      <c r="AR144" s="209"/>
      <c r="AS144" s="209"/>
      <c r="AT144" s="209"/>
      <c r="AU144" s="209"/>
      <c r="AV144" s="209"/>
      <c r="AW144" s="209"/>
      <c r="AX144" s="209"/>
      <c r="AY144" s="209"/>
      <c r="AZ144" s="209"/>
      <c r="BA144" s="209"/>
      <c r="BB144" s="209"/>
      <c r="BC144" s="209"/>
      <c r="BD144" s="209"/>
      <c r="BE144" s="209"/>
      <c r="BF144" s="209"/>
      <c r="BG144" s="209"/>
      <c r="BH144" s="209"/>
      <c r="BI144" s="209"/>
      <c r="BJ144" s="209"/>
      <c r="BK144" s="209"/>
    </row>
    <row r="145" spans="1:63" s="242" customFormat="1" x14ac:dyDescent="0.25">
      <c r="A145" s="244" t="s">
        <v>497</v>
      </c>
      <c r="B145" s="245"/>
      <c r="C145" s="245"/>
      <c r="D145" s="245"/>
      <c r="E145" s="245"/>
      <c r="F145" s="245"/>
      <c r="G145" s="245"/>
      <c r="H145" s="245"/>
      <c r="I145" s="245"/>
      <c r="J145" s="112">
        <f t="shared" si="10"/>
        <v>0</v>
      </c>
      <c r="K145" s="245"/>
      <c r="L145" s="245"/>
      <c r="M145" s="245"/>
      <c r="N145" s="245"/>
      <c r="O145" s="245"/>
      <c r="P145" s="245"/>
      <c r="Q145" s="245"/>
      <c r="R145" s="245"/>
      <c r="S145" s="245"/>
      <c r="T145" s="245"/>
      <c r="U145" s="245"/>
      <c r="V145" s="245"/>
      <c r="W145" s="245"/>
      <c r="X145" s="245"/>
      <c r="Y145" s="245"/>
      <c r="Z145" s="245"/>
      <c r="AA145" s="245"/>
      <c r="AB145" s="245"/>
      <c r="AC145" s="245"/>
      <c r="AD145" s="245"/>
      <c r="AE145" s="246"/>
      <c r="AF145" s="112"/>
      <c r="AG145" s="112"/>
      <c r="AH145" s="112"/>
      <c r="AI145" s="112"/>
      <c r="AJ145" s="112"/>
      <c r="AK145" t="e">
        <f t="shared" si="13"/>
        <v>#DIV/0!</v>
      </c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</row>
    <row r="146" spans="1:63" s="242" customFormat="1" x14ac:dyDescent="0.25">
      <c r="A146" s="92" t="s">
        <v>580</v>
      </c>
      <c r="B146" s="112"/>
      <c r="C146" s="112"/>
      <c r="D146" s="112"/>
      <c r="E146" s="112"/>
      <c r="F146" s="112"/>
      <c r="G146" s="112"/>
      <c r="H146" s="112"/>
      <c r="I146" s="112"/>
      <c r="J146" s="112">
        <f t="shared" si="10"/>
        <v>0</v>
      </c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  <c r="AA146" s="112"/>
      <c r="AB146" s="112"/>
      <c r="AC146" s="112"/>
      <c r="AD146" s="112"/>
      <c r="AF146" s="112">
        <v>15.41</v>
      </c>
      <c r="AG146" s="112"/>
      <c r="AH146" s="112"/>
      <c r="AI146" s="112"/>
      <c r="AJ146" s="112"/>
      <c r="AK146">
        <f t="shared" si="13"/>
        <v>15.41</v>
      </c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</row>
    <row r="147" spans="1:63" s="242" customFormat="1" x14ac:dyDescent="0.25">
      <c r="A147" s="92" t="s">
        <v>581</v>
      </c>
      <c r="B147" s="112"/>
      <c r="C147" s="112"/>
      <c r="D147" s="112"/>
      <c r="E147" s="112"/>
      <c r="F147" s="112"/>
      <c r="G147" s="112"/>
      <c r="H147" s="112"/>
      <c r="I147" s="112"/>
      <c r="J147" s="112">
        <f t="shared" si="10"/>
        <v>0</v>
      </c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  <c r="AA147" s="112"/>
      <c r="AB147" s="112"/>
      <c r="AC147" s="112"/>
      <c r="AD147" s="112"/>
      <c r="AF147" s="112">
        <v>15.41</v>
      </c>
      <c r="AG147" s="112"/>
      <c r="AH147" s="112"/>
      <c r="AI147" s="112"/>
      <c r="AJ147" s="112"/>
      <c r="AK147">
        <f t="shared" si="13"/>
        <v>15.41</v>
      </c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</row>
    <row r="148" spans="1:63" s="242" customFormat="1" x14ac:dyDescent="0.25">
      <c r="A148" s="92" t="s">
        <v>582</v>
      </c>
      <c r="B148" s="112"/>
      <c r="C148" s="112"/>
      <c r="D148" s="112"/>
      <c r="E148" s="112"/>
      <c r="F148" s="112"/>
      <c r="G148" s="112"/>
      <c r="H148" s="112"/>
      <c r="I148" s="112"/>
      <c r="J148" s="112">
        <f t="shared" si="10"/>
        <v>0</v>
      </c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  <c r="AA148" s="112"/>
      <c r="AB148" s="112"/>
      <c r="AC148" s="112"/>
      <c r="AD148" s="112"/>
      <c r="AF148" s="112"/>
      <c r="AG148" s="112"/>
      <c r="AH148" s="112"/>
      <c r="AI148" s="112"/>
      <c r="AJ148" s="112"/>
      <c r="AK148" t="e">
        <f t="shared" si="13"/>
        <v>#DIV/0!</v>
      </c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</row>
    <row r="149" spans="1:63" s="242" customFormat="1" x14ac:dyDescent="0.25">
      <c r="A149" s="92" t="s">
        <v>583</v>
      </c>
      <c r="B149" s="112"/>
      <c r="C149" s="112"/>
      <c r="D149" s="112"/>
      <c r="E149" s="112"/>
      <c r="F149" s="112"/>
      <c r="G149" s="112"/>
      <c r="H149" s="112"/>
      <c r="I149" s="112"/>
      <c r="J149" s="112">
        <f t="shared" si="10"/>
        <v>0</v>
      </c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  <c r="AA149" s="112"/>
      <c r="AB149" s="112"/>
      <c r="AC149" s="112"/>
      <c r="AD149" s="112"/>
      <c r="AF149" s="112"/>
      <c r="AG149" s="112"/>
      <c r="AH149" s="112"/>
      <c r="AI149" s="112"/>
      <c r="AJ149" s="112"/>
      <c r="AK149"/>
      <c r="AL149" s="209"/>
      <c r="AM149" s="209"/>
      <c r="AN149" s="209"/>
      <c r="AO149" s="209"/>
      <c r="AP149" s="209"/>
      <c r="AQ149" s="209"/>
      <c r="AR149" s="209"/>
      <c r="AS149" s="209"/>
      <c r="AT149" s="209"/>
      <c r="AU149" s="209"/>
      <c r="AV149" s="209"/>
      <c r="AW149" s="209"/>
      <c r="AX149" s="209"/>
      <c r="AY149" s="209"/>
      <c r="AZ149" s="209"/>
      <c r="BA149" s="209"/>
      <c r="BB149" s="209"/>
      <c r="BC149" s="209"/>
      <c r="BD149" s="209"/>
      <c r="BE149" s="209"/>
      <c r="BF149" s="209"/>
      <c r="BG149" s="209"/>
      <c r="BH149" s="209"/>
      <c r="BI149" s="209"/>
      <c r="BJ149" s="209"/>
      <c r="BK149" s="209"/>
    </row>
    <row r="150" spans="1:63" s="242" customFormat="1" ht="15.75" customHeight="1" x14ac:dyDescent="0.25">
      <c r="A150" s="92" t="s">
        <v>148</v>
      </c>
      <c r="B150" s="112"/>
      <c r="C150" s="112"/>
      <c r="D150" s="112"/>
      <c r="E150" s="112"/>
      <c r="F150" s="112"/>
      <c r="G150" s="112"/>
      <c r="H150" s="112"/>
      <c r="I150" s="112"/>
      <c r="J150" s="112">
        <f t="shared" si="10"/>
        <v>0</v>
      </c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  <c r="AA150" s="112"/>
      <c r="AB150" s="112"/>
      <c r="AC150" s="112"/>
      <c r="AD150" s="112"/>
      <c r="AF150" s="112"/>
      <c r="AG150" s="112"/>
      <c r="AH150" s="112"/>
      <c r="AI150" s="112"/>
      <c r="AJ150" s="112"/>
      <c r="AK150" t="e">
        <f t="shared" ref="AK150:AK193" si="14">AVERAGE(AF150:AJ150)</f>
        <v>#DIV/0!</v>
      </c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</row>
    <row r="151" spans="1:63" s="242" customFormat="1" x14ac:dyDescent="0.25">
      <c r="A151" s="92" t="s">
        <v>584</v>
      </c>
      <c r="B151" s="112"/>
      <c r="C151" s="112"/>
      <c r="D151" s="112"/>
      <c r="E151" s="112"/>
      <c r="F151" s="112"/>
      <c r="G151" s="112"/>
      <c r="H151" s="112"/>
      <c r="I151" s="112"/>
      <c r="J151" s="112">
        <f t="shared" si="10"/>
        <v>0</v>
      </c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  <c r="AA151" s="112"/>
      <c r="AB151" s="112"/>
      <c r="AC151" s="112"/>
      <c r="AD151" s="112"/>
      <c r="AF151" s="112"/>
      <c r="AG151" s="112"/>
      <c r="AH151" s="112"/>
      <c r="AI151" s="112"/>
      <c r="AJ151" s="112"/>
      <c r="AK151" t="e">
        <f t="shared" si="14"/>
        <v>#DIV/0!</v>
      </c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</row>
    <row r="152" spans="1:63" s="242" customFormat="1" x14ac:dyDescent="0.25">
      <c r="A152" s="92" t="s">
        <v>483</v>
      </c>
      <c r="B152" s="112"/>
      <c r="C152" s="112"/>
      <c r="D152" s="112"/>
      <c r="E152" s="112"/>
      <c r="F152" s="112"/>
      <c r="G152" s="112"/>
      <c r="H152" s="112"/>
      <c r="I152" s="112"/>
      <c r="J152" s="112">
        <f t="shared" si="10"/>
        <v>0</v>
      </c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  <c r="AA152" s="112"/>
      <c r="AB152" s="112"/>
      <c r="AC152" s="112"/>
      <c r="AD152" s="112"/>
      <c r="AF152" s="112">
        <v>15.88</v>
      </c>
      <c r="AG152" s="112"/>
      <c r="AH152" s="112"/>
      <c r="AI152" s="112"/>
      <c r="AJ152" s="112"/>
      <c r="AK152">
        <f t="shared" si="14"/>
        <v>15.88</v>
      </c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</row>
    <row r="153" spans="1:63" s="242" customFormat="1" x14ac:dyDescent="0.25">
      <c r="A153" s="92" t="s">
        <v>585</v>
      </c>
      <c r="B153" s="112"/>
      <c r="C153" s="112"/>
      <c r="D153" s="112"/>
      <c r="E153" s="112"/>
      <c r="F153" s="112"/>
      <c r="G153" s="112"/>
      <c r="H153" s="112"/>
      <c r="I153" s="112"/>
      <c r="J153" s="112">
        <f t="shared" si="10"/>
        <v>0</v>
      </c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  <c r="AA153" s="112"/>
      <c r="AB153" s="112"/>
      <c r="AC153" s="112"/>
      <c r="AD153" s="112"/>
      <c r="AF153" s="112"/>
      <c r="AG153" s="112"/>
      <c r="AH153" s="112"/>
      <c r="AI153" s="112"/>
      <c r="AJ153" s="112"/>
      <c r="AK153" t="e">
        <f t="shared" si="14"/>
        <v>#DIV/0!</v>
      </c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</row>
    <row r="154" spans="1:63" s="242" customFormat="1" x14ac:dyDescent="0.25">
      <c r="A154" s="92" t="s">
        <v>586</v>
      </c>
      <c r="B154" s="112"/>
      <c r="C154" s="112"/>
      <c r="D154" s="112"/>
      <c r="E154" s="112"/>
      <c r="F154" s="112"/>
      <c r="G154" s="112"/>
      <c r="H154" s="112"/>
      <c r="I154" s="112"/>
      <c r="J154" s="112">
        <f t="shared" si="10"/>
        <v>0</v>
      </c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  <c r="AA154" s="112"/>
      <c r="AB154" s="112"/>
      <c r="AC154" s="112"/>
      <c r="AD154" s="112"/>
      <c r="AF154" s="112"/>
      <c r="AG154" s="112"/>
      <c r="AH154" s="112"/>
      <c r="AI154" s="112"/>
      <c r="AJ154" s="112"/>
      <c r="AK154" t="e">
        <f t="shared" si="14"/>
        <v>#DIV/0!</v>
      </c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</row>
    <row r="155" spans="1:63" s="242" customFormat="1" x14ac:dyDescent="0.25">
      <c r="A155" s="92" t="s">
        <v>492</v>
      </c>
      <c r="B155" s="112"/>
      <c r="C155" s="112"/>
      <c r="D155" s="112"/>
      <c r="E155" s="112"/>
      <c r="F155" s="112"/>
      <c r="G155" s="112"/>
      <c r="H155" s="112"/>
      <c r="I155" s="112"/>
      <c r="J155" s="112">
        <f t="shared" si="10"/>
        <v>0</v>
      </c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  <c r="AA155" s="112"/>
      <c r="AB155" s="112"/>
      <c r="AC155" s="112"/>
      <c r="AD155" s="112"/>
      <c r="AF155" s="112">
        <v>15.88</v>
      </c>
      <c r="AG155" s="112"/>
      <c r="AH155" s="112"/>
      <c r="AI155" s="112"/>
      <c r="AJ155" s="112"/>
      <c r="AK155">
        <f t="shared" si="14"/>
        <v>15.88</v>
      </c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</row>
    <row r="156" spans="1:63" s="242" customFormat="1" x14ac:dyDescent="0.25">
      <c r="A156" s="92" t="s">
        <v>587</v>
      </c>
      <c r="B156" s="112"/>
      <c r="C156" s="112"/>
      <c r="D156" s="112"/>
      <c r="E156" s="112"/>
      <c r="F156" s="112"/>
      <c r="G156" s="112"/>
      <c r="H156" s="112"/>
      <c r="I156" s="112"/>
      <c r="J156" s="112">
        <f t="shared" si="10"/>
        <v>0</v>
      </c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  <c r="AA156" s="112"/>
      <c r="AB156" s="112"/>
      <c r="AC156" s="112"/>
      <c r="AD156" s="112"/>
      <c r="AF156" s="112"/>
      <c r="AG156" s="112"/>
      <c r="AH156" s="112"/>
      <c r="AI156" s="112"/>
      <c r="AJ156" s="112"/>
      <c r="AK156" t="e">
        <f t="shared" si="14"/>
        <v>#DIV/0!</v>
      </c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</row>
    <row r="157" spans="1:63" s="242" customFormat="1" x14ac:dyDescent="0.25">
      <c r="A157" s="92" t="s">
        <v>588</v>
      </c>
      <c r="B157" s="112"/>
      <c r="C157" s="112"/>
      <c r="D157" s="112"/>
      <c r="E157" s="112"/>
      <c r="F157" s="112"/>
      <c r="G157" s="112"/>
      <c r="H157" s="112"/>
      <c r="I157" s="112"/>
      <c r="J157" s="112">
        <f t="shared" si="10"/>
        <v>0</v>
      </c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  <c r="AA157" s="112"/>
      <c r="AB157" s="112"/>
      <c r="AC157" s="112"/>
      <c r="AD157" s="112"/>
      <c r="AF157" s="112"/>
      <c r="AG157" s="112"/>
      <c r="AH157" s="112"/>
      <c r="AI157" s="112"/>
      <c r="AJ157" s="112"/>
      <c r="AK157" t="e">
        <f t="shared" si="14"/>
        <v>#DIV/0!</v>
      </c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</row>
    <row r="158" spans="1:63" s="242" customFormat="1" x14ac:dyDescent="0.25">
      <c r="A158" s="92" t="s">
        <v>376</v>
      </c>
      <c r="B158" s="112"/>
      <c r="C158" s="112"/>
      <c r="D158" s="112"/>
      <c r="E158" s="112"/>
      <c r="F158" s="112"/>
      <c r="G158" s="112"/>
      <c r="H158" s="112"/>
      <c r="I158" s="112"/>
      <c r="J158" s="112">
        <f t="shared" si="10"/>
        <v>0</v>
      </c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  <c r="AA158" s="112"/>
      <c r="AB158" s="112"/>
      <c r="AC158" s="112"/>
      <c r="AD158" s="112"/>
      <c r="AF158" s="112">
        <v>7.17</v>
      </c>
      <c r="AG158" s="112">
        <v>7.17</v>
      </c>
      <c r="AH158" s="112"/>
      <c r="AI158" s="112"/>
      <c r="AJ158" s="112"/>
      <c r="AK158">
        <f t="shared" si="14"/>
        <v>7.17</v>
      </c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</row>
    <row r="159" spans="1:63" s="242" customFormat="1" x14ac:dyDescent="0.25">
      <c r="A159" s="92" t="s">
        <v>589</v>
      </c>
      <c r="B159" s="112"/>
      <c r="C159" s="112"/>
      <c r="D159" s="112"/>
      <c r="E159" s="112"/>
      <c r="F159" s="112"/>
      <c r="G159" s="112"/>
      <c r="H159" s="112"/>
      <c r="I159" s="112"/>
      <c r="J159" s="112">
        <f t="shared" si="10"/>
        <v>0</v>
      </c>
      <c r="K159" s="112"/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  <c r="AA159" s="112"/>
      <c r="AB159" s="112"/>
      <c r="AC159" s="112"/>
      <c r="AD159" s="112"/>
      <c r="AF159" s="112">
        <v>7.17</v>
      </c>
      <c r="AG159" s="112">
        <v>7.17</v>
      </c>
      <c r="AH159" s="112"/>
      <c r="AI159" s="112"/>
      <c r="AJ159" s="112"/>
      <c r="AK159">
        <f t="shared" si="14"/>
        <v>7.17</v>
      </c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</row>
    <row r="160" spans="1:63" s="242" customFormat="1" x14ac:dyDescent="0.25">
      <c r="A160" s="92" t="s">
        <v>590</v>
      </c>
      <c r="B160" s="112"/>
      <c r="C160" s="112"/>
      <c r="D160" s="112"/>
      <c r="E160" s="112"/>
      <c r="F160" s="112"/>
      <c r="G160" s="112"/>
      <c r="H160" s="112"/>
      <c r="I160" s="112"/>
      <c r="J160" s="112">
        <f t="shared" si="10"/>
        <v>0</v>
      </c>
      <c r="K160" s="112"/>
      <c r="L160" s="112"/>
      <c r="M160" s="112"/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  <c r="AA160" s="112"/>
      <c r="AB160" s="112"/>
      <c r="AC160" s="112"/>
      <c r="AD160" s="112"/>
      <c r="AF160" s="112">
        <v>7.17</v>
      </c>
      <c r="AG160" s="112">
        <v>7.17</v>
      </c>
      <c r="AH160" s="112"/>
      <c r="AI160" s="112"/>
      <c r="AJ160" s="112"/>
      <c r="AK160">
        <f t="shared" si="14"/>
        <v>7.17</v>
      </c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</row>
    <row r="161" spans="1:63" s="242" customFormat="1" x14ac:dyDescent="0.25">
      <c r="A161" s="92" t="s">
        <v>491</v>
      </c>
      <c r="B161" s="112"/>
      <c r="C161" s="112"/>
      <c r="D161" s="112"/>
      <c r="E161" s="112"/>
      <c r="F161" s="112"/>
      <c r="G161" s="112"/>
      <c r="H161" s="112"/>
      <c r="I161" s="112"/>
      <c r="J161" s="112">
        <f t="shared" si="10"/>
        <v>0</v>
      </c>
      <c r="K161" s="112"/>
      <c r="L161" s="112"/>
      <c r="M161" s="112"/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  <c r="AA161" s="112"/>
      <c r="AB161" s="112"/>
      <c r="AC161" s="112"/>
      <c r="AD161" s="112"/>
      <c r="AF161" s="112">
        <v>17.5</v>
      </c>
      <c r="AG161" s="112">
        <v>17.5</v>
      </c>
      <c r="AH161" s="112"/>
      <c r="AI161" s="112"/>
      <c r="AJ161" s="112"/>
      <c r="AK161">
        <f t="shared" si="14"/>
        <v>17.5</v>
      </c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</row>
    <row r="162" spans="1:63" s="242" customFormat="1" x14ac:dyDescent="0.25">
      <c r="A162" s="92" t="s">
        <v>591</v>
      </c>
      <c r="B162" s="112"/>
      <c r="C162" s="112"/>
      <c r="D162" s="112"/>
      <c r="E162" s="112"/>
      <c r="F162" s="112"/>
      <c r="G162" s="112"/>
      <c r="H162" s="112"/>
      <c r="I162" s="112"/>
      <c r="J162" s="112">
        <f t="shared" si="10"/>
        <v>0</v>
      </c>
      <c r="K162" s="112"/>
      <c r="L162" s="112"/>
      <c r="M162" s="112"/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  <c r="AA162" s="112"/>
      <c r="AB162" s="112"/>
      <c r="AC162" s="112"/>
      <c r="AD162" s="112"/>
      <c r="AF162" s="112"/>
      <c r="AG162" s="112"/>
      <c r="AH162" s="112"/>
      <c r="AI162" s="112"/>
      <c r="AJ162" s="112"/>
      <c r="AK162" t="e">
        <f t="shared" si="14"/>
        <v>#DIV/0!</v>
      </c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</row>
    <row r="163" spans="1:63" s="242" customFormat="1" x14ac:dyDescent="0.25">
      <c r="A163" s="92" t="s">
        <v>168</v>
      </c>
      <c r="B163" s="112"/>
      <c r="C163" s="112"/>
      <c r="D163" s="112"/>
      <c r="E163" s="112"/>
      <c r="F163" s="112"/>
      <c r="G163" s="112"/>
      <c r="H163" s="112"/>
      <c r="I163" s="112"/>
      <c r="J163" s="112">
        <f t="shared" si="10"/>
        <v>0</v>
      </c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  <c r="AA163" s="112"/>
      <c r="AB163" s="112"/>
      <c r="AC163" s="112"/>
      <c r="AD163" s="112"/>
      <c r="AF163" s="112"/>
      <c r="AG163" s="112"/>
      <c r="AH163" s="112"/>
      <c r="AI163" s="112"/>
      <c r="AJ163" s="112"/>
      <c r="AK163" t="e">
        <f t="shared" si="14"/>
        <v>#DIV/0!</v>
      </c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</row>
    <row r="164" spans="1:63" s="242" customFormat="1" x14ac:dyDescent="0.25">
      <c r="A164" s="92" t="s">
        <v>172</v>
      </c>
      <c r="B164" s="112"/>
      <c r="C164" s="112"/>
      <c r="D164" s="112"/>
      <c r="E164" s="112"/>
      <c r="F164" s="112"/>
      <c r="G164" s="112"/>
      <c r="H164" s="112"/>
      <c r="I164" s="112"/>
      <c r="J164" s="112">
        <f t="shared" si="10"/>
        <v>0</v>
      </c>
      <c r="K164" s="112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  <c r="AA164" s="112"/>
      <c r="AB164" s="112"/>
      <c r="AC164" s="112"/>
      <c r="AD164" s="112"/>
      <c r="AF164" s="112"/>
      <c r="AG164" s="112"/>
      <c r="AH164" s="112"/>
      <c r="AI164" s="112"/>
      <c r="AJ164" s="112"/>
      <c r="AK164" t="e">
        <f t="shared" si="14"/>
        <v>#DIV/0!</v>
      </c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</row>
    <row r="165" spans="1:63" s="242" customFormat="1" x14ac:dyDescent="0.25">
      <c r="A165" s="92" t="s">
        <v>521</v>
      </c>
      <c r="B165" s="112"/>
      <c r="C165" s="112"/>
      <c r="D165" s="112"/>
      <c r="E165" s="112"/>
      <c r="F165" s="112"/>
      <c r="G165" s="112"/>
      <c r="H165" s="112"/>
      <c r="I165" s="112"/>
      <c r="J165" s="112">
        <f t="shared" si="10"/>
        <v>0</v>
      </c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  <c r="AA165" s="112"/>
      <c r="AB165" s="112"/>
      <c r="AC165" s="112"/>
      <c r="AD165" s="112"/>
      <c r="AF165" s="112">
        <v>4.38</v>
      </c>
      <c r="AG165" s="112"/>
      <c r="AH165" s="112"/>
      <c r="AI165" s="112"/>
      <c r="AJ165" s="112"/>
      <c r="AK165">
        <f t="shared" si="14"/>
        <v>4.38</v>
      </c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</row>
    <row r="166" spans="1:63" s="242" customFormat="1" x14ac:dyDescent="0.25">
      <c r="A166" s="92" t="s">
        <v>592</v>
      </c>
      <c r="B166" s="112"/>
      <c r="C166" s="112"/>
      <c r="D166" s="112"/>
      <c r="E166" s="112"/>
      <c r="F166" s="112"/>
      <c r="G166" s="112"/>
      <c r="H166" s="112"/>
      <c r="I166" s="112"/>
      <c r="J166" s="112">
        <f t="shared" si="10"/>
        <v>0</v>
      </c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  <c r="AA166" s="112"/>
      <c r="AB166" s="112"/>
      <c r="AC166" s="112"/>
      <c r="AD166" s="112"/>
      <c r="AF166" s="112"/>
      <c r="AG166" s="112"/>
      <c r="AH166" s="112"/>
      <c r="AI166" s="112"/>
      <c r="AJ166" s="112"/>
      <c r="AK166" t="e">
        <f t="shared" si="14"/>
        <v>#DIV/0!</v>
      </c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</row>
    <row r="167" spans="1:63" s="242" customFormat="1" x14ac:dyDescent="0.25">
      <c r="A167" s="92" t="s">
        <v>593</v>
      </c>
      <c r="B167" s="112"/>
      <c r="C167" s="112"/>
      <c r="D167" s="112"/>
      <c r="E167" s="112"/>
      <c r="F167" s="112"/>
      <c r="G167" s="112"/>
      <c r="H167" s="112"/>
      <c r="I167" s="112"/>
      <c r="J167" s="112">
        <f t="shared" si="10"/>
        <v>0</v>
      </c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F167" s="112"/>
      <c r="AG167" s="112"/>
      <c r="AH167" s="112"/>
      <c r="AI167" s="112"/>
      <c r="AJ167" s="112"/>
      <c r="AK167" t="e">
        <f t="shared" si="14"/>
        <v>#DIV/0!</v>
      </c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</row>
    <row r="168" spans="1:63" s="242" customFormat="1" x14ac:dyDescent="0.25">
      <c r="A168" s="92" t="s">
        <v>594</v>
      </c>
      <c r="B168" s="112"/>
      <c r="C168" s="112"/>
      <c r="D168" s="112"/>
      <c r="E168" s="112"/>
      <c r="F168" s="112"/>
      <c r="G168" s="112"/>
      <c r="H168" s="112"/>
      <c r="I168" s="112"/>
      <c r="J168" s="112">
        <f t="shared" si="10"/>
        <v>0</v>
      </c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  <c r="AA168" s="112"/>
      <c r="AB168" s="112"/>
      <c r="AC168" s="112"/>
      <c r="AD168" s="112"/>
      <c r="AF168" s="112">
        <v>28.9</v>
      </c>
      <c r="AG168" s="112">
        <v>32.9</v>
      </c>
      <c r="AH168" s="112"/>
      <c r="AI168" s="112"/>
      <c r="AJ168" s="112"/>
      <c r="AK168">
        <f t="shared" si="14"/>
        <v>30.9</v>
      </c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</row>
    <row r="169" spans="1:63" s="242" customFormat="1" x14ac:dyDescent="0.25">
      <c r="A169" s="92" t="s">
        <v>595</v>
      </c>
      <c r="B169" s="112"/>
      <c r="C169" s="112"/>
      <c r="D169" s="112"/>
      <c r="E169" s="112"/>
      <c r="F169" s="112"/>
      <c r="G169" s="112"/>
      <c r="H169" s="112"/>
      <c r="I169" s="112"/>
      <c r="J169" s="112">
        <f t="shared" si="10"/>
        <v>0</v>
      </c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  <c r="AA169" s="112"/>
      <c r="AB169" s="112"/>
      <c r="AC169" s="112"/>
      <c r="AD169" s="112"/>
      <c r="AF169" s="112">
        <v>1.1599999999999999</v>
      </c>
      <c r="AG169" s="112"/>
      <c r="AH169" s="112"/>
      <c r="AI169" s="112"/>
      <c r="AJ169" s="112"/>
      <c r="AK169">
        <f t="shared" si="14"/>
        <v>1.1599999999999999</v>
      </c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</row>
    <row r="170" spans="1:63" s="242" customFormat="1" x14ac:dyDescent="0.25">
      <c r="A170" s="92" t="s">
        <v>596</v>
      </c>
      <c r="B170" s="112"/>
      <c r="C170" s="112"/>
      <c r="D170" s="112"/>
      <c r="E170" s="112"/>
      <c r="F170" s="112"/>
      <c r="G170" s="112"/>
      <c r="H170" s="112"/>
      <c r="I170" s="112"/>
      <c r="J170" s="112">
        <f t="shared" ref="J170:J230" si="15">SUM(B170:I170)</f>
        <v>0</v>
      </c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  <c r="AA170" s="112"/>
      <c r="AB170" s="112"/>
      <c r="AC170" s="112"/>
      <c r="AD170" s="112"/>
      <c r="AF170" s="112"/>
      <c r="AG170" s="112"/>
      <c r="AH170" s="112"/>
      <c r="AI170" s="112"/>
      <c r="AJ170" s="112"/>
      <c r="AK170" t="e">
        <f t="shared" si="14"/>
        <v>#DIV/0!</v>
      </c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</row>
    <row r="171" spans="1:63" s="242" customFormat="1" x14ac:dyDescent="0.25">
      <c r="A171" s="92" t="s">
        <v>597</v>
      </c>
      <c r="B171" s="112"/>
      <c r="C171" s="112"/>
      <c r="D171" s="112"/>
      <c r="E171" s="112"/>
      <c r="F171" s="112"/>
      <c r="G171" s="112"/>
      <c r="H171" s="112"/>
      <c r="I171" s="112"/>
      <c r="J171" s="112">
        <f t="shared" si="15"/>
        <v>0</v>
      </c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  <c r="AA171" s="112"/>
      <c r="AB171" s="112"/>
      <c r="AC171" s="112"/>
      <c r="AD171" s="112"/>
      <c r="AF171" s="112"/>
      <c r="AG171" s="112"/>
      <c r="AH171" s="112"/>
      <c r="AI171" s="112"/>
      <c r="AJ171" s="112"/>
      <c r="AK171" t="e">
        <f t="shared" si="14"/>
        <v>#DIV/0!</v>
      </c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</row>
    <row r="172" spans="1:63" s="242" customFormat="1" x14ac:dyDescent="0.25">
      <c r="A172" s="92" t="s">
        <v>598</v>
      </c>
      <c r="B172" s="112"/>
      <c r="C172" s="112"/>
      <c r="D172" s="112"/>
      <c r="E172" s="112"/>
      <c r="F172" s="112"/>
      <c r="G172" s="112"/>
      <c r="H172" s="112"/>
      <c r="I172" s="112"/>
      <c r="J172" s="112">
        <f t="shared" si="15"/>
        <v>0</v>
      </c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  <c r="AA172" s="112"/>
      <c r="AB172" s="112"/>
      <c r="AC172" s="112"/>
      <c r="AD172" s="112"/>
      <c r="AF172" s="112">
        <v>6.13</v>
      </c>
      <c r="AG172" s="112">
        <v>6.13</v>
      </c>
      <c r="AH172" s="112"/>
      <c r="AI172" s="112"/>
      <c r="AJ172" s="112"/>
      <c r="AK172">
        <f t="shared" si="14"/>
        <v>6.13</v>
      </c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</row>
    <row r="173" spans="1:63" s="242" customFormat="1" x14ac:dyDescent="0.25">
      <c r="A173" s="92" t="s">
        <v>599</v>
      </c>
      <c r="B173" s="112"/>
      <c r="C173" s="112"/>
      <c r="D173" s="112"/>
      <c r="E173" s="112"/>
      <c r="F173" s="112"/>
      <c r="G173" s="112"/>
      <c r="H173" s="112"/>
      <c r="I173" s="112"/>
      <c r="J173" s="112">
        <f t="shared" si="15"/>
        <v>0</v>
      </c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  <c r="AA173" s="112"/>
      <c r="AB173" s="112"/>
      <c r="AC173" s="112"/>
      <c r="AD173" s="112"/>
      <c r="AF173" s="112">
        <v>16.670000000000002</v>
      </c>
      <c r="AG173" s="112">
        <v>16.670000000000002</v>
      </c>
      <c r="AH173" s="112"/>
      <c r="AI173" s="112"/>
      <c r="AJ173" s="112"/>
      <c r="AK173">
        <f t="shared" si="14"/>
        <v>16.670000000000002</v>
      </c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</row>
    <row r="174" spans="1:63" s="242" customFormat="1" x14ac:dyDescent="0.25">
      <c r="A174" s="92" t="s">
        <v>600</v>
      </c>
      <c r="B174" s="112"/>
      <c r="C174" s="112"/>
      <c r="D174" s="112"/>
      <c r="E174" s="112"/>
      <c r="F174" s="112"/>
      <c r="G174" s="112"/>
      <c r="H174" s="112"/>
      <c r="I174" s="112"/>
      <c r="J174" s="112">
        <f t="shared" si="15"/>
        <v>0</v>
      </c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  <c r="AA174" s="112"/>
      <c r="AB174" s="112"/>
      <c r="AC174" s="112"/>
      <c r="AD174" s="112"/>
      <c r="AF174" s="112">
        <v>16.670000000000002</v>
      </c>
      <c r="AG174" s="112">
        <v>16.670000000000002</v>
      </c>
      <c r="AH174" s="112"/>
      <c r="AI174" s="112"/>
      <c r="AJ174" s="112"/>
      <c r="AK174">
        <f t="shared" si="14"/>
        <v>16.670000000000002</v>
      </c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</row>
    <row r="175" spans="1:63" s="242" customFormat="1" x14ac:dyDescent="0.25">
      <c r="A175" s="92" t="s">
        <v>205</v>
      </c>
      <c r="B175" s="112"/>
      <c r="C175" s="112"/>
      <c r="D175" s="112"/>
      <c r="E175" s="112"/>
      <c r="F175" s="112"/>
      <c r="G175" s="112"/>
      <c r="H175" s="112"/>
      <c r="I175" s="112"/>
      <c r="J175" s="112">
        <f t="shared" si="15"/>
        <v>0</v>
      </c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  <c r="AA175" s="112"/>
      <c r="AB175" s="112"/>
      <c r="AC175" s="112"/>
      <c r="AD175" s="112"/>
      <c r="AF175" s="112">
        <v>1.75</v>
      </c>
      <c r="AG175" s="112"/>
      <c r="AH175" s="112"/>
      <c r="AI175" s="112"/>
      <c r="AJ175" s="112"/>
      <c r="AK175">
        <f t="shared" si="14"/>
        <v>1.75</v>
      </c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</row>
    <row r="176" spans="1:63" s="242" customFormat="1" x14ac:dyDescent="0.25">
      <c r="A176" s="92" t="s">
        <v>601</v>
      </c>
      <c r="B176" s="112"/>
      <c r="C176" s="112"/>
      <c r="D176" s="112"/>
      <c r="E176" s="112"/>
      <c r="F176" s="112"/>
      <c r="G176" s="112"/>
      <c r="H176" s="112"/>
      <c r="I176" s="112"/>
      <c r="J176" s="112">
        <f t="shared" si="15"/>
        <v>0</v>
      </c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  <c r="AA176" s="112"/>
      <c r="AB176" s="112"/>
      <c r="AC176" s="112"/>
      <c r="AD176" s="112"/>
      <c r="AF176" s="112">
        <v>13</v>
      </c>
      <c r="AG176" s="112">
        <v>11.69</v>
      </c>
      <c r="AH176" s="112"/>
      <c r="AI176" s="112"/>
      <c r="AJ176" s="112"/>
      <c r="AK176">
        <f t="shared" si="14"/>
        <v>12.344999999999999</v>
      </c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</row>
    <row r="177" spans="1:63" s="242" customFormat="1" x14ac:dyDescent="0.25">
      <c r="A177" s="92" t="s">
        <v>602</v>
      </c>
      <c r="B177" s="112"/>
      <c r="C177" s="112"/>
      <c r="D177" s="112"/>
      <c r="E177" s="112"/>
      <c r="F177" s="112"/>
      <c r="G177" s="112"/>
      <c r="H177" s="112"/>
      <c r="I177" s="112"/>
      <c r="J177" s="112">
        <f t="shared" si="15"/>
        <v>0</v>
      </c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  <c r="AA177" s="112"/>
      <c r="AB177" s="112"/>
      <c r="AC177" s="112"/>
      <c r="AD177" s="112"/>
      <c r="AF177" s="112"/>
      <c r="AG177" s="112"/>
      <c r="AH177" s="112"/>
      <c r="AI177" s="112"/>
      <c r="AJ177" s="112"/>
      <c r="AK177" t="e">
        <f t="shared" si="14"/>
        <v>#DIV/0!</v>
      </c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</row>
    <row r="178" spans="1:63" s="242" customFormat="1" ht="15.75" customHeight="1" x14ac:dyDescent="0.25">
      <c r="A178" s="92" t="s">
        <v>603</v>
      </c>
      <c r="B178" s="112"/>
      <c r="C178" s="112"/>
      <c r="D178" s="112"/>
      <c r="E178" s="112"/>
      <c r="F178" s="112"/>
      <c r="G178" s="112"/>
      <c r="H178" s="112"/>
      <c r="I178" s="112"/>
      <c r="J178" s="112">
        <f t="shared" si="15"/>
        <v>0</v>
      </c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  <c r="AA178" s="112"/>
      <c r="AB178" s="112"/>
      <c r="AC178" s="112"/>
      <c r="AD178" s="112"/>
      <c r="AF178" s="112"/>
      <c r="AG178" s="112"/>
      <c r="AH178" s="112"/>
      <c r="AI178" s="112"/>
      <c r="AJ178" s="112"/>
      <c r="AK178" t="e">
        <f t="shared" si="14"/>
        <v>#DIV/0!</v>
      </c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</row>
    <row r="179" spans="1:63" s="242" customFormat="1" x14ac:dyDescent="0.25">
      <c r="A179" s="92" t="s">
        <v>604</v>
      </c>
      <c r="B179" s="112"/>
      <c r="C179" s="112"/>
      <c r="D179" s="112"/>
      <c r="E179" s="112"/>
      <c r="F179" s="112"/>
      <c r="G179" s="112"/>
      <c r="H179" s="112"/>
      <c r="I179" s="112"/>
      <c r="J179" s="112">
        <f t="shared" si="15"/>
        <v>0</v>
      </c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  <c r="AA179" s="112"/>
      <c r="AB179" s="112"/>
      <c r="AC179" s="112"/>
      <c r="AD179" s="112"/>
      <c r="AF179" s="112">
        <v>8.74</v>
      </c>
      <c r="AG179" s="112">
        <v>8.74</v>
      </c>
      <c r="AH179" s="112">
        <v>8.74</v>
      </c>
      <c r="AI179" s="112"/>
      <c r="AJ179" s="112"/>
      <c r="AK179">
        <f t="shared" si="14"/>
        <v>8.74</v>
      </c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</row>
    <row r="180" spans="1:63" s="242" customFormat="1" x14ac:dyDescent="0.25">
      <c r="A180" s="92" t="s">
        <v>605</v>
      </c>
      <c r="B180" s="112"/>
      <c r="C180" s="112"/>
      <c r="D180" s="112"/>
      <c r="E180" s="112"/>
      <c r="F180" s="112"/>
      <c r="G180" s="112"/>
      <c r="H180" s="112"/>
      <c r="I180" s="112"/>
      <c r="J180" s="112">
        <f t="shared" si="15"/>
        <v>0</v>
      </c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  <c r="AA180" s="112"/>
      <c r="AB180" s="112"/>
      <c r="AC180" s="112"/>
      <c r="AD180" s="112"/>
      <c r="AF180" s="112">
        <v>4.6399999999999997</v>
      </c>
      <c r="AG180" s="112"/>
      <c r="AH180" s="112"/>
      <c r="AI180" s="112"/>
      <c r="AJ180" s="112"/>
      <c r="AK180">
        <f t="shared" si="14"/>
        <v>4.6399999999999997</v>
      </c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</row>
    <row r="181" spans="1:63" s="242" customFormat="1" x14ac:dyDescent="0.25">
      <c r="A181" s="92" t="s">
        <v>221</v>
      </c>
      <c r="B181" s="112"/>
      <c r="C181" s="112"/>
      <c r="D181" s="112"/>
      <c r="E181" s="112"/>
      <c r="F181" s="112"/>
      <c r="G181" s="112"/>
      <c r="H181" s="112"/>
      <c r="I181" s="112"/>
      <c r="J181" s="112">
        <f t="shared" si="15"/>
        <v>0</v>
      </c>
      <c r="K181" s="112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  <c r="AA181" s="112"/>
      <c r="AB181" s="112"/>
      <c r="AC181" s="112"/>
      <c r="AD181" s="112"/>
      <c r="AF181" s="112">
        <v>13.44</v>
      </c>
      <c r="AG181" s="112"/>
      <c r="AH181" s="112"/>
      <c r="AI181" s="112"/>
      <c r="AJ181" s="112"/>
      <c r="AK181">
        <f t="shared" si="14"/>
        <v>13.44</v>
      </c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</row>
    <row r="182" spans="1:63" s="242" customFormat="1" x14ac:dyDescent="0.25">
      <c r="A182" s="92" t="s">
        <v>606</v>
      </c>
      <c r="B182" s="112"/>
      <c r="C182" s="112"/>
      <c r="D182" s="112"/>
      <c r="E182" s="112"/>
      <c r="F182" s="112"/>
      <c r="G182" s="112"/>
      <c r="H182" s="112"/>
      <c r="I182" s="112"/>
      <c r="J182" s="112">
        <f t="shared" si="15"/>
        <v>0</v>
      </c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  <c r="AA182" s="112"/>
      <c r="AB182" s="112"/>
      <c r="AC182" s="112"/>
      <c r="AD182" s="112"/>
      <c r="AF182" s="112"/>
      <c r="AG182" s="112"/>
      <c r="AH182" s="112"/>
      <c r="AI182" s="112"/>
      <c r="AJ182" s="112"/>
      <c r="AK182" t="e">
        <f t="shared" si="14"/>
        <v>#DIV/0!</v>
      </c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</row>
    <row r="183" spans="1:63" s="242" customFormat="1" x14ac:dyDescent="0.25">
      <c r="A183" s="92" t="s">
        <v>231</v>
      </c>
      <c r="B183" s="112"/>
      <c r="C183" s="112"/>
      <c r="D183" s="112"/>
      <c r="E183" s="112"/>
      <c r="F183" s="112"/>
      <c r="G183" s="112"/>
      <c r="H183" s="112"/>
      <c r="I183" s="112"/>
      <c r="J183" s="112">
        <f t="shared" si="15"/>
        <v>0</v>
      </c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  <c r="AA183" s="112"/>
      <c r="AB183" s="112"/>
      <c r="AC183" s="112"/>
      <c r="AD183" s="112"/>
      <c r="AF183" s="112"/>
      <c r="AG183" s="112"/>
      <c r="AH183" s="112"/>
      <c r="AI183" s="112"/>
      <c r="AJ183" s="112"/>
      <c r="AK183" t="e">
        <f t="shared" si="14"/>
        <v>#DIV/0!</v>
      </c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</row>
    <row r="184" spans="1:63" s="242" customFormat="1" x14ac:dyDescent="0.25">
      <c r="A184" s="92" t="s">
        <v>607</v>
      </c>
      <c r="B184" s="112"/>
      <c r="C184" s="112"/>
      <c r="D184" s="112"/>
      <c r="E184" s="112"/>
      <c r="F184" s="112"/>
      <c r="G184" s="112"/>
      <c r="H184" s="112"/>
      <c r="I184" s="112"/>
      <c r="J184" s="112">
        <f t="shared" si="15"/>
        <v>0</v>
      </c>
      <c r="K184" s="112"/>
      <c r="L184" s="112"/>
      <c r="M184" s="112"/>
      <c r="N184" s="112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  <c r="AA184" s="112"/>
      <c r="AB184" s="112"/>
      <c r="AC184" s="112"/>
      <c r="AD184" s="112"/>
      <c r="AF184" s="112"/>
      <c r="AG184" s="112"/>
      <c r="AH184" s="112"/>
      <c r="AI184" s="112"/>
      <c r="AJ184" s="112"/>
      <c r="AK184" t="e">
        <f t="shared" si="14"/>
        <v>#DIV/0!</v>
      </c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</row>
    <row r="185" spans="1:63" s="242" customFormat="1" ht="15.75" customHeight="1" x14ac:dyDescent="0.25">
      <c r="A185" s="92" t="s">
        <v>608</v>
      </c>
      <c r="B185" s="112"/>
      <c r="C185" s="112"/>
      <c r="D185" s="112"/>
      <c r="E185" s="112"/>
      <c r="F185" s="112"/>
      <c r="G185" s="112"/>
      <c r="H185" s="112"/>
      <c r="I185" s="112"/>
      <c r="J185" s="112">
        <f t="shared" si="15"/>
        <v>0</v>
      </c>
      <c r="K185" s="112"/>
      <c r="L185" s="112"/>
      <c r="M185" s="112"/>
      <c r="N185" s="112"/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  <c r="Z185" s="112"/>
      <c r="AA185" s="112"/>
      <c r="AB185" s="112"/>
      <c r="AC185" s="112"/>
      <c r="AD185" s="112"/>
      <c r="AF185" s="112"/>
      <c r="AG185" s="112"/>
      <c r="AH185" s="112"/>
      <c r="AI185" s="112"/>
      <c r="AJ185" s="112"/>
      <c r="AK185" t="e">
        <f t="shared" si="14"/>
        <v>#DIV/0!</v>
      </c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</row>
    <row r="186" spans="1:63" s="242" customFormat="1" x14ac:dyDescent="0.25">
      <c r="A186" s="92" t="s">
        <v>609</v>
      </c>
      <c r="B186" s="112"/>
      <c r="C186" s="112"/>
      <c r="D186" s="112"/>
      <c r="E186" s="112"/>
      <c r="F186" s="112"/>
      <c r="G186" s="112"/>
      <c r="H186" s="112"/>
      <c r="I186" s="112"/>
      <c r="J186" s="112">
        <f t="shared" si="15"/>
        <v>0</v>
      </c>
      <c r="K186" s="112"/>
      <c r="L186" s="112"/>
      <c r="M186" s="112"/>
      <c r="N186" s="112"/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  <c r="Z186" s="112"/>
      <c r="AA186" s="112"/>
      <c r="AB186" s="112"/>
      <c r="AC186" s="112"/>
      <c r="AD186" s="112"/>
      <c r="AF186" s="112">
        <v>17.239999999999998</v>
      </c>
      <c r="AG186" s="112">
        <v>17.239999999999998</v>
      </c>
      <c r="AH186" s="112"/>
      <c r="AI186" s="112"/>
      <c r="AJ186" s="112"/>
      <c r="AK186">
        <f t="shared" si="14"/>
        <v>17.239999999999998</v>
      </c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</row>
    <row r="187" spans="1:63" s="242" customFormat="1" x14ac:dyDescent="0.25">
      <c r="A187" s="92" t="s">
        <v>610</v>
      </c>
      <c r="B187" s="112"/>
      <c r="C187" s="112"/>
      <c r="D187" s="112"/>
      <c r="E187" s="112"/>
      <c r="F187" s="112"/>
      <c r="G187" s="112"/>
      <c r="H187" s="112"/>
      <c r="I187" s="112"/>
      <c r="J187" s="112">
        <f t="shared" si="15"/>
        <v>0</v>
      </c>
      <c r="K187" s="112"/>
      <c r="L187" s="112"/>
      <c r="M187" s="112"/>
      <c r="N187" s="112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  <c r="AA187" s="112"/>
      <c r="AB187" s="112"/>
      <c r="AC187" s="112"/>
      <c r="AD187" s="112"/>
      <c r="AF187" s="112">
        <v>17.239999999999998</v>
      </c>
      <c r="AG187" s="112">
        <v>17.239999999999998</v>
      </c>
      <c r="AH187" s="112"/>
      <c r="AI187" s="112"/>
      <c r="AJ187" s="112"/>
      <c r="AK187">
        <f t="shared" si="14"/>
        <v>17.239999999999998</v>
      </c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</row>
    <row r="188" spans="1:63" s="242" customFormat="1" x14ac:dyDescent="0.25">
      <c r="A188" s="92" t="s">
        <v>611</v>
      </c>
      <c r="B188" s="112"/>
      <c r="C188" s="112"/>
      <c r="D188" s="112"/>
      <c r="E188" s="112"/>
      <c r="F188" s="112"/>
      <c r="G188" s="112"/>
      <c r="H188" s="112"/>
      <c r="I188" s="112"/>
      <c r="J188" s="112">
        <f t="shared" si="15"/>
        <v>0</v>
      </c>
      <c r="K188" s="112"/>
      <c r="L188" s="112"/>
      <c r="M188" s="112"/>
      <c r="N188" s="112"/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  <c r="Z188" s="112"/>
      <c r="AA188" s="112"/>
      <c r="AB188" s="112"/>
      <c r="AC188" s="112"/>
      <c r="AD188" s="112"/>
      <c r="AF188" s="112"/>
      <c r="AG188" s="112"/>
      <c r="AH188" s="112"/>
      <c r="AI188" s="112"/>
      <c r="AJ188" s="112"/>
      <c r="AK188" t="e">
        <f t="shared" si="14"/>
        <v>#DIV/0!</v>
      </c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</row>
    <row r="189" spans="1:63" s="242" customFormat="1" x14ac:dyDescent="0.25">
      <c r="A189" s="92" t="s">
        <v>612</v>
      </c>
      <c r="B189" s="112"/>
      <c r="C189" s="112"/>
      <c r="D189" s="112"/>
      <c r="E189" s="112"/>
      <c r="F189" s="112"/>
      <c r="G189" s="112"/>
      <c r="H189" s="112"/>
      <c r="I189" s="112"/>
      <c r="J189" s="112">
        <f t="shared" si="15"/>
        <v>0</v>
      </c>
      <c r="K189" s="112"/>
      <c r="L189" s="112"/>
      <c r="M189" s="112"/>
      <c r="N189" s="112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  <c r="AA189" s="112"/>
      <c r="AB189" s="112"/>
      <c r="AC189" s="112"/>
      <c r="AD189" s="112"/>
      <c r="AF189" s="112"/>
      <c r="AG189" s="112"/>
      <c r="AH189" s="112"/>
      <c r="AI189" s="112"/>
      <c r="AJ189" s="112"/>
      <c r="AK189" t="e">
        <f t="shared" si="14"/>
        <v>#DIV/0!</v>
      </c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</row>
    <row r="190" spans="1:63" s="242" customFormat="1" x14ac:dyDescent="0.25">
      <c r="A190" s="92" t="s">
        <v>613</v>
      </c>
      <c r="B190" s="112"/>
      <c r="C190" s="112"/>
      <c r="D190" s="112"/>
      <c r="E190" s="112"/>
      <c r="F190" s="112"/>
      <c r="G190" s="112"/>
      <c r="H190" s="112"/>
      <c r="I190" s="112"/>
      <c r="J190" s="112">
        <f t="shared" si="15"/>
        <v>0</v>
      </c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12"/>
      <c r="AD190" s="112"/>
      <c r="AF190" s="112"/>
      <c r="AG190" s="112"/>
      <c r="AH190" s="112"/>
      <c r="AI190" s="112"/>
      <c r="AJ190" s="112"/>
      <c r="AK190" t="e">
        <f t="shared" si="14"/>
        <v>#DIV/0!</v>
      </c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</row>
    <row r="191" spans="1:63" s="242" customFormat="1" x14ac:dyDescent="0.25">
      <c r="A191" s="92" t="s">
        <v>614</v>
      </c>
      <c r="B191" s="112"/>
      <c r="C191" s="112"/>
      <c r="D191" s="112"/>
      <c r="E191" s="112"/>
      <c r="F191" s="112"/>
      <c r="G191" s="112"/>
      <c r="H191" s="112"/>
      <c r="I191" s="112"/>
      <c r="J191" s="112">
        <f t="shared" si="15"/>
        <v>0</v>
      </c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  <c r="AA191" s="112"/>
      <c r="AB191" s="112"/>
      <c r="AC191" s="112"/>
      <c r="AD191" s="112"/>
      <c r="AF191" s="112">
        <v>89.57</v>
      </c>
      <c r="AG191" s="112"/>
      <c r="AH191" s="112"/>
      <c r="AI191" s="112"/>
      <c r="AJ191" s="112"/>
      <c r="AK191">
        <f t="shared" si="14"/>
        <v>89.57</v>
      </c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</row>
    <row r="192" spans="1:63" s="242" customFormat="1" x14ac:dyDescent="0.25">
      <c r="A192" s="92" t="s">
        <v>615</v>
      </c>
      <c r="B192" s="112"/>
      <c r="C192" s="112"/>
      <c r="D192" s="112"/>
      <c r="E192" s="112"/>
      <c r="F192" s="112"/>
      <c r="G192" s="112"/>
      <c r="H192" s="112"/>
      <c r="I192" s="112"/>
      <c r="J192" s="112">
        <f t="shared" si="15"/>
        <v>0</v>
      </c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F192" s="112"/>
      <c r="AG192" s="112"/>
      <c r="AH192" s="112"/>
      <c r="AI192" s="112"/>
      <c r="AJ192" s="112"/>
      <c r="AK192" t="e">
        <f t="shared" si="14"/>
        <v>#DIV/0!</v>
      </c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</row>
    <row r="193" spans="1:37" x14ac:dyDescent="0.25">
      <c r="A193" s="92" t="s">
        <v>616</v>
      </c>
      <c r="B193" s="112"/>
      <c r="C193" s="112"/>
      <c r="D193" s="112"/>
      <c r="E193" s="112"/>
      <c r="F193" s="112"/>
      <c r="G193" s="112"/>
      <c r="H193" s="112"/>
      <c r="I193" s="112"/>
      <c r="J193" s="112">
        <f t="shared" si="15"/>
        <v>0</v>
      </c>
      <c r="K193" s="112"/>
      <c r="L193" s="112"/>
      <c r="M193" s="112"/>
      <c r="N193" s="112"/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  <c r="AA193" s="112"/>
      <c r="AB193" s="112"/>
      <c r="AC193" s="112"/>
      <c r="AD193" s="112"/>
      <c r="AE193" s="242"/>
      <c r="AF193" s="112"/>
      <c r="AG193" s="112"/>
      <c r="AH193" s="112"/>
      <c r="AI193" s="112"/>
      <c r="AJ193" s="112"/>
      <c r="AK193" t="e">
        <f t="shared" si="14"/>
        <v>#DIV/0!</v>
      </c>
    </row>
    <row r="194" spans="1:37" x14ac:dyDescent="0.25">
      <c r="A194" s="92" t="s">
        <v>267</v>
      </c>
      <c r="B194" s="112"/>
      <c r="C194" s="112"/>
      <c r="D194" s="112"/>
      <c r="E194" s="112"/>
      <c r="F194" s="112"/>
      <c r="G194" s="112"/>
      <c r="H194" s="112"/>
      <c r="I194" s="112"/>
      <c r="J194" s="112">
        <f t="shared" si="15"/>
        <v>0</v>
      </c>
      <c r="K194" s="112"/>
      <c r="L194" s="112"/>
      <c r="M194" s="112"/>
      <c r="N194" s="112"/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  <c r="AA194" s="112"/>
      <c r="AB194" s="112"/>
      <c r="AC194" s="112"/>
      <c r="AD194" s="112"/>
      <c r="AE194" s="242"/>
      <c r="AF194" s="112"/>
      <c r="AG194" s="112"/>
      <c r="AH194" s="112"/>
      <c r="AI194" s="112"/>
      <c r="AJ194" s="112"/>
    </row>
    <row r="195" spans="1:37" x14ac:dyDescent="0.25">
      <c r="A195" s="92" t="s">
        <v>617</v>
      </c>
      <c r="B195" s="112"/>
      <c r="C195" s="112"/>
      <c r="D195" s="112"/>
      <c r="E195" s="112"/>
      <c r="F195" s="112"/>
      <c r="G195" s="112"/>
      <c r="H195" s="112"/>
      <c r="I195" s="112"/>
      <c r="J195" s="112">
        <f t="shared" si="15"/>
        <v>0</v>
      </c>
      <c r="K195" s="112"/>
      <c r="L195" s="112"/>
      <c r="M195" s="112"/>
      <c r="N195" s="112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  <c r="AA195" s="112"/>
      <c r="AB195" s="112"/>
      <c r="AC195" s="112"/>
      <c r="AD195" s="112"/>
      <c r="AE195" s="242"/>
      <c r="AF195" s="112"/>
      <c r="AG195" s="112"/>
      <c r="AH195" s="112"/>
      <c r="AI195" s="112"/>
      <c r="AJ195" s="112"/>
      <c r="AK195" t="e">
        <f t="shared" ref="AK195:AK204" si="16">AVERAGE(AF195:AJ195)</f>
        <v>#DIV/0!</v>
      </c>
    </row>
    <row r="196" spans="1:37" x14ac:dyDescent="0.25">
      <c r="A196" s="92" t="s">
        <v>618</v>
      </c>
      <c r="B196" s="112"/>
      <c r="C196" s="112"/>
      <c r="D196" s="112"/>
      <c r="E196" s="112"/>
      <c r="F196" s="112"/>
      <c r="G196" s="112"/>
      <c r="H196" s="112"/>
      <c r="I196" s="112"/>
      <c r="J196" s="112">
        <f t="shared" si="15"/>
        <v>0</v>
      </c>
      <c r="K196" s="112"/>
      <c r="L196" s="112"/>
      <c r="M196" s="112"/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  <c r="AA196" s="112"/>
      <c r="AB196" s="112"/>
      <c r="AC196" s="112"/>
      <c r="AD196" s="112"/>
      <c r="AE196" s="242"/>
      <c r="AF196" s="112">
        <v>73.290000000000006</v>
      </c>
      <c r="AG196" s="112"/>
      <c r="AH196" s="112"/>
      <c r="AI196" s="112"/>
      <c r="AJ196" s="112"/>
      <c r="AK196">
        <f t="shared" si="16"/>
        <v>73.290000000000006</v>
      </c>
    </row>
    <row r="197" spans="1:37" x14ac:dyDescent="0.25">
      <c r="A197" s="92" t="s">
        <v>619</v>
      </c>
      <c r="B197" s="112"/>
      <c r="C197" s="112"/>
      <c r="D197" s="112"/>
      <c r="E197" s="112"/>
      <c r="F197" s="112"/>
      <c r="G197" s="112"/>
      <c r="H197" s="112"/>
      <c r="I197" s="112"/>
      <c r="J197" s="112">
        <f t="shared" si="15"/>
        <v>0</v>
      </c>
      <c r="K197" s="112"/>
      <c r="L197" s="112"/>
      <c r="M197" s="112"/>
      <c r="N197" s="112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  <c r="AA197" s="112"/>
      <c r="AB197" s="112"/>
      <c r="AC197" s="112"/>
      <c r="AD197" s="112"/>
      <c r="AE197" s="242"/>
      <c r="AF197" s="112"/>
      <c r="AG197" s="112"/>
      <c r="AH197" s="112"/>
      <c r="AI197" s="112"/>
      <c r="AJ197" s="112"/>
      <c r="AK197" t="e">
        <f t="shared" si="16"/>
        <v>#DIV/0!</v>
      </c>
    </row>
    <row r="198" spans="1:37" x14ac:dyDescent="0.25">
      <c r="A198" s="92" t="s">
        <v>620</v>
      </c>
      <c r="B198" s="112"/>
      <c r="C198" s="112"/>
      <c r="D198" s="112"/>
      <c r="E198" s="112"/>
      <c r="F198" s="112"/>
      <c r="G198" s="112"/>
      <c r="H198" s="112"/>
      <c r="I198" s="112"/>
      <c r="J198" s="112">
        <f t="shared" si="15"/>
        <v>0</v>
      </c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  <c r="AA198" s="112"/>
      <c r="AB198" s="112"/>
      <c r="AC198" s="112"/>
      <c r="AD198" s="112"/>
      <c r="AE198" s="242"/>
      <c r="AF198" s="112">
        <f>15.41</f>
        <v>15.41</v>
      </c>
      <c r="AG198" s="112"/>
      <c r="AH198" s="112"/>
      <c r="AI198" s="112"/>
      <c r="AJ198" s="112"/>
      <c r="AK198">
        <f t="shared" si="16"/>
        <v>15.41</v>
      </c>
    </row>
    <row r="199" spans="1:37" x14ac:dyDescent="0.25">
      <c r="A199" s="92" t="s">
        <v>621</v>
      </c>
      <c r="B199" s="112"/>
      <c r="C199" s="112"/>
      <c r="D199" s="112"/>
      <c r="E199" s="112"/>
      <c r="F199" s="112"/>
      <c r="G199" s="112"/>
      <c r="H199" s="112"/>
      <c r="I199" s="112"/>
      <c r="J199" s="112">
        <f t="shared" si="15"/>
        <v>0</v>
      </c>
      <c r="K199" s="112"/>
      <c r="L199" s="112"/>
      <c r="M199" s="112"/>
      <c r="N199" s="112"/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  <c r="Z199" s="112"/>
      <c r="AA199" s="112"/>
      <c r="AB199" s="112"/>
      <c r="AC199" s="112"/>
      <c r="AD199" s="112"/>
      <c r="AE199" s="242"/>
      <c r="AF199" s="112">
        <v>15.41</v>
      </c>
      <c r="AG199" s="112"/>
      <c r="AH199" s="112"/>
      <c r="AI199" s="112"/>
      <c r="AJ199" s="112"/>
      <c r="AK199">
        <f t="shared" si="16"/>
        <v>15.41</v>
      </c>
    </row>
    <row r="200" spans="1:37" x14ac:dyDescent="0.25">
      <c r="A200" s="92" t="s">
        <v>283</v>
      </c>
      <c r="B200" s="112"/>
      <c r="C200" s="112"/>
      <c r="D200" s="112"/>
      <c r="E200" s="112"/>
      <c r="F200" s="112"/>
      <c r="G200" s="112"/>
      <c r="H200" s="112"/>
      <c r="I200" s="112"/>
      <c r="J200" s="112">
        <f t="shared" si="15"/>
        <v>0</v>
      </c>
      <c r="K200" s="112"/>
      <c r="L200" s="112"/>
      <c r="M200" s="112"/>
      <c r="N200" s="112"/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  <c r="Z200" s="112"/>
      <c r="AA200" s="112"/>
      <c r="AB200" s="112"/>
      <c r="AC200" s="112"/>
      <c r="AD200" s="112"/>
      <c r="AE200" s="242"/>
      <c r="AF200" s="112"/>
      <c r="AG200" s="112"/>
      <c r="AH200" s="112"/>
      <c r="AI200" s="112"/>
      <c r="AJ200" s="112"/>
      <c r="AK200" t="e">
        <f t="shared" si="16"/>
        <v>#DIV/0!</v>
      </c>
    </row>
    <row r="201" spans="1:37" x14ac:dyDescent="0.25">
      <c r="A201" s="92" t="s">
        <v>284</v>
      </c>
      <c r="B201" s="112"/>
      <c r="C201" s="112"/>
      <c r="D201" s="112"/>
      <c r="E201" s="112"/>
      <c r="F201" s="112"/>
      <c r="G201" s="112"/>
      <c r="H201" s="112"/>
      <c r="I201" s="112"/>
      <c r="J201" s="112">
        <f t="shared" si="15"/>
        <v>0</v>
      </c>
      <c r="K201" s="112"/>
      <c r="L201" s="112"/>
      <c r="M201" s="112"/>
      <c r="N201" s="112"/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  <c r="AA201" s="112"/>
      <c r="AB201" s="112"/>
      <c r="AC201" s="112"/>
      <c r="AD201" s="112"/>
      <c r="AE201" s="242"/>
      <c r="AF201" s="112"/>
      <c r="AG201" s="112"/>
      <c r="AH201" s="112"/>
      <c r="AI201" s="112"/>
      <c r="AJ201" s="112"/>
      <c r="AK201" t="e">
        <f t="shared" si="16"/>
        <v>#DIV/0!</v>
      </c>
    </row>
    <row r="202" spans="1:37" x14ac:dyDescent="0.25">
      <c r="A202" s="92" t="s">
        <v>622</v>
      </c>
      <c r="B202" s="112"/>
      <c r="C202" s="112"/>
      <c r="D202" s="112"/>
      <c r="E202" s="112"/>
      <c r="F202" s="112"/>
      <c r="G202" s="112"/>
      <c r="H202" s="112"/>
      <c r="I202" s="112"/>
      <c r="J202" s="112">
        <f t="shared" si="15"/>
        <v>0</v>
      </c>
      <c r="K202" s="112"/>
      <c r="L202" s="112"/>
      <c r="M202" s="112"/>
      <c r="N202" s="112"/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  <c r="AA202" s="112"/>
      <c r="AB202" s="112"/>
      <c r="AC202" s="112"/>
      <c r="AD202" s="112"/>
      <c r="AE202" s="242"/>
      <c r="AF202" s="112"/>
      <c r="AG202" s="112"/>
      <c r="AH202" s="112"/>
      <c r="AI202" s="112"/>
      <c r="AJ202" s="112"/>
      <c r="AK202" t="e">
        <f t="shared" si="16"/>
        <v>#DIV/0!</v>
      </c>
    </row>
    <row r="203" spans="1:37" x14ac:dyDescent="0.25">
      <c r="A203" s="92" t="s">
        <v>623</v>
      </c>
      <c r="B203" s="112"/>
      <c r="C203" s="112"/>
      <c r="D203" s="112"/>
      <c r="E203" s="112"/>
      <c r="F203" s="112"/>
      <c r="G203" s="112"/>
      <c r="H203" s="112"/>
      <c r="I203" s="112"/>
      <c r="J203" s="112">
        <f t="shared" si="15"/>
        <v>0</v>
      </c>
      <c r="K203" s="112"/>
      <c r="L203" s="112"/>
      <c r="M203" s="112"/>
      <c r="N203" s="112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  <c r="AA203" s="112"/>
      <c r="AB203" s="112"/>
      <c r="AC203" s="112"/>
      <c r="AD203" s="112"/>
      <c r="AE203" s="242"/>
      <c r="AF203" s="112"/>
      <c r="AG203" s="112"/>
      <c r="AH203" s="112"/>
      <c r="AI203" s="112"/>
      <c r="AJ203" s="112"/>
      <c r="AK203" t="e">
        <f t="shared" si="16"/>
        <v>#DIV/0!</v>
      </c>
    </row>
    <row r="204" spans="1:37" x14ac:dyDescent="0.25">
      <c r="A204" s="92" t="s">
        <v>624</v>
      </c>
      <c r="B204" s="112"/>
      <c r="C204" s="112"/>
      <c r="D204" s="112"/>
      <c r="E204" s="112"/>
      <c r="F204" s="112"/>
      <c r="G204" s="112"/>
      <c r="H204" s="112"/>
      <c r="I204" s="112"/>
      <c r="J204" s="112">
        <f t="shared" si="15"/>
        <v>0</v>
      </c>
      <c r="K204" s="112"/>
      <c r="L204" s="112"/>
      <c r="M204" s="112"/>
      <c r="N204" s="112"/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  <c r="AA204" s="112"/>
      <c r="AB204" s="112"/>
      <c r="AC204" s="112"/>
      <c r="AD204" s="112"/>
      <c r="AE204" s="242"/>
      <c r="AF204" s="112"/>
      <c r="AG204" s="112"/>
      <c r="AH204" s="112"/>
      <c r="AI204" s="112"/>
      <c r="AJ204" s="112"/>
      <c r="AK204" t="e">
        <f t="shared" si="16"/>
        <v>#DIV/0!</v>
      </c>
    </row>
    <row r="205" spans="1:37" x14ac:dyDescent="0.25">
      <c r="A205" s="92" t="s">
        <v>298</v>
      </c>
      <c r="B205" s="112"/>
      <c r="C205" s="112"/>
      <c r="D205" s="112"/>
      <c r="E205" s="245"/>
      <c r="F205" s="112"/>
      <c r="G205" s="112"/>
      <c r="H205" s="112"/>
      <c r="I205" s="112"/>
      <c r="J205" s="112">
        <f t="shared" si="15"/>
        <v>0</v>
      </c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F205" s="92"/>
      <c r="AG205" s="92"/>
      <c r="AH205" s="92"/>
      <c r="AI205" s="92"/>
      <c r="AJ205" s="92"/>
    </row>
    <row r="206" spans="1:37" x14ac:dyDescent="0.25">
      <c r="A206" s="92" t="s">
        <v>625</v>
      </c>
      <c r="B206" s="112"/>
      <c r="C206" s="112"/>
      <c r="D206" s="112"/>
      <c r="E206" s="112"/>
      <c r="F206" s="112"/>
      <c r="G206" s="112"/>
      <c r="H206" s="112"/>
      <c r="I206" s="112"/>
      <c r="J206" s="112">
        <f t="shared" si="15"/>
        <v>0</v>
      </c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  <c r="Z206" s="112"/>
      <c r="AA206" s="112"/>
      <c r="AB206" s="112"/>
      <c r="AC206" s="112"/>
      <c r="AD206" s="112"/>
      <c r="AE206" s="242"/>
      <c r="AF206" s="112"/>
      <c r="AG206" s="112"/>
      <c r="AH206" s="112"/>
      <c r="AI206" s="112"/>
      <c r="AJ206" s="112"/>
      <c r="AK206" t="e">
        <f t="shared" ref="AK206:AK227" si="17">AVERAGE(AF206:AJ206)</f>
        <v>#DIV/0!</v>
      </c>
    </row>
    <row r="207" spans="1:37" x14ac:dyDescent="0.25">
      <c r="A207" s="92" t="s">
        <v>626</v>
      </c>
      <c r="B207" s="112"/>
      <c r="C207" s="112"/>
      <c r="D207" s="112"/>
      <c r="E207" s="112"/>
      <c r="F207" s="112"/>
      <c r="G207" s="112"/>
      <c r="H207" s="112"/>
      <c r="I207" s="112"/>
      <c r="J207" s="112">
        <f t="shared" si="15"/>
        <v>0</v>
      </c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  <c r="AA207" s="112"/>
      <c r="AB207" s="112"/>
      <c r="AC207" s="112"/>
      <c r="AD207" s="112"/>
      <c r="AE207" s="242"/>
      <c r="AF207" s="112"/>
      <c r="AG207" s="112"/>
      <c r="AH207" s="112"/>
      <c r="AI207" s="112"/>
      <c r="AJ207" s="112"/>
      <c r="AK207" t="e">
        <f t="shared" si="17"/>
        <v>#DIV/0!</v>
      </c>
    </row>
    <row r="208" spans="1:37" x14ac:dyDescent="0.25">
      <c r="A208" s="92" t="s">
        <v>627</v>
      </c>
      <c r="B208" s="112"/>
      <c r="C208" s="112"/>
      <c r="D208" s="112"/>
      <c r="E208" s="112"/>
      <c r="F208" s="112"/>
      <c r="G208" s="112"/>
      <c r="H208" s="112"/>
      <c r="I208" s="112"/>
      <c r="J208" s="112">
        <f t="shared" si="15"/>
        <v>0</v>
      </c>
      <c r="K208" s="112"/>
      <c r="L208" s="112"/>
      <c r="M208" s="112"/>
      <c r="N208" s="112"/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  <c r="Z208" s="112"/>
      <c r="AA208" s="112"/>
      <c r="AB208" s="112"/>
      <c r="AC208" s="112"/>
      <c r="AD208" s="112"/>
      <c r="AE208" s="242"/>
      <c r="AF208" s="112"/>
      <c r="AG208" s="112"/>
      <c r="AH208" s="112"/>
      <c r="AI208" s="112"/>
      <c r="AJ208" s="112"/>
      <c r="AK208" t="e">
        <f t="shared" si="17"/>
        <v>#DIV/0!</v>
      </c>
    </row>
    <row r="209" spans="1:63" x14ac:dyDescent="0.25">
      <c r="A209" s="92" t="s">
        <v>628</v>
      </c>
      <c r="B209" s="112"/>
      <c r="C209" s="112"/>
      <c r="D209" s="112"/>
      <c r="E209" s="112"/>
      <c r="F209" s="112"/>
      <c r="G209" s="112"/>
      <c r="H209" s="112"/>
      <c r="I209" s="112"/>
      <c r="J209" s="112">
        <f t="shared" si="15"/>
        <v>0</v>
      </c>
      <c r="K209" s="112"/>
      <c r="L209" s="112"/>
      <c r="M209" s="112"/>
      <c r="N209" s="112"/>
      <c r="O209" s="112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  <c r="Z209" s="112"/>
      <c r="AA209" s="112"/>
      <c r="AB209" s="112"/>
      <c r="AC209" s="112"/>
      <c r="AD209" s="112"/>
      <c r="AE209" s="242"/>
      <c r="AF209" s="112">
        <v>7.25</v>
      </c>
      <c r="AG209" s="112">
        <v>7.25</v>
      </c>
      <c r="AH209" s="112"/>
      <c r="AI209" s="112"/>
      <c r="AJ209" s="112"/>
      <c r="AK209">
        <f t="shared" si="17"/>
        <v>7.25</v>
      </c>
    </row>
    <row r="210" spans="1:63" s="209" customFormat="1" x14ac:dyDescent="0.25">
      <c r="A210" s="92" t="s">
        <v>314</v>
      </c>
      <c r="B210" s="112"/>
      <c r="C210" s="112"/>
      <c r="D210" s="112"/>
      <c r="E210" s="112"/>
      <c r="F210" s="112"/>
      <c r="G210" s="112"/>
      <c r="H210" s="112"/>
      <c r="I210" s="112"/>
      <c r="J210" s="112">
        <f t="shared" si="15"/>
        <v>0</v>
      </c>
      <c r="K210" s="112"/>
      <c r="L210" s="112"/>
      <c r="M210" s="112"/>
      <c r="N210" s="112"/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  <c r="Z210" s="112"/>
      <c r="AA210" s="112"/>
      <c r="AB210" s="112"/>
      <c r="AC210" s="112"/>
      <c r="AD210" s="112"/>
      <c r="AE210" s="242"/>
      <c r="AF210" s="112"/>
      <c r="AG210" s="112"/>
      <c r="AH210" s="112"/>
      <c r="AI210" s="112"/>
      <c r="AJ210" s="112"/>
      <c r="AK210" t="e">
        <f t="shared" si="17"/>
        <v>#DIV/0!</v>
      </c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</row>
    <row r="211" spans="1:63" s="209" customFormat="1" x14ac:dyDescent="0.25">
      <c r="A211" s="92" t="s">
        <v>629</v>
      </c>
      <c r="B211" s="112"/>
      <c r="C211" s="112"/>
      <c r="D211" s="112"/>
      <c r="E211" s="112"/>
      <c r="F211" s="112"/>
      <c r="G211" s="112"/>
      <c r="H211" s="112"/>
      <c r="I211" s="112"/>
      <c r="J211" s="112">
        <f t="shared" si="15"/>
        <v>0</v>
      </c>
      <c r="K211" s="112"/>
      <c r="L211" s="112"/>
      <c r="M211" s="112"/>
      <c r="N211" s="112"/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  <c r="AA211" s="112"/>
      <c r="AB211" s="112"/>
      <c r="AC211" s="112"/>
      <c r="AD211" s="112"/>
      <c r="AE211" s="242"/>
      <c r="AF211" s="112"/>
      <c r="AG211" s="112"/>
      <c r="AH211" s="112"/>
      <c r="AI211" s="112"/>
      <c r="AJ211" s="112"/>
      <c r="AK211" t="e">
        <f t="shared" si="17"/>
        <v>#DIV/0!</v>
      </c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</row>
    <row r="212" spans="1:63" s="209" customFormat="1" x14ac:dyDescent="0.25">
      <c r="A212" s="92" t="s">
        <v>630</v>
      </c>
      <c r="B212" s="112"/>
      <c r="C212" s="112"/>
      <c r="D212" s="112"/>
      <c r="E212" s="112"/>
      <c r="F212" s="112"/>
      <c r="G212" s="112"/>
      <c r="H212" s="112"/>
      <c r="I212" s="112"/>
      <c r="J212" s="112">
        <f t="shared" si="15"/>
        <v>0</v>
      </c>
      <c r="K212" s="112"/>
      <c r="L212" s="112"/>
      <c r="M212" s="112"/>
      <c r="N212" s="112"/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  <c r="Z212" s="112"/>
      <c r="AA212" s="112"/>
      <c r="AB212" s="112"/>
      <c r="AC212" s="112"/>
      <c r="AD212" s="112"/>
      <c r="AE212" s="242"/>
      <c r="AF212" s="112">
        <v>12.9</v>
      </c>
      <c r="AG212" s="112">
        <v>12.9</v>
      </c>
      <c r="AH212" s="112"/>
      <c r="AI212" s="112"/>
      <c r="AJ212" s="112"/>
      <c r="AK212">
        <f t="shared" si="17"/>
        <v>12.9</v>
      </c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</row>
    <row r="213" spans="1:63" x14ac:dyDescent="0.25">
      <c r="A213" s="92" t="s">
        <v>320</v>
      </c>
      <c r="B213" s="112"/>
      <c r="C213" s="112"/>
      <c r="D213" s="112"/>
      <c r="E213" s="112"/>
      <c r="F213" s="112"/>
      <c r="G213" s="112"/>
      <c r="H213" s="112"/>
      <c r="I213" s="112"/>
      <c r="J213" s="112">
        <f t="shared" si="15"/>
        <v>0</v>
      </c>
      <c r="K213" s="112"/>
      <c r="L213" s="112"/>
      <c r="M213" s="112"/>
      <c r="N213" s="112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  <c r="AA213" s="112"/>
      <c r="AB213" s="112"/>
      <c r="AC213" s="112"/>
      <c r="AD213" s="112"/>
      <c r="AE213" s="242"/>
      <c r="AF213" s="112"/>
      <c r="AG213" s="112"/>
      <c r="AH213" s="112"/>
      <c r="AI213" s="112"/>
      <c r="AJ213" s="112"/>
      <c r="AK213" t="e">
        <f t="shared" si="17"/>
        <v>#DIV/0!</v>
      </c>
    </row>
    <row r="214" spans="1:63" x14ac:dyDescent="0.25">
      <c r="A214" s="92" t="s">
        <v>631</v>
      </c>
      <c r="B214" s="112"/>
      <c r="C214" s="112"/>
      <c r="D214" s="112"/>
      <c r="E214" s="112"/>
      <c r="F214" s="112"/>
      <c r="G214" s="112"/>
      <c r="H214" s="112"/>
      <c r="I214" s="112"/>
      <c r="J214" s="112">
        <f t="shared" si="15"/>
        <v>0</v>
      </c>
      <c r="K214" s="112"/>
      <c r="L214" s="112"/>
      <c r="M214" s="112"/>
      <c r="N214" s="112"/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  <c r="Z214" s="112"/>
      <c r="AA214" s="112"/>
      <c r="AB214" s="112"/>
      <c r="AC214" s="112"/>
      <c r="AD214" s="112"/>
      <c r="AE214" s="242"/>
      <c r="AF214" s="112"/>
      <c r="AG214" s="112"/>
      <c r="AH214" s="112"/>
      <c r="AI214" s="112"/>
      <c r="AJ214" s="112"/>
      <c r="AK214" t="e">
        <f t="shared" si="17"/>
        <v>#DIV/0!</v>
      </c>
    </row>
    <row r="215" spans="1:63" x14ac:dyDescent="0.25">
      <c r="A215" s="92" t="s">
        <v>324</v>
      </c>
      <c r="B215" s="112"/>
      <c r="C215" s="112"/>
      <c r="D215" s="112"/>
      <c r="E215" s="112"/>
      <c r="F215" s="112"/>
      <c r="G215" s="112"/>
      <c r="H215" s="112"/>
      <c r="I215" s="112"/>
      <c r="J215" s="112">
        <f t="shared" si="15"/>
        <v>0</v>
      </c>
      <c r="K215" s="112"/>
      <c r="L215" s="112"/>
      <c r="M215" s="112"/>
      <c r="N215" s="112"/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  <c r="Z215" s="112"/>
      <c r="AA215" s="112"/>
      <c r="AB215" s="112"/>
      <c r="AC215" s="112"/>
      <c r="AD215" s="112"/>
      <c r="AE215" s="242"/>
      <c r="AF215" s="112">
        <v>15.12</v>
      </c>
      <c r="AG215" s="112">
        <v>15.12</v>
      </c>
      <c r="AH215" s="112">
        <v>15.12</v>
      </c>
      <c r="AI215" s="112"/>
      <c r="AJ215" s="112"/>
      <c r="AK215">
        <f t="shared" si="17"/>
        <v>15.12</v>
      </c>
    </row>
    <row r="216" spans="1:63" x14ac:dyDescent="0.25">
      <c r="A216" s="92" t="s">
        <v>328</v>
      </c>
      <c r="B216" s="112"/>
      <c r="C216" s="112"/>
      <c r="D216" s="112"/>
      <c r="E216" s="112"/>
      <c r="F216" s="112"/>
      <c r="G216" s="112"/>
      <c r="H216" s="112"/>
      <c r="I216" s="112"/>
      <c r="J216" s="112">
        <f t="shared" si="15"/>
        <v>0</v>
      </c>
      <c r="K216" s="112"/>
      <c r="L216" s="112"/>
      <c r="M216" s="112"/>
      <c r="N216" s="112"/>
      <c r="O216" s="112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  <c r="Z216" s="112"/>
      <c r="AA216" s="112"/>
      <c r="AB216" s="112"/>
      <c r="AC216" s="112"/>
      <c r="AD216" s="112"/>
      <c r="AE216" s="242"/>
      <c r="AF216" s="112">
        <v>15.12</v>
      </c>
      <c r="AG216" s="112">
        <v>15.12</v>
      </c>
      <c r="AH216" s="112">
        <v>15.12</v>
      </c>
      <c r="AI216" s="112"/>
      <c r="AJ216" s="112"/>
      <c r="AK216">
        <f t="shared" si="17"/>
        <v>15.12</v>
      </c>
    </row>
    <row r="217" spans="1:63" x14ac:dyDescent="0.25">
      <c r="A217" s="92" t="s">
        <v>330</v>
      </c>
      <c r="B217" s="112"/>
      <c r="C217" s="112"/>
      <c r="D217" s="112"/>
      <c r="E217" s="112"/>
      <c r="F217" s="112"/>
      <c r="G217" s="112"/>
      <c r="H217" s="112"/>
      <c r="I217" s="112"/>
      <c r="J217" s="112">
        <f t="shared" si="15"/>
        <v>0</v>
      </c>
      <c r="K217" s="112"/>
      <c r="L217" s="112"/>
      <c r="M217" s="112"/>
      <c r="N217" s="112"/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  <c r="Z217" s="112"/>
      <c r="AA217" s="112"/>
      <c r="AB217" s="112"/>
      <c r="AC217" s="112"/>
      <c r="AD217" s="112"/>
      <c r="AE217" s="242"/>
      <c r="AF217" s="112"/>
      <c r="AG217" s="112"/>
      <c r="AH217" s="112"/>
      <c r="AI217" s="112"/>
      <c r="AJ217" s="112"/>
      <c r="AK217" t="e">
        <f t="shared" si="17"/>
        <v>#DIV/0!</v>
      </c>
    </row>
    <row r="218" spans="1:63" x14ac:dyDescent="0.25">
      <c r="A218" s="92" t="s">
        <v>554</v>
      </c>
      <c r="B218" s="112"/>
      <c r="C218" s="112"/>
      <c r="D218" s="112"/>
      <c r="E218" s="112"/>
      <c r="F218" s="112"/>
      <c r="G218" s="112"/>
      <c r="H218" s="112"/>
      <c r="I218" s="112"/>
      <c r="J218" s="112">
        <f t="shared" si="15"/>
        <v>0</v>
      </c>
      <c r="K218" s="112"/>
      <c r="L218" s="112"/>
      <c r="M218" s="112"/>
      <c r="N218" s="112"/>
      <c r="O218" s="112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  <c r="Z218" s="112"/>
      <c r="AA218" s="112"/>
      <c r="AB218" s="112"/>
      <c r="AC218" s="112"/>
      <c r="AD218" s="112"/>
      <c r="AE218" s="242"/>
      <c r="AF218" s="112">
        <f>15.12</f>
        <v>15.12</v>
      </c>
      <c r="AG218" s="112">
        <v>15.12</v>
      </c>
      <c r="AH218" s="112">
        <v>15.12</v>
      </c>
      <c r="AI218" s="112"/>
      <c r="AJ218" s="112"/>
      <c r="AK218">
        <f t="shared" si="17"/>
        <v>15.12</v>
      </c>
    </row>
    <row r="219" spans="1:63" x14ac:dyDescent="0.25">
      <c r="A219" s="92" t="s">
        <v>336</v>
      </c>
      <c r="B219" s="112"/>
      <c r="C219" s="112"/>
      <c r="D219" s="112"/>
      <c r="E219" s="112"/>
      <c r="F219" s="112"/>
      <c r="G219" s="112"/>
      <c r="H219" s="112"/>
      <c r="I219" s="112"/>
      <c r="J219" s="112">
        <f t="shared" si="15"/>
        <v>0</v>
      </c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242"/>
      <c r="AF219" s="112"/>
      <c r="AG219" s="112"/>
      <c r="AH219" s="112"/>
      <c r="AI219" s="112"/>
      <c r="AJ219" s="112"/>
      <c r="AK219" t="e">
        <f t="shared" si="17"/>
        <v>#DIV/0!</v>
      </c>
    </row>
    <row r="220" spans="1:63" x14ac:dyDescent="0.25">
      <c r="A220" s="92" t="s">
        <v>632</v>
      </c>
      <c r="B220" s="112"/>
      <c r="C220" s="112"/>
      <c r="D220" s="112"/>
      <c r="E220" s="112"/>
      <c r="F220" s="112"/>
      <c r="G220" s="112"/>
      <c r="H220" s="112"/>
      <c r="I220" s="112"/>
      <c r="J220" s="112">
        <f t="shared" si="15"/>
        <v>0</v>
      </c>
      <c r="K220" s="112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  <c r="AA220" s="112"/>
      <c r="AB220" s="112"/>
      <c r="AC220" s="112"/>
      <c r="AD220" s="112"/>
      <c r="AE220" s="242"/>
      <c r="AF220" s="112"/>
      <c r="AG220" s="112"/>
      <c r="AH220" s="112"/>
      <c r="AI220" s="112"/>
      <c r="AJ220" s="112"/>
      <c r="AK220" t="e">
        <f t="shared" si="17"/>
        <v>#DIV/0!</v>
      </c>
    </row>
    <row r="221" spans="1:63" x14ac:dyDescent="0.25">
      <c r="A221" s="92" t="s">
        <v>633</v>
      </c>
      <c r="B221" s="112"/>
      <c r="C221" s="112"/>
      <c r="D221" s="112"/>
      <c r="E221" s="112"/>
      <c r="F221" s="112"/>
      <c r="G221" s="112"/>
      <c r="H221" s="112"/>
      <c r="I221" s="112"/>
      <c r="J221" s="112">
        <f t="shared" si="15"/>
        <v>0</v>
      </c>
      <c r="K221" s="112"/>
      <c r="L221" s="112"/>
      <c r="M221" s="112"/>
      <c r="N221" s="112"/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  <c r="AA221" s="112"/>
      <c r="AB221" s="112"/>
      <c r="AC221" s="112"/>
      <c r="AD221" s="112"/>
      <c r="AE221" s="242"/>
      <c r="AF221" s="112"/>
      <c r="AG221" s="112"/>
      <c r="AH221" s="112"/>
      <c r="AI221" s="112"/>
      <c r="AJ221" s="112"/>
      <c r="AK221" t="e">
        <f t="shared" si="17"/>
        <v>#DIV/0!</v>
      </c>
    </row>
    <row r="222" spans="1:63" x14ac:dyDescent="0.25">
      <c r="A222" s="92" t="s">
        <v>344</v>
      </c>
      <c r="B222" s="112"/>
      <c r="C222" s="112"/>
      <c r="D222" s="112"/>
      <c r="E222" s="112"/>
      <c r="F222" s="112"/>
      <c r="G222" s="112"/>
      <c r="H222" s="112"/>
      <c r="I222" s="112"/>
      <c r="J222" s="112">
        <f t="shared" si="15"/>
        <v>0</v>
      </c>
      <c r="K222" s="112"/>
      <c r="L222" s="112"/>
      <c r="M222" s="112"/>
      <c r="N222" s="112"/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2"/>
      <c r="AA222" s="112"/>
      <c r="AB222" s="112"/>
      <c r="AC222" s="112"/>
      <c r="AD222" s="112"/>
      <c r="AE222" s="242"/>
      <c r="AF222" s="245">
        <v>4.1399999999999997</v>
      </c>
      <c r="AG222" s="112"/>
      <c r="AH222" s="112"/>
      <c r="AI222" s="112"/>
      <c r="AJ222" s="112"/>
      <c r="AK222">
        <f t="shared" si="17"/>
        <v>4.1399999999999997</v>
      </c>
    </row>
    <row r="223" spans="1:63" x14ac:dyDescent="0.25">
      <c r="A223" s="92" t="s">
        <v>488</v>
      </c>
      <c r="B223" s="112"/>
      <c r="C223" s="112"/>
      <c r="D223" s="112"/>
      <c r="E223" s="112"/>
      <c r="F223" s="112"/>
      <c r="G223" s="112"/>
      <c r="H223" s="112"/>
      <c r="I223" s="112"/>
      <c r="J223" s="112">
        <f t="shared" si="15"/>
        <v>0</v>
      </c>
      <c r="K223" s="112"/>
      <c r="L223" s="112"/>
      <c r="M223" s="112"/>
      <c r="N223" s="112"/>
      <c r="O223" s="112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  <c r="Z223" s="112"/>
      <c r="AA223" s="112"/>
      <c r="AB223" s="112"/>
      <c r="AC223" s="112"/>
      <c r="AD223" s="112"/>
      <c r="AE223" s="242"/>
      <c r="AF223" s="112"/>
      <c r="AG223" s="112"/>
      <c r="AH223" s="112"/>
      <c r="AI223" s="112"/>
      <c r="AJ223" s="112"/>
      <c r="AK223" t="e">
        <f t="shared" si="17"/>
        <v>#DIV/0!</v>
      </c>
    </row>
    <row r="224" spans="1:63" x14ac:dyDescent="0.25">
      <c r="A224" s="92" t="s">
        <v>634</v>
      </c>
      <c r="B224" s="112"/>
      <c r="C224" s="112"/>
      <c r="D224" s="112"/>
      <c r="E224" s="112"/>
      <c r="F224" s="112"/>
      <c r="G224" s="112"/>
      <c r="H224" s="112"/>
      <c r="I224" s="112"/>
      <c r="J224" s="112">
        <f t="shared" si="15"/>
        <v>0</v>
      </c>
      <c r="K224" s="112"/>
      <c r="L224" s="112"/>
      <c r="M224" s="112"/>
      <c r="N224" s="112"/>
      <c r="O224" s="112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  <c r="Z224" s="112"/>
      <c r="AA224" s="112"/>
      <c r="AB224" s="112"/>
      <c r="AC224" s="112"/>
      <c r="AD224" s="112"/>
      <c r="AE224" s="242"/>
      <c r="AF224" s="112"/>
      <c r="AG224" s="112"/>
      <c r="AH224" s="112"/>
      <c r="AI224" s="112"/>
      <c r="AJ224" s="112"/>
      <c r="AK224" t="e">
        <f t="shared" si="17"/>
        <v>#DIV/0!</v>
      </c>
    </row>
    <row r="225" spans="1:58" x14ac:dyDescent="0.25">
      <c r="A225" s="92" t="s">
        <v>635</v>
      </c>
      <c r="B225" s="112"/>
      <c r="C225" s="112"/>
      <c r="D225" s="112"/>
      <c r="E225" s="112"/>
      <c r="F225" s="112"/>
      <c r="G225" s="112"/>
      <c r="H225" s="112"/>
      <c r="I225" s="112"/>
      <c r="J225" s="112">
        <f t="shared" si="15"/>
        <v>0</v>
      </c>
      <c r="K225" s="112"/>
      <c r="L225" s="112"/>
      <c r="M225" s="112"/>
      <c r="N225" s="112"/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2"/>
      <c r="AA225" s="112"/>
      <c r="AB225" s="112"/>
      <c r="AC225" s="112"/>
      <c r="AD225" s="112"/>
      <c r="AE225" s="242"/>
      <c r="AF225" s="112"/>
      <c r="AG225" s="112"/>
      <c r="AH225" s="112"/>
      <c r="AI225" s="112"/>
      <c r="AJ225" s="112"/>
      <c r="AK225" t="e">
        <f t="shared" si="17"/>
        <v>#DIV/0!</v>
      </c>
    </row>
    <row r="226" spans="1:58" x14ac:dyDescent="0.25">
      <c r="A226" s="92" t="s">
        <v>636</v>
      </c>
      <c r="B226" s="112"/>
      <c r="C226" s="112"/>
      <c r="D226" s="112"/>
      <c r="E226" s="112"/>
      <c r="F226" s="112"/>
      <c r="G226" s="112"/>
      <c r="H226" s="112"/>
      <c r="I226" s="112"/>
      <c r="J226" s="112">
        <f t="shared" si="15"/>
        <v>0</v>
      </c>
      <c r="K226" s="112"/>
      <c r="L226" s="112"/>
      <c r="M226" s="112"/>
      <c r="N226" s="112"/>
      <c r="O226" s="112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  <c r="Z226" s="112"/>
      <c r="AA226" s="112"/>
      <c r="AB226" s="112"/>
      <c r="AC226" s="112"/>
      <c r="AD226" s="112"/>
      <c r="AE226" s="242"/>
      <c r="AF226" s="112">
        <v>7.44</v>
      </c>
      <c r="AG226" s="112">
        <v>7.44</v>
      </c>
      <c r="AH226" s="112"/>
      <c r="AI226" s="112"/>
      <c r="AJ226" s="112"/>
      <c r="AK226">
        <f t="shared" si="17"/>
        <v>7.44</v>
      </c>
    </row>
    <row r="227" spans="1:58" x14ac:dyDescent="0.25">
      <c r="A227" s="92" t="s">
        <v>353</v>
      </c>
      <c r="B227" s="112"/>
      <c r="C227" s="112"/>
      <c r="D227" s="112"/>
      <c r="E227" s="112"/>
      <c r="F227" s="112"/>
      <c r="G227" s="112"/>
      <c r="H227" s="112"/>
      <c r="I227" s="112"/>
      <c r="J227" s="112">
        <f t="shared" si="15"/>
        <v>0</v>
      </c>
      <c r="K227" s="112"/>
      <c r="L227" s="112"/>
      <c r="M227" s="112"/>
      <c r="N227" s="112"/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2"/>
      <c r="AA227" s="112"/>
      <c r="AB227" s="112"/>
      <c r="AC227" s="112"/>
      <c r="AD227" s="112"/>
      <c r="AE227" s="242"/>
      <c r="AF227" s="112"/>
      <c r="AG227" s="112"/>
      <c r="AH227" s="112"/>
      <c r="AI227" s="112"/>
      <c r="AJ227" s="112"/>
      <c r="AK227" t="e">
        <f t="shared" si="17"/>
        <v>#DIV/0!</v>
      </c>
    </row>
    <row r="228" spans="1:58" x14ac:dyDescent="0.25">
      <c r="A228" s="92" t="s">
        <v>637</v>
      </c>
      <c r="B228" s="112"/>
      <c r="C228" s="112"/>
      <c r="D228" s="112"/>
      <c r="E228" s="112"/>
      <c r="F228" s="112"/>
      <c r="G228" s="112"/>
      <c r="H228" s="112"/>
      <c r="I228" s="112"/>
      <c r="J228" s="112">
        <f t="shared" si="15"/>
        <v>0</v>
      </c>
      <c r="K228" s="112"/>
      <c r="L228" s="112"/>
      <c r="M228" s="112"/>
      <c r="N228" s="112"/>
      <c r="O228" s="112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  <c r="Z228" s="112"/>
      <c r="AA228" s="112"/>
      <c r="AB228" s="112"/>
      <c r="AC228" s="112"/>
      <c r="AD228" s="112"/>
      <c r="AE228" s="242"/>
      <c r="AF228" s="112"/>
      <c r="AG228" s="112"/>
      <c r="AH228" s="112"/>
      <c r="AI228" s="112"/>
      <c r="AJ228" s="112"/>
    </row>
    <row r="229" spans="1:58" x14ac:dyDescent="0.25">
      <c r="A229" s="92" t="s">
        <v>638</v>
      </c>
      <c r="B229" s="112"/>
      <c r="C229" s="112"/>
      <c r="D229" s="112"/>
      <c r="E229" s="112"/>
      <c r="F229" s="112"/>
      <c r="G229" s="112"/>
      <c r="H229" s="112"/>
      <c r="I229" s="112"/>
      <c r="J229" s="112">
        <f t="shared" si="15"/>
        <v>0</v>
      </c>
      <c r="K229" s="112"/>
      <c r="L229" s="112"/>
      <c r="M229" s="112"/>
      <c r="N229" s="112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  <c r="AA229" s="112"/>
      <c r="AB229" s="112"/>
      <c r="AC229" s="112"/>
      <c r="AD229" s="112"/>
      <c r="AE229" s="242"/>
      <c r="AF229" s="112"/>
      <c r="AG229" s="112"/>
      <c r="AH229" s="112"/>
      <c r="AI229" s="112"/>
      <c r="AJ229" s="112"/>
      <c r="AK229" t="e">
        <f>AVERAGE(AF229:AJ229)</f>
        <v>#DIV/0!</v>
      </c>
    </row>
    <row r="230" spans="1:58" x14ac:dyDescent="0.25">
      <c r="A230" s="92" t="s">
        <v>359</v>
      </c>
      <c r="B230" s="112"/>
      <c r="C230" s="112"/>
      <c r="D230" s="112"/>
      <c r="E230" s="112"/>
      <c r="F230" s="112"/>
      <c r="G230" s="112"/>
      <c r="H230" s="112"/>
      <c r="I230" s="112"/>
      <c r="J230" s="112">
        <f t="shared" si="15"/>
        <v>0</v>
      </c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  <c r="AA230" s="97"/>
      <c r="AB230" s="97"/>
      <c r="AC230" s="97"/>
      <c r="AD230" s="97"/>
      <c r="AE230" s="242"/>
      <c r="AF230" s="97"/>
      <c r="AG230" s="97"/>
      <c r="AH230" s="97"/>
      <c r="AI230" s="97"/>
      <c r="AJ230" s="97"/>
      <c r="AK230" t="e">
        <f>AVERAGE(AF230:AJ230)</f>
        <v>#DIV/0!</v>
      </c>
    </row>
    <row r="231" spans="1:58" x14ac:dyDescent="0.25">
      <c r="B231">
        <f>SUM(B135:B230)</f>
        <v>0</v>
      </c>
      <c r="C231">
        <f t="shared" ref="C231:I231" si="18">SUM(C106:C230)</f>
        <v>0</v>
      </c>
      <c r="D231">
        <f t="shared" si="18"/>
        <v>0</v>
      </c>
      <c r="E231">
        <f t="shared" si="18"/>
        <v>0</v>
      </c>
      <c r="F231">
        <f t="shared" si="18"/>
        <v>0</v>
      </c>
      <c r="G231">
        <f t="shared" si="18"/>
        <v>0</v>
      </c>
      <c r="H231">
        <f t="shared" si="18"/>
        <v>0</v>
      </c>
      <c r="I231">
        <f t="shared" si="18"/>
        <v>0</v>
      </c>
    </row>
    <row r="234" spans="1:58" s="242" customFormat="1" ht="15.75" thickBot="1" x14ac:dyDescent="0.3">
      <c r="A234" s="247" t="s">
        <v>406</v>
      </c>
      <c r="B234" s="247" t="s">
        <v>639</v>
      </c>
      <c r="C234" s="247" t="s">
        <v>384</v>
      </c>
      <c r="D234" s="247" t="s">
        <v>401</v>
      </c>
      <c r="E234" s="247" t="s">
        <v>412</v>
      </c>
      <c r="F234" s="247" t="s">
        <v>640</v>
      </c>
      <c r="G234" s="247" t="s">
        <v>641</v>
      </c>
      <c r="H234" s="247" t="s">
        <v>360</v>
      </c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</row>
    <row r="235" spans="1:58" s="251" customFormat="1" x14ac:dyDescent="0.25">
      <c r="A235" s="138"/>
      <c r="B235" s="139"/>
      <c r="C235" s="137"/>
      <c r="D235" s="248"/>
      <c r="E235" s="248"/>
      <c r="F235" s="248"/>
      <c r="G235" s="248"/>
      <c r="H235" s="249">
        <f t="shared" ref="H235:H247" si="19">D235+E235+F235-G235</f>
        <v>0</v>
      </c>
      <c r="I235" s="242"/>
      <c r="J235" s="242"/>
      <c r="K235" s="242"/>
      <c r="L235" s="242"/>
      <c r="M235" s="242"/>
      <c r="N235" s="242"/>
      <c r="O235" s="242"/>
      <c r="P235" s="242"/>
      <c r="Q235" s="242"/>
      <c r="R235" s="242"/>
      <c r="S235" s="242"/>
      <c r="T235" s="242"/>
      <c r="U235" s="242"/>
      <c r="V235" s="242"/>
      <c r="W235" s="242"/>
      <c r="X235" s="242"/>
      <c r="Y235" s="242"/>
      <c r="Z235" s="242"/>
      <c r="AA235" s="242"/>
      <c r="AB235" s="250"/>
      <c r="AC235" s="250"/>
      <c r="AD235" s="250"/>
      <c r="AE235" s="250"/>
      <c r="AF235" s="250"/>
      <c r="AG235" s="250"/>
      <c r="AH235" s="250"/>
      <c r="AI235" s="250"/>
      <c r="AJ235" s="250"/>
      <c r="AK235" s="250"/>
      <c r="AL235" s="250"/>
      <c r="AM235" s="250"/>
      <c r="AN235" s="250"/>
      <c r="AO235" s="250"/>
      <c r="AP235" s="250"/>
      <c r="AQ235" s="250"/>
      <c r="AR235" s="250"/>
      <c r="AS235" s="250"/>
      <c r="AT235" s="250"/>
      <c r="AU235" s="250"/>
      <c r="AV235" s="250"/>
      <c r="AW235" s="250"/>
      <c r="AX235" s="250"/>
      <c r="AY235" s="250"/>
      <c r="AZ235" s="250"/>
      <c r="BA235" s="250"/>
      <c r="BB235" s="250"/>
      <c r="BC235" s="250"/>
      <c r="BD235" s="250"/>
      <c r="BE235" s="250"/>
      <c r="BF235" s="250"/>
    </row>
    <row r="236" spans="1:58" s="251" customFormat="1" x14ac:dyDescent="0.25">
      <c r="A236" s="144"/>
      <c r="B236" s="92"/>
      <c r="C236" s="143"/>
      <c r="D236" s="248"/>
      <c r="E236" s="248"/>
      <c r="F236" s="248"/>
      <c r="G236" s="248"/>
      <c r="H236" s="249">
        <f t="shared" si="19"/>
        <v>0</v>
      </c>
      <c r="I236" s="242"/>
      <c r="J236" s="242"/>
      <c r="K236" s="242"/>
      <c r="L236" s="242"/>
      <c r="M236" s="242"/>
      <c r="N236" s="242"/>
      <c r="O236" s="242"/>
      <c r="P236" s="242"/>
      <c r="Q236" s="242"/>
      <c r="R236" s="242"/>
      <c r="S236" s="242"/>
      <c r="T236" s="242"/>
      <c r="U236" s="242"/>
      <c r="V236" s="242"/>
      <c r="W236" s="242"/>
      <c r="X236" s="242"/>
      <c r="Y236" s="242"/>
      <c r="Z236" s="242"/>
      <c r="AA236" s="242"/>
      <c r="AB236" s="250"/>
      <c r="AC236" s="250"/>
      <c r="AD236" s="250"/>
      <c r="AE236" s="250"/>
      <c r="AF236" s="250"/>
      <c r="AG236" s="250"/>
      <c r="AH236" s="250"/>
      <c r="AI236" s="250"/>
      <c r="AJ236" s="250"/>
      <c r="AK236" s="250"/>
      <c r="AL236" s="250"/>
      <c r="AM236" s="250"/>
      <c r="AN236" s="250"/>
      <c r="AO236" s="250"/>
      <c r="AP236" s="250"/>
      <c r="AQ236" s="250"/>
      <c r="AR236" s="250"/>
      <c r="AS236" s="250"/>
      <c r="AT236" s="250"/>
      <c r="AU236" s="250"/>
      <c r="AV236" s="250"/>
      <c r="AW236" s="250"/>
      <c r="AX236" s="250"/>
      <c r="AY236" s="250"/>
      <c r="AZ236" s="250"/>
      <c r="BA236" s="250"/>
      <c r="BB236" s="250"/>
      <c r="BC236" s="250"/>
      <c r="BD236" s="250"/>
      <c r="BE236" s="250"/>
      <c r="BF236" s="250"/>
    </row>
    <row r="237" spans="1:58" s="251" customFormat="1" x14ac:dyDescent="0.25">
      <c r="A237" s="144"/>
      <c r="B237" s="92"/>
      <c r="C237" s="143"/>
      <c r="D237" s="248"/>
      <c r="E237" s="248"/>
      <c r="F237" s="248"/>
      <c r="G237" s="248"/>
      <c r="H237" s="249">
        <f t="shared" si="19"/>
        <v>0</v>
      </c>
      <c r="I237" s="242"/>
      <c r="J237" s="242"/>
      <c r="K237" s="242"/>
      <c r="L237" s="242"/>
      <c r="M237" s="242"/>
      <c r="N237" s="242"/>
      <c r="O237" s="242"/>
      <c r="P237" s="242"/>
      <c r="Q237" s="242"/>
      <c r="R237" s="242"/>
      <c r="S237" s="242"/>
      <c r="T237" s="242"/>
      <c r="U237" s="242"/>
      <c r="V237" s="242"/>
      <c r="W237" s="242"/>
      <c r="X237" s="242"/>
      <c r="Y237" s="242"/>
      <c r="Z237" s="242"/>
      <c r="AA237" s="242"/>
      <c r="AB237" s="250"/>
      <c r="AC237" s="250"/>
      <c r="AD237" s="250"/>
      <c r="AE237" s="250"/>
      <c r="AF237" s="250"/>
      <c r="AG237" s="250"/>
      <c r="AH237" s="250"/>
      <c r="AI237" s="250"/>
      <c r="AJ237" s="250"/>
      <c r="AK237" s="250"/>
      <c r="AL237" s="250"/>
      <c r="AM237" s="250"/>
      <c r="AN237" s="250"/>
      <c r="AO237" s="250"/>
      <c r="AP237" s="250"/>
      <c r="AQ237" s="250"/>
      <c r="AR237" s="250"/>
      <c r="AS237" s="250"/>
      <c r="AT237" s="250"/>
      <c r="AU237" s="250"/>
      <c r="AV237" s="250"/>
      <c r="AW237" s="250"/>
      <c r="AX237" s="250"/>
      <c r="AY237" s="250"/>
      <c r="AZ237" s="250"/>
      <c r="BA237" s="250"/>
      <c r="BB237" s="250"/>
      <c r="BC237" s="250"/>
      <c r="BD237" s="250"/>
      <c r="BE237" s="250"/>
      <c r="BF237" s="250"/>
    </row>
    <row r="238" spans="1:58" s="251" customFormat="1" x14ac:dyDescent="0.25">
      <c r="A238" s="144"/>
      <c r="B238" s="92"/>
      <c r="C238" s="143"/>
      <c r="D238" s="248"/>
      <c r="E238" s="248"/>
      <c r="F238" s="248"/>
      <c r="G238" s="248"/>
      <c r="H238" s="249">
        <f t="shared" si="19"/>
        <v>0</v>
      </c>
      <c r="I238" s="242"/>
      <c r="J238" s="242"/>
      <c r="K238" s="242"/>
      <c r="L238" s="242"/>
      <c r="M238" s="242"/>
      <c r="N238" s="242"/>
      <c r="O238" s="242"/>
      <c r="P238" s="242"/>
      <c r="Q238" s="242"/>
      <c r="R238" s="242"/>
      <c r="S238" s="242"/>
      <c r="T238" s="242"/>
      <c r="U238" s="242"/>
      <c r="V238" s="242"/>
      <c r="W238" s="242"/>
      <c r="X238" s="242"/>
      <c r="Y238" s="242"/>
      <c r="Z238" s="242"/>
      <c r="AA238" s="242"/>
      <c r="AB238" s="250"/>
      <c r="AC238" s="250"/>
      <c r="AD238" s="250"/>
      <c r="AE238" s="250"/>
      <c r="AF238" s="250"/>
      <c r="AG238" s="250"/>
      <c r="AH238" s="250"/>
      <c r="AI238" s="250"/>
      <c r="AJ238" s="250"/>
      <c r="AK238" s="250"/>
      <c r="AL238" s="250"/>
      <c r="AM238" s="250"/>
      <c r="AN238" s="250"/>
      <c r="AO238" s="250"/>
      <c r="AP238" s="250"/>
      <c r="AQ238" s="250"/>
      <c r="AR238" s="250"/>
      <c r="AS238" s="250"/>
      <c r="AT238" s="250"/>
      <c r="AU238" s="250"/>
      <c r="AV238" s="250"/>
      <c r="AW238" s="250"/>
      <c r="AX238" s="250"/>
      <c r="AY238" s="250"/>
      <c r="AZ238" s="250"/>
      <c r="BA238" s="250"/>
      <c r="BB238" s="250"/>
      <c r="BC238" s="250"/>
      <c r="BD238" s="250"/>
      <c r="BE238" s="250"/>
      <c r="BF238" s="250"/>
    </row>
    <row r="239" spans="1:58" s="251" customFormat="1" x14ac:dyDescent="0.25">
      <c r="A239" s="144"/>
      <c r="B239" s="92"/>
      <c r="C239" s="252"/>
      <c r="D239" s="248"/>
      <c r="F239" s="253"/>
      <c r="G239" s="248"/>
      <c r="H239" s="249">
        <f t="shared" si="19"/>
        <v>0</v>
      </c>
      <c r="I239" s="242"/>
      <c r="J239" s="242"/>
      <c r="K239" s="242"/>
      <c r="L239" s="242"/>
      <c r="M239" s="242"/>
      <c r="N239" s="242"/>
      <c r="O239" s="242"/>
      <c r="P239" s="242"/>
      <c r="Q239" s="242"/>
      <c r="R239" s="242"/>
      <c r="S239" s="242"/>
      <c r="T239" s="242"/>
      <c r="U239" s="242"/>
      <c r="V239" s="242"/>
      <c r="W239" s="242"/>
      <c r="X239" s="242"/>
      <c r="Y239" s="242"/>
      <c r="Z239" s="242"/>
      <c r="AA239" s="242"/>
      <c r="AB239" s="250"/>
      <c r="AC239" s="250"/>
      <c r="AD239" s="250"/>
      <c r="AE239" s="250"/>
      <c r="AF239" s="250"/>
      <c r="AG239" s="250"/>
      <c r="AH239" s="250"/>
      <c r="AI239" s="250"/>
      <c r="AJ239" s="250"/>
      <c r="AK239" s="250"/>
      <c r="AL239" s="250"/>
      <c r="AM239" s="250"/>
      <c r="AN239" s="250"/>
      <c r="AO239" s="250"/>
      <c r="AP239" s="250"/>
      <c r="AQ239" s="250"/>
      <c r="AR239" s="250"/>
      <c r="AS239" s="250"/>
      <c r="AT239" s="250"/>
      <c r="AU239" s="250"/>
      <c r="AV239" s="250"/>
      <c r="AW239" s="250"/>
      <c r="AX239" s="250"/>
      <c r="AY239" s="250"/>
      <c r="AZ239" s="250"/>
      <c r="BA239" s="250"/>
      <c r="BB239" s="250"/>
      <c r="BC239" s="250"/>
      <c r="BD239" s="250"/>
      <c r="BE239" s="250"/>
      <c r="BF239" s="250"/>
    </row>
    <row r="240" spans="1:58" s="251" customFormat="1" x14ac:dyDescent="0.25">
      <c r="A240" s="144"/>
      <c r="B240" s="92"/>
      <c r="C240" s="252"/>
      <c r="D240" s="248"/>
      <c r="E240" s="248"/>
      <c r="F240" s="248"/>
      <c r="G240" s="248"/>
      <c r="H240" s="249">
        <f t="shared" si="19"/>
        <v>0</v>
      </c>
      <c r="I240" s="242"/>
      <c r="J240" s="242" t="s">
        <v>642</v>
      </c>
      <c r="K240" s="242"/>
      <c r="L240" s="242"/>
      <c r="M240" s="242"/>
      <c r="N240" s="242"/>
      <c r="O240" s="242"/>
      <c r="P240" s="242"/>
      <c r="Q240" s="242"/>
      <c r="R240" s="242"/>
      <c r="S240" s="242"/>
      <c r="T240" s="242"/>
      <c r="U240" s="242"/>
      <c r="V240" s="242"/>
      <c r="W240" s="242"/>
      <c r="X240" s="242"/>
      <c r="Y240" s="242"/>
      <c r="Z240" s="242"/>
      <c r="AA240" s="242"/>
      <c r="AB240" s="250"/>
      <c r="AC240" s="250"/>
      <c r="AD240" s="250"/>
      <c r="AE240" s="250"/>
      <c r="AF240" s="250"/>
      <c r="AG240" s="250"/>
      <c r="AH240" s="250"/>
      <c r="AI240" s="250"/>
      <c r="AJ240" s="250"/>
      <c r="AK240" s="250"/>
      <c r="AL240" s="250"/>
      <c r="AM240" s="250"/>
      <c r="AN240" s="250"/>
      <c r="AO240" s="250"/>
      <c r="AP240" s="250"/>
      <c r="AQ240" s="250"/>
      <c r="AR240" s="250"/>
      <c r="AS240" s="250"/>
      <c r="AT240" s="250"/>
      <c r="AU240" s="250"/>
      <c r="AV240" s="250"/>
      <c r="AW240" s="250"/>
      <c r="AX240" s="250"/>
      <c r="AY240" s="250"/>
      <c r="AZ240" s="250"/>
      <c r="BA240" s="250"/>
      <c r="BB240" s="250"/>
      <c r="BC240" s="250"/>
      <c r="BD240" s="250"/>
      <c r="BE240" s="250"/>
      <c r="BF240" s="250"/>
    </row>
    <row r="241" spans="1:62" s="242" customFormat="1" x14ac:dyDescent="0.25">
      <c r="A241" s="92"/>
      <c r="B241" s="92"/>
      <c r="C241" s="252"/>
      <c r="D241" s="248"/>
      <c r="E241" s="248"/>
      <c r="F241" s="248"/>
      <c r="G241" s="248"/>
      <c r="H241" s="249">
        <f t="shared" si="19"/>
        <v>0</v>
      </c>
      <c r="J241" s="242" t="s">
        <v>643</v>
      </c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</row>
    <row r="242" spans="1:62" s="251" customFormat="1" x14ac:dyDescent="0.25">
      <c r="A242" s="92"/>
      <c r="B242" s="92"/>
      <c r="C242" s="143"/>
      <c r="D242" s="248"/>
      <c r="E242" s="248"/>
      <c r="F242" s="248"/>
      <c r="G242" s="248"/>
      <c r="H242" s="249">
        <f t="shared" si="19"/>
        <v>0</v>
      </c>
      <c r="I242" s="242"/>
      <c r="J242" s="242"/>
      <c r="K242" s="242"/>
      <c r="L242" s="242"/>
      <c r="M242" s="242"/>
      <c r="N242" s="242"/>
      <c r="O242" s="242"/>
      <c r="P242" s="242"/>
      <c r="Q242" s="242"/>
      <c r="R242" s="242"/>
      <c r="S242" s="242"/>
      <c r="T242" s="242"/>
      <c r="U242" s="242"/>
      <c r="V242" s="242"/>
      <c r="W242" s="242"/>
      <c r="X242" s="242"/>
      <c r="Y242" s="242"/>
      <c r="Z242" s="242"/>
      <c r="AA242" s="242"/>
      <c r="AB242" s="250"/>
      <c r="AC242" s="250"/>
      <c r="AD242" s="250"/>
      <c r="AE242" s="250"/>
      <c r="AF242" s="250"/>
      <c r="AG242" s="250"/>
      <c r="AH242" s="250"/>
      <c r="AI242" s="250"/>
      <c r="AJ242" s="250"/>
      <c r="AK242" s="250"/>
      <c r="AL242" s="250"/>
      <c r="AM242" s="250"/>
      <c r="AN242" s="250"/>
      <c r="AO242" s="250"/>
      <c r="AP242" s="250"/>
      <c r="AQ242" s="250"/>
      <c r="AR242" s="250"/>
      <c r="AS242" s="250"/>
      <c r="AT242" s="250"/>
      <c r="AU242" s="250"/>
      <c r="AV242" s="250"/>
      <c r="AW242" s="250"/>
      <c r="AX242" s="250"/>
      <c r="AY242" s="250"/>
      <c r="AZ242" s="250"/>
      <c r="BA242" s="250"/>
      <c r="BB242" s="250"/>
      <c r="BC242" s="250"/>
      <c r="BD242" s="250"/>
      <c r="BE242" s="250"/>
      <c r="BF242" s="250"/>
    </row>
    <row r="243" spans="1:62" s="242" customFormat="1" x14ac:dyDescent="0.25">
      <c r="A243" s="92"/>
      <c r="B243" s="144"/>
      <c r="C243" s="254"/>
      <c r="D243" s="248"/>
      <c r="E243" s="248"/>
      <c r="F243" s="248"/>
      <c r="G243" s="248"/>
      <c r="H243" s="249">
        <f t="shared" si="19"/>
        <v>0</v>
      </c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</row>
    <row r="244" spans="1:62" s="242" customFormat="1" x14ac:dyDescent="0.25">
      <c r="A244" s="92"/>
      <c r="B244" s="144"/>
      <c r="C244" s="254"/>
      <c r="D244" s="248"/>
      <c r="E244" s="248"/>
      <c r="F244" s="248"/>
      <c r="G244" s="248"/>
      <c r="H244" s="249">
        <f t="shared" si="19"/>
        <v>0</v>
      </c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</row>
    <row r="245" spans="1:62" s="242" customFormat="1" x14ac:dyDescent="0.25">
      <c r="A245" s="92"/>
      <c r="B245" s="144"/>
      <c r="C245" s="254"/>
      <c r="D245" s="248"/>
      <c r="E245" s="248"/>
      <c r="F245" s="248"/>
      <c r="G245" s="248"/>
      <c r="H245" s="249">
        <f t="shared" si="19"/>
        <v>0</v>
      </c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</row>
    <row r="246" spans="1:62" s="242" customFormat="1" x14ac:dyDescent="0.25">
      <c r="A246" s="92"/>
      <c r="B246" s="144"/>
      <c r="C246" s="254"/>
      <c r="D246" s="248"/>
      <c r="E246" s="248"/>
      <c r="F246" s="248"/>
      <c r="G246" s="248"/>
      <c r="H246" s="249">
        <f t="shared" si="19"/>
        <v>0</v>
      </c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</row>
    <row r="247" spans="1:62" s="242" customFormat="1" x14ac:dyDescent="0.25">
      <c r="A247" s="92"/>
      <c r="B247" s="144"/>
      <c r="C247" s="254"/>
      <c r="D247" s="255"/>
      <c r="E247" s="255"/>
      <c r="F247" s="255"/>
      <c r="G247" s="255"/>
      <c r="H247" s="249">
        <f t="shared" si="19"/>
        <v>0</v>
      </c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</row>
    <row r="248" spans="1:62" s="242" customFormat="1" x14ac:dyDescent="0.25">
      <c r="A248"/>
      <c r="B248" s="256"/>
      <c r="C248" s="256"/>
      <c r="D248" s="191"/>
      <c r="E248" s="256"/>
      <c r="F248" s="191"/>
      <c r="G248" s="257"/>
      <c r="H248" s="257"/>
      <c r="I248" s="257"/>
      <c r="J248" s="258"/>
      <c r="K248" s="25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</row>
    <row r="249" spans="1:62" s="242" customFormat="1" x14ac:dyDescent="0.25">
      <c r="A249"/>
      <c r="B249" s="256"/>
      <c r="C249" s="256"/>
      <c r="D249" s="256"/>
      <c r="E249" s="256"/>
      <c r="F249" s="257"/>
      <c r="G249" s="257"/>
      <c r="H249" s="257"/>
      <c r="I249" s="257"/>
      <c r="J249" s="258"/>
      <c r="K249" s="258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</row>
    <row r="250" spans="1:62" s="242" customFormat="1" x14ac:dyDescent="0.25">
      <c r="A250"/>
      <c r="B250" s="256"/>
      <c r="C250" s="256"/>
      <c r="D250" s="257"/>
      <c r="E250" s="257"/>
      <c r="F250" s="257"/>
      <c r="G250" s="257"/>
      <c r="H250" s="257"/>
      <c r="I250" s="257"/>
      <c r="J250" s="258"/>
      <c r="K250" s="258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</row>
    <row r="251" spans="1:62" s="242" customFormat="1" x14ac:dyDescent="0.25">
      <c r="A251"/>
      <c r="B251" s="256"/>
      <c r="C251" s="256"/>
      <c r="D251" s="257"/>
      <c r="E251" s="257"/>
      <c r="F251" s="257"/>
      <c r="G251" s="257"/>
      <c r="H251" s="257"/>
      <c r="I251" s="257"/>
      <c r="J251" s="258"/>
      <c r="K251" s="258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</row>
    <row r="252" spans="1:62" s="242" customFormat="1" x14ac:dyDescent="0.25">
      <c r="A252"/>
      <c r="B252" s="256"/>
      <c r="C252" s="256"/>
      <c r="D252" s="257"/>
      <c r="E252" s="257"/>
      <c r="F252" s="257"/>
      <c r="G252" s="257"/>
      <c r="H252" s="257"/>
      <c r="I252" s="257"/>
      <c r="J252" s="258"/>
      <c r="K252" s="258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</row>
    <row r="253" spans="1:62" s="242" customFormat="1" x14ac:dyDescent="0.25">
      <c r="A253"/>
      <c r="B253" s="256"/>
      <c r="C253" s="256"/>
      <c r="D253" s="257"/>
      <c r="E253" s="257"/>
      <c r="F253" s="257"/>
      <c r="G253" s="257"/>
      <c r="H253" s="257"/>
      <c r="I253" s="257"/>
      <c r="J253" s="258"/>
      <c r="K253" s="258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</row>
    <row r="254" spans="1:62" s="242" customFormat="1" x14ac:dyDescent="0.25">
      <c r="A254"/>
      <c r="B254" s="256"/>
      <c r="C254" s="256"/>
      <c r="D254" s="257"/>
      <c r="E254" s="257"/>
      <c r="F254" s="257"/>
      <c r="G254" s="257"/>
      <c r="H254" s="257"/>
      <c r="I254" s="257"/>
      <c r="J254" s="258"/>
      <c r="K254" s="258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</row>
    <row r="255" spans="1:62" x14ac:dyDescent="0.25">
      <c r="D255" s="242"/>
      <c r="E255" s="242"/>
      <c r="Q255" s="97"/>
      <c r="R255" s="97"/>
      <c r="S255" s="97"/>
      <c r="T255" s="97"/>
      <c r="U255" s="97"/>
      <c r="V255" s="97"/>
      <c r="W255" s="97"/>
      <c r="X255" s="97"/>
      <c r="Y255" s="97"/>
      <c r="Z255" s="97"/>
      <c r="AA255" s="97"/>
      <c r="AB255" s="97"/>
      <c r="AC255" s="97"/>
      <c r="AD255" s="97"/>
      <c r="AE255" s="97"/>
    </row>
    <row r="256" spans="1:62" x14ac:dyDescent="0.25">
      <c r="D256" s="242"/>
      <c r="E256" s="242"/>
      <c r="Q256" s="97"/>
      <c r="R256" s="97"/>
      <c r="S256" s="97"/>
      <c r="T256" s="97"/>
      <c r="U256" s="97"/>
      <c r="V256" s="97"/>
      <c r="W256" s="97"/>
      <c r="X256" s="97"/>
      <c r="Y256" s="97"/>
      <c r="Z256" s="97"/>
      <c r="AA256" s="97"/>
      <c r="AB256" s="97"/>
      <c r="AC256" s="97"/>
      <c r="AD256" s="97"/>
      <c r="AE256" s="97"/>
    </row>
    <row r="257" spans="1:31" ht="28.5" x14ac:dyDescent="0.25">
      <c r="A257" s="330" t="s">
        <v>644</v>
      </c>
      <c r="B257" s="330"/>
      <c r="C257" s="330"/>
      <c r="D257" s="330"/>
      <c r="E257" s="330"/>
      <c r="F257" s="330"/>
      <c r="G257" s="330"/>
      <c r="H257" s="330"/>
      <c r="I257" s="330"/>
      <c r="J257" s="330"/>
      <c r="K257" s="330"/>
      <c r="L257" s="330"/>
      <c r="M257" s="330"/>
      <c r="N257" s="330"/>
      <c r="O257" s="330"/>
      <c r="P257" s="330"/>
      <c r="Q257" s="97"/>
      <c r="R257" s="97"/>
      <c r="S257" s="97"/>
      <c r="T257" s="97"/>
      <c r="U257" s="97"/>
      <c r="V257" s="97"/>
      <c r="W257" s="97"/>
      <c r="X257" s="97"/>
      <c r="Y257" s="97"/>
      <c r="Z257" s="97"/>
      <c r="AA257" s="97"/>
      <c r="AB257" s="97"/>
      <c r="AC257" s="97"/>
      <c r="AD257" s="97"/>
      <c r="AE257" s="97"/>
    </row>
    <row r="258" spans="1:31" ht="28.5" customHeight="1" x14ac:dyDescent="0.25">
      <c r="A258" s="238"/>
      <c r="B258" s="239"/>
      <c r="C258" s="239"/>
      <c r="D258" s="239"/>
      <c r="E258" s="239"/>
      <c r="F258" s="239"/>
      <c r="G258" s="239"/>
      <c r="H258" s="239"/>
      <c r="I258" s="239"/>
      <c r="J258" s="239"/>
      <c r="K258" s="239"/>
      <c r="L258" s="239"/>
      <c r="M258" s="239"/>
      <c r="N258" s="239"/>
      <c r="O258" s="239"/>
      <c r="P258" s="259" t="s">
        <v>360</v>
      </c>
      <c r="Q258" s="97"/>
      <c r="R258" s="97"/>
      <c r="S258" s="97"/>
      <c r="T258" s="97"/>
      <c r="U258" s="97"/>
      <c r="V258" s="97"/>
      <c r="W258" s="97"/>
      <c r="X258" s="97"/>
      <c r="Y258" s="97"/>
      <c r="Z258" s="97"/>
      <c r="AA258" s="97"/>
      <c r="AB258" s="97"/>
      <c r="AC258" s="97"/>
      <c r="AD258" s="97"/>
      <c r="AE258" s="97"/>
    </row>
    <row r="259" spans="1:31" x14ac:dyDescent="0.25">
      <c r="A259" s="92" t="s">
        <v>645</v>
      </c>
      <c r="B259" s="91"/>
      <c r="C259" s="91"/>
      <c r="D259" s="91"/>
      <c r="E259" s="91"/>
      <c r="F259" s="112"/>
      <c r="G259" s="112"/>
      <c r="H259" s="112"/>
      <c r="I259" s="112"/>
      <c r="J259" s="112"/>
      <c r="K259" s="112"/>
      <c r="L259" s="112"/>
      <c r="M259" s="112"/>
      <c r="N259" s="112"/>
      <c r="O259" s="112"/>
      <c r="P259" s="260">
        <f t="shared" ref="P259:P273" si="20">SUBTOTAL(9,B259:O259)</f>
        <v>0</v>
      </c>
      <c r="Q259" s="97"/>
      <c r="R259" s="97"/>
      <c r="S259" s="97"/>
      <c r="T259" s="97"/>
      <c r="U259" s="97"/>
      <c r="V259" s="97"/>
      <c r="W259" s="97"/>
      <c r="X259" s="97"/>
      <c r="Y259" s="97"/>
      <c r="Z259" s="97"/>
      <c r="AA259" s="97"/>
      <c r="AB259" s="97"/>
      <c r="AC259" s="97"/>
      <c r="AD259" s="97"/>
      <c r="AE259" s="97"/>
    </row>
    <row r="260" spans="1:31" x14ac:dyDescent="0.25">
      <c r="A260" s="92" t="s">
        <v>646</v>
      </c>
      <c r="B260" s="91"/>
      <c r="C260" s="91"/>
      <c r="D260" s="91"/>
      <c r="E260" s="91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260">
        <f t="shared" si="20"/>
        <v>0</v>
      </c>
      <c r="Q260" s="97"/>
      <c r="R260" s="97"/>
      <c r="S260" s="97"/>
      <c r="T260" s="97"/>
      <c r="U260" s="97"/>
      <c r="V260" s="97"/>
      <c r="W260" s="97"/>
      <c r="X260" s="97"/>
      <c r="Y260" s="97"/>
      <c r="Z260" s="97"/>
      <c r="AA260" s="97"/>
      <c r="AB260" s="97"/>
      <c r="AC260" s="97"/>
      <c r="AD260" s="97"/>
      <c r="AE260" s="97"/>
    </row>
    <row r="261" spans="1:31" x14ac:dyDescent="0.25">
      <c r="A261" s="92" t="s">
        <v>184</v>
      </c>
      <c r="B261" s="91"/>
      <c r="C261" s="91"/>
      <c r="D261" s="91"/>
      <c r="E261" s="91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260">
        <f t="shared" si="20"/>
        <v>0</v>
      </c>
      <c r="Q261" s="97"/>
      <c r="R261" s="97"/>
      <c r="S261" s="97"/>
      <c r="T261" s="97"/>
      <c r="U261" s="97"/>
      <c r="V261" s="97"/>
      <c r="W261" s="97"/>
      <c r="X261" s="97"/>
      <c r="Y261" s="97"/>
      <c r="Z261" s="97"/>
      <c r="AA261" s="97"/>
      <c r="AB261" s="97"/>
      <c r="AC261" s="97"/>
      <c r="AD261" s="97"/>
      <c r="AE261" s="97"/>
    </row>
    <row r="262" spans="1:31" x14ac:dyDescent="0.25">
      <c r="A262" s="92" t="s">
        <v>647</v>
      </c>
      <c r="B262" s="91"/>
      <c r="C262" s="91"/>
      <c r="D262" s="91"/>
      <c r="E262" s="91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260">
        <f t="shared" si="20"/>
        <v>0</v>
      </c>
      <c r="Q262" s="97"/>
      <c r="R262" s="97"/>
      <c r="S262" s="97"/>
      <c r="T262" s="97"/>
      <c r="U262" s="97"/>
      <c r="V262" s="97"/>
      <c r="W262" s="97"/>
      <c r="X262" s="97"/>
      <c r="Y262" s="97"/>
      <c r="Z262" s="97"/>
      <c r="AA262" s="97"/>
      <c r="AB262" s="97"/>
      <c r="AC262" s="97"/>
    </row>
    <row r="263" spans="1:31" x14ac:dyDescent="0.25">
      <c r="A263" s="92" t="s">
        <v>35</v>
      </c>
      <c r="B263" s="91"/>
      <c r="C263" s="91"/>
      <c r="D263" s="91"/>
      <c r="E263" s="91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260">
        <f t="shared" si="20"/>
        <v>0</v>
      </c>
      <c r="Q263" s="97"/>
      <c r="R263" s="97"/>
      <c r="S263" s="97"/>
      <c r="T263" s="97"/>
      <c r="U263" s="97"/>
      <c r="V263" s="97"/>
      <c r="W263" s="97"/>
      <c r="X263" s="97"/>
      <c r="Y263" s="97"/>
      <c r="Z263" s="97"/>
      <c r="AA263" s="97"/>
      <c r="AB263" s="97"/>
      <c r="AC263" s="97"/>
    </row>
    <row r="264" spans="1:31" x14ac:dyDescent="0.25">
      <c r="A264" s="92" t="s">
        <v>510</v>
      </c>
      <c r="B264" s="91"/>
      <c r="C264" s="91"/>
      <c r="D264" s="91"/>
      <c r="E264" s="91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260">
        <f t="shared" si="20"/>
        <v>0</v>
      </c>
      <c r="Q264" s="97"/>
      <c r="R264" s="97"/>
      <c r="S264" s="97"/>
      <c r="T264" s="97"/>
      <c r="U264" s="97"/>
      <c r="V264" s="97"/>
      <c r="W264" s="97"/>
      <c r="X264" s="97"/>
      <c r="Y264" s="97"/>
      <c r="Z264" s="97"/>
      <c r="AA264" s="97"/>
      <c r="AB264" s="97"/>
      <c r="AC264" s="97"/>
    </row>
    <row r="265" spans="1:31" x14ac:dyDescent="0.25">
      <c r="A265" s="92" t="s">
        <v>648</v>
      </c>
      <c r="B265" s="91"/>
      <c r="C265" s="91"/>
      <c r="D265" s="91"/>
      <c r="E265" s="91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260">
        <f t="shared" si="20"/>
        <v>0</v>
      </c>
      <c r="Q265" s="97"/>
      <c r="R265" s="97"/>
      <c r="S265" s="97"/>
      <c r="T265" s="97"/>
      <c r="U265" s="97"/>
      <c r="V265" s="97"/>
      <c r="W265" s="97"/>
      <c r="X265" s="97"/>
      <c r="Y265" s="97"/>
      <c r="Z265" s="97"/>
      <c r="AA265" s="97"/>
      <c r="AB265" s="97"/>
      <c r="AC265" s="97"/>
    </row>
    <row r="266" spans="1:31" x14ac:dyDescent="0.25">
      <c r="A266" s="92" t="s">
        <v>649</v>
      </c>
      <c r="B266" s="261"/>
      <c r="C266" s="91"/>
      <c r="D266" s="91"/>
      <c r="E266" s="91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260">
        <f t="shared" si="20"/>
        <v>0</v>
      </c>
      <c r="Q266" s="97"/>
      <c r="R266" s="97"/>
      <c r="S266" s="97"/>
      <c r="T266" s="97"/>
      <c r="U266" s="97"/>
      <c r="V266" s="97"/>
      <c r="W266" s="97"/>
      <c r="X266" s="97"/>
      <c r="Y266" s="97"/>
      <c r="Z266" s="97"/>
      <c r="AA266" s="97"/>
      <c r="AB266" s="97"/>
      <c r="AC266" s="97"/>
      <c r="AD266" s="97"/>
      <c r="AE266" s="97"/>
    </row>
    <row r="267" spans="1:31" x14ac:dyDescent="0.25">
      <c r="A267" s="92" t="s">
        <v>650</v>
      </c>
      <c r="B267" s="91"/>
      <c r="C267" s="91"/>
      <c r="D267" s="91"/>
      <c r="E267" s="91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260">
        <f t="shared" si="20"/>
        <v>0</v>
      </c>
      <c r="Q267" s="97"/>
      <c r="R267" s="97"/>
      <c r="S267" s="97"/>
      <c r="T267" s="97"/>
      <c r="U267" s="97"/>
      <c r="V267" s="97"/>
      <c r="W267" s="97"/>
      <c r="X267" s="97"/>
      <c r="Y267" s="97"/>
      <c r="Z267" s="97"/>
      <c r="AA267" s="97"/>
      <c r="AB267" s="97"/>
      <c r="AC267" s="97"/>
      <c r="AD267" s="97"/>
      <c r="AE267" s="97"/>
    </row>
    <row r="268" spans="1:31" x14ac:dyDescent="0.25">
      <c r="A268" s="92" t="s">
        <v>521</v>
      </c>
      <c r="B268" s="91"/>
      <c r="C268" s="91"/>
      <c r="D268" s="91"/>
      <c r="E268" s="91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260">
        <f t="shared" si="20"/>
        <v>0</v>
      </c>
      <c r="Q268" s="97"/>
      <c r="R268" s="97"/>
      <c r="S268" s="97"/>
      <c r="T268" s="97"/>
      <c r="U268" s="97"/>
      <c r="V268" s="97"/>
      <c r="W268" s="97"/>
      <c r="X268" s="97"/>
      <c r="Y268" s="97"/>
      <c r="Z268" s="97"/>
      <c r="AA268" s="97"/>
      <c r="AB268" s="97"/>
      <c r="AC268" s="97"/>
      <c r="AD268" s="97"/>
      <c r="AE268" s="97"/>
    </row>
    <row r="269" spans="1:31" x14ac:dyDescent="0.25">
      <c r="A269" s="92" t="s">
        <v>651</v>
      </c>
      <c r="B269" s="91"/>
      <c r="C269" s="91"/>
      <c r="D269" s="91"/>
      <c r="E269" s="91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260">
        <f t="shared" si="20"/>
        <v>0</v>
      </c>
      <c r="Q269" s="97"/>
      <c r="R269" s="97"/>
      <c r="S269" s="97"/>
      <c r="T269" s="97"/>
      <c r="U269" s="97"/>
      <c r="V269" s="97"/>
      <c r="W269" s="97"/>
      <c r="X269" s="97"/>
      <c r="Y269" s="97"/>
      <c r="Z269" s="97"/>
      <c r="AA269" s="97"/>
      <c r="AB269" s="97"/>
      <c r="AC269" s="97"/>
      <c r="AD269" s="97"/>
      <c r="AE269" s="97"/>
    </row>
    <row r="270" spans="1:31" x14ac:dyDescent="0.25">
      <c r="A270" s="92" t="s">
        <v>652</v>
      </c>
      <c r="B270" s="91"/>
      <c r="C270" s="91"/>
      <c r="D270" s="91"/>
      <c r="E270" s="91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260">
        <f t="shared" si="20"/>
        <v>0</v>
      </c>
      <c r="Q270" s="97"/>
      <c r="R270" s="97"/>
      <c r="S270" s="97"/>
      <c r="T270" s="97"/>
      <c r="U270" s="97"/>
      <c r="V270" s="97"/>
      <c r="W270" s="97"/>
      <c r="X270" s="97"/>
      <c r="Y270" s="97"/>
      <c r="Z270" s="97"/>
      <c r="AA270" s="97"/>
      <c r="AB270" s="97"/>
      <c r="AC270" s="97"/>
      <c r="AD270" s="97"/>
      <c r="AE270" s="97"/>
    </row>
    <row r="271" spans="1:31" x14ac:dyDescent="0.25">
      <c r="A271" s="92" t="s">
        <v>653</v>
      </c>
      <c r="B271" s="91"/>
      <c r="C271" s="91"/>
      <c r="D271" s="91"/>
      <c r="E271" s="91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260">
        <f t="shared" si="20"/>
        <v>0</v>
      </c>
      <c r="Q271" s="97"/>
      <c r="R271" s="97"/>
      <c r="S271" s="97"/>
      <c r="T271" s="97"/>
      <c r="U271" s="97"/>
      <c r="V271" s="97"/>
      <c r="W271" s="97"/>
      <c r="X271" s="97"/>
      <c r="Y271" s="97"/>
      <c r="Z271" s="97"/>
      <c r="AA271" s="97"/>
      <c r="AB271" s="97"/>
      <c r="AC271" s="97"/>
      <c r="AD271" s="97"/>
      <c r="AE271" s="97"/>
    </row>
    <row r="272" spans="1:31" x14ac:dyDescent="0.25">
      <c r="A272" s="92" t="s">
        <v>178</v>
      </c>
      <c r="B272" s="91"/>
      <c r="C272" s="91"/>
      <c r="D272" s="91"/>
      <c r="E272" s="91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260">
        <f t="shared" si="20"/>
        <v>0</v>
      </c>
      <c r="Q272" s="97"/>
      <c r="R272" s="97"/>
      <c r="S272" s="97"/>
      <c r="T272" s="97"/>
      <c r="U272" s="97"/>
      <c r="V272" s="97"/>
      <c r="W272" s="97"/>
      <c r="X272" s="97"/>
      <c r="Y272" s="97"/>
      <c r="Z272" s="97"/>
      <c r="AA272" s="97"/>
      <c r="AB272" s="97"/>
      <c r="AC272" s="97"/>
      <c r="AD272" s="97"/>
      <c r="AE272" s="97"/>
    </row>
    <row r="273" spans="1:34" x14ac:dyDescent="0.25">
      <c r="A273" s="92" t="s">
        <v>654</v>
      </c>
      <c r="B273" s="91"/>
      <c r="C273" s="91"/>
      <c r="D273" s="91"/>
      <c r="E273" s="91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260">
        <f t="shared" si="20"/>
        <v>0</v>
      </c>
      <c r="Q273" s="97"/>
      <c r="R273" s="97"/>
      <c r="S273" s="97"/>
      <c r="T273" s="97"/>
      <c r="U273" s="97"/>
      <c r="V273" s="97"/>
      <c r="W273" s="97"/>
      <c r="X273" s="97"/>
      <c r="Y273" s="97"/>
      <c r="Z273" s="97"/>
      <c r="AA273" s="97"/>
      <c r="AB273" s="97"/>
      <c r="AC273" s="97"/>
      <c r="AD273" s="97"/>
      <c r="AE273" s="97"/>
    </row>
    <row r="274" spans="1:34" x14ac:dyDescent="0.25">
      <c r="A274" s="92"/>
      <c r="B274" s="91"/>
      <c r="C274" s="91"/>
      <c r="D274" s="91"/>
      <c r="E274" s="91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260"/>
      <c r="Q274" s="97"/>
      <c r="R274" s="97"/>
      <c r="S274" s="97"/>
      <c r="T274" s="97"/>
      <c r="U274" s="97"/>
      <c r="V274" s="97"/>
      <c r="W274" s="97"/>
      <c r="X274" s="97"/>
      <c r="Y274" s="97"/>
      <c r="Z274" s="97"/>
      <c r="AA274" s="97"/>
      <c r="AB274" s="97"/>
      <c r="AC274" s="97"/>
      <c r="AD274" s="97"/>
      <c r="AE274" s="97"/>
    </row>
    <row r="275" spans="1:34" x14ac:dyDescent="0.25">
      <c r="B275" s="81"/>
      <c r="C275" s="81"/>
      <c r="D275" s="81"/>
      <c r="E275" s="81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262"/>
      <c r="Q275" s="97"/>
      <c r="R275" s="97"/>
      <c r="S275" s="97"/>
      <c r="T275" s="97"/>
      <c r="U275" s="97"/>
      <c r="V275" s="97"/>
      <c r="W275" s="97"/>
      <c r="X275" s="97"/>
      <c r="Y275" s="97"/>
      <c r="Z275" s="97"/>
      <c r="AA275" s="97"/>
      <c r="AB275" s="97"/>
      <c r="AC275" s="97"/>
      <c r="AD275" s="97"/>
      <c r="AE275" s="97"/>
    </row>
    <row r="276" spans="1:34" x14ac:dyDescent="0.25">
      <c r="B276" s="81"/>
      <c r="C276" s="81"/>
      <c r="D276" s="81"/>
      <c r="E276" s="81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262"/>
      <c r="Q276" s="97"/>
      <c r="R276" s="97"/>
      <c r="S276" s="97"/>
      <c r="T276" s="97"/>
      <c r="U276" s="97"/>
      <c r="V276" s="97"/>
      <c r="W276" s="97"/>
      <c r="X276" s="97"/>
      <c r="Y276" s="97"/>
      <c r="Z276" s="97"/>
      <c r="AA276" s="97"/>
      <c r="AB276" s="97"/>
      <c r="AC276" s="97"/>
      <c r="AD276" s="97"/>
      <c r="AE276" s="97"/>
    </row>
    <row r="278" spans="1:34" ht="30" customHeight="1" x14ac:dyDescent="0.25">
      <c r="A278" s="331" t="s">
        <v>655</v>
      </c>
      <c r="B278" s="329"/>
      <c r="C278" s="329"/>
      <c r="D278" s="329"/>
      <c r="E278" s="329"/>
      <c r="F278" s="329"/>
      <c r="G278" s="329"/>
      <c r="H278" s="329"/>
      <c r="I278" s="329"/>
      <c r="J278" s="329"/>
      <c r="K278" s="329"/>
      <c r="L278" s="329"/>
      <c r="M278" s="329"/>
      <c r="N278" s="329"/>
      <c r="O278" s="329"/>
      <c r="P278" s="329"/>
      <c r="Q278" s="329"/>
      <c r="R278" s="329"/>
      <c r="S278" s="329"/>
      <c r="T278" s="329"/>
      <c r="AF278" s="242"/>
      <c r="AG278" s="242"/>
    </row>
    <row r="279" spans="1:34" x14ac:dyDescent="0.25">
      <c r="A279" s="238"/>
      <c r="B279" s="239">
        <v>46059</v>
      </c>
      <c r="C279" s="239">
        <v>46066</v>
      </c>
      <c r="D279" s="239"/>
      <c r="E279" s="239"/>
      <c r="F279" s="239"/>
      <c r="G279" s="239"/>
      <c r="H279" s="239"/>
      <c r="I279" s="239"/>
      <c r="J279" s="239"/>
      <c r="K279" s="239"/>
      <c r="L279" s="239"/>
      <c r="M279" s="239"/>
      <c r="N279" s="239"/>
      <c r="O279" s="239"/>
      <c r="P279" s="239"/>
      <c r="Q279" s="239"/>
      <c r="R279" s="239"/>
      <c r="S279" s="239"/>
      <c r="T279" s="259" t="s">
        <v>360</v>
      </c>
      <c r="AE279" s="242"/>
      <c r="AF279" s="242"/>
      <c r="AG279" s="242"/>
      <c r="AH279" s="242"/>
    </row>
    <row r="280" spans="1:34" x14ac:dyDescent="0.25">
      <c r="A280" s="92" t="s">
        <v>656</v>
      </c>
      <c r="B280" s="112"/>
      <c r="C280" s="112"/>
      <c r="D280" s="112"/>
      <c r="E280" s="112"/>
      <c r="F280" s="112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  <c r="S280" s="112"/>
      <c r="T280" s="112">
        <f t="shared" ref="T280:T315" si="21">SUM(B280:S280)</f>
        <v>0</v>
      </c>
      <c r="AE280" s="242"/>
      <c r="AF280" s="242"/>
      <c r="AG280" s="242"/>
      <c r="AH280" s="242"/>
    </row>
    <row r="281" spans="1:34" x14ac:dyDescent="0.25">
      <c r="A281" s="92" t="s">
        <v>35</v>
      </c>
      <c r="B281" s="112"/>
      <c r="C281" s="112"/>
      <c r="D281" s="112"/>
      <c r="E281" s="112"/>
      <c r="F281" s="112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  <c r="S281" s="112"/>
      <c r="T281" s="112">
        <f t="shared" si="21"/>
        <v>0</v>
      </c>
      <c r="AE281" s="242"/>
      <c r="AF281" s="242"/>
      <c r="AG281" s="242"/>
      <c r="AH281" s="242"/>
    </row>
    <row r="282" spans="1:34" x14ac:dyDescent="0.25">
      <c r="A282" s="92" t="s">
        <v>41</v>
      </c>
      <c r="B282" s="112"/>
      <c r="C282" s="112"/>
      <c r="D282" s="112"/>
      <c r="E282" s="112"/>
      <c r="F282" s="112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  <c r="S282" s="112"/>
      <c r="T282" s="112">
        <f t="shared" si="21"/>
        <v>0</v>
      </c>
      <c r="AE282" s="242"/>
      <c r="AF282" s="242"/>
      <c r="AG282" s="242"/>
      <c r="AH282" s="242"/>
    </row>
    <row r="283" spans="1:34" x14ac:dyDescent="0.25">
      <c r="A283" s="92" t="s">
        <v>657</v>
      </c>
      <c r="B283" s="112"/>
      <c r="C283" s="112"/>
      <c r="D283" s="112"/>
      <c r="E283" s="112"/>
      <c r="F283" s="112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  <c r="S283" s="112"/>
      <c r="T283" s="112">
        <f t="shared" si="21"/>
        <v>0</v>
      </c>
      <c r="AE283" s="242"/>
      <c r="AF283" s="242"/>
      <c r="AG283" s="242"/>
      <c r="AH283" s="242"/>
    </row>
    <row r="284" spans="1:34" x14ac:dyDescent="0.25">
      <c r="A284" s="92" t="s">
        <v>658</v>
      </c>
      <c r="B284" s="112"/>
      <c r="C284" s="112"/>
      <c r="D284" s="112"/>
      <c r="E284" s="112"/>
      <c r="F284" s="112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  <c r="S284" s="112"/>
      <c r="T284" s="112">
        <f t="shared" si="21"/>
        <v>0</v>
      </c>
      <c r="AE284" s="242"/>
      <c r="AF284" s="242"/>
      <c r="AG284" s="242"/>
      <c r="AH284" s="242"/>
    </row>
    <row r="285" spans="1:34" x14ac:dyDescent="0.25">
      <c r="A285" s="92" t="s">
        <v>37</v>
      </c>
      <c r="B285" s="112"/>
      <c r="C285" s="112"/>
      <c r="D285" s="112"/>
      <c r="E285" s="112"/>
      <c r="F285" s="112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  <c r="S285" s="112"/>
      <c r="T285" s="112">
        <f t="shared" si="21"/>
        <v>0</v>
      </c>
      <c r="AE285" s="242"/>
      <c r="AF285" s="242"/>
      <c r="AG285" s="242"/>
      <c r="AH285" s="242"/>
    </row>
    <row r="286" spans="1:34" x14ac:dyDescent="0.25">
      <c r="A286" s="92" t="s">
        <v>659</v>
      </c>
      <c r="B286" s="112"/>
      <c r="C286" s="112"/>
      <c r="D286" s="112"/>
      <c r="E286" s="112"/>
      <c r="F286" s="112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  <c r="S286" s="112"/>
      <c r="T286" s="112">
        <f t="shared" si="21"/>
        <v>0</v>
      </c>
      <c r="AE286" s="242"/>
      <c r="AF286" s="242"/>
      <c r="AG286" s="242"/>
      <c r="AH286" s="242"/>
    </row>
    <row r="287" spans="1:34" x14ac:dyDescent="0.25">
      <c r="A287" s="92" t="s">
        <v>68</v>
      </c>
      <c r="B287" s="112"/>
      <c r="C287" s="112"/>
      <c r="D287" s="112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  <c r="S287" s="112"/>
      <c r="T287" s="112">
        <f t="shared" si="21"/>
        <v>0</v>
      </c>
      <c r="AE287" s="242"/>
      <c r="AF287" s="242"/>
      <c r="AG287" s="242"/>
      <c r="AH287" s="242"/>
    </row>
    <row r="288" spans="1:34" x14ac:dyDescent="0.25">
      <c r="A288" s="92" t="s">
        <v>660</v>
      </c>
      <c r="B288" s="112"/>
      <c r="C288" s="112"/>
      <c r="D288" s="112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  <c r="S288" s="112"/>
      <c r="T288" s="112">
        <f t="shared" si="21"/>
        <v>0</v>
      </c>
      <c r="AE288" s="242"/>
      <c r="AF288" s="242"/>
      <c r="AG288" s="242"/>
      <c r="AH288" s="242"/>
    </row>
    <row r="289" spans="1:34" x14ac:dyDescent="0.25">
      <c r="A289" s="92" t="s">
        <v>88</v>
      </c>
      <c r="B289" s="112"/>
      <c r="C289" s="112"/>
      <c r="D289" s="112"/>
      <c r="E289" s="112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  <c r="S289" s="112"/>
      <c r="T289" s="112">
        <f t="shared" si="21"/>
        <v>0</v>
      </c>
      <c r="AE289" s="242"/>
      <c r="AF289" s="242"/>
      <c r="AG289" s="242"/>
      <c r="AH289" s="242"/>
    </row>
    <row r="290" spans="1:34" x14ac:dyDescent="0.25">
      <c r="A290" s="92" t="s">
        <v>661</v>
      </c>
      <c r="B290" s="112"/>
      <c r="C290" s="112"/>
      <c r="D290" s="112"/>
      <c r="E290" s="112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  <c r="S290" s="112"/>
      <c r="T290" s="112">
        <f t="shared" si="21"/>
        <v>0</v>
      </c>
      <c r="AE290" s="242"/>
      <c r="AF290" s="242"/>
      <c r="AG290" s="242"/>
      <c r="AH290" s="242"/>
    </row>
    <row r="291" spans="1:34" x14ac:dyDescent="0.25">
      <c r="A291" s="92" t="s">
        <v>116</v>
      </c>
      <c r="B291" s="112"/>
      <c r="C291" s="112"/>
      <c r="D291" s="112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  <c r="S291" s="112"/>
      <c r="T291" s="112">
        <f t="shared" si="21"/>
        <v>0</v>
      </c>
      <c r="AE291" s="242"/>
      <c r="AF291" s="242"/>
      <c r="AG291" s="242"/>
      <c r="AH291" s="242"/>
    </row>
    <row r="292" spans="1:34" x14ac:dyDescent="0.25">
      <c r="A292" s="92" t="s">
        <v>662</v>
      </c>
      <c r="B292" s="112"/>
      <c r="C292" s="112"/>
      <c r="D292" s="112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  <c r="S292" s="112"/>
      <c r="T292" s="112">
        <f t="shared" si="21"/>
        <v>0</v>
      </c>
      <c r="AE292" s="242"/>
      <c r="AF292" s="242"/>
      <c r="AG292" s="242"/>
      <c r="AH292" s="242"/>
    </row>
    <row r="293" spans="1:34" x14ac:dyDescent="0.25">
      <c r="A293" s="92" t="s">
        <v>148</v>
      </c>
      <c r="B293" s="112"/>
      <c r="C293" s="112"/>
      <c r="D293" s="112"/>
      <c r="E293" s="112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  <c r="S293" s="112"/>
      <c r="T293" s="112">
        <f t="shared" si="21"/>
        <v>0</v>
      </c>
      <c r="AE293" s="242"/>
      <c r="AF293" s="242"/>
      <c r="AG293" s="242"/>
      <c r="AH293" s="242"/>
    </row>
    <row r="294" spans="1:34" x14ac:dyDescent="0.25">
      <c r="A294" s="92" t="s">
        <v>591</v>
      </c>
      <c r="B294" s="112"/>
      <c r="C294" s="112"/>
      <c r="D294" s="112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  <c r="S294" s="112"/>
      <c r="T294" s="112">
        <f t="shared" si="21"/>
        <v>0</v>
      </c>
      <c r="AE294" s="242"/>
      <c r="AF294" s="242">
        <v>76</v>
      </c>
      <c r="AG294" s="242"/>
      <c r="AH294" s="242"/>
    </row>
    <row r="295" spans="1:34" x14ac:dyDescent="0.25">
      <c r="A295" s="92" t="s">
        <v>158</v>
      </c>
      <c r="B295" s="112"/>
      <c r="C295" s="112"/>
      <c r="D295" s="112"/>
      <c r="E295" s="112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  <c r="S295" s="112"/>
      <c r="T295" s="112">
        <f t="shared" si="21"/>
        <v>0</v>
      </c>
      <c r="AE295" s="242"/>
      <c r="AF295" s="242">
        <v>17</v>
      </c>
      <c r="AG295" s="242"/>
      <c r="AH295" s="242"/>
    </row>
    <row r="296" spans="1:34" x14ac:dyDescent="0.25">
      <c r="A296" s="92" t="s">
        <v>594</v>
      </c>
      <c r="B296" s="112"/>
      <c r="C296" s="112"/>
      <c r="D296" s="112"/>
      <c r="E296" s="112"/>
      <c r="F296" s="112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  <c r="S296" s="112"/>
      <c r="T296" s="112">
        <f t="shared" si="21"/>
        <v>0</v>
      </c>
      <c r="AE296" s="242"/>
      <c r="AF296" s="242">
        <v>25</v>
      </c>
      <c r="AG296" s="242"/>
      <c r="AH296" s="242"/>
    </row>
    <row r="297" spans="1:34" x14ac:dyDescent="0.25">
      <c r="A297" s="92" t="s">
        <v>595</v>
      </c>
      <c r="B297" s="112"/>
      <c r="C297" s="112"/>
      <c r="D297" s="112"/>
      <c r="E297" s="112"/>
      <c r="F297" s="112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  <c r="S297" s="112"/>
      <c r="T297" s="112">
        <f t="shared" si="21"/>
        <v>0</v>
      </c>
      <c r="AE297" s="242"/>
      <c r="AF297" s="242"/>
      <c r="AG297" s="242"/>
      <c r="AH297" s="242"/>
    </row>
    <row r="298" spans="1:34" x14ac:dyDescent="0.25">
      <c r="A298" s="92" t="s">
        <v>188</v>
      </c>
      <c r="B298" s="112"/>
      <c r="C298" s="112"/>
      <c r="D298" s="112"/>
      <c r="E298" s="112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  <c r="S298" s="112"/>
      <c r="T298" s="112">
        <f t="shared" si="21"/>
        <v>0</v>
      </c>
      <c r="AE298" s="242"/>
      <c r="AF298" s="242"/>
      <c r="AG298" s="242"/>
      <c r="AH298" s="242"/>
    </row>
    <row r="299" spans="1:34" x14ac:dyDescent="0.25">
      <c r="A299" s="92" t="s">
        <v>597</v>
      </c>
      <c r="B299" s="112"/>
      <c r="C299" s="112"/>
      <c r="D299" s="112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  <c r="S299" s="112"/>
      <c r="T299" s="112">
        <f t="shared" si="21"/>
        <v>0</v>
      </c>
      <c r="AE299" s="242"/>
      <c r="AF299" s="242"/>
      <c r="AG299" s="242"/>
      <c r="AH299" s="242"/>
    </row>
    <row r="300" spans="1:34" x14ac:dyDescent="0.25">
      <c r="A300" s="92" t="s">
        <v>197</v>
      </c>
      <c r="B300" s="112"/>
      <c r="C300" s="112"/>
      <c r="D300" s="112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  <c r="S300" s="112"/>
      <c r="T300" s="112">
        <f t="shared" si="21"/>
        <v>0</v>
      </c>
      <c r="AE300" s="242"/>
      <c r="AF300" s="242"/>
      <c r="AG300" s="242"/>
      <c r="AH300" s="242"/>
    </row>
    <row r="301" spans="1:34" x14ac:dyDescent="0.25">
      <c r="A301" s="92" t="s">
        <v>223</v>
      </c>
      <c r="B301" s="112"/>
      <c r="C301" s="112"/>
      <c r="D301" s="112"/>
      <c r="E301" s="112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  <c r="S301" s="112"/>
      <c r="T301" s="112">
        <f t="shared" si="21"/>
        <v>0</v>
      </c>
      <c r="AE301" s="242"/>
      <c r="AF301" s="242"/>
      <c r="AG301" s="242"/>
      <c r="AH301" s="242"/>
    </row>
    <row r="302" spans="1:34" x14ac:dyDescent="0.25">
      <c r="A302" s="92" t="s">
        <v>616</v>
      </c>
      <c r="B302" s="112"/>
      <c r="C302" s="112"/>
      <c r="D302" s="112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  <c r="S302" s="112"/>
      <c r="T302" s="112">
        <f t="shared" si="21"/>
        <v>0</v>
      </c>
      <c r="AE302" s="242"/>
      <c r="AF302" s="242"/>
      <c r="AG302" s="242"/>
      <c r="AH302" s="242"/>
    </row>
    <row r="303" spans="1:34" x14ac:dyDescent="0.25">
      <c r="A303" s="92" t="s">
        <v>261</v>
      </c>
      <c r="B303" s="112"/>
      <c r="C303" s="112"/>
      <c r="D303" s="112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  <c r="S303" s="112"/>
      <c r="T303" s="112">
        <f t="shared" si="21"/>
        <v>0</v>
      </c>
      <c r="AE303" s="242"/>
      <c r="AF303" s="242"/>
      <c r="AG303" s="242"/>
      <c r="AH303" s="242"/>
    </row>
    <row r="304" spans="1:34" x14ac:dyDescent="0.25">
      <c r="A304" s="92" t="s">
        <v>663</v>
      </c>
      <c r="B304" s="112"/>
      <c r="C304" s="112"/>
      <c r="D304" s="112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  <c r="S304" s="112"/>
      <c r="T304" s="112">
        <f t="shared" si="21"/>
        <v>0</v>
      </c>
      <c r="AE304" s="242"/>
      <c r="AF304" s="242"/>
      <c r="AG304" s="242"/>
      <c r="AH304" s="242"/>
    </row>
    <row r="305" spans="1:34" x14ac:dyDescent="0.25">
      <c r="A305" s="92" t="s">
        <v>664</v>
      </c>
      <c r="B305" s="112"/>
      <c r="C305" s="112"/>
      <c r="D305" s="112"/>
      <c r="E305" s="112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  <c r="S305" s="112"/>
      <c r="T305" s="112">
        <f t="shared" si="21"/>
        <v>0</v>
      </c>
      <c r="AE305" s="242"/>
      <c r="AF305" s="242"/>
      <c r="AG305" s="242"/>
      <c r="AH305" s="242"/>
    </row>
    <row r="306" spans="1:34" x14ac:dyDescent="0.25">
      <c r="A306" s="92" t="s">
        <v>665</v>
      </c>
      <c r="B306" s="112"/>
      <c r="C306" s="112">
        <v>1</v>
      </c>
      <c r="D306" s="112"/>
      <c r="E306" s="112"/>
      <c r="F306" s="112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  <c r="R306" s="112"/>
      <c r="S306" s="112"/>
      <c r="T306" s="112">
        <f t="shared" si="21"/>
        <v>1</v>
      </c>
      <c r="AE306" s="242"/>
      <c r="AF306" s="242"/>
      <c r="AG306" s="242"/>
      <c r="AH306" s="242"/>
    </row>
    <row r="307" spans="1:34" x14ac:dyDescent="0.25">
      <c r="A307" s="92" t="s">
        <v>666</v>
      </c>
      <c r="B307" s="112"/>
      <c r="C307" s="112"/>
      <c r="D307" s="112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  <c r="S307" s="112"/>
      <c r="T307" s="112">
        <f t="shared" si="21"/>
        <v>0</v>
      </c>
      <c r="AE307" s="242"/>
      <c r="AF307" s="242"/>
      <c r="AG307" s="242"/>
      <c r="AH307" s="242"/>
    </row>
    <row r="308" spans="1:34" x14ac:dyDescent="0.25">
      <c r="A308" s="92" t="s">
        <v>340</v>
      </c>
      <c r="B308" s="112">
        <v>25</v>
      </c>
      <c r="C308" s="112"/>
      <c r="D308" s="112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  <c r="S308" s="112"/>
      <c r="T308" s="112">
        <f t="shared" si="21"/>
        <v>25</v>
      </c>
      <c r="AE308" s="242"/>
      <c r="AF308" s="242"/>
      <c r="AG308" s="242"/>
      <c r="AH308" s="242"/>
    </row>
    <row r="309" spans="1:34" x14ac:dyDescent="0.25">
      <c r="A309" s="92" t="s">
        <v>667</v>
      </c>
      <c r="B309" s="112"/>
      <c r="C309" s="112"/>
      <c r="D309" s="112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  <c r="S309" s="112"/>
      <c r="T309" s="112">
        <f t="shared" si="21"/>
        <v>0</v>
      </c>
      <c r="AE309" s="242"/>
      <c r="AF309" s="242"/>
      <c r="AG309" s="242"/>
      <c r="AH309" s="242"/>
    </row>
    <row r="310" spans="1:34" x14ac:dyDescent="0.25">
      <c r="A310" s="92" t="s">
        <v>344</v>
      </c>
      <c r="B310" s="112"/>
      <c r="C310" s="112"/>
      <c r="D310" s="112"/>
      <c r="E310" s="112"/>
      <c r="F310" s="112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  <c r="R310" s="112"/>
      <c r="S310" s="112"/>
      <c r="T310" s="112">
        <f t="shared" si="21"/>
        <v>0</v>
      </c>
      <c r="AE310" s="242"/>
      <c r="AF310" s="242"/>
      <c r="AG310" s="242"/>
      <c r="AH310" s="242"/>
    </row>
    <row r="311" spans="1:34" x14ac:dyDescent="0.25">
      <c r="A311" s="92" t="s">
        <v>668</v>
      </c>
      <c r="B311" s="112"/>
      <c r="C311" s="112"/>
      <c r="D311" s="112"/>
      <c r="E311" s="112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  <c r="S311" s="112"/>
      <c r="T311" s="112">
        <f t="shared" si="21"/>
        <v>0</v>
      </c>
      <c r="AE311" s="242"/>
      <c r="AF311" s="242"/>
      <c r="AG311" s="242"/>
      <c r="AH311" s="242"/>
    </row>
    <row r="312" spans="1:34" x14ac:dyDescent="0.25">
      <c r="A312" s="92" t="s">
        <v>669</v>
      </c>
      <c r="B312" s="112"/>
      <c r="C312" s="112"/>
      <c r="D312" s="112"/>
      <c r="E312" s="112"/>
      <c r="F312" s="11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  <c r="R312" s="112"/>
      <c r="S312" s="112"/>
      <c r="T312" s="112">
        <f t="shared" si="21"/>
        <v>0</v>
      </c>
      <c r="AE312" s="242"/>
      <c r="AF312" s="242"/>
      <c r="AG312" s="242"/>
      <c r="AH312" s="242"/>
    </row>
    <row r="313" spans="1:34" x14ac:dyDescent="0.25">
      <c r="A313" s="92" t="s">
        <v>359</v>
      </c>
      <c r="B313" s="112"/>
      <c r="C313" s="112"/>
      <c r="D313" s="112"/>
      <c r="E313" s="112"/>
      <c r="F313" s="112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  <c r="R313" s="112"/>
      <c r="S313" s="112"/>
      <c r="T313" s="112">
        <f t="shared" si="21"/>
        <v>0</v>
      </c>
      <c r="AE313" s="242"/>
      <c r="AF313" s="242"/>
      <c r="AG313" s="242"/>
      <c r="AH313" s="242"/>
    </row>
    <row r="314" spans="1:34" x14ac:dyDescent="0.25">
      <c r="A314" s="92" t="s">
        <v>670</v>
      </c>
      <c r="B314" s="112"/>
      <c r="C314" s="112"/>
      <c r="D314" s="112"/>
      <c r="E314" s="112"/>
      <c r="F314" s="112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  <c r="R314" s="112"/>
      <c r="S314" s="112"/>
      <c r="T314" s="112">
        <f t="shared" si="21"/>
        <v>0</v>
      </c>
      <c r="AE314" s="242"/>
      <c r="AF314" s="242"/>
    </row>
    <row r="315" spans="1:34" x14ac:dyDescent="0.25">
      <c r="A315" s="92" t="s">
        <v>80</v>
      </c>
      <c r="B315" s="112"/>
      <c r="C315" s="112"/>
      <c r="D315" s="112"/>
      <c r="E315" s="112"/>
      <c r="F315" s="112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112"/>
      <c r="S315" s="112"/>
      <c r="T315" s="112">
        <f t="shared" si="21"/>
        <v>0</v>
      </c>
      <c r="AE315" s="242"/>
      <c r="AF315" s="242"/>
    </row>
    <row r="316" spans="1:34" x14ac:dyDescent="0.25">
      <c r="A316" s="92" t="s">
        <v>671</v>
      </c>
      <c r="B316" s="112"/>
      <c r="C316" s="112"/>
      <c r="D316" s="112"/>
      <c r="E316" s="112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  <c r="S316" s="112"/>
      <c r="T316" s="112"/>
      <c r="AE316" s="242"/>
      <c r="AF316" s="242"/>
      <c r="AG316" s="242"/>
      <c r="AH316" s="242"/>
    </row>
    <row r="317" spans="1:34" x14ac:dyDescent="0.25">
      <c r="T317" s="242">
        <f>SUM(T280:T316)</f>
        <v>26</v>
      </c>
    </row>
  </sheetData>
  <autoFilter ref="A2:BK231" xr:uid="{EECF465E-16A1-4DBC-93F8-59336A2F5482}">
    <filterColumn colId="31" showButton="0"/>
  </autoFilter>
  <mergeCells count="9">
    <mergeCell ref="A104:AD104"/>
    <mergeCell ref="A257:P257"/>
    <mergeCell ref="A278:T278"/>
    <mergeCell ref="A1:AD1"/>
    <mergeCell ref="AF2:AG2"/>
    <mergeCell ref="AF8:AG8"/>
    <mergeCell ref="AF20:AG20"/>
    <mergeCell ref="AF27:AG27"/>
    <mergeCell ref="AF56:AG56"/>
  </mergeCells>
  <pageMargins left="0.23622047244094491" right="0.23622047244094491" top="0.74803149606299213" bottom="0.74803149606299213" header="0.31496062992125984" footer="0.31496062992125984"/>
  <pageSetup scale="13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09188-7300-48D5-8574-0805D0433E57}">
  <sheetPr>
    <tabColor rgb="FFFF3399"/>
    <pageSetUpPr fitToPage="1"/>
  </sheetPr>
  <dimension ref="A1:Y180"/>
  <sheetViews>
    <sheetView topLeftCell="E1" zoomScale="97" zoomScaleNormal="90" workbookViewId="0">
      <pane ySplit="7" topLeftCell="A167" activePane="bottomLeft" state="frozen"/>
      <selection activeCell="T113" sqref="T113"/>
      <selection pane="bottomLeft" activeCell="F186" sqref="F186"/>
    </sheetView>
  </sheetViews>
  <sheetFormatPr baseColWidth="10" defaultColWidth="13" defaultRowHeight="15" x14ac:dyDescent="0.25"/>
  <cols>
    <col min="1" max="1" width="7.85546875" customWidth="1"/>
    <col min="2" max="2" width="13.28515625" bestFit="1" customWidth="1"/>
    <col min="3" max="3" width="10.5703125" style="81" hidden="1" customWidth="1"/>
    <col min="4" max="4" width="29.7109375" style="265" customWidth="1"/>
    <col min="5" max="5" width="16.7109375" style="275" customWidth="1"/>
    <col min="6" max="6" width="19.85546875" style="275" customWidth="1"/>
    <col min="7" max="7" width="13.140625" customWidth="1"/>
    <col min="8" max="8" width="11.28515625" customWidth="1"/>
    <col min="9" max="9" width="11.85546875" customWidth="1"/>
    <col min="10" max="10" width="11.140625" customWidth="1"/>
    <col min="11" max="11" width="13.28515625" customWidth="1"/>
    <col min="12" max="12" width="14.42578125" customWidth="1"/>
    <col min="13" max="13" width="13.7109375" customWidth="1"/>
    <col min="14" max="14" width="16.7109375" customWidth="1"/>
    <col min="15" max="15" width="12.85546875" style="265" customWidth="1"/>
    <col min="16" max="16" width="3" customWidth="1"/>
    <col min="17" max="17" width="15.7109375" style="273" customWidth="1"/>
    <col min="18" max="18" width="12.85546875" style="273" customWidth="1"/>
    <col min="19" max="19" width="13.85546875" style="273" customWidth="1"/>
    <col min="20" max="20" width="14" style="273" customWidth="1"/>
    <col min="21" max="21" width="13.7109375" style="273" customWidth="1"/>
    <col min="22" max="22" width="13" style="273" customWidth="1"/>
    <col min="23" max="23" width="15.28515625" style="273" customWidth="1"/>
    <col min="24" max="25" width="13" hidden="1" customWidth="1"/>
    <col min="143" max="143" width="18.7109375" customWidth="1"/>
    <col min="145" max="145" width="16.28515625" customWidth="1"/>
    <col min="146" max="146" width="13.85546875" customWidth="1"/>
    <col min="147" max="147" width="27.28515625" customWidth="1"/>
    <col min="148" max="148" width="31.85546875" customWidth="1"/>
    <col min="149" max="149" width="22" customWidth="1"/>
    <col min="150" max="150" width="12.28515625" customWidth="1"/>
    <col min="399" max="399" width="18.7109375" customWidth="1"/>
    <col min="401" max="401" width="16.28515625" customWidth="1"/>
    <col min="402" max="402" width="13.85546875" customWidth="1"/>
    <col min="403" max="403" width="27.28515625" customWidth="1"/>
    <col min="404" max="404" width="31.85546875" customWidth="1"/>
    <col min="405" max="405" width="22" customWidth="1"/>
    <col min="406" max="406" width="12.28515625" customWidth="1"/>
    <col min="655" max="655" width="18.7109375" customWidth="1"/>
    <col min="657" max="657" width="16.28515625" customWidth="1"/>
    <col min="658" max="658" width="13.85546875" customWidth="1"/>
    <col min="659" max="659" width="27.28515625" customWidth="1"/>
    <col min="660" max="660" width="31.85546875" customWidth="1"/>
    <col min="661" max="661" width="22" customWidth="1"/>
    <col min="662" max="662" width="12.28515625" customWidth="1"/>
    <col min="911" max="911" width="18.7109375" customWidth="1"/>
    <col min="913" max="913" width="16.28515625" customWidth="1"/>
    <col min="914" max="914" width="13.85546875" customWidth="1"/>
    <col min="915" max="915" width="27.28515625" customWidth="1"/>
    <col min="916" max="916" width="31.85546875" customWidth="1"/>
    <col min="917" max="917" width="22" customWidth="1"/>
    <col min="918" max="918" width="12.28515625" customWidth="1"/>
    <col min="1167" max="1167" width="18.7109375" customWidth="1"/>
    <col min="1169" max="1169" width="16.28515625" customWidth="1"/>
    <col min="1170" max="1170" width="13.85546875" customWidth="1"/>
    <col min="1171" max="1171" width="27.28515625" customWidth="1"/>
    <col min="1172" max="1172" width="31.85546875" customWidth="1"/>
    <col min="1173" max="1173" width="22" customWidth="1"/>
    <col min="1174" max="1174" width="12.28515625" customWidth="1"/>
    <col min="1423" max="1423" width="18.7109375" customWidth="1"/>
    <col min="1425" max="1425" width="16.28515625" customWidth="1"/>
    <col min="1426" max="1426" width="13.85546875" customWidth="1"/>
    <col min="1427" max="1427" width="27.28515625" customWidth="1"/>
    <col min="1428" max="1428" width="31.85546875" customWidth="1"/>
    <col min="1429" max="1429" width="22" customWidth="1"/>
    <col min="1430" max="1430" width="12.28515625" customWidth="1"/>
    <col min="1679" max="1679" width="18.7109375" customWidth="1"/>
    <col min="1681" max="1681" width="16.28515625" customWidth="1"/>
    <col min="1682" max="1682" width="13.85546875" customWidth="1"/>
    <col min="1683" max="1683" width="27.28515625" customWidth="1"/>
    <col min="1684" max="1684" width="31.85546875" customWidth="1"/>
    <col min="1685" max="1685" width="22" customWidth="1"/>
    <col min="1686" max="1686" width="12.28515625" customWidth="1"/>
    <col min="1935" max="1935" width="18.7109375" customWidth="1"/>
    <col min="1937" max="1937" width="16.28515625" customWidth="1"/>
    <col min="1938" max="1938" width="13.85546875" customWidth="1"/>
    <col min="1939" max="1939" width="27.28515625" customWidth="1"/>
    <col min="1940" max="1940" width="31.85546875" customWidth="1"/>
    <col min="1941" max="1941" width="22" customWidth="1"/>
    <col min="1942" max="1942" width="12.28515625" customWidth="1"/>
    <col min="2191" max="2191" width="18.7109375" customWidth="1"/>
    <col min="2193" max="2193" width="16.28515625" customWidth="1"/>
    <col min="2194" max="2194" width="13.85546875" customWidth="1"/>
    <col min="2195" max="2195" width="27.28515625" customWidth="1"/>
    <col min="2196" max="2196" width="31.85546875" customWidth="1"/>
    <col min="2197" max="2197" width="22" customWidth="1"/>
    <col min="2198" max="2198" width="12.28515625" customWidth="1"/>
    <col min="2447" max="2447" width="18.7109375" customWidth="1"/>
    <col min="2449" max="2449" width="16.28515625" customWidth="1"/>
    <col min="2450" max="2450" width="13.85546875" customWidth="1"/>
    <col min="2451" max="2451" width="27.28515625" customWidth="1"/>
    <col min="2452" max="2452" width="31.85546875" customWidth="1"/>
    <col min="2453" max="2453" width="22" customWidth="1"/>
    <col min="2454" max="2454" width="12.28515625" customWidth="1"/>
    <col min="2703" max="2703" width="18.7109375" customWidth="1"/>
    <col min="2705" max="2705" width="16.28515625" customWidth="1"/>
    <col min="2706" max="2706" width="13.85546875" customWidth="1"/>
    <col min="2707" max="2707" width="27.28515625" customWidth="1"/>
    <col min="2708" max="2708" width="31.85546875" customWidth="1"/>
    <col min="2709" max="2709" width="22" customWidth="1"/>
    <col min="2710" max="2710" width="12.28515625" customWidth="1"/>
    <col min="2959" max="2959" width="18.7109375" customWidth="1"/>
    <col min="2961" max="2961" width="16.28515625" customWidth="1"/>
    <col min="2962" max="2962" width="13.85546875" customWidth="1"/>
    <col min="2963" max="2963" width="27.28515625" customWidth="1"/>
    <col min="2964" max="2964" width="31.85546875" customWidth="1"/>
    <col min="2965" max="2965" width="22" customWidth="1"/>
    <col min="2966" max="2966" width="12.28515625" customWidth="1"/>
    <col min="3215" max="3215" width="18.7109375" customWidth="1"/>
    <col min="3217" max="3217" width="16.28515625" customWidth="1"/>
    <col min="3218" max="3218" width="13.85546875" customWidth="1"/>
    <col min="3219" max="3219" width="27.28515625" customWidth="1"/>
    <col min="3220" max="3220" width="31.85546875" customWidth="1"/>
    <col min="3221" max="3221" width="22" customWidth="1"/>
    <col min="3222" max="3222" width="12.28515625" customWidth="1"/>
    <col min="3471" max="3471" width="18.7109375" customWidth="1"/>
    <col min="3473" max="3473" width="16.28515625" customWidth="1"/>
    <col min="3474" max="3474" width="13.85546875" customWidth="1"/>
    <col min="3475" max="3475" width="27.28515625" customWidth="1"/>
    <col min="3476" max="3476" width="31.85546875" customWidth="1"/>
    <col min="3477" max="3477" width="22" customWidth="1"/>
    <col min="3478" max="3478" width="12.28515625" customWidth="1"/>
    <col min="3727" max="3727" width="18.7109375" customWidth="1"/>
    <col min="3729" max="3729" width="16.28515625" customWidth="1"/>
    <col min="3730" max="3730" width="13.85546875" customWidth="1"/>
    <col min="3731" max="3731" width="27.28515625" customWidth="1"/>
    <col min="3732" max="3732" width="31.85546875" customWidth="1"/>
    <col min="3733" max="3733" width="22" customWidth="1"/>
    <col min="3734" max="3734" width="12.28515625" customWidth="1"/>
    <col min="3983" max="3983" width="18.7109375" customWidth="1"/>
    <col min="3985" max="3985" width="16.28515625" customWidth="1"/>
    <col min="3986" max="3986" width="13.85546875" customWidth="1"/>
    <col min="3987" max="3987" width="27.28515625" customWidth="1"/>
    <col min="3988" max="3988" width="31.85546875" customWidth="1"/>
    <col min="3989" max="3989" width="22" customWidth="1"/>
    <col min="3990" max="3990" width="12.28515625" customWidth="1"/>
    <col min="4239" max="4239" width="18.7109375" customWidth="1"/>
    <col min="4241" max="4241" width="16.28515625" customWidth="1"/>
    <col min="4242" max="4242" width="13.85546875" customWidth="1"/>
    <col min="4243" max="4243" width="27.28515625" customWidth="1"/>
    <col min="4244" max="4244" width="31.85546875" customWidth="1"/>
    <col min="4245" max="4245" width="22" customWidth="1"/>
    <col min="4246" max="4246" width="12.28515625" customWidth="1"/>
    <col min="4495" max="4495" width="18.7109375" customWidth="1"/>
    <col min="4497" max="4497" width="16.28515625" customWidth="1"/>
    <col min="4498" max="4498" width="13.85546875" customWidth="1"/>
    <col min="4499" max="4499" width="27.28515625" customWidth="1"/>
    <col min="4500" max="4500" width="31.85546875" customWidth="1"/>
    <col min="4501" max="4501" width="22" customWidth="1"/>
    <col min="4502" max="4502" width="12.28515625" customWidth="1"/>
    <col min="4751" max="4751" width="18.7109375" customWidth="1"/>
    <col min="4753" max="4753" width="16.28515625" customWidth="1"/>
    <col min="4754" max="4754" width="13.85546875" customWidth="1"/>
    <col min="4755" max="4755" width="27.28515625" customWidth="1"/>
    <col min="4756" max="4756" width="31.85546875" customWidth="1"/>
    <col min="4757" max="4757" width="22" customWidth="1"/>
    <col min="4758" max="4758" width="12.28515625" customWidth="1"/>
    <col min="5007" max="5007" width="18.7109375" customWidth="1"/>
    <col min="5009" max="5009" width="16.28515625" customWidth="1"/>
    <col min="5010" max="5010" width="13.85546875" customWidth="1"/>
    <col min="5011" max="5011" width="27.28515625" customWidth="1"/>
    <col min="5012" max="5012" width="31.85546875" customWidth="1"/>
    <col min="5013" max="5013" width="22" customWidth="1"/>
    <col min="5014" max="5014" width="12.28515625" customWidth="1"/>
    <col min="5263" max="5263" width="18.7109375" customWidth="1"/>
    <col min="5265" max="5265" width="16.28515625" customWidth="1"/>
    <col min="5266" max="5266" width="13.85546875" customWidth="1"/>
    <col min="5267" max="5267" width="27.28515625" customWidth="1"/>
    <col min="5268" max="5268" width="31.85546875" customWidth="1"/>
    <col min="5269" max="5269" width="22" customWidth="1"/>
    <col min="5270" max="5270" width="12.28515625" customWidth="1"/>
    <col min="5519" max="5519" width="18.7109375" customWidth="1"/>
    <col min="5521" max="5521" width="16.28515625" customWidth="1"/>
    <col min="5522" max="5522" width="13.85546875" customWidth="1"/>
    <col min="5523" max="5523" width="27.28515625" customWidth="1"/>
    <col min="5524" max="5524" width="31.85546875" customWidth="1"/>
    <col min="5525" max="5525" width="22" customWidth="1"/>
    <col min="5526" max="5526" width="12.28515625" customWidth="1"/>
    <col min="5775" max="5775" width="18.7109375" customWidth="1"/>
    <col min="5777" max="5777" width="16.28515625" customWidth="1"/>
    <col min="5778" max="5778" width="13.85546875" customWidth="1"/>
    <col min="5779" max="5779" width="27.28515625" customWidth="1"/>
    <col min="5780" max="5780" width="31.85546875" customWidth="1"/>
    <col min="5781" max="5781" width="22" customWidth="1"/>
    <col min="5782" max="5782" width="12.28515625" customWidth="1"/>
    <col min="6031" max="6031" width="18.7109375" customWidth="1"/>
    <col min="6033" max="6033" width="16.28515625" customWidth="1"/>
    <col min="6034" max="6034" width="13.85546875" customWidth="1"/>
    <col min="6035" max="6035" width="27.28515625" customWidth="1"/>
    <col min="6036" max="6036" width="31.85546875" customWidth="1"/>
    <col min="6037" max="6037" width="22" customWidth="1"/>
    <col min="6038" max="6038" width="12.28515625" customWidth="1"/>
    <col min="6287" max="6287" width="18.7109375" customWidth="1"/>
    <col min="6289" max="6289" width="16.28515625" customWidth="1"/>
    <col min="6290" max="6290" width="13.85546875" customWidth="1"/>
    <col min="6291" max="6291" width="27.28515625" customWidth="1"/>
    <col min="6292" max="6292" width="31.85546875" customWidth="1"/>
    <col min="6293" max="6293" width="22" customWidth="1"/>
    <col min="6294" max="6294" width="12.28515625" customWidth="1"/>
    <col min="6543" max="6543" width="18.7109375" customWidth="1"/>
    <col min="6545" max="6545" width="16.28515625" customWidth="1"/>
    <col min="6546" max="6546" width="13.85546875" customWidth="1"/>
    <col min="6547" max="6547" width="27.28515625" customWidth="1"/>
    <col min="6548" max="6548" width="31.85546875" customWidth="1"/>
    <col min="6549" max="6549" width="22" customWidth="1"/>
    <col min="6550" max="6550" width="12.28515625" customWidth="1"/>
    <col min="6799" max="6799" width="18.7109375" customWidth="1"/>
    <col min="6801" max="6801" width="16.28515625" customWidth="1"/>
    <col min="6802" max="6802" width="13.85546875" customWidth="1"/>
    <col min="6803" max="6803" width="27.28515625" customWidth="1"/>
    <col min="6804" max="6804" width="31.85546875" customWidth="1"/>
    <col min="6805" max="6805" width="22" customWidth="1"/>
    <col min="6806" max="6806" width="12.28515625" customWidth="1"/>
    <col min="7055" max="7055" width="18.7109375" customWidth="1"/>
    <col min="7057" max="7057" width="16.28515625" customWidth="1"/>
    <col min="7058" max="7058" width="13.85546875" customWidth="1"/>
    <col min="7059" max="7059" width="27.28515625" customWidth="1"/>
    <col min="7060" max="7060" width="31.85546875" customWidth="1"/>
    <col min="7061" max="7061" width="22" customWidth="1"/>
    <col min="7062" max="7062" width="12.28515625" customWidth="1"/>
    <col min="7311" max="7311" width="18.7109375" customWidth="1"/>
    <col min="7313" max="7313" width="16.28515625" customWidth="1"/>
    <col min="7314" max="7314" width="13.85546875" customWidth="1"/>
    <col min="7315" max="7315" width="27.28515625" customWidth="1"/>
    <col min="7316" max="7316" width="31.85546875" customWidth="1"/>
    <col min="7317" max="7317" width="22" customWidth="1"/>
    <col min="7318" max="7318" width="12.28515625" customWidth="1"/>
    <col min="7567" max="7567" width="18.7109375" customWidth="1"/>
    <col min="7569" max="7569" width="16.28515625" customWidth="1"/>
    <col min="7570" max="7570" width="13.85546875" customWidth="1"/>
    <col min="7571" max="7571" width="27.28515625" customWidth="1"/>
    <col min="7572" max="7572" width="31.85546875" customWidth="1"/>
    <col min="7573" max="7573" width="22" customWidth="1"/>
    <col min="7574" max="7574" width="12.28515625" customWidth="1"/>
    <col min="7823" max="7823" width="18.7109375" customWidth="1"/>
    <col min="7825" max="7825" width="16.28515625" customWidth="1"/>
    <col min="7826" max="7826" width="13.85546875" customWidth="1"/>
    <col min="7827" max="7827" width="27.28515625" customWidth="1"/>
    <col min="7828" max="7828" width="31.85546875" customWidth="1"/>
    <col min="7829" max="7829" width="22" customWidth="1"/>
    <col min="7830" max="7830" width="12.28515625" customWidth="1"/>
    <col min="8079" max="8079" width="18.7109375" customWidth="1"/>
    <col min="8081" max="8081" width="16.28515625" customWidth="1"/>
    <col min="8082" max="8082" width="13.85546875" customWidth="1"/>
    <col min="8083" max="8083" width="27.28515625" customWidth="1"/>
    <col min="8084" max="8084" width="31.85546875" customWidth="1"/>
    <col min="8085" max="8085" width="22" customWidth="1"/>
    <col min="8086" max="8086" width="12.28515625" customWidth="1"/>
    <col min="8335" max="8335" width="18.7109375" customWidth="1"/>
    <col min="8337" max="8337" width="16.28515625" customWidth="1"/>
    <col min="8338" max="8338" width="13.85546875" customWidth="1"/>
    <col min="8339" max="8339" width="27.28515625" customWidth="1"/>
    <col min="8340" max="8340" width="31.85546875" customWidth="1"/>
    <col min="8341" max="8341" width="22" customWidth="1"/>
    <col min="8342" max="8342" width="12.28515625" customWidth="1"/>
    <col min="8591" max="8591" width="18.7109375" customWidth="1"/>
    <col min="8593" max="8593" width="16.28515625" customWidth="1"/>
    <col min="8594" max="8594" width="13.85546875" customWidth="1"/>
    <col min="8595" max="8595" width="27.28515625" customWidth="1"/>
    <col min="8596" max="8596" width="31.85546875" customWidth="1"/>
    <col min="8597" max="8597" width="22" customWidth="1"/>
    <col min="8598" max="8598" width="12.28515625" customWidth="1"/>
    <col min="8847" max="8847" width="18.7109375" customWidth="1"/>
    <col min="8849" max="8849" width="16.28515625" customWidth="1"/>
    <col min="8850" max="8850" width="13.85546875" customWidth="1"/>
    <col min="8851" max="8851" width="27.28515625" customWidth="1"/>
    <col min="8852" max="8852" width="31.85546875" customWidth="1"/>
    <col min="8853" max="8853" width="22" customWidth="1"/>
    <col min="8854" max="8854" width="12.28515625" customWidth="1"/>
    <col min="9103" max="9103" width="18.7109375" customWidth="1"/>
    <col min="9105" max="9105" width="16.28515625" customWidth="1"/>
    <col min="9106" max="9106" width="13.85546875" customWidth="1"/>
    <col min="9107" max="9107" width="27.28515625" customWidth="1"/>
    <col min="9108" max="9108" width="31.85546875" customWidth="1"/>
    <col min="9109" max="9109" width="22" customWidth="1"/>
    <col min="9110" max="9110" width="12.28515625" customWidth="1"/>
    <col min="9359" max="9359" width="18.7109375" customWidth="1"/>
    <col min="9361" max="9361" width="16.28515625" customWidth="1"/>
    <col min="9362" max="9362" width="13.85546875" customWidth="1"/>
    <col min="9363" max="9363" width="27.28515625" customWidth="1"/>
    <col min="9364" max="9364" width="31.85546875" customWidth="1"/>
    <col min="9365" max="9365" width="22" customWidth="1"/>
    <col min="9366" max="9366" width="12.28515625" customWidth="1"/>
    <col min="9615" max="9615" width="18.7109375" customWidth="1"/>
    <col min="9617" max="9617" width="16.28515625" customWidth="1"/>
    <col min="9618" max="9618" width="13.85546875" customWidth="1"/>
    <col min="9619" max="9619" width="27.28515625" customWidth="1"/>
    <col min="9620" max="9620" width="31.85546875" customWidth="1"/>
    <col min="9621" max="9621" width="22" customWidth="1"/>
    <col min="9622" max="9622" width="12.28515625" customWidth="1"/>
    <col min="9871" max="9871" width="18.7109375" customWidth="1"/>
    <col min="9873" max="9873" width="16.28515625" customWidth="1"/>
    <col min="9874" max="9874" width="13.85546875" customWidth="1"/>
    <col min="9875" max="9875" width="27.28515625" customWidth="1"/>
    <col min="9876" max="9876" width="31.85546875" customWidth="1"/>
    <col min="9877" max="9877" width="22" customWidth="1"/>
    <col min="9878" max="9878" width="12.28515625" customWidth="1"/>
    <col min="10127" max="10127" width="18.7109375" customWidth="1"/>
    <col min="10129" max="10129" width="16.28515625" customWidth="1"/>
    <col min="10130" max="10130" width="13.85546875" customWidth="1"/>
    <col min="10131" max="10131" width="27.28515625" customWidth="1"/>
    <col min="10132" max="10132" width="31.85546875" customWidth="1"/>
    <col min="10133" max="10133" width="22" customWidth="1"/>
    <col min="10134" max="10134" width="12.28515625" customWidth="1"/>
    <col min="10383" max="10383" width="18.7109375" customWidth="1"/>
    <col min="10385" max="10385" width="16.28515625" customWidth="1"/>
    <col min="10386" max="10386" width="13.85546875" customWidth="1"/>
    <col min="10387" max="10387" width="27.28515625" customWidth="1"/>
    <col min="10388" max="10388" width="31.85546875" customWidth="1"/>
    <col min="10389" max="10389" width="22" customWidth="1"/>
    <col min="10390" max="10390" width="12.28515625" customWidth="1"/>
    <col min="10639" max="10639" width="18.7109375" customWidth="1"/>
    <col min="10641" max="10641" width="16.28515625" customWidth="1"/>
    <col min="10642" max="10642" width="13.85546875" customWidth="1"/>
    <col min="10643" max="10643" width="27.28515625" customWidth="1"/>
    <col min="10644" max="10644" width="31.85546875" customWidth="1"/>
    <col min="10645" max="10645" width="22" customWidth="1"/>
    <col min="10646" max="10646" width="12.28515625" customWidth="1"/>
    <col min="10895" max="10895" width="18.7109375" customWidth="1"/>
    <col min="10897" max="10897" width="16.28515625" customWidth="1"/>
    <col min="10898" max="10898" width="13.85546875" customWidth="1"/>
    <col min="10899" max="10899" width="27.28515625" customWidth="1"/>
    <col min="10900" max="10900" width="31.85546875" customWidth="1"/>
    <col min="10901" max="10901" width="22" customWidth="1"/>
    <col min="10902" max="10902" width="12.28515625" customWidth="1"/>
    <col min="11151" max="11151" width="18.7109375" customWidth="1"/>
    <col min="11153" max="11153" width="16.28515625" customWidth="1"/>
    <col min="11154" max="11154" width="13.85546875" customWidth="1"/>
    <col min="11155" max="11155" width="27.28515625" customWidth="1"/>
    <col min="11156" max="11156" width="31.85546875" customWidth="1"/>
    <col min="11157" max="11157" width="22" customWidth="1"/>
    <col min="11158" max="11158" width="12.28515625" customWidth="1"/>
    <col min="11407" max="11407" width="18.7109375" customWidth="1"/>
    <col min="11409" max="11409" width="16.28515625" customWidth="1"/>
    <col min="11410" max="11410" width="13.85546875" customWidth="1"/>
    <col min="11411" max="11411" width="27.28515625" customWidth="1"/>
    <col min="11412" max="11412" width="31.85546875" customWidth="1"/>
    <col min="11413" max="11413" width="22" customWidth="1"/>
    <col min="11414" max="11414" width="12.28515625" customWidth="1"/>
    <col min="11663" max="11663" width="18.7109375" customWidth="1"/>
    <col min="11665" max="11665" width="16.28515625" customWidth="1"/>
    <col min="11666" max="11666" width="13.85546875" customWidth="1"/>
    <col min="11667" max="11667" width="27.28515625" customWidth="1"/>
    <col min="11668" max="11668" width="31.85546875" customWidth="1"/>
    <col min="11669" max="11669" width="22" customWidth="1"/>
    <col min="11670" max="11670" width="12.28515625" customWidth="1"/>
    <col min="11919" max="11919" width="18.7109375" customWidth="1"/>
    <col min="11921" max="11921" width="16.28515625" customWidth="1"/>
    <col min="11922" max="11922" width="13.85546875" customWidth="1"/>
    <col min="11923" max="11923" width="27.28515625" customWidth="1"/>
    <col min="11924" max="11924" width="31.85546875" customWidth="1"/>
    <col min="11925" max="11925" width="22" customWidth="1"/>
    <col min="11926" max="11926" width="12.28515625" customWidth="1"/>
    <col min="12175" max="12175" width="18.7109375" customWidth="1"/>
    <col min="12177" max="12177" width="16.28515625" customWidth="1"/>
    <col min="12178" max="12178" width="13.85546875" customWidth="1"/>
    <col min="12179" max="12179" width="27.28515625" customWidth="1"/>
    <col min="12180" max="12180" width="31.85546875" customWidth="1"/>
    <col min="12181" max="12181" width="22" customWidth="1"/>
    <col min="12182" max="12182" width="12.28515625" customWidth="1"/>
    <col min="12431" max="12431" width="18.7109375" customWidth="1"/>
    <col min="12433" max="12433" width="16.28515625" customWidth="1"/>
    <col min="12434" max="12434" width="13.85546875" customWidth="1"/>
    <col min="12435" max="12435" width="27.28515625" customWidth="1"/>
    <col min="12436" max="12436" width="31.85546875" customWidth="1"/>
    <col min="12437" max="12437" width="22" customWidth="1"/>
    <col min="12438" max="12438" width="12.28515625" customWidth="1"/>
    <col min="12687" max="12687" width="18.7109375" customWidth="1"/>
    <col min="12689" max="12689" width="16.28515625" customWidth="1"/>
    <col min="12690" max="12690" width="13.85546875" customWidth="1"/>
    <col min="12691" max="12691" width="27.28515625" customWidth="1"/>
    <col min="12692" max="12692" width="31.85546875" customWidth="1"/>
    <col min="12693" max="12693" width="22" customWidth="1"/>
    <col min="12694" max="12694" width="12.28515625" customWidth="1"/>
    <col min="12943" max="12943" width="18.7109375" customWidth="1"/>
    <col min="12945" max="12945" width="16.28515625" customWidth="1"/>
    <col min="12946" max="12946" width="13.85546875" customWidth="1"/>
    <col min="12947" max="12947" width="27.28515625" customWidth="1"/>
    <col min="12948" max="12948" width="31.85546875" customWidth="1"/>
    <col min="12949" max="12949" width="22" customWidth="1"/>
    <col min="12950" max="12950" width="12.28515625" customWidth="1"/>
    <col min="13199" max="13199" width="18.7109375" customWidth="1"/>
    <col min="13201" max="13201" width="16.28515625" customWidth="1"/>
    <col min="13202" max="13202" width="13.85546875" customWidth="1"/>
    <col min="13203" max="13203" width="27.28515625" customWidth="1"/>
    <col min="13204" max="13204" width="31.85546875" customWidth="1"/>
    <col min="13205" max="13205" width="22" customWidth="1"/>
    <col min="13206" max="13206" width="12.28515625" customWidth="1"/>
    <col min="13455" max="13455" width="18.7109375" customWidth="1"/>
    <col min="13457" max="13457" width="16.28515625" customWidth="1"/>
    <col min="13458" max="13458" width="13.85546875" customWidth="1"/>
    <col min="13459" max="13459" width="27.28515625" customWidth="1"/>
    <col min="13460" max="13460" width="31.85546875" customWidth="1"/>
    <col min="13461" max="13461" width="22" customWidth="1"/>
    <col min="13462" max="13462" width="12.28515625" customWidth="1"/>
    <col min="13711" max="13711" width="18.7109375" customWidth="1"/>
    <col min="13713" max="13713" width="16.28515625" customWidth="1"/>
    <col min="13714" max="13714" width="13.85546875" customWidth="1"/>
    <col min="13715" max="13715" width="27.28515625" customWidth="1"/>
    <col min="13716" max="13716" width="31.85546875" customWidth="1"/>
    <col min="13717" max="13717" width="22" customWidth="1"/>
    <col min="13718" max="13718" width="12.28515625" customWidth="1"/>
    <col min="13967" max="13967" width="18.7109375" customWidth="1"/>
    <col min="13969" max="13969" width="16.28515625" customWidth="1"/>
    <col min="13970" max="13970" width="13.85546875" customWidth="1"/>
    <col min="13971" max="13971" width="27.28515625" customWidth="1"/>
    <col min="13972" max="13972" width="31.85546875" customWidth="1"/>
    <col min="13973" max="13973" width="22" customWidth="1"/>
    <col min="13974" max="13974" width="12.28515625" customWidth="1"/>
    <col min="14223" max="14223" width="18.7109375" customWidth="1"/>
    <col min="14225" max="14225" width="16.28515625" customWidth="1"/>
    <col min="14226" max="14226" width="13.85546875" customWidth="1"/>
    <col min="14227" max="14227" width="27.28515625" customWidth="1"/>
    <col min="14228" max="14228" width="31.85546875" customWidth="1"/>
    <col min="14229" max="14229" width="22" customWidth="1"/>
    <col min="14230" max="14230" width="12.28515625" customWidth="1"/>
    <col min="14479" max="14479" width="18.7109375" customWidth="1"/>
    <col min="14481" max="14481" width="16.28515625" customWidth="1"/>
    <col min="14482" max="14482" width="13.85546875" customWidth="1"/>
    <col min="14483" max="14483" width="27.28515625" customWidth="1"/>
    <col min="14484" max="14484" width="31.85546875" customWidth="1"/>
    <col min="14485" max="14485" width="22" customWidth="1"/>
    <col min="14486" max="14486" width="12.28515625" customWidth="1"/>
    <col min="14735" max="14735" width="18.7109375" customWidth="1"/>
    <col min="14737" max="14737" width="16.28515625" customWidth="1"/>
    <col min="14738" max="14738" width="13.85546875" customWidth="1"/>
    <col min="14739" max="14739" width="27.28515625" customWidth="1"/>
    <col min="14740" max="14740" width="31.85546875" customWidth="1"/>
    <col min="14741" max="14741" width="22" customWidth="1"/>
    <col min="14742" max="14742" width="12.28515625" customWidth="1"/>
    <col min="14991" max="14991" width="18.7109375" customWidth="1"/>
    <col min="14993" max="14993" width="16.28515625" customWidth="1"/>
    <col min="14994" max="14994" width="13.85546875" customWidth="1"/>
    <col min="14995" max="14995" width="27.28515625" customWidth="1"/>
    <col min="14996" max="14996" width="31.85546875" customWidth="1"/>
    <col min="14997" max="14997" width="22" customWidth="1"/>
    <col min="14998" max="14998" width="12.28515625" customWidth="1"/>
    <col min="15247" max="15247" width="18.7109375" customWidth="1"/>
    <col min="15249" max="15249" width="16.28515625" customWidth="1"/>
    <col min="15250" max="15250" width="13.85546875" customWidth="1"/>
    <col min="15251" max="15251" width="27.28515625" customWidth="1"/>
    <col min="15252" max="15252" width="31.85546875" customWidth="1"/>
    <col min="15253" max="15253" width="22" customWidth="1"/>
    <col min="15254" max="15254" width="12.28515625" customWidth="1"/>
    <col min="15503" max="15503" width="18.7109375" customWidth="1"/>
    <col min="15505" max="15505" width="16.28515625" customWidth="1"/>
    <col min="15506" max="15506" width="13.85546875" customWidth="1"/>
    <col min="15507" max="15507" width="27.28515625" customWidth="1"/>
    <col min="15508" max="15508" width="31.85546875" customWidth="1"/>
    <col min="15509" max="15509" width="22" customWidth="1"/>
    <col min="15510" max="15510" width="12.28515625" customWidth="1"/>
    <col min="16199" max="16208" width="11.28515625" customWidth="1"/>
    <col min="16257" max="16384" width="12.7109375" customWidth="1"/>
  </cols>
  <sheetData>
    <row r="1" spans="2:25" x14ac:dyDescent="0.25">
      <c r="B1" s="325" t="s">
        <v>0</v>
      </c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</row>
    <row r="2" spans="2:25" x14ac:dyDescent="0.25">
      <c r="B2" s="326" t="s">
        <v>1</v>
      </c>
      <c r="C2" s="326"/>
      <c r="D2" s="326"/>
      <c r="E2" s="326"/>
      <c r="F2" s="326"/>
      <c r="G2" s="326"/>
      <c r="H2" s="326"/>
      <c r="I2" s="326"/>
      <c r="J2" s="326"/>
      <c r="K2" s="326"/>
      <c r="L2" s="326"/>
      <c r="M2" s="326"/>
      <c r="N2" s="326"/>
      <c r="O2" s="326"/>
      <c r="P2" s="326"/>
      <c r="Q2" s="326"/>
      <c r="R2" s="326"/>
      <c r="S2" s="326"/>
      <c r="T2" s="326"/>
      <c r="U2" s="326"/>
      <c r="V2" s="326"/>
      <c r="W2" s="326"/>
    </row>
    <row r="3" spans="2:25" x14ac:dyDescent="0.25">
      <c r="B3" s="326" t="s">
        <v>424</v>
      </c>
      <c r="C3" s="326"/>
      <c r="D3" s="326"/>
      <c r="E3" s="326"/>
      <c r="F3" s="326"/>
      <c r="G3" s="326"/>
      <c r="H3" s="326"/>
      <c r="I3" s="326"/>
      <c r="J3" s="326"/>
      <c r="K3" s="326"/>
      <c r="L3" s="326"/>
      <c r="M3" s="326"/>
      <c r="N3" s="326"/>
      <c r="O3" s="326"/>
      <c r="P3" s="326"/>
      <c r="Q3" s="326"/>
      <c r="R3" s="326"/>
      <c r="S3" s="326"/>
      <c r="T3" s="326"/>
      <c r="U3" s="326"/>
      <c r="V3" s="326"/>
      <c r="W3" s="326"/>
    </row>
    <row r="4" spans="2:25" x14ac:dyDescent="0.25">
      <c r="B4" s="271"/>
      <c r="C4" s="271"/>
      <c r="D4" s="270"/>
      <c r="E4" s="272"/>
      <c r="F4" s="272"/>
      <c r="G4" s="271"/>
      <c r="Q4" s="327" t="s">
        <v>691</v>
      </c>
      <c r="R4" s="327"/>
      <c r="S4" s="327"/>
    </row>
    <row r="5" spans="2:25" x14ac:dyDescent="0.25">
      <c r="B5" s="271"/>
      <c r="C5" s="271"/>
      <c r="D5" s="270"/>
      <c r="E5" s="272"/>
      <c r="F5" s="272"/>
      <c r="G5" s="271"/>
    </row>
    <row r="6" spans="2:25" s="265" customFormat="1" x14ac:dyDescent="0.25">
      <c r="C6" s="274"/>
      <c r="E6" s="275"/>
      <c r="F6" s="275"/>
      <c r="H6" s="328"/>
      <c r="I6" s="328"/>
      <c r="J6" s="328"/>
      <c r="K6" s="328"/>
      <c r="L6" s="328"/>
      <c r="M6" s="328"/>
      <c r="N6" s="328"/>
      <c r="Q6" s="276"/>
      <c r="R6" s="276"/>
      <c r="S6" s="276"/>
      <c r="T6" s="276"/>
      <c r="U6" s="276"/>
      <c r="V6" s="276"/>
      <c r="W6" s="276"/>
    </row>
    <row r="7" spans="2:25" ht="45" x14ac:dyDescent="0.25">
      <c r="B7" s="277" t="s">
        <v>2</v>
      </c>
      <c r="C7" s="277" t="s">
        <v>3</v>
      </c>
      <c r="D7" s="278" t="s">
        <v>4</v>
      </c>
      <c r="E7" s="279" t="s">
        <v>673</v>
      </c>
      <c r="F7" s="279" t="s">
        <v>690</v>
      </c>
      <c r="G7" s="278" t="s">
        <v>7</v>
      </c>
      <c r="H7" s="278" t="s">
        <v>674</v>
      </c>
      <c r="I7" s="278" t="s">
        <v>9</v>
      </c>
      <c r="J7" s="278" t="s">
        <v>10</v>
      </c>
      <c r="K7" s="278" t="s">
        <v>675</v>
      </c>
      <c r="L7" s="278" t="s">
        <v>676</v>
      </c>
      <c r="M7" s="278" t="s">
        <v>12</v>
      </c>
      <c r="N7" s="278" t="s">
        <v>423</v>
      </c>
      <c r="O7" s="280" t="s">
        <v>14</v>
      </c>
      <c r="Q7" s="281" t="s">
        <v>15</v>
      </c>
      <c r="R7" s="281" t="s">
        <v>16</v>
      </c>
      <c r="S7" s="281" t="s">
        <v>17</v>
      </c>
      <c r="T7" s="281" t="s">
        <v>18</v>
      </c>
      <c r="U7" s="281" t="s">
        <v>19</v>
      </c>
      <c r="V7" s="281" t="s">
        <v>20</v>
      </c>
      <c r="W7" s="281" t="s">
        <v>21</v>
      </c>
    </row>
    <row r="8" spans="2:25" s="289" customFormat="1" x14ac:dyDescent="0.25">
      <c r="B8" s="282" t="s">
        <v>25</v>
      </c>
      <c r="C8" s="243" t="s">
        <v>26</v>
      </c>
      <c r="D8" s="283" t="s">
        <v>27</v>
      </c>
      <c r="E8" s="284">
        <v>42.45</v>
      </c>
      <c r="F8" s="284">
        <v>42.45</v>
      </c>
      <c r="G8" s="243">
        <v>220</v>
      </c>
      <c r="H8" s="285">
        <v>0</v>
      </c>
      <c r="I8" s="285">
        <v>0</v>
      </c>
      <c r="J8" s="285">
        <v>0</v>
      </c>
      <c r="K8" s="285">
        <v>0</v>
      </c>
      <c r="L8" s="286">
        <f t="shared" ref="L8:L71" si="0">G8+H8+I8-J8-K8</f>
        <v>220</v>
      </c>
      <c r="M8" s="285">
        <v>220</v>
      </c>
      <c r="N8" s="285">
        <f t="shared" ref="N8:N71" si="1">M8-L8</f>
        <v>0</v>
      </c>
      <c r="O8" s="288"/>
      <c r="Q8" s="290">
        <f t="shared" ref="Q8:Q71" si="2">G8*E8</f>
        <v>9339</v>
      </c>
      <c r="R8" s="290">
        <v>0</v>
      </c>
      <c r="S8" s="290">
        <f t="shared" ref="S8:S71" si="3">H8*F8</f>
        <v>0</v>
      </c>
      <c r="T8" s="290">
        <f t="shared" ref="T8:T71" si="4">I8*F8</f>
        <v>0</v>
      </c>
      <c r="U8" s="290">
        <f t="shared" ref="U8:U71" si="5">J8*F8</f>
        <v>0</v>
      </c>
      <c r="V8" s="290">
        <f t="shared" ref="V8:V71" si="6">K8*F8</f>
        <v>0</v>
      </c>
      <c r="W8" s="290">
        <f t="shared" ref="W8:W71" si="7">Q8+R8+S8+T8-U8-V8</f>
        <v>9339</v>
      </c>
      <c r="X8" s="291">
        <f t="shared" ref="X8:X71" si="8">L8*F8</f>
        <v>9339</v>
      </c>
      <c r="Y8" s="291">
        <f t="shared" ref="Y8:Y71" si="9">X8-W8</f>
        <v>0</v>
      </c>
    </row>
    <row r="9" spans="2:25" s="289" customFormat="1" x14ac:dyDescent="0.25">
      <c r="B9" s="282" t="s">
        <v>28</v>
      </c>
      <c r="C9" s="243" t="s">
        <v>29</v>
      </c>
      <c r="D9" s="283" t="s">
        <v>30</v>
      </c>
      <c r="E9" s="284">
        <v>10.83</v>
      </c>
      <c r="F9" s="284">
        <v>10.83</v>
      </c>
      <c r="G9" s="243">
        <v>176</v>
      </c>
      <c r="H9" s="285">
        <v>0</v>
      </c>
      <c r="I9" s="285">
        <v>0</v>
      </c>
      <c r="J9" s="287">
        <v>176</v>
      </c>
      <c r="K9" s="285">
        <v>0</v>
      </c>
      <c r="L9" s="286">
        <f t="shared" si="0"/>
        <v>0</v>
      </c>
      <c r="M9" s="285">
        <v>0</v>
      </c>
      <c r="N9" s="285">
        <f t="shared" si="1"/>
        <v>0</v>
      </c>
      <c r="O9" s="288"/>
      <c r="Q9" s="290">
        <f t="shared" si="2"/>
        <v>1906.08</v>
      </c>
      <c r="R9" s="290">
        <v>0</v>
      </c>
      <c r="S9" s="290">
        <f t="shared" si="3"/>
        <v>0</v>
      </c>
      <c r="T9" s="290">
        <f t="shared" si="4"/>
        <v>0</v>
      </c>
      <c r="U9" s="290">
        <f t="shared" si="5"/>
        <v>1906.08</v>
      </c>
      <c r="V9" s="290">
        <f t="shared" si="6"/>
        <v>0</v>
      </c>
      <c r="W9" s="290">
        <f t="shared" si="7"/>
        <v>0</v>
      </c>
      <c r="X9" s="291">
        <f t="shared" si="8"/>
        <v>0</v>
      </c>
      <c r="Y9" s="291">
        <f t="shared" si="9"/>
        <v>0</v>
      </c>
    </row>
    <row r="10" spans="2:25" s="289" customFormat="1" x14ac:dyDescent="0.25">
      <c r="B10" s="282" t="s">
        <v>677</v>
      </c>
      <c r="C10" s="243" t="s">
        <v>29</v>
      </c>
      <c r="D10" s="283" t="s">
        <v>31</v>
      </c>
      <c r="E10" s="284">
        <v>13.33</v>
      </c>
      <c r="F10" s="284">
        <v>13.33</v>
      </c>
      <c r="G10" s="243">
        <v>100</v>
      </c>
      <c r="H10" s="285">
        <v>0</v>
      </c>
      <c r="I10" s="285">
        <v>0</v>
      </c>
      <c r="J10" s="287">
        <v>100</v>
      </c>
      <c r="K10" s="285">
        <v>0</v>
      </c>
      <c r="L10" s="286">
        <f t="shared" si="0"/>
        <v>0</v>
      </c>
      <c r="M10" s="285">
        <v>0</v>
      </c>
      <c r="N10" s="285">
        <f t="shared" si="1"/>
        <v>0</v>
      </c>
      <c r="O10" s="288"/>
      <c r="Q10" s="290">
        <f t="shared" si="2"/>
        <v>1333</v>
      </c>
      <c r="R10" s="290">
        <v>0</v>
      </c>
      <c r="S10" s="290">
        <f t="shared" si="3"/>
        <v>0</v>
      </c>
      <c r="T10" s="290">
        <f t="shared" si="4"/>
        <v>0</v>
      </c>
      <c r="U10" s="290">
        <f t="shared" si="5"/>
        <v>1333</v>
      </c>
      <c r="V10" s="290">
        <f t="shared" si="6"/>
        <v>0</v>
      </c>
      <c r="W10" s="290">
        <f t="shared" si="7"/>
        <v>0</v>
      </c>
      <c r="X10" s="291">
        <f t="shared" si="8"/>
        <v>0</v>
      </c>
      <c r="Y10" s="291">
        <f t="shared" si="9"/>
        <v>0</v>
      </c>
    </row>
    <row r="11" spans="2:25" s="289" customFormat="1" x14ac:dyDescent="0.25">
      <c r="B11" s="282" t="s">
        <v>32</v>
      </c>
      <c r="C11" s="243" t="s">
        <v>29</v>
      </c>
      <c r="D11" s="283" t="s">
        <v>33</v>
      </c>
      <c r="E11" s="284">
        <v>15.83</v>
      </c>
      <c r="F11" s="284">
        <v>15.83</v>
      </c>
      <c r="G11" s="243">
        <v>204</v>
      </c>
      <c r="H11" s="285">
        <v>0</v>
      </c>
      <c r="I11" s="285">
        <v>0</v>
      </c>
      <c r="J11" s="287">
        <v>187</v>
      </c>
      <c r="K11" s="285">
        <v>0</v>
      </c>
      <c r="L11" s="286">
        <f t="shared" si="0"/>
        <v>17</v>
      </c>
      <c r="M11" s="285">
        <v>17</v>
      </c>
      <c r="N11" s="285">
        <f t="shared" si="1"/>
        <v>0</v>
      </c>
      <c r="O11" s="288"/>
      <c r="Q11" s="290">
        <f t="shared" si="2"/>
        <v>3229.32</v>
      </c>
      <c r="R11" s="290">
        <v>0</v>
      </c>
      <c r="S11" s="290">
        <f t="shared" si="3"/>
        <v>0</v>
      </c>
      <c r="T11" s="290">
        <f t="shared" si="4"/>
        <v>0</v>
      </c>
      <c r="U11" s="290">
        <f t="shared" si="5"/>
        <v>2960.21</v>
      </c>
      <c r="V11" s="290">
        <f t="shared" si="6"/>
        <v>0</v>
      </c>
      <c r="W11" s="290">
        <f t="shared" si="7"/>
        <v>269.11000000000013</v>
      </c>
      <c r="X11" s="291">
        <f t="shared" si="8"/>
        <v>269.11</v>
      </c>
      <c r="Y11" s="291">
        <f t="shared" si="9"/>
        <v>0</v>
      </c>
    </row>
    <row r="12" spans="2:25" s="289" customFormat="1" x14ac:dyDescent="0.25">
      <c r="B12" s="282" t="s">
        <v>34</v>
      </c>
      <c r="C12" s="243" t="s">
        <v>26</v>
      </c>
      <c r="D12" s="283" t="s">
        <v>35</v>
      </c>
      <c r="E12" s="284">
        <v>12.85</v>
      </c>
      <c r="F12" s="284">
        <v>12.85</v>
      </c>
      <c r="G12" s="243">
        <v>0</v>
      </c>
      <c r="H12" s="285">
        <v>0</v>
      </c>
      <c r="I12" s="285">
        <v>0</v>
      </c>
      <c r="J12" s="285">
        <v>0</v>
      </c>
      <c r="K12" s="285">
        <v>0</v>
      </c>
      <c r="L12" s="286">
        <f t="shared" si="0"/>
        <v>0</v>
      </c>
      <c r="M12" s="285">
        <v>0</v>
      </c>
      <c r="N12" s="285">
        <f t="shared" si="1"/>
        <v>0</v>
      </c>
      <c r="O12" s="288"/>
      <c r="Q12" s="290">
        <f t="shared" si="2"/>
        <v>0</v>
      </c>
      <c r="R12" s="290">
        <v>0</v>
      </c>
      <c r="S12" s="290">
        <f t="shared" si="3"/>
        <v>0</v>
      </c>
      <c r="T12" s="290">
        <f t="shared" si="4"/>
        <v>0</v>
      </c>
      <c r="U12" s="290">
        <f t="shared" si="5"/>
        <v>0</v>
      </c>
      <c r="V12" s="290">
        <f t="shared" si="6"/>
        <v>0</v>
      </c>
      <c r="W12" s="290">
        <f t="shared" si="7"/>
        <v>0</v>
      </c>
      <c r="X12" s="291">
        <f t="shared" si="8"/>
        <v>0</v>
      </c>
      <c r="Y12" s="291">
        <f t="shared" si="9"/>
        <v>0</v>
      </c>
    </row>
    <row r="13" spans="2:25" s="289" customFormat="1" x14ac:dyDescent="0.25">
      <c r="B13" s="282" t="s">
        <v>36</v>
      </c>
      <c r="C13" s="243" t="s">
        <v>26</v>
      </c>
      <c r="D13" s="283" t="s">
        <v>37</v>
      </c>
      <c r="E13" s="284">
        <v>8.16</v>
      </c>
      <c r="F13" s="284">
        <v>8.16</v>
      </c>
      <c r="G13" s="243">
        <v>0</v>
      </c>
      <c r="H13" s="285">
        <v>0</v>
      </c>
      <c r="I13" s="285">
        <v>0</v>
      </c>
      <c r="J13" s="285">
        <v>0</v>
      </c>
      <c r="K13" s="285">
        <v>0</v>
      </c>
      <c r="L13" s="286">
        <f t="shared" si="0"/>
        <v>0</v>
      </c>
      <c r="M13" s="285">
        <v>0</v>
      </c>
      <c r="N13" s="285">
        <f t="shared" si="1"/>
        <v>0</v>
      </c>
      <c r="O13" s="288"/>
      <c r="Q13" s="290">
        <f t="shared" si="2"/>
        <v>0</v>
      </c>
      <c r="R13" s="290">
        <v>0</v>
      </c>
      <c r="S13" s="290">
        <f t="shared" si="3"/>
        <v>0</v>
      </c>
      <c r="T13" s="290">
        <f t="shared" si="4"/>
        <v>0</v>
      </c>
      <c r="U13" s="290">
        <f t="shared" si="5"/>
        <v>0</v>
      </c>
      <c r="V13" s="290">
        <f t="shared" si="6"/>
        <v>0</v>
      </c>
      <c r="W13" s="290">
        <f t="shared" si="7"/>
        <v>0</v>
      </c>
      <c r="X13" s="291">
        <f t="shared" si="8"/>
        <v>0</v>
      </c>
      <c r="Y13" s="291">
        <f t="shared" si="9"/>
        <v>0</v>
      </c>
    </row>
    <row r="14" spans="2:25" s="289" customFormat="1" x14ac:dyDescent="0.25">
      <c r="B14" s="282" t="s">
        <v>38</v>
      </c>
      <c r="C14" s="243" t="s">
        <v>26</v>
      </c>
      <c r="D14" s="283" t="s">
        <v>39</v>
      </c>
      <c r="E14" s="284">
        <v>41.25</v>
      </c>
      <c r="F14" s="284">
        <v>41.25</v>
      </c>
      <c r="G14" s="243">
        <v>39</v>
      </c>
      <c r="H14" s="285">
        <v>0</v>
      </c>
      <c r="I14" s="285">
        <v>0</v>
      </c>
      <c r="J14" s="285">
        <v>0</v>
      </c>
      <c r="K14" s="285">
        <v>0</v>
      </c>
      <c r="L14" s="286">
        <f t="shared" si="0"/>
        <v>39</v>
      </c>
      <c r="M14" s="285">
        <v>39</v>
      </c>
      <c r="N14" s="285">
        <f t="shared" si="1"/>
        <v>0</v>
      </c>
      <c r="O14" s="288"/>
      <c r="Q14" s="290">
        <f t="shared" si="2"/>
        <v>1608.75</v>
      </c>
      <c r="R14" s="290">
        <v>0</v>
      </c>
      <c r="S14" s="290">
        <f t="shared" si="3"/>
        <v>0</v>
      </c>
      <c r="T14" s="290">
        <f t="shared" si="4"/>
        <v>0</v>
      </c>
      <c r="U14" s="290">
        <f t="shared" si="5"/>
        <v>0</v>
      </c>
      <c r="V14" s="290">
        <f t="shared" si="6"/>
        <v>0</v>
      </c>
      <c r="W14" s="290">
        <f t="shared" si="7"/>
        <v>1608.75</v>
      </c>
      <c r="X14" s="291">
        <f t="shared" si="8"/>
        <v>1608.75</v>
      </c>
      <c r="Y14" s="291">
        <f t="shared" si="9"/>
        <v>0</v>
      </c>
    </row>
    <row r="15" spans="2:25" s="289" customFormat="1" x14ac:dyDescent="0.25">
      <c r="B15" s="282" t="s">
        <v>40</v>
      </c>
      <c r="C15" s="243" t="s">
        <v>26</v>
      </c>
      <c r="D15" s="283" t="s">
        <v>41</v>
      </c>
      <c r="E15" s="284">
        <v>18.420000000000002</v>
      </c>
      <c r="F15" s="284">
        <v>18.420000000000002</v>
      </c>
      <c r="G15" s="243">
        <v>29</v>
      </c>
      <c r="H15" s="285">
        <v>0</v>
      </c>
      <c r="I15" s="285">
        <v>0</v>
      </c>
      <c r="J15" s="285">
        <v>0</v>
      </c>
      <c r="K15" s="285">
        <v>0</v>
      </c>
      <c r="L15" s="286">
        <f t="shared" si="0"/>
        <v>29</v>
      </c>
      <c r="M15" s="285">
        <v>29</v>
      </c>
      <c r="N15" s="285">
        <f t="shared" si="1"/>
        <v>0</v>
      </c>
      <c r="O15" s="288"/>
      <c r="Q15" s="290">
        <f t="shared" si="2"/>
        <v>534.18000000000006</v>
      </c>
      <c r="R15" s="290">
        <v>0</v>
      </c>
      <c r="S15" s="290">
        <f t="shared" si="3"/>
        <v>0</v>
      </c>
      <c r="T15" s="290">
        <f t="shared" si="4"/>
        <v>0</v>
      </c>
      <c r="U15" s="290">
        <f t="shared" si="5"/>
        <v>0</v>
      </c>
      <c r="V15" s="290">
        <f t="shared" si="6"/>
        <v>0</v>
      </c>
      <c r="W15" s="290">
        <f t="shared" si="7"/>
        <v>534.18000000000006</v>
      </c>
      <c r="X15" s="291">
        <f t="shared" si="8"/>
        <v>534.18000000000006</v>
      </c>
      <c r="Y15" s="291">
        <f t="shared" si="9"/>
        <v>0</v>
      </c>
    </row>
    <row r="16" spans="2:25" s="289" customFormat="1" x14ac:dyDescent="0.25">
      <c r="B16" s="282" t="s">
        <v>42</v>
      </c>
      <c r="C16" s="243" t="s">
        <v>26</v>
      </c>
      <c r="D16" s="283" t="s">
        <v>43</v>
      </c>
      <c r="E16" s="284">
        <v>29.9</v>
      </c>
      <c r="F16" s="284">
        <v>29.9</v>
      </c>
      <c r="G16" s="243">
        <v>0</v>
      </c>
      <c r="H16" s="285">
        <v>0</v>
      </c>
      <c r="I16" s="285">
        <v>0</v>
      </c>
      <c r="J16" s="285">
        <v>0</v>
      </c>
      <c r="K16" s="285">
        <v>0</v>
      </c>
      <c r="L16" s="286">
        <f t="shared" si="0"/>
        <v>0</v>
      </c>
      <c r="M16" s="285">
        <v>0</v>
      </c>
      <c r="N16" s="285">
        <f t="shared" si="1"/>
        <v>0</v>
      </c>
      <c r="O16" s="288"/>
      <c r="Q16" s="290">
        <f t="shared" si="2"/>
        <v>0</v>
      </c>
      <c r="R16" s="290">
        <v>0</v>
      </c>
      <c r="S16" s="290">
        <f t="shared" si="3"/>
        <v>0</v>
      </c>
      <c r="T16" s="290">
        <f t="shared" si="4"/>
        <v>0</v>
      </c>
      <c r="U16" s="290">
        <f t="shared" si="5"/>
        <v>0</v>
      </c>
      <c r="V16" s="290">
        <f t="shared" si="6"/>
        <v>0</v>
      </c>
      <c r="W16" s="290">
        <f t="shared" si="7"/>
        <v>0</v>
      </c>
      <c r="X16" s="291">
        <f t="shared" si="8"/>
        <v>0</v>
      </c>
      <c r="Y16" s="291">
        <f t="shared" si="9"/>
        <v>0</v>
      </c>
    </row>
    <row r="17" spans="2:25" s="289" customFormat="1" x14ac:dyDescent="0.25">
      <c r="B17" s="282" t="s">
        <v>44</v>
      </c>
      <c r="C17" s="243" t="s">
        <v>26</v>
      </c>
      <c r="D17" s="283" t="s">
        <v>45</v>
      </c>
      <c r="E17" s="284">
        <v>99.14</v>
      </c>
      <c r="F17" s="284">
        <v>99.14</v>
      </c>
      <c r="G17" s="243">
        <v>2</v>
      </c>
      <c r="H17" s="285">
        <v>0</v>
      </c>
      <c r="I17" s="285">
        <v>0</v>
      </c>
      <c r="J17" s="285">
        <v>0</v>
      </c>
      <c r="K17" s="285">
        <v>0</v>
      </c>
      <c r="L17" s="286">
        <f t="shared" si="0"/>
        <v>2</v>
      </c>
      <c r="M17" s="285">
        <v>2</v>
      </c>
      <c r="N17" s="285">
        <f t="shared" si="1"/>
        <v>0</v>
      </c>
      <c r="O17" s="288"/>
      <c r="Q17" s="290">
        <f t="shared" si="2"/>
        <v>198.28</v>
      </c>
      <c r="R17" s="290">
        <v>0</v>
      </c>
      <c r="S17" s="290">
        <f t="shared" si="3"/>
        <v>0</v>
      </c>
      <c r="T17" s="290">
        <f t="shared" si="4"/>
        <v>0</v>
      </c>
      <c r="U17" s="290">
        <f t="shared" si="5"/>
        <v>0</v>
      </c>
      <c r="V17" s="290">
        <f t="shared" si="6"/>
        <v>0</v>
      </c>
      <c r="W17" s="290">
        <f t="shared" si="7"/>
        <v>198.28</v>
      </c>
      <c r="X17" s="291">
        <f t="shared" si="8"/>
        <v>198.28</v>
      </c>
      <c r="Y17" s="291">
        <f t="shared" si="9"/>
        <v>0</v>
      </c>
    </row>
    <row r="18" spans="2:25" s="289" customFormat="1" x14ac:dyDescent="0.25">
      <c r="B18" s="282" t="s">
        <v>46</v>
      </c>
      <c r="C18" s="243" t="s">
        <v>29</v>
      </c>
      <c r="D18" s="283" t="s">
        <v>47</v>
      </c>
      <c r="E18" s="284">
        <v>13.44</v>
      </c>
      <c r="F18" s="284">
        <v>13.44</v>
      </c>
      <c r="G18" s="243">
        <v>0</v>
      </c>
      <c r="H18" s="285">
        <v>0</v>
      </c>
      <c r="I18" s="285">
        <v>0</v>
      </c>
      <c r="J18" s="285">
        <v>0</v>
      </c>
      <c r="K18" s="285">
        <v>0</v>
      </c>
      <c r="L18" s="286">
        <f t="shared" si="0"/>
        <v>0</v>
      </c>
      <c r="M18" s="285">
        <v>0</v>
      </c>
      <c r="N18" s="285">
        <f t="shared" si="1"/>
        <v>0</v>
      </c>
      <c r="O18" s="288"/>
      <c r="Q18" s="290">
        <f t="shared" si="2"/>
        <v>0</v>
      </c>
      <c r="R18" s="290">
        <v>0</v>
      </c>
      <c r="S18" s="290">
        <f t="shared" si="3"/>
        <v>0</v>
      </c>
      <c r="T18" s="290">
        <f t="shared" si="4"/>
        <v>0</v>
      </c>
      <c r="U18" s="290">
        <f t="shared" si="5"/>
        <v>0</v>
      </c>
      <c r="V18" s="290">
        <f t="shared" si="6"/>
        <v>0</v>
      </c>
      <c r="W18" s="290">
        <f t="shared" si="7"/>
        <v>0</v>
      </c>
      <c r="X18" s="291">
        <f t="shared" si="8"/>
        <v>0</v>
      </c>
      <c r="Y18" s="291">
        <f t="shared" si="9"/>
        <v>0</v>
      </c>
    </row>
    <row r="19" spans="2:25" s="289" customFormat="1" x14ac:dyDescent="0.25">
      <c r="B19" s="282" t="s">
        <v>49</v>
      </c>
      <c r="C19" s="243" t="s">
        <v>29</v>
      </c>
      <c r="D19" s="283" t="s">
        <v>50</v>
      </c>
      <c r="E19" s="284">
        <v>15.8</v>
      </c>
      <c r="F19" s="284">
        <v>15.8</v>
      </c>
      <c r="G19" s="243">
        <v>0</v>
      </c>
      <c r="H19" s="285">
        <v>0</v>
      </c>
      <c r="I19" s="285">
        <v>0</v>
      </c>
      <c r="J19" s="285">
        <v>0</v>
      </c>
      <c r="K19" s="285">
        <v>0</v>
      </c>
      <c r="L19" s="286">
        <f t="shared" si="0"/>
        <v>0</v>
      </c>
      <c r="M19" s="285">
        <v>0</v>
      </c>
      <c r="N19" s="285">
        <f t="shared" si="1"/>
        <v>0</v>
      </c>
      <c r="O19" s="288"/>
      <c r="Q19" s="290">
        <f t="shared" si="2"/>
        <v>0</v>
      </c>
      <c r="R19" s="290">
        <v>0</v>
      </c>
      <c r="S19" s="290">
        <f t="shared" si="3"/>
        <v>0</v>
      </c>
      <c r="T19" s="290">
        <f t="shared" si="4"/>
        <v>0</v>
      </c>
      <c r="U19" s="290">
        <f t="shared" si="5"/>
        <v>0</v>
      </c>
      <c r="V19" s="290">
        <f t="shared" si="6"/>
        <v>0</v>
      </c>
      <c r="W19" s="290">
        <f t="shared" si="7"/>
        <v>0</v>
      </c>
      <c r="X19" s="291">
        <f t="shared" si="8"/>
        <v>0</v>
      </c>
      <c r="Y19" s="291">
        <f t="shared" si="9"/>
        <v>0</v>
      </c>
    </row>
    <row r="20" spans="2:25" s="289" customFormat="1" x14ac:dyDescent="0.25">
      <c r="B20" s="282" t="s">
        <v>51</v>
      </c>
      <c r="C20" s="243" t="s">
        <v>29</v>
      </c>
      <c r="D20" s="283" t="s">
        <v>52</v>
      </c>
      <c r="E20" s="284">
        <v>13.44</v>
      </c>
      <c r="F20" s="284">
        <v>13.44</v>
      </c>
      <c r="G20" s="243">
        <v>0</v>
      </c>
      <c r="H20" s="285">
        <v>0</v>
      </c>
      <c r="I20" s="285">
        <v>0</v>
      </c>
      <c r="J20" s="285">
        <v>0</v>
      </c>
      <c r="K20" s="285">
        <v>0</v>
      </c>
      <c r="L20" s="286">
        <f t="shared" si="0"/>
        <v>0</v>
      </c>
      <c r="M20" s="285">
        <v>0</v>
      </c>
      <c r="N20" s="285">
        <f t="shared" si="1"/>
        <v>0</v>
      </c>
      <c r="O20" s="288"/>
      <c r="Q20" s="290">
        <f t="shared" si="2"/>
        <v>0</v>
      </c>
      <c r="R20" s="290">
        <v>0</v>
      </c>
      <c r="S20" s="290">
        <f t="shared" si="3"/>
        <v>0</v>
      </c>
      <c r="T20" s="290">
        <f t="shared" si="4"/>
        <v>0</v>
      </c>
      <c r="U20" s="290">
        <f t="shared" si="5"/>
        <v>0</v>
      </c>
      <c r="V20" s="290">
        <f t="shared" si="6"/>
        <v>0</v>
      </c>
      <c r="W20" s="290">
        <f t="shared" si="7"/>
        <v>0</v>
      </c>
      <c r="X20" s="291">
        <f t="shared" si="8"/>
        <v>0</v>
      </c>
      <c r="Y20" s="291">
        <f t="shared" si="9"/>
        <v>0</v>
      </c>
    </row>
    <row r="21" spans="2:25" s="289" customFormat="1" x14ac:dyDescent="0.25">
      <c r="B21" s="282" t="s">
        <v>53</v>
      </c>
      <c r="C21" s="243" t="s">
        <v>29</v>
      </c>
      <c r="D21" s="283" t="s">
        <v>54</v>
      </c>
      <c r="E21" s="284">
        <v>15.8</v>
      </c>
      <c r="F21" s="284">
        <v>15.8</v>
      </c>
      <c r="G21" s="243">
        <v>0</v>
      </c>
      <c r="H21" s="285">
        <v>0</v>
      </c>
      <c r="I21" s="285">
        <v>0</v>
      </c>
      <c r="J21" s="285">
        <v>0</v>
      </c>
      <c r="K21" s="285">
        <v>0</v>
      </c>
      <c r="L21" s="286">
        <f t="shared" si="0"/>
        <v>0</v>
      </c>
      <c r="M21" s="285">
        <v>0</v>
      </c>
      <c r="N21" s="285">
        <f t="shared" si="1"/>
        <v>0</v>
      </c>
      <c r="O21" s="288"/>
      <c r="Q21" s="290">
        <f t="shared" si="2"/>
        <v>0</v>
      </c>
      <c r="R21" s="290">
        <v>0</v>
      </c>
      <c r="S21" s="290">
        <f t="shared" si="3"/>
        <v>0</v>
      </c>
      <c r="T21" s="290">
        <f t="shared" si="4"/>
        <v>0</v>
      </c>
      <c r="U21" s="290">
        <f t="shared" si="5"/>
        <v>0</v>
      </c>
      <c r="V21" s="290">
        <f t="shared" si="6"/>
        <v>0</v>
      </c>
      <c r="W21" s="290">
        <f t="shared" si="7"/>
        <v>0</v>
      </c>
      <c r="X21" s="291">
        <f t="shared" si="8"/>
        <v>0</v>
      </c>
      <c r="Y21" s="291">
        <f t="shared" si="9"/>
        <v>0</v>
      </c>
    </row>
    <row r="22" spans="2:25" s="289" customFormat="1" x14ac:dyDescent="0.25">
      <c r="B22" s="282" t="s">
        <v>55</v>
      </c>
      <c r="C22" s="243" t="s">
        <v>29</v>
      </c>
      <c r="D22" s="283" t="s">
        <v>56</v>
      </c>
      <c r="E22" s="284">
        <v>0</v>
      </c>
      <c r="F22" s="284">
        <v>0</v>
      </c>
      <c r="G22" s="243">
        <v>0</v>
      </c>
      <c r="H22" s="285">
        <v>0</v>
      </c>
      <c r="I22" s="285">
        <v>0</v>
      </c>
      <c r="J22" s="285">
        <v>0</v>
      </c>
      <c r="K22" s="285">
        <v>0</v>
      </c>
      <c r="L22" s="286">
        <f t="shared" si="0"/>
        <v>0</v>
      </c>
      <c r="M22" s="285">
        <v>0</v>
      </c>
      <c r="N22" s="285">
        <f t="shared" si="1"/>
        <v>0</v>
      </c>
      <c r="O22" s="288"/>
      <c r="Q22" s="290">
        <f t="shared" si="2"/>
        <v>0</v>
      </c>
      <c r="R22" s="290">
        <v>0</v>
      </c>
      <c r="S22" s="290">
        <f t="shared" si="3"/>
        <v>0</v>
      </c>
      <c r="T22" s="290">
        <f t="shared" si="4"/>
        <v>0</v>
      </c>
      <c r="U22" s="290">
        <f t="shared" si="5"/>
        <v>0</v>
      </c>
      <c r="V22" s="290">
        <f t="shared" si="6"/>
        <v>0</v>
      </c>
      <c r="W22" s="290">
        <f t="shared" si="7"/>
        <v>0</v>
      </c>
      <c r="X22" s="291">
        <f t="shared" si="8"/>
        <v>0</v>
      </c>
      <c r="Y22" s="291">
        <f t="shared" si="9"/>
        <v>0</v>
      </c>
    </row>
    <row r="23" spans="2:25" s="289" customFormat="1" x14ac:dyDescent="0.25">
      <c r="B23" s="282" t="s">
        <v>57</v>
      </c>
      <c r="C23" s="243" t="s">
        <v>58</v>
      </c>
      <c r="D23" s="283" t="s">
        <v>59</v>
      </c>
      <c r="E23" s="284">
        <v>8.74</v>
      </c>
      <c r="F23" s="284">
        <v>8.74</v>
      </c>
      <c r="G23" s="243">
        <v>3</v>
      </c>
      <c r="H23" s="285">
        <v>0</v>
      </c>
      <c r="I23" s="285">
        <v>0</v>
      </c>
      <c r="J23" s="285">
        <v>0</v>
      </c>
      <c r="K23" s="285">
        <v>0</v>
      </c>
      <c r="L23" s="286">
        <f t="shared" si="0"/>
        <v>3</v>
      </c>
      <c r="M23" s="285">
        <v>3</v>
      </c>
      <c r="N23" s="285">
        <f t="shared" si="1"/>
        <v>0</v>
      </c>
      <c r="O23" s="288"/>
      <c r="Q23" s="290">
        <f t="shared" si="2"/>
        <v>26.22</v>
      </c>
      <c r="R23" s="290">
        <v>0</v>
      </c>
      <c r="S23" s="290">
        <f t="shared" si="3"/>
        <v>0</v>
      </c>
      <c r="T23" s="290">
        <f t="shared" si="4"/>
        <v>0</v>
      </c>
      <c r="U23" s="290">
        <f t="shared" si="5"/>
        <v>0</v>
      </c>
      <c r="V23" s="290">
        <f t="shared" si="6"/>
        <v>0</v>
      </c>
      <c r="W23" s="290">
        <f t="shared" si="7"/>
        <v>26.22</v>
      </c>
      <c r="X23" s="291">
        <f t="shared" si="8"/>
        <v>26.22</v>
      </c>
      <c r="Y23" s="291">
        <f t="shared" si="9"/>
        <v>0</v>
      </c>
    </row>
    <row r="24" spans="2:25" s="289" customFormat="1" x14ac:dyDescent="0.25">
      <c r="B24" s="282" t="s">
        <v>60</v>
      </c>
      <c r="C24" s="243" t="s">
        <v>26</v>
      </c>
      <c r="D24" s="283" t="s">
        <v>61</v>
      </c>
      <c r="E24" s="284">
        <v>9.48</v>
      </c>
      <c r="F24" s="284">
        <v>9.48</v>
      </c>
      <c r="G24" s="243">
        <v>7</v>
      </c>
      <c r="H24" s="285">
        <v>0</v>
      </c>
      <c r="I24" s="285">
        <v>0</v>
      </c>
      <c r="J24" s="285">
        <v>0</v>
      </c>
      <c r="K24" s="285">
        <v>0</v>
      </c>
      <c r="L24" s="286">
        <f t="shared" si="0"/>
        <v>7</v>
      </c>
      <c r="M24" s="285">
        <v>7</v>
      </c>
      <c r="N24" s="285">
        <f t="shared" si="1"/>
        <v>0</v>
      </c>
      <c r="O24" s="288"/>
      <c r="Q24" s="290">
        <f t="shared" si="2"/>
        <v>66.36</v>
      </c>
      <c r="R24" s="290">
        <v>0</v>
      </c>
      <c r="S24" s="290">
        <f t="shared" si="3"/>
        <v>0</v>
      </c>
      <c r="T24" s="290">
        <f t="shared" si="4"/>
        <v>0</v>
      </c>
      <c r="U24" s="290">
        <f t="shared" si="5"/>
        <v>0</v>
      </c>
      <c r="V24" s="290">
        <f t="shared" si="6"/>
        <v>0</v>
      </c>
      <c r="W24" s="290">
        <f t="shared" si="7"/>
        <v>66.36</v>
      </c>
      <c r="X24" s="291">
        <f t="shared" si="8"/>
        <v>66.36</v>
      </c>
      <c r="Y24" s="291">
        <f t="shared" si="9"/>
        <v>0</v>
      </c>
    </row>
    <row r="25" spans="2:25" s="289" customFormat="1" x14ac:dyDescent="0.25">
      <c r="B25" s="282" t="s">
        <v>62</v>
      </c>
      <c r="C25" s="243" t="s">
        <v>26</v>
      </c>
      <c r="D25" s="283" t="s">
        <v>63</v>
      </c>
      <c r="E25" s="284">
        <v>12.07</v>
      </c>
      <c r="F25" s="284">
        <v>12.07</v>
      </c>
      <c r="G25" s="243">
        <v>0</v>
      </c>
      <c r="H25" s="285">
        <v>0</v>
      </c>
      <c r="I25" s="285">
        <v>0</v>
      </c>
      <c r="J25" s="285">
        <v>0</v>
      </c>
      <c r="K25" s="285">
        <v>0</v>
      </c>
      <c r="L25" s="286">
        <f t="shared" si="0"/>
        <v>0</v>
      </c>
      <c r="M25" s="285">
        <v>0</v>
      </c>
      <c r="N25" s="285">
        <f t="shared" si="1"/>
        <v>0</v>
      </c>
      <c r="O25" s="288"/>
      <c r="Q25" s="290">
        <f t="shared" si="2"/>
        <v>0</v>
      </c>
      <c r="R25" s="290">
        <v>0</v>
      </c>
      <c r="S25" s="290">
        <f t="shared" si="3"/>
        <v>0</v>
      </c>
      <c r="T25" s="290">
        <f t="shared" si="4"/>
        <v>0</v>
      </c>
      <c r="U25" s="290">
        <f t="shared" si="5"/>
        <v>0</v>
      </c>
      <c r="V25" s="290">
        <f t="shared" si="6"/>
        <v>0</v>
      </c>
      <c r="W25" s="290">
        <f t="shared" si="7"/>
        <v>0</v>
      </c>
      <c r="X25" s="291">
        <f t="shared" si="8"/>
        <v>0</v>
      </c>
      <c r="Y25" s="291">
        <f t="shared" si="9"/>
        <v>0</v>
      </c>
    </row>
    <row r="26" spans="2:25" s="289" customFormat="1" ht="30" x14ac:dyDescent="0.25">
      <c r="B26" s="282" t="s">
        <v>64</v>
      </c>
      <c r="C26" s="243" t="s">
        <v>26</v>
      </c>
      <c r="D26" s="283" t="s">
        <v>65</v>
      </c>
      <c r="E26" s="284">
        <v>30.69</v>
      </c>
      <c r="F26" s="284">
        <v>30.69</v>
      </c>
      <c r="G26" s="243">
        <v>0</v>
      </c>
      <c r="H26" s="285">
        <v>0</v>
      </c>
      <c r="I26" s="285">
        <v>0</v>
      </c>
      <c r="J26" s="285">
        <v>0</v>
      </c>
      <c r="K26" s="285">
        <v>0</v>
      </c>
      <c r="L26" s="286">
        <f t="shared" si="0"/>
        <v>0</v>
      </c>
      <c r="M26" s="285">
        <v>0</v>
      </c>
      <c r="N26" s="285">
        <f t="shared" si="1"/>
        <v>0</v>
      </c>
      <c r="O26" s="288"/>
      <c r="Q26" s="290">
        <f t="shared" si="2"/>
        <v>0</v>
      </c>
      <c r="R26" s="290">
        <v>0</v>
      </c>
      <c r="S26" s="290">
        <f t="shared" si="3"/>
        <v>0</v>
      </c>
      <c r="T26" s="290">
        <f t="shared" si="4"/>
        <v>0</v>
      </c>
      <c r="U26" s="290">
        <f t="shared" si="5"/>
        <v>0</v>
      </c>
      <c r="V26" s="290">
        <f t="shared" si="6"/>
        <v>0</v>
      </c>
      <c r="W26" s="290">
        <f t="shared" si="7"/>
        <v>0</v>
      </c>
      <c r="X26" s="291">
        <f t="shared" si="8"/>
        <v>0</v>
      </c>
      <c r="Y26" s="291">
        <f t="shared" si="9"/>
        <v>0</v>
      </c>
    </row>
    <row r="27" spans="2:25" s="289" customFormat="1" x14ac:dyDescent="0.25">
      <c r="B27" s="282" t="s">
        <v>67</v>
      </c>
      <c r="C27" s="243" t="s">
        <v>26</v>
      </c>
      <c r="D27" s="283" t="s">
        <v>68</v>
      </c>
      <c r="E27" s="284">
        <v>33.75</v>
      </c>
      <c r="F27" s="284">
        <v>33.75</v>
      </c>
      <c r="G27" s="243">
        <v>9</v>
      </c>
      <c r="H27" s="285">
        <v>0</v>
      </c>
      <c r="I27" s="285">
        <v>0</v>
      </c>
      <c r="J27" s="287">
        <v>1</v>
      </c>
      <c r="K27" s="285">
        <v>0</v>
      </c>
      <c r="L27" s="286">
        <f t="shared" si="0"/>
        <v>8</v>
      </c>
      <c r="M27" s="285">
        <v>8</v>
      </c>
      <c r="N27" s="285">
        <f t="shared" si="1"/>
        <v>0</v>
      </c>
      <c r="O27" s="288"/>
      <c r="Q27" s="290">
        <f t="shared" si="2"/>
        <v>303.75</v>
      </c>
      <c r="R27" s="290">
        <v>0</v>
      </c>
      <c r="S27" s="290">
        <f t="shared" si="3"/>
        <v>0</v>
      </c>
      <c r="T27" s="290">
        <f t="shared" si="4"/>
        <v>0</v>
      </c>
      <c r="U27" s="290">
        <f t="shared" si="5"/>
        <v>33.75</v>
      </c>
      <c r="V27" s="290">
        <f t="shared" si="6"/>
        <v>0</v>
      </c>
      <c r="W27" s="290">
        <f t="shared" si="7"/>
        <v>270</v>
      </c>
      <c r="X27" s="291">
        <f t="shared" si="8"/>
        <v>270</v>
      </c>
      <c r="Y27" s="291">
        <f t="shared" si="9"/>
        <v>0</v>
      </c>
    </row>
    <row r="28" spans="2:25" s="289" customFormat="1" x14ac:dyDescent="0.25">
      <c r="B28" s="282" t="s">
        <v>69</v>
      </c>
      <c r="C28" s="243" t="s">
        <v>29</v>
      </c>
      <c r="D28" s="283" t="s">
        <v>70</v>
      </c>
      <c r="E28" s="284">
        <v>16.8</v>
      </c>
      <c r="F28" s="284">
        <v>16.8</v>
      </c>
      <c r="G28" s="243">
        <v>0</v>
      </c>
      <c r="H28" s="285">
        <v>0</v>
      </c>
      <c r="I28" s="285">
        <v>0</v>
      </c>
      <c r="J28" s="285">
        <v>0</v>
      </c>
      <c r="K28" s="285">
        <v>0</v>
      </c>
      <c r="L28" s="286">
        <f t="shared" si="0"/>
        <v>0</v>
      </c>
      <c r="M28" s="285">
        <v>0</v>
      </c>
      <c r="N28" s="285">
        <f t="shared" si="1"/>
        <v>0</v>
      </c>
      <c r="O28" s="288"/>
      <c r="Q28" s="290">
        <f t="shared" si="2"/>
        <v>0</v>
      </c>
      <c r="R28" s="290">
        <v>0</v>
      </c>
      <c r="S28" s="290">
        <f t="shared" si="3"/>
        <v>0</v>
      </c>
      <c r="T28" s="290">
        <f t="shared" si="4"/>
        <v>0</v>
      </c>
      <c r="U28" s="290">
        <f t="shared" si="5"/>
        <v>0</v>
      </c>
      <c r="V28" s="290">
        <f t="shared" si="6"/>
        <v>0</v>
      </c>
      <c r="W28" s="290">
        <f t="shared" si="7"/>
        <v>0</v>
      </c>
      <c r="X28" s="291">
        <f t="shared" si="8"/>
        <v>0</v>
      </c>
      <c r="Y28" s="291">
        <f t="shared" si="9"/>
        <v>0</v>
      </c>
    </row>
    <row r="29" spans="2:25" s="289" customFormat="1" x14ac:dyDescent="0.25">
      <c r="B29" s="282" t="s">
        <v>71</v>
      </c>
      <c r="C29" s="243" t="s">
        <v>58</v>
      </c>
      <c r="D29" s="283" t="s">
        <v>72</v>
      </c>
      <c r="E29" s="284">
        <v>11</v>
      </c>
      <c r="F29" s="284">
        <v>11</v>
      </c>
      <c r="G29" s="243">
        <v>0</v>
      </c>
      <c r="H29" s="285">
        <v>0</v>
      </c>
      <c r="I29" s="285">
        <v>0</v>
      </c>
      <c r="J29" s="285">
        <v>0</v>
      </c>
      <c r="K29" s="285">
        <v>0</v>
      </c>
      <c r="L29" s="286">
        <f t="shared" si="0"/>
        <v>0</v>
      </c>
      <c r="M29" s="285">
        <v>0</v>
      </c>
      <c r="N29" s="285">
        <f t="shared" si="1"/>
        <v>0</v>
      </c>
      <c r="O29" s="288"/>
      <c r="Q29" s="290">
        <f t="shared" si="2"/>
        <v>0</v>
      </c>
      <c r="R29" s="290">
        <v>0</v>
      </c>
      <c r="S29" s="290">
        <f t="shared" si="3"/>
        <v>0</v>
      </c>
      <c r="T29" s="290">
        <f t="shared" si="4"/>
        <v>0</v>
      </c>
      <c r="U29" s="290">
        <f t="shared" si="5"/>
        <v>0</v>
      </c>
      <c r="V29" s="290">
        <f t="shared" si="6"/>
        <v>0</v>
      </c>
      <c r="W29" s="290">
        <f t="shared" si="7"/>
        <v>0</v>
      </c>
      <c r="X29" s="291">
        <f t="shared" si="8"/>
        <v>0</v>
      </c>
      <c r="Y29" s="291">
        <f t="shared" si="9"/>
        <v>0</v>
      </c>
    </row>
    <row r="30" spans="2:25" s="289" customFormat="1" x14ac:dyDescent="0.25">
      <c r="B30" s="282" t="s">
        <v>73</v>
      </c>
      <c r="C30" s="243" t="s">
        <v>58</v>
      </c>
      <c r="D30" s="283" t="s">
        <v>74</v>
      </c>
      <c r="E30" s="284">
        <v>3.33</v>
      </c>
      <c r="F30" s="284">
        <v>3.33</v>
      </c>
      <c r="G30" s="243">
        <v>1</v>
      </c>
      <c r="H30" s="285">
        <v>0</v>
      </c>
      <c r="I30" s="285">
        <v>0</v>
      </c>
      <c r="J30" s="285">
        <v>0</v>
      </c>
      <c r="K30" s="285">
        <v>0</v>
      </c>
      <c r="L30" s="286">
        <f t="shared" si="0"/>
        <v>1</v>
      </c>
      <c r="M30" s="285">
        <v>1</v>
      </c>
      <c r="N30" s="285">
        <f t="shared" si="1"/>
        <v>0</v>
      </c>
      <c r="O30" s="288"/>
      <c r="Q30" s="290">
        <f t="shared" si="2"/>
        <v>3.33</v>
      </c>
      <c r="R30" s="290">
        <v>0</v>
      </c>
      <c r="S30" s="290">
        <f t="shared" si="3"/>
        <v>0</v>
      </c>
      <c r="T30" s="290">
        <f t="shared" si="4"/>
        <v>0</v>
      </c>
      <c r="U30" s="290">
        <f t="shared" si="5"/>
        <v>0</v>
      </c>
      <c r="V30" s="290">
        <f t="shared" si="6"/>
        <v>0</v>
      </c>
      <c r="W30" s="290">
        <f t="shared" si="7"/>
        <v>3.33</v>
      </c>
      <c r="X30" s="291">
        <f t="shared" si="8"/>
        <v>3.33</v>
      </c>
      <c r="Y30" s="291">
        <f t="shared" si="9"/>
        <v>0</v>
      </c>
    </row>
    <row r="31" spans="2:25" s="289" customFormat="1" x14ac:dyDescent="0.25">
      <c r="B31" s="282" t="s">
        <v>75</v>
      </c>
      <c r="C31" s="243" t="s">
        <v>26</v>
      </c>
      <c r="D31" s="283" t="s">
        <v>76</v>
      </c>
      <c r="E31" s="284">
        <v>89.9</v>
      </c>
      <c r="F31" s="284">
        <v>89.9</v>
      </c>
      <c r="G31" s="243">
        <v>0</v>
      </c>
      <c r="H31" s="285">
        <v>0</v>
      </c>
      <c r="I31" s="285">
        <v>0</v>
      </c>
      <c r="J31" s="285">
        <v>0</v>
      </c>
      <c r="K31" s="285">
        <v>0</v>
      </c>
      <c r="L31" s="286">
        <f t="shared" si="0"/>
        <v>0</v>
      </c>
      <c r="M31" s="285">
        <v>0</v>
      </c>
      <c r="N31" s="285">
        <f t="shared" si="1"/>
        <v>0</v>
      </c>
      <c r="O31" s="288"/>
      <c r="Q31" s="290">
        <f t="shared" si="2"/>
        <v>0</v>
      </c>
      <c r="R31" s="290">
        <v>0</v>
      </c>
      <c r="S31" s="290">
        <f t="shared" si="3"/>
        <v>0</v>
      </c>
      <c r="T31" s="290">
        <f t="shared" si="4"/>
        <v>0</v>
      </c>
      <c r="U31" s="290">
        <f t="shared" si="5"/>
        <v>0</v>
      </c>
      <c r="V31" s="290">
        <f t="shared" si="6"/>
        <v>0</v>
      </c>
      <c r="W31" s="290">
        <f t="shared" si="7"/>
        <v>0</v>
      </c>
      <c r="X31" s="291">
        <f t="shared" si="8"/>
        <v>0</v>
      </c>
      <c r="Y31" s="291">
        <f t="shared" si="9"/>
        <v>0</v>
      </c>
    </row>
    <row r="32" spans="2:25" s="289" customFormat="1" x14ac:dyDescent="0.25">
      <c r="B32" s="282" t="s">
        <v>77</v>
      </c>
      <c r="C32" s="243" t="s">
        <v>26</v>
      </c>
      <c r="D32" s="283" t="s">
        <v>78</v>
      </c>
      <c r="E32" s="284">
        <v>87.2</v>
      </c>
      <c r="F32" s="284">
        <v>87.2</v>
      </c>
      <c r="G32" s="243">
        <v>6</v>
      </c>
      <c r="H32" s="285">
        <v>0</v>
      </c>
      <c r="I32" s="285">
        <v>0</v>
      </c>
      <c r="J32" s="285">
        <v>0</v>
      </c>
      <c r="K32" s="285">
        <v>0</v>
      </c>
      <c r="L32" s="286">
        <f t="shared" si="0"/>
        <v>6</v>
      </c>
      <c r="M32" s="285">
        <v>6</v>
      </c>
      <c r="N32" s="285">
        <f t="shared" si="1"/>
        <v>0</v>
      </c>
      <c r="O32" s="288"/>
      <c r="Q32" s="290">
        <f t="shared" si="2"/>
        <v>523.20000000000005</v>
      </c>
      <c r="R32" s="290">
        <v>0</v>
      </c>
      <c r="S32" s="290">
        <f t="shared" si="3"/>
        <v>0</v>
      </c>
      <c r="T32" s="290">
        <f t="shared" si="4"/>
        <v>0</v>
      </c>
      <c r="U32" s="290">
        <f t="shared" si="5"/>
        <v>0</v>
      </c>
      <c r="V32" s="290">
        <f t="shared" si="6"/>
        <v>0</v>
      </c>
      <c r="W32" s="290">
        <f t="shared" si="7"/>
        <v>523.20000000000005</v>
      </c>
      <c r="X32" s="291">
        <f t="shared" si="8"/>
        <v>523.20000000000005</v>
      </c>
      <c r="Y32" s="291">
        <f t="shared" si="9"/>
        <v>0</v>
      </c>
    </row>
    <row r="33" spans="2:25" s="289" customFormat="1" x14ac:dyDescent="0.25">
      <c r="B33" s="282" t="s">
        <v>79</v>
      </c>
      <c r="C33" s="243" t="s">
        <v>26</v>
      </c>
      <c r="D33" s="283" t="s">
        <v>80</v>
      </c>
      <c r="E33" s="284">
        <v>19.690000000000001</v>
      </c>
      <c r="F33" s="284">
        <v>19.690000000000001</v>
      </c>
      <c r="G33" s="243">
        <v>0</v>
      </c>
      <c r="H33" s="285">
        <v>0</v>
      </c>
      <c r="I33" s="285">
        <v>0</v>
      </c>
      <c r="J33" s="285">
        <v>0</v>
      </c>
      <c r="K33" s="285">
        <v>0</v>
      </c>
      <c r="L33" s="286">
        <f t="shared" si="0"/>
        <v>0</v>
      </c>
      <c r="M33" s="285">
        <v>0</v>
      </c>
      <c r="N33" s="285">
        <f t="shared" si="1"/>
        <v>0</v>
      </c>
      <c r="O33" s="288"/>
      <c r="Q33" s="290">
        <f t="shared" si="2"/>
        <v>0</v>
      </c>
      <c r="R33" s="290">
        <v>0</v>
      </c>
      <c r="S33" s="290">
        <f t="shared" si="3"/>
        <v>0</v>
      </c>
      <c r="T33" s="290">
        <f t="shared" si="4"/>
        <v>0</v>
      </c>
      <c r="U33" s="290">
        <f t="shared" si="5"/>
        <v>0</v>
      </c>
      <c r="V33" s="290">
        <f t="shared" si="6"/>
        <v>0</v>
      </c>
      <c r="W33" s="290">
        <f t="shared" si="7"/>
        <v>0</v>
      </c>
      <c r="X33" s="291">
        <f t="shared" si="8"/>
        <v>0</v>
      </c>
      <c r="Y33" s="291">
        <f t="shared" si="9"/>
        <v>0</v>
      </c>
    </row>
    <row r="34" spans="2:25" s="289" customFormat="1" x14ac:dyDescent="0.25">
      <c r="B34" s="282" t="s">
        <v>81</v>
      </c>
      <c r="C34" s="243" t="s">
        <v>58</v>
      </c>
      <c r="D34" s="283" t="s">
        <v>82</v>
      </c>
      <c r="E34" s="284">
        <v>0.24</v>
      </c>
      <c r="F34" s="284">
        <v>0.24</v>
      </c>
      <c r="G34" s="243">
        <v>19982</v>
      </c>
      <c r="H34" s="285">
        <v>0</v>
      </c>
      <c r="I34" s="285">
        <v>0</v>
      </c>
      <c r="J34" s="285">
        <v>0</v>
      </c>
      <c r="K34" s="285">
        <v>0</v>
      </c>
      <c r="L34" s="286">
        <f t="shared" si="0"/>
        <v>19982</v>
      </c>
      <c r="M34" s="285">
        <v>19982</v>
      </c>
      <c r="N34" s="285">
        <f t="shared" si="1"/>
        <v>0</v>
      </c>
      <c r="O34" s="288"/>
      <c r="Q34" s="290">
        <f t="shared" si="2"/>
        <v>4795.6799999999994</v>
      </c>
      <c r="R34" s="290">
        <v>0</v>
      </c>
      <c r="S34" s="290">
        <f t="shared" si="3"/>
        <v>0</v>
      </c>
      <c r="T34" s="290">
        <f t="shared" si="4"/>
        <v>0</v>
      </c>
      <c r="U34" s="290">
        <f t="shared" si="5"/>
        <v>0</v>
      </c>
      <c r="V34" s="290">
        <f t="shared" si="6"/>
        <v>0</v>
      </c>
      <c r="W34" s="290">
        <f t="shared" si="7"/>
        <v>4795.6799999999994</v>
      </c>
      <c r="X34" s="291">
        <f t="shared" si="8"/>
        <v>4795.6799999999994</v>
      </c>
      <c r="Y34" s="291">
        <f t="shared" si="9"/>
        <v>0</v>
      </c>
    </row>
    <row r="35" spans="2:25" s="289" customFormat="1" x14ac:dyDescent="0.25">
      <c r="B35" s="282" t="s">
        <v>83</v>
      </c>
      <c r="C35" s="243" t="s">
        <v>29</v>
      </c>
      <c r="D35" s="283" t="s">
        <v>84</v>
      </c>
      <c r="E35" s="284">
        <v>14.55</v>
      </c>
      <c r="F35" s="284">
        <v>14.55</v>
      </c>
      <c r="G35" s="243">
        <v>0</v>
      </c>
      <c r="H35" s="285">
        <v>0</v>
      </c>
      <c r="I35" s="285">
        <v>0</v>
      </c>
      <c r="J35" s="285">
        <v>0</v>
      </c>
      <c r="K35" s="285">
        <v>0</v>
      </c>
      <c r="L35" s="286">
        <f t="shared" si="0"/>
        <v>0</v>
      </c>
      <c r="M35" s="285">
        <v>0</v>
      </c>
      <c r="N35" s="285">
        <f t="shared" si="1"/>
        <v>0</v>
      </c>
      <c r="O35" s="288"/>
      <c r="Q35" s="290">
        <f t="shared" si="2"/>
        <v>0</v>
      </c>
      <c r="R35" s="290">
        <v>0</v>
      </c>
      <c r="S35" s="290">
        <f t="shared" si="3"/>
        <v>0</v>
      </c>
      <c r="T35" s="290">
        <f t="shared" si="4"/>
        <v>0</v>
      </c>
      <c r="U35" s="290">
        <f t="shared" si="5"/>
        <v>0</v>
      </c>
      <c r="V35" s="290">
        <f t="shared" si="6"/>
        <v>0</v>
      </c>
      <c r="W35" s="290">
        <f t="shared" si="7"/>
        <v>0</v>
      </c>
      <c r="X35" s="291">
        <f t="shared" si="8"/>
        <v>0</v>
      </c>
      <c r="Y35" s="291">
        <f t="shared" si="9"/>
        <v>0</v>
      </c>
    </row>
    <row r="36" spans="2:25" s="289" customFormat="1" x14ac:dyDescent="0.25">
      <c r="B36" s="282" t="s">
        <v>85</v>
      </c>
      <c r="C36" s="243" t="s">
        <v>29</v>
      </c>
      <c r="D36" s="283" t="s">
        <v>86</v>
      </c>
      <c r="E36" s="284">
        <v>0</v>
      </c>
      <c r="F36" s="284">
        <v>0</v>
      </c>
      <c r="G36" s="243">
        <v>0</v>
      </c>
      <c r="H36" s="285">
        <v>0</v>
      </c>
      <c r="I36" s="285">
        <v>0</v>
      </c>
      <c r="J36" s="285">
        <v>0</v>
      </c>
      <c r="K36" s="285">
        <v>0</v>
      </c>
      <c r="L36" s="286">
        <f t="shared" si="0"/>
        <v>0</v>
      </c>
      <c r="M36" s="285">
        <v>0</v>
      </c>
      <c r="N36" s="285">
        <f t="shared" si="1"/>
        <v>0</v>
      </c>
      <c r="O36" s="288"/>
      <c r="Q36" s="290">
        <f t="shared" si="2"/>
        <v>0</v>
      </c>
      <c r="R36" s="290">
        <v>0</v>
      </c>
      <c r="S36" s="290">
        <f t="shared" si="3"/>
        <v>0</v>
      </c>
      <c r="T36" s="290">
        <f t="shared" si="4"/>
        <v>0</v>
      </c>
      <c r="U36" s="290">
        <f t="shared" si="5"/>
        <v>0</v>
      </c>
      <c r="V36" s="290">
        <f t="shared" si="6"/>
        <v>0</v>
      </c>
      <c r="W36" s="290">
        <f t="shared" si="7"/>
        <v>0</v>
      </c>
      <c r="X36" s="291">
        <f t="shared" si="8"/>
        <v>0</v>
      </c>
      <c r="Y36" s="291">
        <f t="shared" si="9"/>
        <v>0</v>
      </c>
    </row>
    <row r="37" spans="2:25" s="289" customFormat="1" x14ac:dyDescent="0.25">
      <c r="B37" s="282" t="s">
        <v>87</v>
      </c>
      <c r="C37" s="243" t="s">
        <v>26</v>
      </c>
      <c r="D37" s="283" t="s">
        <v>88</v>
      </c>
      <c r="E37" s="284">
        <v>0.91</v>
      </c>
      <c r="F37" s="284">
        <v>0.91</v>
      </c>
      <c r="G37" s="243">
        <v>0</v>
      </c>
      <c r="H37" s="285">
        <v>0</v>
      </c>
      <c r="I37" s="285">
        <v>0</v>
      </c>
      <c r="J37" s="285">
        <v>0</v>
      </c>
      <c r="K37" s="285">
        <v>0</v>
      </c>
      <c r="L37" s="286">
        <f t="shared" si="0"/>
        <v>0</v>
      </c>
      <c r="M37" s="285">
        <v>0</v>
      </c>
      <c r="N37" s="285">
        <f t="shared" si="1"/>
        <v>0</v>
      </c>
      <c r="O37" s="288"/>
      <c r="Q37" s="290">
        <f t="shared" si="2"/>
        <v>0</v>
      </c>
      <c r="R37" s="290">
        <v>0</v>
      </c>
      <c r="S37" s="290">
        <f t="shared" si="3"/>
        <v>0</v>
      </c>
      <c r="T37" s="290">
        <f t="shared" si="4"/>
        <v>0</v>
      </c>
      <c r="U37" s="290">
        <f t="shared" si="5"/>
        <v>0</v>
      </c>
      <c r="V37" s="290">
        <f t="shared" si="6"/>
        <v>0</v>
      </c>
      <c r="W37" s="290">
        <f t="shared" si="7"/>
        <v>0</v>
      </c>
      <c r="X37" s="291">
        <f t="shared" si="8"/>
        <v>0</v>
      </c>
      <c r="Y37" s="291">
        <f t="shared" si="9"/>
        <v>0</v>
      </c>
    </row>
    <row r="38" spans="2:25" s="289" customFormat="1" ht="30" x14ac:dyDescent="0.25">
      <c r="B38" s="282" t="s">
        <v>89</v>
      </c>
      <c r="C38" s="243" t="s">
        <v>26</v>
      </c>
      <c r="D38" s="283" t="s">
        <v>90</v>
      </c>
      <c r="E38" s="284">
        <v>85</v>
      </c>
      <c r="F38" s="284">
        <v>85</v>
      </c>
      <c r="G38" s="243">
        <v>15</v>
      </c>
      <c r="H38" s="285">
        <v>0</v>
      </c>
      <c r="I38" s="285">
        <v>0</v>
      </c>
      <c r="J38" s="285">
        <v>0</v>
      </c>
      <c r="K38" s="285">
        <v>0</v>
      </c>
      <c r="L38" s="286">
        <f t="shared" si="0"/>
        <v>15</v>
      </c>
      <c r="M38" s="285">
        <v>15</v>
      </c>
      <c r="N38" s="285">
        <f t="shared" si="1"/>
        <v>0</v>
      </c>
      <c r="O38" s="288"/>
      <c r="Q38" s="290">
        <f t="shared" si="2"/>
        <v>1275</v>
      </c>
      <c r="R38" s="290">
        <v>0</v>
      </c>
      <c r="S38" s="290">
        <f t="shared" si="3"/>
        <v>0</v>
      </c>
      <c r="T38" s="290">
        <f t="shared" si="4"/>
        <v>0</v>
      </c>
      <c r="U38" s="290">
        <f t="shared" si="5"/>
        <v>0</v>
      </c>
      <c r="V38" s="290">
        <f t="shared" si="6"/>
        <v>0</v>
      </c>
      <c r="W38" s="290">
        <f t="shared" si="7"/>
        <v>1275</v>
      </c>
      <c r="X38" s="291">
        <f t="shared" si="8"/>
        <v>1275</v>
      </c>
      <c r="Y38" s="291">
        <f t="shared" si="9"/>
        <v>0</v>
      </c>
    </row>
    <row r="39" spans="2:25" s="289" customFormat="1" x14ac:dyDescent="0.25">
      <c r="B39" s="282" t="s">
        <v>91</v>
      </c>
      <c r="C39" s="243" t="s">
        <v>29</v>
      </c>
      <c r="D39" s="283" t="s">
        <v>92</v>
      </c>
      <c r="E39" s="284">
        <v>12.6</v>
      </c>
      <c r="F39" s="284">
        <v>12.6</v>
      </c>
      <c r="G39" s="243">
        <v>0</v>
      </c>
      <c r="H39" s="285">
        <v>0</v>
      </c>
      <c r="I39" s="285">
        <v>0</v>
      </c>
      <c r="J39" s="285">
        <v>0</v>
      </c>
      <c r="K39" s="285">
        <v>0</v>
      </c>
      <c r="L39" s="286">
        <f t="shared" si="0"/>
        <v>0</v>
      </c>
      <c r="M39" s="285">
        <v>0</v>
      </c>
      <c r="N39" s="285">
        <f t="shared" si="1"/>
        <v>0</v>
      </c>
      <c r="O39" s="288"/>
      <c r="Q39" s="290">
        <f t="shared" si="2"/>
        <v>0</v>
      </c>
      <c r="R39" s="290">
        <v>0</v>
      </c>
      <c r="S39" s="290">
        <f t="shared" si="3"/>
        <v>0</v>
      </c>
      <c r="T39" s="290">
        <f t="shared" si="4"/>
        <v>0</v>
      </c>
      <c r="U39" s="290">
        <f t="shared" si="5"/>
        <v>0</v>
      </c>
      <c r="V39" s="290">
        <f t="shared" si="6"/>
        <v>0</v>
      </c>
      <c r="W39" s="290">
        <f t="shared" si="7"/>
        <v>0</v>
      </c>
      <c r="X39" s="291">
        <f t="shared" si="8"/>
        <v>0</v>
      </c>
      <c r="Y39" s="291">
        <f t="shared" si="9"/>
        <v>0</v>
      </c>
    </row>
    <row r="40" spans="2:25" s="289" customFormat="1" x14ac:dyDescent="0.25">
      <c r="B40" s="282" t="s">
        <v>93</v>
      </c>
      <c r="C40" s="243" t="s">
        <v>29</v>
      </c>
      <c r="D40" s="283" t="s">
        <v>94</v>
      </c>
      <c r="E40" s="284">
        <v>14.28</v>
      </c>
      <c r="F40" s="284">
        <v>14.28</v>
      </c>
      <c r="G40" s="243">
        <v>0</v>
      </c>
      <c r="H40" s="285">
        <v>0</v>
      </c>
      <c r="I40" s="285">
        <v>0</v>
      </c>
      <c r="J40" s="285">
        <v>0</v>
      </c>
      <c r="K40" s="285">
        <v>0</v>
      </c>
      <c r="L40" s="286">
        <f t="shared" si="0"/>
        <v>0</v>
      </c>
      <c r="M40" s="285">
        <v>0</v>
      </c>
      <c r="N40" s="285">
        <f t="shared" si="1"/>
        <v>0</v>
      </c>
      <c r="O40" s="288"/>
      <c r="Q40" s="290">
        <f t="shared" si="2"/>
        <v>0</v>
      </c>
      <c r="R40" s="290">
        <v>0</v>
      </c>
      <c r="S40" s="290">
        <f t="shared" si="3"/>
        <v>0</v>
      </c>
      <c r="T40" s="290">
        <f t="shared" si="4"/>
        <v>0</v>
      </c>
      <c r="U40" s="290">
        <f t="shared" si="5"/>
        <v>0</v>
      </c>
      <c r="V40" s="290">
        <f t="shared" si="6"/>
        <v>0</v>
      </c>
      <c r="W40" s="290">
        <f t="shared" si="7"/>
        <v>0</v>
      </c>
      <c r="X40" s="291">
        <f t="shared" si="8"/>
        <v>0</v>
      </c>
      <c r="Y40" s="291">
        <f t="shared" si="9"/>
        <v>0</v>
      </c>
    </row>
    <row r="41" spans="2:25" s="289" customFormat="1" x14ac:dyDescent="0.25">
      <c r="B41" s="282" t="s">
        <v>95</v>
      </c>
      <c r="C41" s="243" t="s">
        <v>29</v>
      </c>
      <c r="D41" s="283" t="s">
        <v>96</v>
      </c>
      <c r="E41" s="284">
        <v>16.809999999999999</v>
      </c>
      <c r="F41" s="284">
        <v>16.809999999999999</v>
      </c>
      <c r="G41" s="243">
        <v>0</v>
      </c>
      <c r="H41" s="285">
        <v>0</v>
      </c>
      <c r="I41" s="285">
        <v>0</v>
      </c>
      <c r="J41" s="285">
        <v>0</v>
      </c>
      <c r="K41" s="285">
        <v>0</v>
      </c>
      <c r="L41" s="286">
        <f t="shared" si="0"/>
        <v>0</v>
      </c>
      <c r="M41" s="285">
        <v>0</v>
      </c>
      <c r="N41" s="285">
        <f t="shared" si="1"/>
        <v>0</v>
      </c>
      <c r="O41" s="288"/>
      <c r="Q41" s="290">
        <f t="shared" si="2"/>
        <v>0</v>
      </c>
      <c r="R41" s="290">
        <v>0</v>
      </c>
      <c r="S41" s="290">
        <f t="shared" si="3"/>
        <v>0</v>
      </c>
      <c r="T41" s="290">
        <f t="shared" si="4"/>
        <v>0</v>
      </c>
      <c r="U41" s="290">
        <f t="shared" si="5"/>
        <v>0</v>
      </c>
      <c r="V41" s="290">
        <f t="shared" si="6"/>
        <v>0</v>
      </c>
      <c r="W41" s="290">
        <f t="shared" si="7"/>
        <v>0</v>
      </c>
      <c r="X41" s="291">
        <f t="shared" si="8"/>
        <v>0</v>
      </c>
      <c r="Y41" s="291">
        <f t="shared" si="9"/>
        <v>0</v>
      </c>
    </row>
    <row r="42" spans="2:25" s="289" customFormat="1" x14ac:dyDescent="0.25">
      <c r="B42" s="282" t="s">
        <v>97</v>
      </c>
      <c r="C42" s="243" t="s">
        <v>29</v>
      </c>
      <c r="D42" s="283" t="s">
        <v>98</v>
      </c>
      <c r="E42" s="284">
        <v>16.8</v>
      </c>
      <c r="F42" s="284">
        <v>16.8</v>
      </c>
      <c r="G42" s="243">
        <v>0</v>
      </c>
      <c r="H42" s="285">
        <v>0</v>
      </c>
      <c r="I42" s="285">
        <v>0</v>
      </c>
      <c r="J42" s="285">
        <v>0</v>
      </c>
      <c r="K42" s="285">
        <v>0</v>
      </c>
      <c r="L42" s="286">
        <f t="shared" si="0"/>
        <v>0</v>
      </c>
      <c r="M42" s="285">
        <v>0</v>
      </c>
      <c r="N42" s="285">
        <f t="shared" si="1"/>
        <v>0</v>
      </c>
      <c r="O42" s="288"/>
      <c r="Q42" s="290">
        <f t="shared" si="2"/>
        <v>0</v>
      </c>
      <c r="R42" s="290">
        <v>0</v>
      </c>
      <c r="S42" s="290">
        <f t="shared" si="3"/>
        <v>0</v>
      </c>
      <c r="T42" s="290">
        <f t="shared" si="4"/>
        <v>0</v>
      </c>
      <c r="U42" s="290">
        <f t="shared" si="5"/>
        <v>0</v>
      </c>
      <c r="V42" s="290">
        <f t="shared" si="6"/>
        <v>0</v>
      </c>
      <c r="W42" s="290">
        <f t="shared" si="7"/>
        <v>0</v>
      </c>
      <c r="X42" s="291">
        <f t="shared" si="8"/>
        <v>0</v>
      </c>
      <c r="Y42" s="291">
        <f t="shared" si="9"/>
        <v>0</v>
      </c>
    </row>
    <row r="43" spans="2:25" s="289" customFormat="1" x14ac:dyDescent="0.25">
      <c r="B43" s="282" t="s">
        <v>99</v>
      </c>
      <c r="C43" s="243" t="s">
        <v>29</v>
      </c>
      <c r="D43" s="283" t="s">
        <v>100</v>
      </c>
      <c r="E43" s="284">
        <v>16.809999999999999</v>
      </c>
      <c r="F43" s="284">
        <v>16.809999999999999</v>
      </c>
      <c r="G43" s="243">
        <v>0</v>
      </c>
      <c r="H43" s="285">
        <v>0</v>
      </c>
      <c r="I43" s="285">
        <v>0</v>
      </c>
      <c r="J43" s="285">
        <v>0</v>
      </c>
      <c r="K43" s="285">
        <v>0</v>
      </c>
      <c r="L43" s="286">
        <f t="shared" si="0"/>
        <v>0</v>
      </c>
      <c r="M43" s="285">
        <v>0</v>
      </c>
      <c r="N43" s="285">
        <f t="shared" si="1"/>
        <v>0</v>
      </c>
      <c r="O43" s="288"/>
      <c r="Q43" s="290">
        <f t="shared" si="2"/>
        <v>0</v>
      </c>
      <c r="R43" s="290">
        <v>0</v>
      </c>
      <c r="S43" s="290">
        <f t="shared" si="3"/>
        <v>0</v>
      </c>
      <c r="T43" s="290">
        <f t="shared" si="4"/>
        <v>0</v>
      </c>
      <c r="U43" s="290">
        <f t="shared" si="5"/>
        <v>0</v>
      </c>
      <c r="V43" s="290">
        <f t="shared" si="6"/>
        <v>0</v>
      </c>
      <c r="W43" s="290">
        <f t="shared" si="7"/>
        <v>0</v>
      </c>
      <c r="X43" s="291">
        <f t="shared" si="8"/>
        <v>0</v>
      </c>
      <c r="Y43" s="291">
        <f t="shared" si="9"/>
        <v>0</v>
      </c>
    </row>
    <row r="44" spans="2:25" s="289" customFormat="1" x14ac:dyDescent="0.25">
      <c r="B44" s="282" t="s">
        <v>101</v>
      </c>
      <c r="C44" s="243" t="s">
        <v>29</v>
      </c>
      <c r="D44" s="283" t="s">
        <v>102</v>
      </c>
      <c r="E44" s="284">
        <v>16.809999999999999</v>
      </c>
      <c r="F44" s="284">
        <v>16.809999999999999</v>
      </c>
      <c r="G44" s="243">
        <v>0</v>
      </c>
      <c r="H44" s="285">
        <v>0</v>
      </c>
      <c r="I44" s="285">
        <v>0</v>
      </c>
      <c r="J44" s="285">
        <v>0</v>
      </c>
      <c r="K44" s="285">
        <v>0</v>
      </c>
      <c r="L44" s="286">
        <f t="shared" si="0"/>
        <v>0</v>
      </c>
      <c r="M44" s="285">
        <v>0</v>
      </c>
      <c r="N44" s="285">
        <f t="shared" si="1"/>
        <v>0</v>
      </c>
      <c r="O44" s="288"/>
      <c r="Q44" s="290">
        <f t="shared" si="2"/>
        <v>0</v>
      </c>
      <c r="R44" s="290">
        <v>0</v>
      </c>
      <c r="S44" s="290">
        <f t="shared" si="3"/>
        <v>0</v>
      </c>
      <c r="T44" s="290">
        <f t="shared" si="4"/>
        <v>0</v>
      </c>
      <c r="U44" s="290">
        <f t="shared" si="5"/>
        <v>0</v>
      </c>
      <c r="V44" s="290">
        <f t="shared" si="6"/>
        <v>0</v>
      </c>
      <c r="W44" s="290">
        <f t="shared" si="7"/>
        <v>0</v>
      </c>
      <c r="X44" s="291">
        <f t="shared" si="8"/>
        <v>0</v>
      </c>
      <c r="Y44" s="291">
        <f t="shared" si="9"/>
        <v>0</v>
      </c>
    </row>
    <row r="45" spans="2:25" s="289" customFormat="1" x14ac:dyDescent="0.25">
      <c r="B45" s="282" t="s">
        <v>103</v>
      </c>
      <c r="C45" s="243" t="s">
        <v>29</v>
      </c>
      <c r="D45" s="283" t="s">
        <v>104</v>
      </c>
      <c r="E45" s="284">
        <v>17.22</v>
      </c>
      <c r="F45" s="284">
        <v>17.22</v>
      </c>
      <c r="G45" s="243">
        <v>0</v>
      </c>
      <c r="H45" s="285">
        <v>0</v>
      </c>
      <c r="I45" s="285">
        <v>0</v>
      </c>
      <c r="J45" s="285">
        <v>0</v>
      </c>
      <c r="K45" s="285">
        <v>0</v>
      </c>
      <c r="L45" s="286">
        <f t="shared" si="0"/>
        <v>0</v>
      </c>
      <c r="M45" s="285">
        <v>0</v>
      </c>
      <c r="N45" s="285">
        <f t="shared" si="1"/>
        <v>0</v>
      </c>
      <c r="O45" s="288"/>
      <c r="Q45" s="290">
        <f t="shared" si="2"/>
        <v>0</v>
      </c>
      <c r="R45" s="290">
        <v>0</v>
      </c>
      <c r="S45" s="290">
        <f t="shared" si="3"/>
        <v>0</v>
      </c>
      <c r="T45" s="290">
        <f t="shared" si="4"/>
        <v>0</v>
      </c>
      <c r="U45" s="290">
        <f t="shared" si="5"/>
        <v>0</v>
      </c>
      <c r="V45" s="290">
        <f t="shared" si="6"/>
        <v>0</v>
      </c>
      <c r="W45" s="290">
        <f t="shared" si="7"/>
        <v>0</v>
      </c>
      <c r="X45" s="291">
        <f t="shared" si="8"/>
        <v>0</v>
      </c>
      <c r="Y45" s="291">
        <f t="shared" si="9"/>
        <v>0</v>
      </c>
    </row>
    <row r="46" spans="2:25" s="289" customFormat="1" x14ac:dyDescent="0.25">
      <c r="B46" s="282" t="s">
        <v>105</v>
      </c>
      <c r="C46" s="243" t="s">
        <v>29</v>
      </c>
      <c r="D46" s="283" t="s">
        <v>106</v>
      </c>
      <c r="E46" s="284">
        <v>11.99</v>
      </c>
      <c r="F46" s="284">
        <v>11.99</v>
      </c>
      <c r="G46" s="243">
        <v>0</v>
      </c>
      <c r="H46" s="285">
        <v>0</v>
      </c>
      <c r="I46" s="285">
        <v>0</v>
      </c>
      <c r="J46" s="285">
        <v>0</v>
      </c>
      <c r="K46" s="285">
        <v>0</v>
      </c>
      <c r="L46" s="286">
        <f t="shared" si="0"/>
        <v>0</v>
      </c>
      <c r="M46" s="285">
        <v>0</v>
      </c>
      <c r="N46" s="285">
        <f t="shared" si="1"/>
        <v>0</v>
      </c>
      <c r="O46" s="288"/>
      <c r="Q46" s="290">
        <f t="shared" si="2"/>
        <v>0</v>
      </c>
      <c r="R46" s="290">
        <v>0</v>
      </c>
      <c r="S46" s="290">
        <f t="shared" si="3"/>
        <v>0</v>
      </c>
      <c r="T46" s="290">
        <f t="shared" si="4"/>
        <v>0</v>
      </c>
      <c r="U46" s="290">
        <f t="shared" si="5"/>
        <v>0</v>
      </c>
      <c r="V46" s="290">
        <f t="shared" si="6"/>
        <v>0</v>
      </c>
      <c r="W46" s="290">
        <f t="shared" si="7"/>
        <v>0</v>
      </c>
      <c r="X46" s="291">
        <f t="shared" si="8"/>
        <v>0</v>
      </c>
      <c r="Y46" s="291">
        <f t="shared" si="9"/>
        <v>0</v>
      </c>
    </row>
    <row r="47" spans="2:25" s="289" customFormat="1" x14ac:dyDescent="0.25">
      <c r="B47" s="282" t="s">
        <v>107</v>
      </c>
      <c r="C47" s="243" t="s">
        <v>29</v>
      </c>
      <c r="D47" s="292" t="s">
        <v>108</v>
      </c>
      <c r="E47" s="284">
        <v>16.239999999999998</v>
      </c>
      <c r="F47" s="284">
        <v>16.239999999999998</v>
      </c>
      <c r="G47" s="243">
        <v>1</v>
      </c>
      <c r="H47" s="285">
        <v>0</v>
      </c>
      <c r="I47" s="285">
        <v>0</v>
      </c>
      <c r="J47" s="285">
        <v>0</v>
      </c>
      <c r="K47" s="285">
        <v>0</v>
      </c>
      <c r="L47" s="286">
        <f t="shared" si="0"/>
        <v>1</v>
      </c>
      <c r="M47" s="285">
        <v>1</v>
      </c>
      <c r="N47" s="285">
        <f t="shared" si="1"/>
        <v>0</v>
      </c>
      <c r="O47" s="288"/>
      <c r="Q47" s="290">
        <f t="shared" si="2"/>
        <v>16.239999999999998</v>
      </c>
      <c r="R47" s="290">
        <v>0</v>
      </c>
      <c r="S47" s="290">
        <f t="shared" si="3"/>
        <v>0</v>
      </c>
      <c r="T47" s="290">
        <f t="shared" si="4"/>
        <v>0</v>
      </c>
      <c r="U47" s="290">
        <f t="shared" si="5"/>
        <v>0</v>
      </c>
      <c r="V47" s="290">
        <f t="shared" si="6"/>
        <v>0</v>
      </c>
      <c r="W47" s="290">
        <f t="shared" si="7"/>
        <v>16.239999999999998</v>
      </c>
      <c r="X47" s="291">
        <f t="shared" si="8"/>
        <v>16.239999999999998</v>
      </c>
      <c r="Y47" s="291">
        <f t="shared" si="9"/>
        <v>0</v>
      </c>
    </row>
    <row r="48" spans="2:25" s="289" customFormat="1" ht="30" x14ac:dyDescent="0.25">
      <c r="B48" s="282" t="s">
        <v>109</v>
      </c>
      <c r="C48" s="243" t="s">
        <v>29</v>
      </c>
      <c r="D48" s="292" t="s">
        <v>110</v>
      </c>
      <c r="E48" s="293">
        <v>16.239999999999998</v>
      </c>
      <c r="F48" s="284">
        <v>16.239999999999998</v>
      </c>
      <c r="G48" s="243">
        <v>0</v>
      </c>
      <c r="H48" s="285">
        <v>0</v>
      </c>
      <c r="I48" s="285">
        <v>0</v>
      </c>
      <c r="J48" s="285">
        <v>0</v>
      </c>
      <c r="K48" s="285">
        <v>0</v>
      </c>
      <c r="L48" s="286">
        <f t="shared" si="0"/>
        <v>0</v>
      </c>
      <c r="M48" s="285">
        <v>0</v>
      </c>
      <c r="N48" s="285">
        <f t="shared" si="1"/>
        <v>0</v>
      </c>
      <c r="O48" s="288"/>
      <c r="Q48" s="290">
        <f t="shared" si="2"/>
        <v>0</v>
      </c>
      <c r="R48" s="290">
        <v>0</v>
      </c>
      <c r="S48" s="290">
        <f t="shared" si="3"/>
        <v>0</v>
      </c>
      <c r="T48" s="290">
        <f t="shared" si="4"/>
        <v>0</v>
      </c>
      <c r="U48" s="290">
        <f t="shared" si="5"/>
        <v>0</v>
      </c>
      <c r="V48" s="290">
        <f t="shared" si="6"/>
        <v>0</v>
      </c>
      <c r="W48" s="290">
        <f t="shared" si="7"/>
        <v>0</v>
      </c>
      <c r="X48" s="291">
        <f t="shared" si="8"/>
        <v>0</v>
      </c>
      <c r="Y48" s="291">
        <f t="shared" si="9"/>
        <v>0</v>
      </c>
    </row>
    <row r="49" spans="2:25" s="289" customFormat="1" ht="30" x14ac:dyDescent="0.25">
      <c r="B49" s="282" t="s">
        <v>111</v>
      </c>
      <c r="C49" s="243" t="s">
        <v>29</v>
      </c>
      <c r="D49" s="292" t="s">
        <v>112</v>
      </c>
      <c r="E49" s="293">
        <v>15.88</v>
      </c>
      <c r="F49" s="284">
        <v>15.88</v>
      </c>
      <c r="G49" s="243">
        <v>35</v>
      </c>
      <c r="H49" s="285">
        <v>0</v>
      </c>
      <c r="I49" s="285">
        <v>0</v>
      </c>
      <c r="J49" s="287">
        <v>29</v>
      </c>
      <c r="K49" s="285">
        <v>0</v>
      </c>
      <c r="L49" s="286">
        <f t="shared" si="0"/>
        <v>6</v>
      </c>
      <c r="M49" s="285">
        <v>6</v>
      </c>
      <c r="N49" s="285">
        <f t="shared" si="1"/>
        <v>0</v>
      </c>
      <c r="O49" s="288"/>
      <c r="Q49" s="290">
        <f t="shared" si="2"/>
        <v>555.80000000000007</v>
      </c>
      <c r="R49" s="290">
        <v>0</v>
      </c>
      <c r="S49" s="290">
        <f t="shared" si="3"/>
        <v>0</v>
      </c>
      <c r="T49" s="290">
        <f t="shared" si="4"/>
        <v>0</v>
      </c>
      <c r="U49" s="290">
        <f t="shared" si="5"/>
        <v>460.52000000000004</v>
      </c>
      <c r="V49" s="290">
        <f t="shared" si="6"/>
        <v>0</v>
      </c>
      <c r="W49" s="290">
        <f t="shared" si="7"/>
        <v>95.28000000000003</v>
      </c>
      <c r="X49" s="291">
        <f t="shared" si="8"/>
        <v>95.28</v>
      </c>
      <c r="Y49" s="291">
        <f t="shared" si="9"/>
        <v>0</v>
      </c>
    </row>
    <row r="50" spans="2:25" s="289" customFormat="1" x14ac:dyDescent="0.25">
      <c r="B50" s="282" t="s">
        <v>113</v>
      </c>
      <c r="C50" s="243" t="s">
        <v>29</v>
      </c>
      <c r="D50" s="292" t="s">
        <v>114</v>
      </c>
      <c r="E50" s="284">
        <v>16.239999999999998</v>
      </c>
      <c r="F50" s="284">
        <v>16.239999999999998</v>
      </c>
      <c r="G50" s="243">
        <v>0</v>
      </c>
      <c r="H50" s="285">
        <v>0</v>
      </c>
      <c r="I50" s="285">
        <v>0</v>
      </c>
      <c r="J50" s="285">
        <v>0</v>
      </c>
      <c r="K50" s="285">
        <v>0</v>
      </c>
      <c r="L50" s="286">
        <f t="shared" si="0"/>
        <v>0</v>
      </c>
      <c r="M50" s="285">
        <v>0</v>
      </c>
      <c r="N50" s="285">
        <f t="shared" si="1"/>
        <v>0</v>
      </c>
      <c r="O50" s="288"/>
      <c r="Q50" s="290">
        <f t="shared" si="2"/>
        <v>0</v>
      </c>
      <c r="R50" s="290">
        <v>0</v>
      </c>
      <c r="S50" s="290">
        <f t="shared" si="3"/>
        <v>0</v>
      </c>
      <c r="T50" s="290">
        <f t="shared" si="4"/>
        <v>0</v>
      </c>
      <c r="U50" s="290">
        <f t="shared" si="5"/>
        <v>0</v>
      </c>
      <c r="V50" s="290">
        <f t="shared" si="6"/>
        <v>0</v>
      </c>
      <c r="W50" s="290">
        <f t="shared" si="7"/>
        <v>0</v>
      </c>
      <c r="X50" s="291">
        <f t="shared" si="8"/>
        <v>0</v>
      </c>
      <c r="Y50" s="291">
        <f t="shared" si="9"/>
        <v>0</v>
      </c>
    </row>
    <row r="51" spans="2:25" s="289" customFormat="1" x14ac:dyDescent="0.25">
      <c r="B51" s="282" t="s">
        <v>115</v>
      </c>
      <c r="C51" s="243" t="s">
        <v>26</v>
      </c>
      <c r="D51" s="283" t="s">
        <v>116</v>
      </c>
      <c r="E51" s="284">
        <v>2.16</v>
      </c>
      <c r="F51" s="284">
        <v>2.16</v>
      </c>
      <c r="G51" s="243">
        <v>0</v>
      </c>
      <c r="H51" s="285">
        <v>0</v>
      </c>
      <c r="I51" s="285">
        <v>0</v>
      </c>
      <c r="J51" s="285">
        <v>0</v>
      </c>
      <c r="K51" s="285">
        <v>0</v>
      </c>
      <c r="L51" s="286">
        <f t="shared" si="0"/>
        <v>0</v>
      </c>
      <c r="M51" s="285">
        <v>0</v>
      </c>
      <c r="N51" s="285">
        <f t="shared" si="1"/>
        <v>0</v>
      </c>
      <c r="O51" s="288"/>
      <c r="Q51" s="290">
        <f t="shared" si="2"/>
        <v>0</v>
      </c>
      <c r="R51" s="290">
        <v>0</v>
      </c>
      <c r="S51" s="290">
        <f t="shared" si="3"/>
        <v>0</v>
      </c>
      <c r="T51" s="290">
        <f t="shared" si="4"/>
        <v>0</v>
      </c>
      <c r="U51" s="290">
        <f t="shared" si="5"/>
        <v>0</v>
      </c>
      <c r="V51" s="290">
        <f t="shared" si="6"/>
        <v>0</v>
      </c>
      <c r="W51" s="290">
        <f t="shared" si="7"/>
        <v>0</v>
      </c>
      <c r="X51" s="291">
        <f t="shared" si="8"/>
        <v>0</v>
      </c>
      <c r="Y51" s="291">
        <f t="shared" si="9"/>
        <v>0</v>
      </c>
    </row>
    <row r="52" spans="2:25" s="289" customFormat="1" ht="30" x14ac:dyDescent="0.25">
      <c r="B52" s="282" t="s">
        <v>117</v>
      </c>
      <c r="C52" s="243" t="s">
        <v>26</v>
      </c>
      <c r="D52" s="283" t="s">
        <v>118</v>
      </c>
      <c r="E52" s="284">
        <v>0</v>
      </c>
      <c r="F52" s="284">
        <v>0</v>
      </c>
      <c r="G52" s="243">
        <v>0</v>
      </c>
      <c r="H52" s="285">
        <v>0</v>
      </c>
      <c r="I52" s="285">
        <v>0</v>
      </c>
      <c r="J52" s="285">
        <v>0</v>
      </c>
      <c r="K52" s="285">
        <v>0</v>
      </c>
      <c r="L52" s="286">
        <f t="shared" si="0"/>
        <v>0</v>
      </c>
      <c r="M52" s="285">
        <v>0</v>
      </c>
      <c r="N52" s="285">
        <f t="shared" si="1"/>
        <v>0</v>
      </c>
      <c r="O52" s="288"/>
      <c r="Q52" s="290">
        <f t="shared" si="2"/>
        <v>0</v>
      </c>
      <c r="R52" s="290">
        <v>0</v>
      </c>
      <c r="S52" s="290">
        <f t="shared" si="3"/>
        <v>0</v>
      </c>
      <c r="T52" s="290">
        <f t="shared" si="4"/>
        <v>0</v>
      </c>
      <c r="U52" s="290">
        <f t="shared" si="5"/>
        <v>0</v>
      </c>
      <c r="V52" s="290">
        <f t="shared" si="6"/>
        <v>0</v>
      </c>
      <c r="W52" s="290">
        <f t="shared" si="7"/>
        <v>0</v>
      </c>
      <c r="X52" s="291">
        <f t="shared" si="8"/>
        <v>0</v>
      </c>
      <c r="Y52" s="291">
        <f t="shared" si="9"/>
        <v>0</v>
      </c>
    </row>
    <row r="53" spans="2:25" s="289" customFormat="1" ht="30" x14ac:dyDescent="0.25">
      <c r="B53" s="282" t="s">
        <v>119</v>
      </c>
      <c r="C53" s="243" t="s">
        <v>26</v>
      </c>
      <c r="D53" s="283" t="s">
        <v>120</v>
      </c>
      <c r="E53" s="284">
        <v>0</v>
      </c>
      <c r="F53" s="284">
        <v>0</v>
      </c>
      <c r="G53" s="243">
        <v>0</v>
      </c>
      <c r="H53" s="285">
        <v>0</v>
      </c>
      <c r="I53" s="285">
        <v>0</v>
      </c>
      <c r="J53" s="285">
        <v>0</v>
      </c>
      <c r="K53" s="285">
        <v>0</v>
      </c>
      <c r="L53" s="286">
        <f t="shared" si="0"/>
        <v>0</v>
      </c>
      <c r="M53" s="285">
        <v>0</v>
      </c>
      <c r="N53" s="285">
        <f t="shared" si="1"/>
        <v>0</v>
      </c>
      <c r="O53" s="288"/>
      <c r="Q53" s="290">
        <f t="shared" si="2"/>
        <v>0</v>
      </c>
      <c r="R53" s="290">
        <v>0</v>
      </c>
      <c r="S53" s="290">
        <f t="shared" si="3"/>
        <v>0</v>
      </c>
      <c r="T53" s="290">
        <f t="shared" si="4"/>
        <v>0</v>
      </c>
      <c r="U53" s="290">
        <f t="shared" si="5"/>
        <v>0</v>
      </c>
      <c r="V53" s="290">
        <f t="shared" si="6"/>
        <v>0</v>
      </c>
      <c r="W53" s="290">
        <f t="shared" si="7"/>
        <v>0</v>
      </c>
      <c r="X53" s="291">
        <f t="shared" si="8"/>
        <v>0</v>
      </c>
      <c r="Y53" s="291">
        <f t="shared" si="9"/>
        <v>0</v>
      </c>
    </row>
    <row r="54" spans="2:25" s="289" customFormat="1" ht="30" x14ac:dyDescent="0.25">
      <c r="B54" s="282" t="s">
        <v>121</v>
      </c>
      <c r="C54" s="243" t="s">
        <v>26</v>
      </c>
      <c r="D54" s="283" t="s">
        <v>122</v>
      </c>
      <c r="E54" s="284">
        <v>0</v>
      </c>
      <c r="F54" s="284">
        <v>0</v>
      </c>
      <c r="G54" s="243">
        <v>0</v>
      </c>
      <c r="H54" s="285">
        <v>0</v>
      </c>
      <c r="I54" s="285">
        <v>0</v>
      </c>
      <c r="J54" s="285">
        <v>0</v>
      </c>
      <c r="K54" s="285">
        <v>0</v>
      </c>
      <c r="L54" s="286">
        <f t="shared" si="0"/>
        <v>0</v>
      </c>
      <c r="M54" s="285">
        <v>0</v>
      </c>
      <c r="N54" s="285">
        <f t="shared" si="1"/>
        <v>0</v>
      </c>
      <c r="O54" s="288"/>
      <c r="Q54" s="290">
        <f t="shared" si="2"/>
        <v>0</v>
      </c>
      <c r="R54" s="290">
        <v>0</v>
      </c>
      <c r="S54" s="290">
        <f t="shared" si="3"/>
        <v>0</v>
      </c>
      <c r="T54" s="290">
        <f t="shared" si="4"/>
        <v>0</v>
      </c>
      <c r="U54" s="290">
        <f t="shared" si="5"/>
        <v>0</v>
      </c>
      <c r="V54" s="290">
        <f t="shared" si="6"/>
        <v>0</v>
      </c>
      <c r="W54" s="290">
        <f t="shared" si="7"/>
        <v>0</v>
      </c>
      <c r="X54" s="291">
        <f t="shared" si="8"/>
        <v>0</v>
      </c>
      <c r="Y54" s="291">
        <f t="shared" si="9"/>
        <v>0</v>
      </c>
    </row>
    <row r="55" spans="2:25" s="289" customFormat="1" x14ac:dyDescent="0.25">
      <c r="B55" s="282" t="s">
        <v>123</v>
      </c>
      <c r="C55" s="243" t="s">
        <v>58</v>
      </c>
      <c r="D55" s="283" t="s">
        <v>124</v>
      </c>
      <c r="E55" s="284">
        <v>61.9</v>
      </c>
      <c r="F55" s="284">
        <v>61.9</v>
      </c>
      <c r="G55" s="243">
        <v>0</v>
      </c>
      <c r="H55" s="285">
        <v>0</v>
      </c>
      <c r="I55" s="285">
        <v>0</v>
      </c>
      <c r="J55" s="285">
        <v>0</v>
      </c>
      <c r="K55" s="285">
        <v>0</v>
      </c>
      <c r="L55" s="286">
        <f t="shared" si="0"/>
        <v>0</v>
      </c>
      <c r="M55" s="285">
        <v>0</v>
      </c>
      <c r="N55" s="285">
        <f t="shared" si="1"/>
        <v>0</v>
      </c>
      <c r="O55" s="288"/>
      <c r="Q55" s="290">
        <f t="shared" si="2"/>
        <v>0</v>
      </c>
      <c r="R55" s="290">
        <v>0</v>
      </c>
      <c r="S55" s="290">
        <f t="shared" si="3"/>
        <v>0</v>
      </c>
      <c r="T55" s="290">
        <f t="shared" si="4"/>
        <v>0</v>
      </c>
      <c r="U55" s="290">
        <f t="shared" si="5"/>
        <v>0</v>
      </c>
      <c r="V55" s="290">
        <f t="shared" si="6"/>
        <v>0</v>
      </c>
      <c r="W55" s="290">
        <f t="shared" si="7"/>
        <v>0</v>
      </c>
      <c r="X55" s="291">
        <f t="shared" si="8"/>
        <v>0</v>
      </c>
      <c r="Y55" s="291">
        <f t="shared" si="9"/>
        <v>0</v>
      </c>
    </row>
    <row r="56" spans="2:25" s="289" customFormat="1" x14ac:dyDescent="0.25">
      <c r="B56" s="282" t="s">
        <v>125</v>
      </c>
      <c r="C56" s="243" t="s">
        <v>26</v>
      </c>
      <c r="D56" s="283" t="s">
        <v>126</v>
      </c>
      <c r="E56" s="284">
        <v>30.9</v>
      </c>
      <c r="F56" s="284">
        <v>30.9</v>
      </c>
      <c r="G56" s="243">
        <v>0</v>
      </c>
      <c r="H56" s="285">
        <v>0</v>
      </c>
      <c r="I56" s="285">
        <v>0</v>
      </c>
      <c r="J56" s="285">
        <v>0</v>
      </c>
      <c r="K56" s="285">
        <v>0</v>
      </c>
      <c r="L56" s="286">
        <f t="shared" si="0"/>
        <v>0</v>
      </c>
      <c r="M56" s="285">
        <v>0</v>
      </c>
      <c r="N56" s="285">
        <f t="shared" si="1"/>
        <v>0</v>
      </c>
      <c r="O56" s="288"/>
      <c r="Q56" s="290">
        <f t="shared" si="2"/>
        <v>0</v>
      </c>
      <c r="R56" s="290">
        <v>0</v>
      </c>
      <c r="S56" s="290">
        <f t="shared" si="3"/>
        <v>0</v>
      </c>
      <c r="T56" s="290">
        <f t="shared" si="4"/>
        <v>0</v>
      </c>
      <c r="U56" s="290">
        <f t="shared" si="5"/>
        <v>0</v>
      </c>
      <c r="V56" s="290">
        <f t="shared" si="6"/>
        <v>0</v>
      </c>
      <c r="W56" s="290">
        <f t="shared" si="7"/>
        <v>0</v>
      </c>
      <c r="X56" s="291">
        <f t="shared" si="8"/>
        <v>0</v>
      </c>
      <c r="Y56" s="291">
        <f t="shared" si="9"/>
        <v>0</v>
      </c>
    </row>
    <row r="57" spans="2:25" s="289" customFormat="1" x14ac:dyDescent="0.25">
      <c r="B57" s="282" t="s">
        <v>127</v>
      </c>
      <c r="C57" s="243" t="s">
        <v>29</v>
      </c>
      <c r="D57" s="283" t="s">
        <v>128</v>
      </c>
      <c r="E57" s="284">
        <v>15.41</v>
      </c>
      <c r="F57" s="284">
        <v>15.41</v>
      </c>
      <c r="G57" s="243">
        <v>0</v>
      </c>
      <c r="H57" s="285">
        <v>0</v>
      </c>
      <c r="I57" s="285">
        <v>0</v>
      </c>
      <c r="J57" s="285">
        <v>0</v>
      </c>
      <c r="K57" s="285">
        <v>0</v>
      </c>
      <c r="L57" s="286">
        <f t="shared" si="0"/>
        <v>0</v>
      </c>
      <c r="M57" s="285">
        <v>0</v>
      </c>
      <c r="N57" s="285">
        <f t="shared" si="1"/>
        <v>0</v>
      </c>
      <c r="O57" s="288"/>
      <c r="Q57" s="290">
        <f t="shared" si="2"/>
        <v>0</v>
      </c>
      <c r="R57" s="290">
        <v>0</v>
      </c>
      <c r="S57" s="290">
        <f t="shared" si="3"/>
        <v>0</v>
      </c>
      <c r="T57" s="290">
        <f t="shared" si="4"/>
        <v>0</v>
      </c>
      <c r="U57" s="290">
        <f t="shared" si="5"/>
        <v>0</v>
      </c>
      <c r="V57" s="290">
        <f t="shared" si="6"/>
        <v>0</v>
      </c>
      <c r="W57" s="290">
        <f t="shared" si="7"/>
        <v>0</v>
      </c>
      <c r="X57" s="291">
        <f t="shared" si="8"/>
        <v>0</v>
      </c>
      <c r="Y57" s="291">
        <f t="shared" si="9"/>
        <v>0</v>
      </c>
    </row>
    <row r="58" spans="2:25" s="289" customFormat="1" x14ac:dyDescent="0.25">
      <c r="B58" s="282" t="s">
        <v>129</v>
      </c>
      <c r="C58" s="243" t="s">
        <v>26</v>
      </c>
      <c r="D58" s="283" t="s">
        <v>130</v>
      </c>
      <c r="E58" s="284">
        <v>3.74</v>
      </c>
      <c r="F58" s="284">
        <v>3.74</v>
      </c>
      <c r="G58" s="243">
        <v>20</v>
      </c>
      <c r="H58" s="285">
        <v>0</v>
      </c>
      <c r="I58" s="285">
        <v>0</v>
      </c>
      <c r="J58" s="285">
        <v>0</v>
      </c>
      <c r="K58" s="285">
        <v>0</v>
      </c>
      <c r="L58" s="286">
        <f t="shared" si="0"/>
        <v>20</v>
      </c>
      <c r="M58" s="285">
        <v>20</v>
      </c>
      <c r="N58" s="285">
        <f t="shared" si="1"/>
        <v>0</v>
      </c>
      <c r="O58" s="288"/>
      <c r="Q58" s="290">
        <f t="shared" si="2"/>
        <v>74.800000000000011</v>
      </c>
      <c r="R58" s="290">
        <v>0</v>
      </c>
      <c r="S58" s="290">
        <f t="shared" si="3"/>
        <v>0</v>
      </c>
      <c r="T58" s="290">
        <f t="shared" si="4"/>
        <v>0</v>
      </c>
      <c r="U58" s="290">
        <f t="shared" si="5"/>
        <v>0</v>
      </c>
      <c r="V58" s="290">
        <f t="shared" si="6"/>
        <v>0</v>
      </c>
      <c r="W58" s="290">
        <f t="shared" si="7"/>
        <v>74.800000000000011</v>
      </c>
      <c r="X58" s="291">
        <f t="shared" si="8"/>
        <v>74.800000000000011</v>
      </c>
      <c r="Y58" s="291">
        <f t="shared" si="9"/>
        <v>0</v>
      </c>
    </row>
    <row r="59" spans="2:25" s="289" customFormat="1" x14ac:dyDescent="0.25">
      <c r="B59" s="282" t="s">
        <v>131</v>
      </c>
      <c r="C59" s="243" t="s">
        <v>29</v>
      </c>
      <c r="D59" s="283" t="s">
        <v>132</v>
      </c>
      <c r="E59" s="284">
        <v>0</v>
      </c>
      <c r="F59" s="284">
        <v>0</v>
      </c>
      <c r="G59" s="243">
        <v>0</v>
      </c>
      <c r="H59" s="285">
        <v>0</v>
      </c>
      <c r="I59" s="285">
        <v>0</v>
      </c>
      <c r="J59" s="285">
        <v>0</v>
      </c>
      <c r="K59" s="285">
        <v>0</v>
      </c>
      <c r="L59" s="286">
        <f t="shared" si="0"/>
        <v>0</v>
      </c>
      <c r="M59" s="285">
        <v>0</v>
      </c>
      <c r="N59" s="285">
        <f t="shared" si="1"/>
        <v>0</v>
      </c>
      <c r="O59" s="288"/>
      <c r="Q59" s="290">
        <f t="shared" si="2"/>
        <v>0</v>
      </c>
      <c r="R59" s="290">
        <v>0</v>
      </c>
      <c r="S59" s="290">
        <f t="shared" si="3"/>
        <v>0</v>
      </c>
      <c r="T59" s="290">
        <f t="shared" si="4"/>
        <v>0</v>
      </c>
      <c r="U59" s="290">
        <f t="shared" si="5"/>
        <v>0</v>
      </c>
      <c r="V59" s="290">
        <f t="shared" si="6"/>
        <v>0</v>
      </c>
      <c r="W59" s="290">
        <f t="shared" si="7"/>
        <v>0</v>
      </c>
      <c r="X59" s="291">
        <f t="shared" si="8"/>
        <v>0</v>
      </c>
      <c r="Y59" s="291">
        <f t="shared" si="9"/>
        <v>0</v>
      </c>
    </row>
    <row r="60" spans="2:25" s="289" customFormat="1" x14ac:dyDescent="0.25">
      <c r="B60" s="282" t="s">
        <v>133</v>
      </c>
      <c r="C60" s="243" t="s">
        <v>29</v>
      </c>
      <c r="D60" s="283" t="s">
        <v>134</v>
      </c>
      <c r="E60" s="284">
        <v>18.04</v>
      </c>
      <c r="F60" s="284">
        <v>18.04</v>
      </c>
      <c r="G60" s="243">
        <v>0</v>
      </c>
      <c r="H60" s="285">
        <v>0</v>
      </c>
      <c r="I60" s="285">
        <v>0</v>
      </c>
      <c r="J60" s="285">
        <v>0</v>
      </c>
      <c r="K60" s="285">
        <v>0</v>
      </c>
      <c r="L60" s="286">
        <f t="shared" si="0"/>
        <v>0</v>
      </c>
      <c r="M60" s="285">
        <v>0</v>
      </c>
      <c r="N60" s="285">
        <f t="shared" si="1"/>
        <v>0</v>
      </c>
      <c r="O60" s="288"/>
      <c r="Q60" s="290">
        <f t="shared" si="2"/>
        <v>0</v>
      </c>
      <c r="R60" s="290">
        <v>0</v>
      </c>
      <c r="S60" s="290">
        <f t="shared" si="3"/>
        <v>0</v>
      </c>
      <c r="T60" s="290">
        <f t="shared" si="4"/>
        <v>0</v>
      </c>
      <c r="U60" s="290">
        <f t="shared" si="5"/>
        <v>0</v>
      </c>
      <c r="V60" s="290">
        <f t="shared" si="6"/>
        <v>0</v>
      </c>
      <c r="W60" s="290">
        <f t="shared" si="7"/>
        <v>0</v>
      </c>
      <c r="X60" s="291">
        <f t="shared" si="8"/>
        <v>0</v>
      </c>
      <c r="Y60" s="291">
        <f t="shared" si="9"/>
        <v>0</v>
      </c>
    </row>
    <row r="61" spans="2:25" s="289" customFormat="1" x14ac:dyDescent="0.25">
      <c r="B61" s="282" t="s">
        <v>135</v>
      </c>
      <c r="C61" s="243" t="s">
        <v>29</v>
      </c>
      <c r="D61" s="283" t="s">
        <v>136</v>
      </c>
      <c r="E61" s="284">
        <v>17.12</v>
      </c>
      <c r="F61" s="284">
        <v>17.12</v>
      </c>
      <c r="G61" s="243">
        <v>0</v>
      </c>
      <c r="H61" s="285">
        <v>0</v>
      </c>
      <c r="I61" s="285">
        <v>0</v>
      </c>
      <c r="J61" s="285">
        <v>0</v>
      </c>
      <c r="K61" s="285">
        <v>0</v>
      </c>
      <c r="L61" s="286">
        <f t="shared" si="0"/>
        <v>0</v>
      </c>
      <c r="M61" s="285">
        <v>0</v>
      </c>
      <c r="N61" s="285">
        <f t="shared" si="1"/>
        <v>0</v>
      </c>
      <c r="O61" s="288"/>
      <c r="Q61" s="290">
        <f t="shared" si="2"/>
        <v>0</v>
      </c>
      <c r="R61" s="290">
        <v>0</v>
      </c>
      <c r="S61" s="290">
        <f t="shared" si="3"/>
        <v>0</v>
      </c>
      <c r="T61" s="290">
        <f t="shared" si="4"/>
        <v>0</v>
      </c>
      <c r="U61" s="290">
        <f t="shared" si="5"/>
        <v>0</v>
      </c>
      <c r="V61" s="290">
        <f t="shared" si="6"/>
        <v>0</v>
      </c>
      <c r="W61" s="290">
        <f t="shared" si="7"/>
        <v>0</v>
      </c>
      <c r="X61" s="291">
        <f t="shared" si="8"/>
        <v>0</v>
      </c>
      <c r="Y61" s="291">
        <f t="shared" si="9"/>
        <v>0</v>
      </c>
    </row>
    <row r="62" spans="2:25" s="289" customFormat="1" ht="30" x14ac:dyDescent="0.25">
      <c r="B62" s="282" t="s">
        <v>137</v>
      </c>
      <c r="C62" s="243" t="s">
        <v>29</v>
      </c>
      <c r="D62" s="283" t="s">
        <v>138</v>
      </c>
      <c r="E62" s="284">
        <v>15.41</v>
      </c>
      <c r="F62" s="284">
        <v>15.41</v>
      </c>
      <c r="G62" s="243">
        <v>0</v>
      </c>
      <c r="H62" s="285">
        <v>0</v>
      </c>
      <c r="I62" s="285">
        <v>0</v>
      </c>
      <c r="J62" s="285">
        <v>0</v>
      </c>
      <c r="K62" s="285">
        <v>0</v>
      </c>
      <c r="L62" s="286">
        <f t="shared" si="0"/>
        <v>0</v>
      </c>
      <c r="M62" s="285">
        <v>0</v>
      </c>
      <c r="N62" s="285">
        <f t="shared" si="1"/>
        <v>0</v>
      </c>
      <c r="O62" s="288"/>
      <c r="Q62" s="290">
        <f t="shared" si="2"/>
        <v>0</v>
      </c>
      <c r="R62" s="290">
        <v>0</v>
      </c>
      <c r="S62" s="290">
        <f t="shared" si="3"/>
        <v>0</v>
      </c>
      <c r="T62" s="290">
        <f t="shared" si="4"/>
        <v>0</v>
      </c>
      <c r="U62" s="290">
        <f t="shared" si="5"/>
        <v>0</v>
      </c>
      <c r="V62" s="290">
        <f t="shared" si="6"/>
        <v>0</v>
      </c>
      <c r="W62" s="290">
        <f t="shared" si="7"/>
        <v>0</v>
      </c>
      <c r="X62" s="291">
        <f t="shared" si="8"/>
        <v>0</v>
      </c>
      <c r="Y62" s="291">
        <f t="shared" si="9"/>
        <v>0</v>
      </c>
    </row>
    <row r="63" spans="2:25" s="289" customFormat="1" ht="30" x14ac:dyDescent="0.25">
      <c r="B63" s="282" t="s">
        <v>139</v>
      </c>
      <c r="C63" s="243" t="s">
        <v>29</v>
      </c>
      <c r="D63" s="283" t="s">
        <v>140</v>
      </c>
      <c r="E63" s="284">
        <v>16.55</v>
      </c>
      <c r="F63" s="284">
        <v>16.55</v>
      </c>
      <c r="G63" s="243">
        <v>0</v>
      </c>
      <c r="H63" s="285">
        <v>0</v>
      </c>
      <c r="I63" s="285">
        <v>0</v>
      </c>
      <c r="J63" s="285">
        <v>0</v>
      </c>
      <c r="K63" s="285">
        <v>0</v>
      </c>
      <c r="L63" s="286">
        <f t="shared" si="0"/>
        <v>0</v>
      </c>
      <c r="M63" s="285">
        <v>0</v>
      </c>
      <c r="N63" s="285">
        <f t="shared" si="1"/>
        <v>0</v>
      </c>
      <c r="O63" s="288"/>
      <c r="Q63" s="290">
        <f t="shared" si="2"/>
        <v>0</v>
      </c>
      <c r="R63" s="290">
        <v>0</v>
      </c>
      <c r="S63" s="290">
        <f t="shared" si="3"/>
        <v>0</v>
      </c>
      <c r="T63" s="290">
        <f t="shared" si="4"/>
        <v>0</v>
      </c>
      <c r="U63" s="290">
        <f t="shared" si="5"/>
        <v>0</v>
      </c>
      <c r="V63" s="290">
        <f t="shared" si="6"/>
        <v>0</v>
      </c>
      <c r="W63" s="290">
        <f t="shared" si="7"/>
        <v>0</v>
      </c>
      <c r="X63" s="291">
        <f t="shared" si="8"/>
        <v>0</v>
      </c>
      <c r="Y63" s="291">
        <f t="shared" si="9"/>
        <v>0</v>
      </c>
    </row>
    <row r="64" spans="2:25" s="289" customFormat="1" x14ac:dyDescent="0.25">
      <c r="B64" s="282" t="s">
        <v>141</v>
      </c>
      <c r="C64" s="243" t="s">
        <v>29</v>
      </c>
      <c r="D64" s="283" t="s">
        <v>142</v>
      </c>
      <c r="E64" s="284">
        <v>17.12</v>
      </c>
      <c r="F64" s="284">
        <v>17.12</v>
      </c>
      <c r="G64" s="243">
        <v>0</v>
      </c>
      <c r="H64" s="285">
        <v>0</v>
      </c>
      <c r="I64" s="285">
        <v>0</v>
      </c>
      <c r="J64" s="285">
        <v>0</v>
      </c>
      <c r="K64" s="285">
        <v>0</v>
      </c>
      <c r="L64" s="286">
        <f t="shared" si="0"/>
        <v>0</v>
      </c>
      <c r="M64" s="285">
        <v>0</v>
      </c>
      <c r="N64" s="285">
        <f t="shared" si="1"/>
        <v>0</v>
      </c>
      <c r="O64" s="288"/>
      <c r="Q64" s="290">
        <f t="shared" si="2"/>
        <v>0</v>
      </c>
      <c r="R64" s="290">
        <v>0</v>
      </c>
      <c r="S64" s="290">
        <f t="shared" si="3"/>
        <v>0</v>
      </c>
      <c r="T64" s="290">
        <f t="shared" si="4"/>
        <v>0</v>
      </c>
      <c r="U64" s="290">
        <f t="shared" si="5"/>
        <v>0</v>
      </c>
      <c r="V64" s="290">
        <f t="shared" si="6"/>
        <v>0</v>
      </c>
      <c r="W64" s="290">
        <f t="shared" si="7"/>
        <v>0</v>
      </c>
      <c r="X64" s="291">
        <f t="shared" si="8"/>
        <v>0</v>
      </c>
      <c r="Y64" s="291">
        <f t="shared" si="9"/>
        <v>0</v>
      </c>
    </row>
    <row r="65" spans="2:25" s="289" customFormat="1" x14ac:dyDescent="0.25">
      <c r="B65" s="282" t="s">
        <v>144</v>
      </c>
      <c r="C65" s="243" t="s">
        <v>29</v>
      </c>
      <c r="D65" s="283" t="s">
        <v>145</v>
      </c>
      <c r="E65" s="284">
        <v>17.12</v>
      </c>
      <c r="F65" s="284">
        <v>17.12</v>
      </c>
      <c r="G65" s="243">
        <v>0</v>
      </c>
      <c r="H65" s="285">
        <v>0</v>
      </c>
      <c r="I65" s="285">
        <v>0</v>
      </c>
      <c r="J65" s="285">
        <v>0</v>
      </c>
      <c r="K65" s="285">
        <v>0</v>
      </c>
      <c r="L65" s="286">
        <f t="shared" si="0"/>
        <v>0</v>
      </c>
      <c r="M65" s="285">
        <v>0</v>
      </c>
      <c r="N65" s="285">
        <f t="shared" si="1"/>
        <v>0</v>
      </c>
      <c r="O65" s="288"/>
      <c r="Q65" s="290">
        <f t="shared" si="2"/>
        <v>0</v>
      </c>
      <c r="R65" s="290">
        <v>0</v>
      </c>
      <c r="S65" s="290">
        <f t="shared" si="3"/>
        <v>0</v>
      </c>
      <c r="T65" s="290">
        <f t="shared" si="4"/>
        <v>0</v>
      </c>
      <c r="U65" s="290">
        <f t="shared" si="5"/>
        <v>0</v>
      </c>
      <c r="V65" s="290">
        <f t="shared" si="6"/>
        <v>0</v>
      </c>
      <c r="W65" s="290">
        <f t="shared" si="7"/>
        <v>0</v>
      </c>
      <c r="X65" s="291">
        <f t="shared" si="8"/>
        <v>0</v>
      </c>
      <c r="Y65" s="291">
        <f t="shared" si="9"/>
        <v>0</v>
      </c>
    </row>
    <row r="66" spans="2:25" s="289" customFormat="1" x14ac:dyDescent="0.25">
      <c r="B66" s="282" t="s">
        <v>146</v>
      </c>
      <c r="C66" s="243" t="s">
        <v>147</v>
      </c>
      <c r="D66" s="283" t="s">
        <v>148</v>
      </c>
      <c r="E66" s="284">
        <v>18.53</v>
      </c>
      <c r="F66" s="284">
        <v>18.53</v>
      </c>
      <c r="G66" s="243">
        <v>0</v>
      </c>
      <c r="H66" s="285">
        <v>0</v>
      </c>
      <c r="I66" s="285">
        <v>0</v>
      </c>
      <c r="J66" s="285">
        <v>0</v>
      </c>
      <c r="K66" s="285">
        <v>0</v>
      </c>
      <c r="L66" s="286">
        <f t="shared" si="0"/>
        <v>0</v>
      </c>
      <c r="M66" s="285">
        <v>0</v>
      </c>
      <c r="N66" s="285">
        <f t="shared" si="1"/>
        <v>0</v>
      </c>
      <c r="O66" s="288"/>
      <c r="Q66" s="290">
        <f t="shared" si="2"/>
        <v>0</v>
      </c>
      <c r="R66" s="290">
        <v>0</v>
      </c>
      <c r="S66" s="290">
        <f t="shared" si="3"/>
        <v>0</v>
      </c>
      <c r="T66" s="290">
        <f t="shared" si="4"/>
        <v>0</v>
      </c>
      <c r="U66" s="290">
        <f t="shared" si="5"/>
        <v>0</v>
      </c>
      <c r="V66" s="290">
        <f t="shared" si="6"/>
        <v>0</v>
      </c>
      <c r="W66" s="290">
        <f t="shared" si="7"/>
        <v>0</v>
      </c>
      <c r="X66" s="291">
        <f t="shared" si="8"/>
        <v>0</v>
      </c>
      <c r="Y66" s="291">
        <f t="shared" si="9"/>
        <v>0</v>
      </c>
    </row>
    <row r="67" spans="2:25" s="289" customFormat="1" x14ac:dyDescent="0.25">
      <c r="B67" s="282" t="s">
        <v>149</v>
      </c>
      <c r="C67" s="243" t="s">
        <v>147</v>
      </c>
      <c r="D67" s="283" t="s">
        <v>150</v>
      </c>
      <c r="E67" s="284">
        <v>17.07</v>
      </c>
      <c r="F67" s="284">
        <v>17.07</v>
      </c>
      <c r="G67" s="243">
        <v>0</v>
      </c>
      <c r="H67" s="285">
        <v>0</v>
      </c>
      <c r="I67" s="285">
        <v>0</v>
      </c>
      <c r="J67" s="285">
        <v>0</v>
      </c>
      <c r="K67" s="285">
        <v>0</v>
      </c>
      <c r="L67" s="286">
        <f t="shared" si="0"/>
        <v>0</v>
      </c>
      <c r="M67" s="285">
        <v>0</v>
      </c>
      <c r="N67" s="285">
        <f t="shared" si="1"/>
        <v>0</v>
      </c>
      <c r="O67" s="288"/>
      <c r="Q67" s="290">
        <f t="shared" si="2"/>
        <v>0</v>
      </c>
      <c r="R67" s="290">
        <v>0</v>
      </c>
      <c r="S67" s="290">
        <f t="shared" si="3"/>
        <v>0</v>
      </c>
      <c r="T67" s="290">
        <f t="shared" si="4"/>
        <v>0</v>
      </c>
      <c r="U67" s="290">
        <f t="shared" si="5"/>
        <v>0</v>
      </c>
      <c r="V67" s="290">
        <f t="shared" si="6"/>
        <v>0</v>
      </c>
      <c r="W67" s="290">
        <f t="shared" si="7"/>
        <v>0</v>
      </c>
      <c r="X67" s="291">
        <f t="shared" si="8"/>
        <v>0</v>
      </c>
      <c r="Y67" s="291">
        <f t="shared" si="9"/>
        <v>0</v>
      </c>
    </row>
    <row r="68" spans="2:25" s="289" customFormat="1" x14ac:dyDescent="0.25">
      <c r="B68" s="282" t="s">
        <v>151</v>
      </c>
      <c r="C68" s="243" t="s">
        <v>29</v>
      </c>
      <c r="D68" s="283" t="s">
        <v>152</v>
      </c>
      <c r="E68" s="284">
        <v>0</v>
      </c>
      <c r="F68" s="284">
        <v>0</v>
      </c>
      <c r="G68" s="243">
        <v>0</v>
      </c>
      <c r="H68" s="285">
        <v>0</v>
      </c>
      <c r="I68" s="285">
        <v>0</v>
      </c>
      <c r="J68" s="285">
        <v>0</v>
      </c>
      <c r="K68" s="285">
        <v>0</v>
      </c>
      <c r="L68" s="286">
        <f t="shared" si="0"/>
        <v>0</v>
      </c>
      <c r="M68" s="285">
        <v>0</v>
      </c>
      <c r="N68" s="285">
        <f t="shared" si="1"/>
        <v>0</v>
      </c>
      <c r="O68" s="288"/>
      <c r="Q68" s="290">
        <f t="shared" si="2"/>
        <v>0</v>
      </c>
      <c r="R68" s="290">
        <v>0</v>
      </c>
      <c r="S68" s="290">
        <f t="shared" si="3"/>
        <v>0</v>
      </c>
      <c r="T68" s="290">
        <f t="shared" si="4"/>
        <v>0</v>
      </c>
      <c r="U68" s="290">
        <f t="shared" si="5"/>
        <v>0</v>
      </c>
      <c r="V68" s="290">
        <f t="shared" si="6"/>
        <v>0</v>
      </c>
      <c r="W68" s="290">
        <f t="shared" si="7"/>
        <v>0</v>
      </c>
      <c r="X68" s="291">
        <f t="shared" si="8"/>
        <v>0</v>
      </c>
      <c r="Y68" s="291">
        <f t="shared" si="9"/>
        <v>0</v>
      </c>
    </row>
    <row r="69" spans="2:25" s="289" customFormat="1" ht="30" x14ac:dyDescent="0.25">
      <c r="B69" s="282" t="s">
        <v>153</v>
      </c>
      <c r="C69" s="243" t="s">
        <v>58</v>
      </c>
      <c r="D69" s="283" t="s">
        <v>154</v>
      </c>
      <c r="E69" s="284">
        <v>5.58</v>
      </c>
      <c r="F69" s="284">
        <v>5.58</v>
      </c>
      <c r="G69" s="243">
        <v>0</v>
      </c>
      <c r="H69" s="285">
        <v>0</v>
      </c>
      <c r="I69" s="285">
        <v>0</v>
      </c>
      <c r="J69" s="285">
        <v>0</v>
      </c>
      <c r="K69" s="285">
        <v>0</v>
      </c>
      <c r="L69" s="286">
        <f t="shared" si="0"/>
        <v>0</v>
      </c>
      <c r="M69" s="315">
        <v>0</v>
      </c>
      <c r="N69" s="285">
        <f t="shared" si="1"/>
        <v>0</v>
      </c>
      <c r="O69" s="288"/>
      <c r="Q69" s="290">
        <f t="shared" si="2"/>
        <v>0</v>
      </c>
      <c r="R69" s="290">
        <v>0</v>
      </c>
      <c r="S69" s="290">
        <f t="shared" si="3"/>
        <v>0</v>
      </c>
      <c r="T69" s="290">
        <f t="shared" si="4"/>
        <v>0</v>
      </c>
      <c r="U69" s="290">
        <f t="shared" si="5"/>
        <v>0</v>
      </c>
      <c r="V69" s="290">
        <f t="shared" si="6"/>
        <v>0</v>
      </c>
      <c r="W69" s="290">
        <f t="shared" si="7"/>
        <v>0</v>
      </c>
      <c r="X69" s="291">
        <f t="shared" si="8"/>
        <v>0</v>
      </c>
      <c r="Y69" s="291">
        <f t="shared" si="9"/>
        <v>0</v>
      </c>
    </row>
    <row r="70" spans="2:25" s="289" customFormat="1" x14ac:dyDescent="0.25">
      <c r="B70" s="282" t="s">
        <v>155</v>
      </c>
      <c r="C70" s="243" t="s">
        <v>58</v>
      </c>
      <c r="D70" s="283" t="s">
        <v>156</v>
      </c>
      <c r="E70" s="284">
        <v>5.21</v>
      </c>
      <c r="F70" s="284">
        <v>5.21</v>
      </c>
      <c r="G70" s="243">
        <v>3</v>
      </c>
      <c r="H70" s="285">
        <v>0</v>
      </c>
      <c r="I70" s="285">
        <v>0</v>
      </c>
      <c r="J70" s="285">
        <v>0</v>
      </c>
      <c r="K70" s="285">
        <v>0</v>
      </c>
      <c r="L70" s="286">
        <f t="shared" si="0"/>
        <v>3</v>
      </c>
      <c r="M70" s="285">
        <v>3</v>
      </c>
      <c r="N70" s="285">
        <f t="shared" si="1"/>
        <v>0</v>
      </c>
      <c r="O70" s="288"/>
      <c r="Q70" s="290">
        <f t="shared" si="2"/>
        <v>15.629999999999999</v>
      </c>
      <c r="R70" s="290">
        <v>0</v>
      </c>
      <c r="S70" s="290">
        <f t="shared" si="3"/>
        <v>0</v>
      </c>
      <c r="T70" s="290">
        <f t="shared" si="4"/>
        <v>0</v>
      </c>
      <c r="U70" s="290">
        <f t="shared" si="5"/>
        <v>0</v>
      </c>
      <c r="V70" s="290">
        <f t="shared" si="6"/>
        <v>0</v>
      </c>
      <c r="W70" s="290">
        <f t="shared" si="7"/>
        <v>15.629999999999999</v>
      </c>
      <c r="X70" s="291">
        <f t="shared" si="8"/>
        <v>15.629999999999999</v>
      </c>
      <c r="Y70" s="291">
        <f t="shared" si="9"/>
        <v>0</v>
      </c>
    </row>
    <row r="71" spans="2:25" s="289" customFormat="1" x14ac:dyDescent="0.25">
      <c r="B71" s="282" t="s">
        <v>157</v>
      </c>
      <c r="C71" s="243" t="s">
        <v>26</v>
      </c>
      <c r="D71" s="283" t="s">
        <v>158</v>
      </c>
      <c r="E71" s="284">
        <v>31.9</v>
      </c>
      <c r="F71" s="284">
        <v>31.9</v>
      </c>
      <c r="G71" s="243">
        <v>0</v>
      </c>
      <c r="H71" s="285">
        <v>0</v>
      </c>
      <c r="I71" s="285">
        <v>0</v>
      </c>
      <c r="J71" s="285">
        <v>0</v>
      </c>
      <c r="K71" s="285">
        <v>0</v>
      </c>
      <c r="L71" s="286">
        <f t="shared" si="0"/>
        <v>0</v>
      </c>
      <c r="M71" s="285">
        <v>0</v>
      </c>
      <c r="N71" s="285">
        <f t="shared" si="1"/>
        <v>0</v>
      </c>
      <c r="O71" s="288"/>
      <c r="Q71" s="290">
        <f t="shared" si="2"/>
        <v>0</v>
      </c>
      <c r="R71" s="290">
        <v>0</v>
      </c>
      <c r="S71" s="290">
        <f t="shared" si="3"/>
        <v>0</v>
      </c>
      <c r="T71" s="290">
        <f t="shared" si="4"/>
        <v>0</v>
      </c>
      <c r="U71" s="290">
        <f t="shared" si="5"/>
        <v>0</v>
      </c>
      <c r="V71" s="290">
        <f t="shared" si="6"/>
        <v>0</v>
      </c>
      <c r="W71" s="290">
        <f t="shared" si="7"/>
        <v>0</v>
      </c>
      <c r="X71" s="291">
        <f t="shared" si="8"/>
        <v>0</v>
      </c>
      <c r="Y71" s="291">
        <f t="shared" si="9"/>
        <v>0</v>
      </c>
    </row>
    <row r="72" spans="2:25" s="289" customFormat="1" x14ac:dyDescent="0.25">
      <c r="B72" s="282" t="s">
        <v>159</v>
      </c>
      <c r="C72" s="243" t="s">
        <v>29</v>
      </c>
      <c r="D72" s="283" t="s">
        <v>160</v>
      </c>
      <c r="E72" s="284">
        <v>15.41</v>
      </c>
      <c r="F72" s="284">
        <v>15.41</v>
      </c>
      <c r="G72" s="243">
        <v>0</v>
      </c>
      <c r="H72" s="285">
        <v>0</v>
      </c>
      <c r="I72" s="285">
        <v>0</v>
      </c>
      <c r="J72" s="285">
        <v>0</v>
      </c>
      <c r="K72" s="285">
        <v>0</v>
      </c>
      <c r="L72" s="286">
        <f t="shared" ref="L72:L135" si="10">G72+H72+I72-J72-K72</f>
        <v>0</v>
      </c>
      <c r="M72" s="285">
        <v>0</v>
      </c>
      <c r="N72" s="285">
        <f t="shared" ref="N72:N135" si="11">M72-L72</f>
        <v>0</v>
      </c>
      <c r="O72" s="288"/>
      <c r="Q72" s="290">
        <f t="shared" ref="Q72:Q135" si="12">G72*E72</f>
        <v>0</v>
      </c>
      <c r="R72" s="290">
        <v>0</v>
      </c>
      <c r="S72" s="290">
        <f t="shared" ref="S72:S135" si="13">H72*F72</f>
        <v>0</v>
      </c>
      <c r="T72" s="290">
        <f t="shared" ref="T72:T135" si="14">I72*F72</f>
        <v>0</v>
      </c>
      <c r="U72" s="290">
        <f t="shared" ref="U72:U135" si="15">J72*F72</f>
        <v>0</v>
      </c>
      <c r="V72" s="290">
        <f t="shared" ref="V72:V135" si="16">K72*F72</f>
        <v>0</v>
      </c>
      <c r="W72" s="290">
        <f t="shared" ref="W72:W135" si="17">Q72+R72+S72+T72-U72-V72</f>
        <v>0</v>
      </c>
      <c r="X72" s="291">
        <f t="shared" ref="X72:X135" si="18">L72*F72</f>
        <v>0</v>
      </c>
      <c r="Y72" s="291">
        <f t="shared" ref="Y72:Y135" si="19">X72-W72</f>
        <v>0</v>
      </c>
    </row>
    <row r="73" spans="2:25" s="289" customFormat="1" x14ac:dyDescent="0.25">
      <c r="B73" s="282" t="s">
        <v>161</v>
      </c>
      <c r="C73" s="243" t="s">
        <v>29</v>
      </c>
      <c r="D73" s="283" t="s">
        <v>162</v>
      </c>
      <c r="E73" s="284">
        <v>7.17</v>
      </c>
      <c r="F73" s="284">
        <v>7.17</v>
      </c>
      <c r="G73" s="243">
        <v>98</v>
      </c>
      <c r="H73" s="285">
        <v>0</v>
      </c>
      <c r="I73" s="285">
        <v>0</v>
      </c>
      <c r="J73" s="287">
        <v>96</v>
      </c>
      <c r="K73" s="285">
        <v>0</v>
      </c>
      <c r="L73" s="286">
        <f t="shared" si="10"/>
        <v>2</v>
      </c>
      <c r="M73" s="285">
        <v>2</v>
      </c>
      <c r="N73" s="285">
        <f t="shared" si="11"/>
        <v>0</v>
      </c>
      <c r="O73" s="288"/>
      <c r="Q73" s="290">
        <f t="shared" si="12"/>
        <v>702.66</v>
      </c>
      <c r="R73" s="290">
        <v>0</v>
      </c>
      <c r="S73" s="290">
        <f t="shared" si="13"/>
        <v>0</v>
      </c>
      <c r="T73" s="290">
        <f t="shared" si="14"/>
        <v>0</v>
      </c>
      <c r="U73" s="290">
        <f t="shared" si="15"/>
        <v>688.31999999999994</v>
      </c>
      <c r="V73" s="290">
        <f t="shared" si="16"/>
        <v>0</v>
      </c>
      <c r="W73" s="290">
        <f t="shared" si="17"/>
        <v>14.340000000000032</v>
      </c>
      <c r="X73" s="291">
        <f t="shared" si="18"/>
        <v>14.34</v>
      </c>
      <c r="Y73" s="291">
        <f t="shared" si="19"/>
        <v>-3.1974423109204508E-14</v>
      </c>
    </row>
    <row r="74" spans="2:25" s="289" customFormat="1" x14ac:dyDescent="0.25">
      <c r="B74" s="282" t="s">
        <v>163</v>
      </c>
      <c r="C74" s="243" t="s">
        <v>29</v>
      </c>
      <c r="D74" s="283" t="s">
        <v>164</v>
      </c>
      <c r="E74" s="284">
        <v>13.25</v>
      </c>
      <c r="F74" s="284">
        <v>13.25</v>
      </c>
      <c r="G74" s="243">
        <v>0</v>
      </c>
      <c r="H74" s="285">
        <v>0</v>
      </c>
      <c r="I74" s="285">
        <v>0</v>
      </c>
      <c r="J74" s="285">
        <v>0</v>
      </c>
      <c r="K74" s="285">
        <v>0</v>
      </c>
      <c r="L74" s="286">
        <f t="shared" si="10"/>
        <v>0</v>
      </c>
      <c r="M74" s="285">
        <v>0</v>
      </c>
      <c r="N74" s="285">
        <f t="shared" si="11"/>
        <v>0</v>
      </c>
      <c r="O74" s="288"/>
      <c r="Q74" s="290">
        <f t="shared" si="12"/>
        <v>0</v>
      </c>
      <c r="R74" s="290">
        <v>0</v>
      </c>
      <c r="S74" s="290">
        <f t="shared" si="13"/>
        <v>0</v>
      </c>
      <c r="T74" s="290">
        <f t="shared" si="14"/>
        <v>0</v>
      </c>
      <c r="U74" s="290">
        <f t="shared" si="15"/>
        <v>0</v>
      </c>
      <c r="V74" s="290">
        <f t="shared" si="16"/>
        <v>0</v>
      </c>
      <c r="W74" s="290">
        <f t="shared" si="17"/>
        <v>0</v>
      </c>
      <c r="X74" s="291">
        <f t="shared" si="18"/>
        <v>0</v>
      </c>
      <c r="Y74" s="291">
        <f t="shared" si="19"/>
        <v>0</v>
      </c>
    </row>
    <row r="75" spans="2:25" s="289" customFormat="1" x14ac:dyDescent="0.25">
      <c r="B75" s="282" t="s">
        <v>165</v>
      </c>
      <c r="C75" s="243" t="s">
        <v>58</v>
      </c>
      <c r="D75" s="283" t="s">
        <v>166</v>
      </c>
      <c r="E75" s="284">
        <v>1.03</v>
      </c>
      <c r="F75" s="284">
        <v>1.03</v>
      </c>
      <c r="G75" s="243">
        <v>0</v>
      </c>
      <c r="H75" s="285">
        <v>0</v>
      </c>
      <c r="I75" s="285">
        <v>0</v>
      </c>
      <c r="J75" s="285">
        <v>0</v>
      </c>
      <c r="K75" s="285">
        <v>0</v>
      </c>
      <c r="L75" s="286">
        <f t="shared" si="10"/>
        <v>0</v>
      </c>
      <c r="M75" s="285">
        <v>0</v>
      </c>
      <c r="N75" s="285">
        <f t="shared" si="11"/>
        <v>0</v>
      </c>
      <c r="O75" s="288"/>
      <c r="Q75" s="290">
        <f t="shared" si="12"/>
        <v>0</v>
      </c>
      <c r="R75" s="290">
        <v>0</v>
      </c>
      <c r="S75" s="290">
        <f t="shared" si="13"/>
        <v>0</v>
      </c>
      <c r="T75" s="290">
        <f t="shared" si="14"/>
        <v>0</v>
      </c>
      <c r="U75" s="290">
        <f t="shared" si="15"/>
        <v>0</v>
      </c>
      <c r="V75" s="290">
        <f t="shared" si="16"/>
        <v>0</v>
      </c>
      <c r="W75" s="290">
        <f t="shared" si="17"/>
        <v>0</v>
      </c>
      <c r="X75" s="291">
        <f t="shared" si="18"/>
        <v>0</v>
      </c>
      <c r="Y75" s="291">
        <f t="shared" si="19"/>
        <v>0</v>
      </c>
    </row>
    <row r="76" spans="2:25" s="289" customFormat="1" x14ac:dyDescent="0.25">
      <c r="B76" s="282" t="s">
        <v>167</v>
      </c>
      <c r="C76" s="243" t="s">
        <v>29</v>
      </c>
      <c r="D76" s="283" t="s">
        <v>168</v>
      </c>
      <c r="E76" s="284">
        <v>12.45</v>
      </c>
      <c r="F76" s="284">
        <v>12.45</v>
      </c>
      <c r="G76" s="243">
        <v>0</v>
      </c>
      <c r="H76" s="285">
        <v>0</v>
      </c>
      <c r="I76" s="285">
        <v>0</v>
      </c>
      <c r="J76" s="285">
        <v>0</v>
      </c>
      <c r="K76" s="285">
        <v>0</v>
      </c>
      <c r="L76" s="286">
        <f t="shared" si="10"/>
        <v>0</v>
      </c>
      <c r="M76" s="285">
        <v>0</v>
      </c>
      <c r="N76" s="285">
        <f t="shared" si="11"/>
        <v>0</v>
      </c>
      <c r="O76" s="288"/>
      <c r="Q76" s="290">
        <f t="shared" si="12"/>
        <v>0</v>
      </c>
      <c r="R76" s="290">
        <v>0</v>
      </c>
      <c r="S76" s="290">
        <f t="shared" si="13"/>
        <v>0</v>
      </c>
      <c r="T76" s="290">
        <f t="shared" si="14"/>
        <v>0</v>
      </c>
      <c r="U76" s="290">
        <f t="shared" si="15"/>
        <v>0</v>
      </c>
      <c r="V76" s="290">
        <f t="shared" si="16"/>
        <v>0</v>
      </c>
      <c r="W76" s="290">
        <f t="shared" si="17"/>
        <v>0</v>
      </c>
      <c r="X76" s="291">
        <f t="shared" si="18"/>
        <v>0</v>
      </c>
      <c r="Y76" s="291">
        <f t="shared" si="19"/>
        <v>0</v>
      </c>
    </row>
    <row r="77" spans="2:25" s="289" customFormat="1" x14ac:dyDescent="0.25">
      <c r="B77" s="282" t="s">
        <v>169</v>
      </c>
      <c r="C77" s="243" t="s">
        <v>26</v>
      </c>
      <c r="D77" s="283" t="s">
        <v>170</v>
      </c>
      <c r="E77" s="284">
        <v>26.24</v>
      </c>
      <c r="F77" s="284">
        <v>26.24</v>
      </c>
      <c r="G77" s="243">
        <v>0</v>
      </c>
      <c r="H77" s="285">
        <v>0</v>
      </c>
      <c r="I77" s="285">
        <v>0</v>
      </c>
      <c r="J77" s="285">
        <v>0</v>
      </c>
      <c r="K77" s="285">
        <v>0</v>
      </c>
      <c r="L77" s="286">
        <f t="shared" si="10"/>
        <v>0</v>
      </c>
      <c r="M77" s="285">
        <v>0</v>
      </c>
      <c r="N77" s="285">
        <f t="shared" si="11"/>
        <v>0</v>
      </c>
      <c r="O77" s="288"/>
      <c r="Q77" s="290">
        <f t="shared" si="12"/>
        <v>0</v>
      </c>
      <c r="R77" s="290">
        <v>0</v>
      </c>
      <c r="S77" s="290">
        <f t="shared" si="13"/>
        <v>0</v>
      </c>
      <c r="T77" s="290">
        <f t="shared" si="14"/>
        <v>0</v>
      </c>
      <c r="U77" s="290">
        <f t="shared" si="15"/>
        <v>0</v>
      </c>
      <c r="V77" s="290">
        <f t="shared" si="16"/>
        <v>0</v>
      </c>
      <c r="W77" s="290">
        <f t="shared" si="17"/>
        <v>0</v>
      </c>
      <c r="X77" s="291">
        <f t="shared" si="18"/>
        <v>0</v>
      </c>
      <c r="Y77" s="291">
        <f t="shared" si="19"/>
        <v>0</v>
      </c>
    </row>
    <row r="78" spans="2:25" s="289" customFormat="1" x14ac:dyDescent="0.25">
      <c r="B78" s="282" t="s">
        <v>171</v>
      </c>
      <c r="C78" s="243" t="s">
        <v>29</v>
      </c>
      <c r="D78" s="283" t="s">
        <v>172</v>
      </c>
      <c r="E78" s="284">
        <v>13.44</v>
      </c>
      <c r="F78" s="284">
        <v>13.44</v>
      </c>
      <c r="G78" s="243">
        <v>0</v>
      </c>
      <c r="H78" s="285">
        <v>0</v>
      </c>
      <c r="I78" s="285">
        <v>0</v>
      </c>
      <c r="J78" s="285">
        <v>0</v>
      </c>
      <c r="K78" s="285">
        <v>0</v>
      </c>
      <c r="L78" s="286">
        <f t="shared" si="10"/>
        <v>0</v>
      </c>
      <c r="M78" s="285">
        <v>0</v>
      </c>
      <c r="N78" s="285">
        <f t="shared" si="11"/>
        <v>0</v>
      </c>
      <c r="O78" s="288"/>
      <c r="Q78" s="290">
        <f t="shared" si="12"/>
        <v>0</v>
      </c>
      <c r="R78" s="290">
        <v>0</v>
      </c>
      <c r="S78" s="290">
        <f t="shared" si="13"/>
        <v>0</v>
      </c>
      <c r="T78" s="290">
        <f t="shared" si="14"/>
        <v>0</v>
      </c>
      <c r="U78" s="290">
        <f t="shared" si="15"/>
        <v>0</v>
      </c>
      <c r="V78" s="290">
        <f t="shared" si="16"/>
        <v>0</v>
      </c>
      <c r="W78" s="290">
        <f t="shared" si="17"/>
        <v>0</v>
      </c>
      <c r="X78" s="291">
        <f t="shared" si="18"/>
        <v>0</v>
      </c>
      <c r="Y78" s="291">
        <f t="shared" si="19"/>
        <v>0</v>
      </c>
    </row>
    <row r="79" spans="2:25" s="289" customFormat="1" x14ac:dyDescent="0.25">
      <c r="B79" s="282" t="s">
        <v>173</v>
      </c>
      <c r="C79" s="243" t="s">
        <v>58</v>
      </c>
      <c r="D79" s="283" t="s">
        <v>174</v>
      </c>
      <c r="E79" s="284">
        <v>4.38</v>
      </c>
      <c r="F79" s="284">
        <v>4.38</v>
      </c>
      <c r="G79" s="243">
        <v>0</v>
      </c>
      <c r="H79" s="285">
        <v>0</v>
      </c>
      <c r="I79" s="285">
        <v>0</v>
      </c>
      <c r="J79" s="285">
        <v>0</v>
      </c>
      <c r="K79" s="285">
        <v>0</v>
      </c>
      <c r="L79" s="286">
        <f t="shared" si="10"/>
        <v>0</v>
      </c>
      <c r="M79" s="285">
        <v>0</v>
      </c>
      <c r="N79" s="285">
        <f t="shared" si="11"/>
        <v>0</v>
      </c>
      <c r="O79" s="288"/>
      <c r="Q79" s="290">
        <f t="shared" si="12"/>
        <v>0</v>
      </c>
      <c r="R79" s="290">
        <v>0</v>
      </c>
      <c r="S79" s="290">
        <f t="shared" si="13"/>
        <v>0</v>
      </c>
      <c r="T79" s="290">
        <f t="shared" si="14"/>
        <v>0</v>
      </c>
      <c r="U79" s="290">
        <f t="shared" si="15"/>
        <v>0</v>
      </c>
      <c r="V79" s="290">
        <f t="shared" si="16"/>
        <v>0</v>
      </c>
      <c r="W79" s="290">
        <f t="shared" si="17"/>
        <v>0</v>
      </c>
      <c r="X79" s="291">
        <f t="shared" si="18"/>
        <v>0</v>
      </c>
      <c r="Y79" s="291">
        <f t="shared" si="19"/>
        <v>0</v>
      </c>
    </row>
    <row r="80" spans="2:25" s="289" customFormat="1" x14ac:dyDescent="0.25">
      <c r="B80" s="282" t="s">
        <v>175</v>
      </c>
      <c r="C80" s="243" t="s">
        <v>29</v>
      </c>
      <c r="D80" s="283" t="s">
        <v>176</v>
      </c>
      <c r="E80" s="284">
        <v>18.420000000000002</v>
      </c>
      <c r="F80" s="284">
        <v>18.420000000000002</v>
      </c>
      <c r="G80" s="243">
        <v>28</v>
      </c>
      <c r="H80" s="285">
        <v>0</v>
      </c>
      <c r="I80" s="285">
        <v>1</v>
      </c>
      <c r="J80" s="287">
        <v>29</v>
      </c>
      <c r="K80" s="285">
        <v>0</v>
      </c>
      <c r="L80" s="286">
        <f t="shared" si="10"/>
        <v>0</v>
      </c>
      <c r="M80" s="285">
        <v>0</v>
      </c>
      <c r="N80" s="285">
        <f t="shared" si="11"/>
        <v>0</v>
      </c>
      <c r="O80" s="288"/>
      <c r="Q80" s="290">
        <f t="shared" si="12"/>
        <v>515.76</v>
      </c>
      <c r="R80" s="290">
        <v>0</v>
      </c>
      <c r="S80" s="290">
        <f t="shared" si="13"/>
        <v>0</v>
      </c>
      <c r="T80" s="290">
        <f t="shared" si="14"/>
        <v>18.420000000000002</v>
      </c>
      <c r="U80" s="290">
        <f t="shared" si="15"/>
        <v>534.18000000000006</v>
      </c>
      <c r="V80" s="290">
        <f t="shared" si="16"/>
        <v>0</v>
      </c>
      <c r="W80" s="290">
        <f t="shared" si="17"/>
        <v>-1.1368683772161603E-13</v>
      </c>
      <c r="X80" s="291">
        <f t="shared" si="18"/>
        <v>0</v>
      </c>
      <c r="Y80" s="291">
        <f t="shared" si="19"/>
        <v>1.1368683772161603E-13</v>
      </c>
    </row>
    <row r="81" spans="2:25" s="289" customFormat="1" x14ac:dyDescent="0.25">
      <c r="B81" s="282" t="s">
        <v>177</v>
      </c>
      <c r="C81" s="243" t="s">
        <v>29</v>
      </c>
      <c r="D81" s="283" t="s">
        <v>178</v>
      </c>
      <c r="E81" s="284">
        <v>16.670000000000002</v>
      </c>
      <c r="F81" s="284">
        <v>16.670000000000002</v>
      </c>
      <c r="G81" s="243">
        <v>64</v>
      </c>
      <c r="H81" s="285">
        <v>0</v>
      </c>
      <c r="I81" s="285">
        <v>0</v>
      </c>
      <c r="J81" s="287">
        <v>64</v>
      </c>
      <c r="K81" s="285">
        <v>0</v>
      </c>
      <c r="L81" s="286">
        <f t="shared" si="10"/>
        <v>0</v>
      </c>
      <c r="M81" s="285">
        <v>0</v>
      </c>
      <c r="N81" s="285">
        <f t="shared" si="11"/>
        <v>0</v>
      </c>
      <c r="O81" s="288"/>
      <c r="Q81" s="290">
        <f t="shared" si="12"/>
        <v>1066.8800000000001</v>
      </c>
      <c r="R81" s="290">
        <v>0</v>
      </c>
      <c r="S81" s="290">
        <f t="shared" si="13"/>
        <v>0</v>
      </c>
      <c r="T81" s="290">
        <f t="shared" si="14"/>
        <v>0</v>
      </c>
      <c r="U81" s="290">
        <f t="shared" si="15"/>
        <v>1066.8800000000001</v>
      </c>
      <c r="V81" s="290">
        <f t="shared" si="16"/>
        <v>0</v>
      </c>
      <c r="W81" s="290">
        <f t="shared" si="17"/>
        <v>0</v>
      </c>
      <c r="X81" s="291">
        <f t="shared" si="18"/>
        <v>0</v>
      </c>
      <c r="Y81" s="291">
        <f t="shared" si="19"/>
        <v>0</v>
      </c>
    </row>
    <row r="82" spans="2:25" s="289" customFormat="1" x14ac:dyDescent="0.25">
      <c r="B82" s="282" t="s">
        <v>179</v>
      </c>
      <c r="C82" s="243" t="s">
        <v>29</v>
      </c>
      <c r="D82" s="283" t="s">
        <v>180</v>
      </c>
      <c r="E82" s="284">
        <v>8.4</v>
      </c>
      <c r="F82" s="284">
        <v>8.4</v>
      </c>
      <c r="G82" s="243">
        <v>0</v>
      </c>
      <c r="H82" s="285">
        <v>0</v>
      </c>
      <c r="I82" s="285">
        <v>0</v>
      </c>
      <c r="J82" s="285">
        <v>0</v>
      </c>
      <c r="K82" s="285">
        <v>0</v>
      </c>
      <c r="L82" s="286">
        <f t="shared" si="10"/>
        <v>0</v>
      </c>
      <c r="M82" s="285">
        <v>0</v>
      </c>
      <c r="N82" s="285">
        <f t="shared" si="11"/>
        <v>0</v>
      </c>
      <c r="O82" s="288"/>
      <c r="Q82" s="290">
        <f t="shared" si="12"/>
        <v>0</v>
      </c>
      <c r="R82" s="290">
        <v>0</v>
      </c>
      <c r="S82" s="290">
        <f t="shared" si="13"/>
        <v>0</v>
      </c>
      <c r="T82" s="290">
        <f t="shared" si="14"/>
        <v>0</v>
      </c>
      <c r="U82" s="290">
        <f t="shared" si="15"/>
        <v>0</v>
      </c>
      <c r="V82" s="290">
        <f t="shared" si="16"/>
        <v>0</v>
      </c>
      <c r="W82" s="290">
        <f t="shared" si="17"/>
        <v>0</v>
      </c>
      <c r="X82" s="291">
        <f t="shared" si="18"/>
        <v>0</v>
      </c>
      <c r="Y82" s="291">
        <f t="shared" si="19"/>
        <v>0</v>
      </c>
    </row>
    <row r="83" spans="2:25" s="289" customFormat="1" x14ac:dyDescent="0.25">
      <c r="B83" s="282" t="s">
        <v>181</v>
      </c>
      <c r="C83" s="243" t="s">
        <v>26</v>
      </c>
      <c r="D83" s="283" t="s">
        <v>182</v>
      </c>
      <c r="E83" s="284">
        <v>10.9</v>
      </c>
      <c r="F83" s="284">
        <v>10.9</v>
      </c>
      <c r="G83" s="243">
        <v>0</v>
      </c>
      <c r="H83" s="285">
        <v>0</v>
      </c>
      <c r="I83" s="285">
        <v>0</v>
      </c>
      <c r="J83" s="285">
        <v>0</v>
      </c>
      <c r="K83" s="285">
        <v>0</v>
      </c>
      <c r="L83" s="286">
        <f t="shared" si="10"/>
        <v>0</v>
      </c>
      <c r="M83" s="285">
        <v>0</v>
      </c>
      <c r="N83" s="285">
        <f t="shared" si="11"/>
        <v>0</v>
      </c>
      <c r="O83" s="288"/>
      <c r="Q83" s="290">
        <f t="shared" si="12"/>
        <v>0</v>
      </c>
      <c r="R83" s="290">
        <v>0</v>
      </c>
      <c r="S83" s="290">
        <f t="shared" si="13"/>
        <v>0</v>
      </c>
      <c r="T83" s="290">
        <f t="shared" si="14"/>
        <v>0</v>
      </c>
      <c r="U83" s="290">
        <f t="shared" si="15"/>
        <v>0</v>
      </c>
      <c r="V83" s="290">
        <f t="shared" si="16"/>
        <v>0</v>
      </c>
      <c r="W83" s="290">
        <f t="shared" si="17"/>
        <v>0</v>
      </c>
      <c r="X83" s="291">
        <f t="shared" si="18"/>
        <v>0</v>
      </c>
      <c r="Y83" s="291">
        <f t="shared" si="19"/>
        <v>0</v>
      </c>
    </row>
    <row r="84" spans="2:25" s="289" customFormat="1" x14ac:dyDescent="0.25">
      <c r="B84" s="282" t="s">
        <v>183</v>
      </c>
      <c r="C84" s="243" t="s">
        <v>26</v>
      </c>
      <c r="D84" s="283" t="s">
        <v>184</v>
      </c>
      <c r="E84" s="284">
        <v>30.9</v>
      </c>
      <c r="F84" s="284">
        <v>30.9</v>
      </c>
      <c r="G84" s="243">
        <v>0</v>
      </c>
      <c r="H84" s="285">
        <v>0</v>
      </c>
      <c r="I84" s="285">
        <v>0</v>
      </c>
      <c r="J84" s="285">
        <v>0</v>
      </c>
      <c r="K84" s="285">
        <v>0</v>
      </c>
      <c r="L84" s="286">
        <f t="shared" si="10"/>
        <v>0</v>
      </c>
      <c r="M84" s="285">
        <v>0</v>
      </c>
      <c r="N84" s="285">
        <f t="shared" si="11"/>
        <v>0</v>
      </c>
      <c r="O84" s="288"/>
      <c r="Q84" s="290">
        <f t="shared" si="12"/>
        <v>0</v>
      </c>
      <c r="R84" s="290">
        <v>0</v>
      </c>
      <c r="S84" s="290">
        <f t="shared" si="13"/>
        <v>0</v>
      </c>
      <c r="T84" s="290">
        <f t="shared" si="14"/>
        <v>0</v>
      </c>
      <c r="U84" s="290">
        <f t="shared" si="15"/>
        <v>0</v>
      </c>
      <c r="V84" s="290">
        <f t="shared" si="16"/>
        <v>0</v>
      </c>
      <c r="W84" s="290">
        <f t="shared" si="17"/>
        <v>0</v>
      </c>
      <c r="X84" s="291">
        <f t="shared" si="18"/>
        <v>0</v>
      </c>
      <c r="Y84" s="291">
        <f t="shared" si="19"/>
        <v>0</v>
      </c>
    </row>
    <row r="85" spans="2:25" s="289" customFormat="1" x14ac:dyDescent="0.25">
      <c r="B85" s="282" t="s">
        <v>185</v>
      </c>
      <c r="C85" s="243" t="s">
        <v>26</v>
      </c>
      <c r="D85" s="283" t="s">
        <v>186</v>
      </c>
      <c r="E85" s="284">
        <v>0.91</v>
      </c>
      <c r="F85" s="284">
        <v>0.91</v>
      </c>
      <c r="G85" s="243">
        <v>0</v>
      </c>
      <c r="H85" s="285">
        <v>0</v>
      </c>
      <c r="I85" s="285">
        <v>0</v>
      </c>
      <c r="J85" s="285">
        <v>0</v>
      </c>
      <c r="K85" s="285">
        <v>0</v>
      </c>
      <c r="L85" s="286">
        <f t="shared" si="10"/>
        <v>0</v>
      </c>
      <c r="M85" s="285">
        <v>0</v>
      </c>
      <c r="N85" s="285">
        <f t="shared" si="11"/>
        <v>0</v>
      </c>
      <c r="O85" s="288"/>
      <c r="Q85" s="290">
        <f t="shared" si="12"/>
        <v>0</v>
      </c>
      <c r="R85" s="290">
        <v>0</v>
      </c>
      <c r="S85" s="290">
        <f t="shared" si="13"/>
        <v>0</v>
      </c>
      <c r="T85" s="290">
        <f t="shared" si="14"/>
        <v>0</v>
      </c>
      <c r="U85" s="290">
        <f t="shared" si="15"/>
        <v>0</v>
      </c>
      <c r="V85" s="290">
        <f t="shared" si="16"/>
        <v>0</v>
      </c>
      <c r="W85" s="290">
        <f t="shared" si="17"/>
        <v>0</v>
      </c>
      <c r="X85" s="291">
        <f t="shared" si="18"/>
        <v>0</v>
      </c>
      <c r="Y85" s="291">
        <f t="shared" si="19"/>
        <v>0</v>
      </c>
    </row>
    <row r="86" spans="2:25" s="289" customFormat="1" x14ac:dyDescent="0.25">
      <c r="B86" s="282" t="s">
        <v>187</v>
      </c>
      <c r="C86" s="243" t="s">
        <v>26</v>
      </c>
      <c r="D86" s="283" t="s">
        <v>188</v>
      </c>
      <c r="E86" s="284">
        <v>69.900000000000006</v>
      </c>
      <c r="F86" s="284">
        <v>69.900000000000006</v>
      </c>
      <c r="G86" s="243">
        <v>0</v>
      </c>
      <c r="H86" s="285">
        <v>0</v>
      </c>
      <c r="I86" s="285">
        <v>0</v>
      </c>
      <c r="J86" s="285">
        <v>0</v>
      </c>
      <c r="K86" s="285">
        <v>0</v>
      </c>
      <c r="L86" s="286">
        <f t="shared" si="10"/>
        <v>0</v>
      </c>
      <c r="M86" s="285">
        <v>0</v>
      </c>
      <c r="N86" s="285">
        <f t="shared" si="11"/>
        <v>0</v>
      </c>
      <c r="O86" s="288"/>
      <c r="Q86" s="290">
        <f t="shared" si="12"/>
        <v>0</v>
      </c>
      <c r="R86" s="290">
        <v>0</v>
      </c>
      <c r="S86" s="290">
        <f t="shared" si="13"/>
        <v>0</v>
      </c>
      <c r="T86" s="290">
        <f t="shared" si="14"/>
        <v>0</v>
      </c>
      <c r="U86" s="290">
        <f t="shared" si="15"/>
        <v>0</v>
      </c>
      <c r="V86" s="290">
        <f t="shared" si="16"/>
        <v>0</v>
      </c>
      <c r="W86" s="290">
        <f t="shared" si="17"/>
        <v>0</v>
      </c>
      <c r="X86" s="291">
        <f t="shared" si="18"/>
        <v>0</v>
      </c>
      <c r="Y86" s="291">
        <f t="shared" si="19"/>
        <v>0</v>
      </c>
    </row>
    <row r="87" spans="2:25" s="289" customFormat="1" x14ac:dyDescent="0.25">
      <c r="B87" s="282" t="s">
        <v>189</v>
      </c>
      <c r="C87" s="243" t="s">
        <v>26</v>
      </c>
      <c r="D87" s="283" t="s">
        <v>190</v>
      </c>
      <c r="E87" s="284">
        <v>219</v>
      </c>
      <c r="F87" s="284">
        <v>219</v>
      </c>
      <c r="G87" s="243">
        <v>0</v>
      </c>
      <c r="H87" s="285">
        <v>0</v>
      </c>
      <c r="I87" s="285">
        <v>0</v>
      </c>
      <c r="J87" s="285">
        <v>0</v>
      </c>
      <c r="K87" s="285">
        <v>0</v>
      </c>
      <c r="L87" s="286">
        <f t="shared" si="10"/>
        <v>0</v>
      </c>
      <c r="M87" s="285">
        <v>0</v>
      </c>
      <c r="N87" s="285">
        <f t="shared" si="11"/>
        <v>0</v>
      </c>
      <c r="O87" s="288"/>
      <c r="Q87" s="290">
        <f t="shared" si="12"/>
        <v>0</v>
      </c>
      <c r="R87" s="290">
        <v>0</v>
      </c>
      <c r="S87" s="290">
        <f t="shared" si="13"/>
        <v>0</v>
      </c>
      <c r="T87" s="290">
        <f t="shared" si="14"/>
        <v>0</v>
      </c>
      <c r="U87" s="290">
        <f t="shared" si="15"/>
        <v>0</v>
      </c>
      <c r="V87" s="290">
        <f t="shared" si="16"/>
        <v>0</v>
      </c>
      <c r="W87" s="290">
        <f t="shared" si="17"/>
        <v>0</v>
      </c>
      <c r="X87" s="291">
        <f t="shared" si="18"/>
        <v>0</v>
      </c>
      <c r="Y87" s="291">
        <f t="shared" si="19"/>
        <v>0</v>
      </c>
    </row>
    <row r="88" spans="2:25" s="289" customFormat="1" x14ac:dyDescent="0.25">
      <c r="B88" s="282" t="s">
        <v>192</v>
      </c>
      <c r="C88" s="243" t="s">
        <v>26</v>
      </c>
      <c r="D88" s="283" t="s">
        <v>193</v>
      </c>
      <c r="E88" s="284">
        <v>262</v>
      </c>
      <c r="F88" s="284">
        <v>262</v>
      </c>
      <c r="G88" s="243">
        <v>0</v>
      </c>
      <c r="H88" s="285">
        <v>0</v>
      </c>
      <c r="I88" s="285">
        <v>0</v>
      </c>
      <c r="J88" s="285">
        <v>0</v>
      </c>
      <c r="K88" s="285">
        <v>0</v>
      </c>
      <c r="L88" s="286">
        <f t="shared" si="10"/>
        <v>0</v>
      </c>
      <c r="M88" s="285">
        <v>0</v>
      </c>
      <c r="N88" s="285">
        <f t="shared" si="11"/>
        <v>0</v>
      </c>
      <c r="O88" s="288"/>
      <c r="Q88" s="290">
        <f t="shared" si="12"/>
        <v>0</v>
      </c>
      <c r="R88" s="290">
        <v>0</v>
      </c>
      <c r="S88" s="290">
        <f t="shared" si="13"/>
        <v>0</v>
      </c>
      <c r="T88" s="290">
        <f t="shared" si="14"/>
        <v>0</v>
      </c>
      <c r="U88" s="290">
        <f t="shared" si="15"/>
        <v>0</v>
      </c>
      <c r="V88" s="290">
        <f t="shared" si="16"/>
        <v>0</v>
      </c>
      <c r="W88" s="290">
        <f t="shared" si="17"/>
        <v>0</v>
      </c>
      <c r="X88" s="291">
        <f t="shared" si="18"/>
        <v>0</v>
      </c>
      <c r="Y88" s="291">
        <f t="shared" si="19"/>
        <v>0</v>
      </c>
    </row>
    <row r="89" spans="2:25" s="289" customFormat="1" x14ac:dyDescent="0.25">
      <c r="B89" s="282" t="s">
        <v>194</v>
      </c>
      <c r="C89" s="243" t="s">
        <v>26</v>
      </c>
      <c r="D89" s="283" t="s">
        <v>195</v>
      </c>
      <c r="E89" s="284">
        <v>147.05000000000001</v>
      </c>
      <c r="F89" s="284">
        <v>147.05000000000001</v>
      </c>
      <c r="G89" s="243">
        <v>0</v>
      </c>
      <c r="H89" s="285">
        <v>0</v>
      </c>
      <c r="I89" s="285">
        <v>0</v>
      </c>
      <c r="J89" s="285">
        <v>0</v>
      </c>
      <c r="K89" s="285">
        <v>0</v>
      </c>
      <c r="L89" s="286">
        <f t="shared" si="10"/>
        <v>0</v>
      </c>
      <c r="M89" s="285">
        <v>0</v>
      </c>
      <c r="N89" s="285">
        <f t="shared" si="11"/>
        <v>0</v>
      </c>
      <c r="O89" s="288"/>
      <c r="Q89" s="290">
        <f t="shared" si="12"/>
        <v>0</v>
      </c>
      <c r="R89" s="290">
        <v>0</v>
      </c>
      <c r="S89" s="290">
        <f t="shared" si="13"/>
        <v>0</v>
      </c>
      <c r="T89" s="290">
        <f t="shared" si="14"/>
        <v>0</v>
      </c>
      <c r="U89" s="290">
        <f t="shared" si="15"/>
        <v>0</v>
      </c>
      <c r="V89" s="290">
        <f t="shared" si="16"/>
        <v>0</v>
      </c>
      <c r="W89" s="290">
        <f t="shared" si="17"/>
        <v>0</v>
      </c>
      <c r="X89" s="291">
        <f t="shared" si="18"/>
        <v>0</v>
      </c>
      <c r="Y89" s="291">
        <f t="shared" si="19"/>
        <v>0</v>
      </c>
    </row>
    <row r="90" spans="2:25" s="289" customFormat="1" x14ac:dyDescent="0.25">
      <c r="B90" s="282" t="s">
        <v>196</v>
      </c>
      <c r="C90" s="243" t="s">
        <v>26</v>
      </c>
      <c r="D90" s="283" t="s">
        <v>197</v>
      </c>
      <c r="E90" s="284">
        <v>109.01</v>
      </c>
      <c r="F90" s="284">
        <v>109.01</v>
      </c>
      <c r="G90" s="243">
        <v>1</v>
      </c>
      <c r="H90" s="285">
        <v>0</v>
      </c>
      <c r="I90" s="285">
        <v>0</v>
      </c>
      <c r="J90" s="285">
        <v>0</v>
      </c>
      <c r="K90" s="285">
        <v>0</v>
      </c>
      <c r="L90" s="286">
        <f t="shared" si="10"/>
        <v>1</v>
      </c>
      <c r="M90" s="285">
        <v>1</v>
      </c>
      <c r="N90" s="285">
        <f t="shared" si="11"/>
        <v>0</v>
      </c>
      <c r="O90" s="288"/>
      <c r="Q90" s="290">
        <f t="shared" si="12"/>
        <v>109.01</v>
      </c>
      <c r="R90" s="290">
        <v>0</v>
      </c>
      <c r="S90" s="290">
        <f t="shared" si="13"/>
        <v>0</v>
      </c>
      <c r="T90" s="290">
        <f t="shared" si="14"/>
        <v>0</v>
      </c>
      <c r="U90" s="290">
        <f t="shared" si="15"/>
        <v>0</v>
      </c>
      <c r="V90" s="290">
        <f t="shared" si="16"/>
        <v>0</v>
      </c>
      <c r="W90" s="290">
        <f t="shared" si="17"/>
        <v>109.01</v>
      </c>
      <c r="X90" s="291">
        <f t="shared" si="18"/>
        <v>109.01</v>
      </c>
      <c r="Y90" s="291">
        <f t="shared" si="19"/>
        <v>0</v>
      </c>
    </row>
    <row r="91" spans="2:25" s="289" customFormat="1" x14ac:dyDescent="0.25">
      <c r="B91" s="282" t="s">
        <v>198</v>
      </c>
      <c r="C91" s="243" t="s">
        <v>29</v>
      </c>
      <c r="D91" s="283" t="s">
        <v>199</v>
      </c>
      <c r="E91" s="284">
        <v>20.5</v>
      </c>
      <c r="F91" s="284">
        <v>20.5</v>
      </c>
      <c r="G91" s="243">
        <v>0</v>
      </c>
      <c r="H91" s="285">
        <v>0</v>
      </c>
      <c r="I91" s="285">
        <v>0</v>
      </c>
      <c r="J91" s="285">
        <v>0</v>
      </c>
      <c r="K91" s="285">
        <v>0</v>
      </c>
      <c r="L91" s="286">
        <f t="shared" si="10"/>
        <v>0</v>
      </c>
      <c r="M91" s="285">
        <v>0</v>
      </c>
      <c r="N91" s="285">
        <f t="shared" si="11"/>
        <v>0</v>
      </c>
      <c r="O91" s="288"/>
      <c r="Q91" s="290">
        <f t="shared" si="12"/>
        <v>0</v>
      </c>
      <c r="R91" s="290">
        <v>0</v>
      </c>
      <c r="S91" s="290">
        <f t="shared" si="13"/>
        <v>0</v>
      </c>
      <c r="T91" s="290">
        <f t="shared" si="14"/>
        <v>0</v>
      </c>
      <c r="U91" s="290">
        <f t="shared" si="15"/>
        <v>0</v>
      </c>
      <c r="V91" s="290">
        <f t="shared" si="16"/>
        <v>0</v>
      </c>
      <c r="W91" s="290">
        <f t="shared" si="17"/>
        <v>0</v>
      </c>
      <c r="X91" s="291">
        <f t="shared" si="18"/>
        <v>0</v>
      </c>
      <c r="Y91" s="291">
        <f t="shared" si="19"/>
        <v>0</v>
      </c>
    </row>
    <row r="92" spans="2:25" s="289" customFormat="1" x14ac:dyDescent="0.25">
      <c r="B92" s="282" t="s">
        <v>200</v>
      </c>
      <c r="C92" s="243" t="s">
        <v>29</v>
      </c>
      <c r="D92" s="283" t="s">
        <v>201</v>
      </c>
      <c r="E92" s="284">
        <v>17.5</v>
      </c>
      <c r="F92" s="284">
        <v>17.5</v>
      </c>
      <c r="G92" s="243">
        <v>0</v>
      </c>
      <c r="H92" s="285">
        <v>0</v>
      </c>
      <c r="I92" s="285">
        <v>0</v>
      </c>
      <c r="J92" s="285">
        <v>0</v>
      </c>
      <c r="K92" s="285">
        <v>0</v>
      </c>
      <c r="L92" s="286">
        <f t="shared" si="10"/>
        <v>0</v>
      </c>
      <c r="M92" s="285">
        <v>0</v>
      </c>
      <c r="N92" s="285">
        <f t="shared" si="11"/>
        <v>0</v>
      </c>
      <c r="O92" s="288"/>
      <c r="Q92" s="290">
        <f t="shared" si="12"/>
        <v>0</v>
      </c>
      <c r="R92" s="290">
        <v>0</v>
      </c>
      <c r="S92" s="290">
        <f t="shared" si="13"/>
        <v>0</v>
      </c>
      <c r="T92" s="290">
        <f t="shared" si="14"/>
        <v>0</v>
      </c>
      <c r="U92" s="290">
        <f t="shared" si="15"/>
        <v>0</v>
      </c>
      <c r="V92" s="290">
        <f t="shared" si="16"/>
        <v>0</v>
      </c>
      <c r="W92" s="290">
        <f t="shared" si="17"/>
        <v>0</v>
      </c>
      <c r="X92" s="291">
        <f t="shared" si="18"/>
        <v>0</v>
      </c>
      <c r="Y92" s="291">
        <f t="shared" si="19"/>
        <v>0</v>
      </c>
    </row>
    <row r="93" spans="2:25" s="289" customFormat="1" x14ac:dyDescent="0.25">
      <c r="B93" s="282" t="s">
        <v>202</v>
      </c>
      <c r="C93" s="243" t="s">
        <v>29</v>
      </c>
      <c r="D93" s="283" t="s">
        <v>203</v>
      </c>
      <c r="E93" s="284">
        <v>12.45</v>
      </c>
      <c r="F93" s="284">
        <v>12.45</v>
      </c>
      <c r="G93" s="243">
        <v>0</v>
      </c>
      <c r="H93" s="285">
        <v>0</v>
      </c>
      <c r="I93" s="285">
        <v>0</v>
      </c>
      <c r="J93" s="285">
        <v>0</v>
      </c>
      <c r="K93" s="285">
        <v>0</v>
      </c>
      <c r="L93" s="286">
        <f t="shared" si="10"/>
        <v>0</v>
      </c>
      <c r="M93" s="285">
        <v>0</v>
      </c>
      <c r="N93" s="285">
        <f t="shared" si="11"/>
        <v>0</v>
      </c>
      <c r="O93" s="288"/>
      <c r="Q93" s="290">
        <f t="shared" si="12"/>
        <v>0</v>
      </c>
      <c r="R93" s="290">
        <v>0</v>
      </c>
      <c r="S93" s="290">
        <f t="shared" si="13"/>
        <v>0</v>
      </c>
      <c r="T93" s="290">
        <f t="shared" si="14"/>
        <v>0</v>
      </c>
      <c r="U93" s="290">
        <f t="shared" si="15"/>
        <v>0</v>
      </c>
      <c r="V93" s="290">
        <f t="shared" si="16"/>
        <v>0</v>
      </c>
      <c r="W93" s="290">
        <f t="shared" si="17"/>
        <v>0</v>
      </c>
      <c r="X93" s="291">
        <f t="shared" si="18"/>
        <v>0</v>
      </c>
      <c r="Y93" s="291">
        <f t="shared" si="19"/>
        <v>0</v>
      </c>
    </row>
    <row r="94" spans="2:25" s="289" customFormat="1" x14ac:dyDescent="0.25">
      <c r="B94" s="282" t="s">
        <v>204</v>
      </c>
      <c r="C94" s="243" t="s">
        <v>58</v>
      </c>
      <c r="D94" s="283" t="s">
        <v>205</v>
      </c>
      <c r="E94" s="284">
        <v>2.0699999999999998</v>
      </c>
      <c r="F94" s="284">
        <v>2.0699999999999998</v>
      </c>
      <c r="G94" s="243">
        <v>0</v>
      </c>
      <c r="H94" s="285">
        <v>0</v>
      </c>
      <c r="I94" s="285">
        <v>0</v>
      </c>
      <c r="J94" s="285">
        <v>0</v>
      </c>
      <c r="K94" s="285">
        <v>0</v>
      </c>
      <c r="L94" s="286">
        <f t="shared" si="10"/>
        <v>0</v>
      </c>
      <c r="M94" s="285">
        <v>0</v>
      </c>
      <c r="N94" s="285">
        <f t="shared" si="11"/>
        <v>0</v>
      </c>
      <c r="O94" s="288"/>
      <c r="Q94" s="290">
        <f t="shared" si="12"/>
        <v>0</v>
      </c>
      <c r="R94" s="290">
        <v>0</v>
      </c>
      <c r="S94" s="290">
        <f t="shared" si="13"/>
        <v>0</v>
      </c>
      <c r="T94" s="290">
        <f t="shared" si="14"/>
        <v>0</v>
      </c>
      <c r="U94" s="290">
        <f t="shared" si="15"/>
        <v>0</v>
      </c>
      <c r="V94" s="290">
        <f t="shared" si="16"/>
        <v>0</v>
      </c>
      <c r="W94" s="290">
        <f t="shared" si="17"/>
        <v>0</v>
      </c>
      <c r="X94" s="291">
        <f t="shared" si="18"/>
        <v>0</v>
      </c>
      <c r="Y94" s="291">
        <f t="shared" si="19"/>
        <v>0</v>
      </c>
    </row>
    <row r="95" spans="2:25" s="289" customFormat="1" x14ac:dyDescent="0.25">
      <c r="B95" s="282" t="s">
        <v>206</v>
      </c>
      <c r="C95" s="243" t="s">
        <v>29</v>
      </c>
      <c r="D95" s="283" t="s">
        <v>207</v>
      </c>
      <c r="E95" s="284">
        <v>12.92</v>
      </c>
      <c r="F95" s="284">
        <v>12.92</v>
      </c>
      <c r="G95" s="243">
        <v>0</v>
      </c>
      <c r="H95" s="285">
        <v>0</v>
      </c>
      <c r="I95" s="285">
        <v>0</v>
      </c>
      <c r="J95" s="285">
        <v>0</v>
      </c>
      <c r="K95" s="285">
        <v>0</v>
      </c>
      <c r="L95" s="286">
        <f t="shared" si="10"/>
        <v>0</v>
      </c>
      <c r="M95" s="285">
        <v>0</v>
      </c>
      <c r="N95" s="285">
        <f t="shared" si="11"/>
        <v>0</v>
      </c>
      <c r="O95" s="288"/>
      <c r="Q95" s="290">
        <f t="shared" si="12"/>
        <v>0</v>
      </c>
      <c r="R95" s="290">
        <v>0</v>
      </c>
      <c r="S95" s="290">
        <f t="shared" si="13"/>
        <v>0</v>
      </c>
      <c r="T95" s="290">
        <f t="shared" si="14"/>
        <v>0</v>
      </c>
      <c r="U95" s="290">
        <f t="shared" si="15"/>
        <v>0</v>
      </c>
      <c r="V95" s="290">
        <f t="shared" si="16"/>
        <v>0</v>
      </c>
      <c r="W95" s="290">
        <f t="shared" si="17"/>
        <v>0</v>
      </c>
      <c r="X95" s="291">
        <f t="shared" si="18"/>
        <v>0</v>
      </c>
      <c r="Y95" s="291">
        <f t="shared" si="19"/>
        <v>0</v>
      </c>
    </row>
    <row r="96" spans="2:25" s="289" customFormat="1" ht="30" x14ac:dyDescent="0.25">
      <c r="B96" s="282" t="s">
        <v>208</v>
      </c>
      <c r="C96" s="243" t="s">
        <v>58</v>
      </c>
      <c r="D96" s="283" t="s">
        <v>209</v>
      </c>
      <c r="E96" s="284">
        <v>6.13</v>
      </c>
      <c r="F96" s="284">
        <v>6.13</v>
      </c>
      <c r="G96" s="243">
        <v>0</v>
      </c>
      <c r="H96" s="285">
        <v>0</v>
      </c>
      <c r="I96" s="285">
        <v>0</v>
      </c>
      <c r="J96" s="285">
        <v>0</v>
      </c>
      <c r="K96" s="285">
        <v>0</v>
      </c>
      <c r="L96" s="286">
        <f t="shared" si="10"/>
        <v>0</v>
      </c>
      <c r="M96" s="285">
        <v>0</v>
      </c>
      <c r="N96" s="285">
        <f t="shared" si="11"/>
        <v>0</v>
      </c>
      <c r="O96" s="288"/>
      <c r="Q96" s="290">
        <f t="shared" si="12"/>
        <v>0</v>
      </c>
      <c r="R96" s="290">
        <v>0</v>
      </c>
      <c r="S96" s="290">
        <f t="shared" si="13"/>
        <v>0</v>
      </c>
      <c r="T96" s="290">
        <f t="shared" si="14"/>
        <v>0</v>
      </c>
      <c r="U96" s="290">
        <f t="shared" si="15"/>
        <v>0</v>
      </c>
      <c r="V96" s="290">
        <f t="shared" si="16"/>
        <v>0</v>
      </c>
      <c r="W96" s="290">
        <f t="shared" si="17"/>
        <v>0</v>
      </c>
      <c r="X96" s="291">
        <f t="shared" si="18"/>
        <v>0</v>
      </c>
      <c r="Y96" s="291">
        <f t="shared" si="19"/>
        <v>0</v>
      </c>
    </row>
    <row r="97" spans="2:25" s="289" customFormat="1" ht="30" x14ac:dyDescent="0.25">
      <c r="B97" s="282" t="s">
        <v>210</v>
      </c>
      <c r="C97" s="243" t="s">
        <v>58</v>
      </c>
      <c r="D97" s="283" t="s">
        <v>211</v>
      </c>
      <c r="E97" s="284">
        <v>2.83</v>
      </c>
      <c r="F97" s="284">
        <v>2.83</v>
      </c>
      <c r="G97" s="243">
        <v>0</v>
      </c>
      <c r="H97" s="285">
        <v>0</v>
      </c>
      <c r="I97" s="285">
        <v>0</v>
      </c>
      <c r="J97" s="285">
        <v>0</v>
      </c>
      <c r="K97" s="285">
        <v>0</v>
      </c>
      <c r="L97" s="286">
        <f t="shared" si="10"/>
        <v>0</v>
      </c>
      <c r="M97" s="285">
        <v>0</v>
      </c>
      <c r="N97" s="285">
        <f t="shared" si="11"/>
        <v>0</v>
      </c>
      <c r="O97" s="288"/>
      <c r="Q97" s="290">
        <f t="shared" si="12"/>
        <v>0</v>
      </c>
      <c r="R97" s="290">
        <v>0</v>
      </c>
      <c r="S97" s="290">
        <f t="shared" si="13"/>
        <v>0</v>
      </c>
      <c r="T97" s="290">
        <f t="shared" si="14"/>
        <v>0</v>
      </c>
      <c r="U97" s="290">
        <f t="shared" si="15"/>
        <v>0</v>
      </c>
      <c r="V97" s="290">
        <f t="shared" si="16"/>
        <v>0</v>
      </c>
      <c r="W97" s="290">
        <f t="shared" si="17"/>
        <v>0</v>
      </c>
      <c r="X97" s="291">
        <f t="shared" si="18"/>
        <v>0</v>
      </c>
      <c r="Y97" s="291">
        <f t="shared" si="19"/>
        <v>0</v>
      </c>
    </row>
    <row r="98" spans="2:25" s="289" customFormat="1" ht="30" x14ac:dyDescent="0.25">
      <c r="B98" s="282" t="s">
        <v>212</v>
      </c>
      <c r="C98" s="243" t="s">
        <v>58</v>
      </c>
      <c r="D98" s="283" t="s">
        <v>213</v>
      </c>
      <c r="E98" s="284">
        <v>3.11</v>
      </c>
      <c r="F98" s="284">
        <v>3.11</v>
      </c>
      <c r="G98" s="243">
        <v>0</v>
      </c>
      <c r="H98" s="285">
        <v>0</v>
      </c>
      <c r="I98" s="285">
        <v>0</v>
      </c>
      <c r="J98" s="285">
        <v>0</v>
      </c>
      <c r="K98" s="285">
        <v>0</v>
      </c>
      <c r="L98" s="286">
        <f t="shared" si="10"/>
        <v>0</v>
      </c>
      <c r="M98" s="285">
        <v>0</v>
      </c>
      <c r="N98" s="285">
        <f t="shared" si="11"/>
        <v>0</v>
      </c>
      <c r="O98" s="288"/>
      <c r="Q98" s="290">
        <f t="shared" si="12"/>
        <v>0</v>
      </c>
      <c r="R98" s="290">
        <v>0</v>
      </c>
      <c r="S98" s="290">
        <f t="shared" si="13"/>
        <v>0</v>
      </c>
      <c r="T98" s="290">
        <f t="shared" si="14"/>
        <v>0</v>
      </c>
      <c r="U98" s="290">
        <f t="shared" si="15"/>
        <v>0</v>
      </c>
      <c r="V98" s="290">
        <f t="shared" si="16"/>
        <v>0</v>
      </c>
      <c r="W98" s="290">
        <f t="shared" si="17"/>
        <v>0</v>
      </c>
      <c r="X98" s="291">
        <f t="shared" si="18"/>
        <v>0</v>
      </c>
      <c r="Y98" s="291">
        <f t="shared" si="19"/>
        <v>0</v>
      </c>
    </row>
    <row r="99" spans="2:25" s="289" customFormat="1" x14ac:dyDescent="0.25">
      <c r="B99" s="282" t="s">
        <v>214</v>
      </c>
      <c r="C99" s="243" t="s">
        <v>29</v>
      </c>
      <c r="D99" s="283" t="s">
        <v>215</v>
      </c>
      <c r="E99" s="284">
        <v>6.52</v>
      </c>
      <c r="F99" s="284">
        <v>6.52</v>
      </c>
      <c r="G99" s="243">
        <v>0</v>
      </c>
      <c r="H99" s="285">
        <v>0</v>
      </c>
      <c r="I99" s="285">
        <v>0</v>
      </c>
      <c r="J99" s="285">
        <v>0</v>
      </c>
      <c r="K99" s="285">
        <v>0</v>
      </c>
      <c r="L99" s="286">
        <f t="shared" si="10"/>
        <v>0</v>
      </c>
      <c r="M99" s="285">
        <v>0</v>
      </c>
      <c r="N99" s="285">
        <f t="shared" si="11"/>
        <v>0</v>
      </c>
      <c r="O99" s="288"/>
      <c r="Q99" s="290">
        <f t="shared" si="12"/>
        <v>0</v>
      </c>
      <c r="R99" s="290">
        <v>0</v>
      </c>
      <c r="S99" s="290">
        <f t="shared" si="13"/>
        <v>0</v>
      </c>
      <c r="T99" s="290">
        <f t="shared" si="14"/>
        <v>0</v>
      </c>
      <c r="U99" s="290">
        <f t="shared" si="15"/>
        <v>0</v>
      </c>
      <c r="V99" s="290">
        <f t="shared" si="16"/>
        <v>0</v>
      </c>
      <c r="W99" s="290">
        <f t="shared" si="17"/>
        <v>0</v>
      </c>
      <c r="X99" s="291">
        <f t="shared" si="18"/>
        <v>0</v>
      </c>
      <c r="Y99" s="291">
        <f t="shared" si="19"/>
        <v>0</v>
      </c>
    </row>
    <row r="100" spans="2:25" s="289" customFormat="1" x14ac:dyDescent="0.25">
      <c r="B100" s="282" t="s">
        <v>216</v>
      </c>
      <c r="C100" s="243" t="s">
        <v>58</v>
      </c>
      <c r="D100" s="283" t="s">
        <v>217</v>
      </c>
      <c r="E100" s="294">
        <v>5.15</v>
      </c>
      <c r="F100" s="284">
        <v>5.15</v>
      </c>
      <c r="G100" s="243">
        <v>12</v>
      </c>
      <c r="H100" s="285">
        <v>0</v>
      </c>
      <c r="I100" s="285">
        <v>0</v>
      </c>
      <c r="J100" s="285">
        <v>0</v>
      </c>
      <c r="K100" s="285">
        <v>0</v>
      </c>
      <c r="L100" s="286">
        <f t="shared" si="10"/>
        <v>12</v>
      </c>
      <c r="M100" s="285">
        <v>12</v>
      </c>
      <c r="N100" s="285">
        <f t="shared" si="11"/>
        <v>0</v>
      </c>
      <c r="O100" s="288"/>
      <c r="Q100" s="290">
        <f t="shared" si="12"/>
        <v>61.800000000000004</v>
      </c>
      <c r="R100" s="290">
        <v>0</v>
      </c>
      <c r="S100" s="290">
        <f t="shared" si="13"/>
        <v>0</v>
      </c>
      <c r="T100" s="290">
        <f t="shared" si="14"/>
        <v>0</v>
      </c>
      <c r="U100" s="290">
        <f t="shared" si="15"/>
        <v>0</v>
      </c>
      <c r="V100" s="290">
        <f t="shared" si="16"/>
        <v>0</v>
      </c>
      <c r="W100" s="290">
        <f t="shared" si="17"/>
        <v>61.800000000000004</v>
      </c>
      <c r="X100" s="291">
        <f t="shared" si="18"/>
        <v>61.800000000000004</v>
      </c>
      <c r="Y100" s="291">
        <f t="shared" si="19"/>
        <v>0</v>
      </c>
    </row>
    <row r="101" spans="2:25" s="289" customFormat="1" x14ac:dyDescent="0.25">
      <c r="B101" s="282" t="s">
        <v>678</v>
      </c>
      <c r="C101" s="243" t="s">
        <v>29</v>
      </c>
      <c r="D101" s="283" t="s">
        <v>218</v>
      </c>
      <c r="E101" s="284">
        <v>13.44</v>
      </c>
      <c r="F101" s="284">
        <v>13.44</v>
      </c>
      <c r="G101" s="243">
        <v>0</v>
      </c>
      <c r="H101" s="285">
        <v>0</v>
      </c>
      <c r="I101" s="285">
        <v>0</v>
      </c>
      <c r="J101" s="285">
        <v>0</v>
      </c>
      <c r="K101" s="285">
        <v>0</v>
      </c>
      <c r="L101" s="286">
        <f t="shared" si="10"/>
        <v>0</v>
      </c>
      <c r="M101" s="285">
        <v>0</v>
      </c>
      <c r="N101" s="285">
        <f t="shared" si="11"/>
        <v>0</v>
      </c>
      <c r="O101" s="288"/>
      <c r="Q101" s="290">
        <f t="shared" si="12"/>
        <v>0</v>
      </c>
      <c r="R101" s="290">
        <v>0</v>
      </c>
      <c r="S101" s="290">
        <f t="shared" si="13"/>
        <v>0</v>
      </c>
      <c r="T101" s="290">
        <f t="shared" si="14"/>
        <v>0</v>
      </c>
      <c r="U101" s="290">
        <f t="shared" si="15"/>
        <v>0</v>
      </c>
      <c r="V101" s="290">
        <f t="shared" si="16"/>
        <v>0</v>
      </c>
      <c r="W101" s="290">
        <f t="shared" si="17"/>
        <v>0</v>
      </c>
      <c r="X101" s="291">
        <f t="shared" si="18"/>
        <v>0</v>
      </c>
      <c r="Y101" s="291">
        <f t="shared" si="19"/>
        <v>0</v>
      </c>
    </row>
    <row r="102" spans="2:25" s="289" customFormat="1" x14ac:dyDescent="0.25">
      <c r="B102" s="282" t="s">
        <v>219</v>
      </c>
      <c r="C102" s="243" t="s">
        <v>29</v>
      </c>
      <c r="D102" s="283" t="s">
        <v>220</v>
      </c>
      <c r="E102" s="284">
        <v>11.76</v>
      </c>
      <c r="F102" s="284">
        <v>11.76</v>
      </c>
      <c r="G102" s="243">
        <v>0</v>
      </c>
      <c r="H102" s="285">
        <v>0</v>
      </c>
      <c r="I102" s="285">
        <v>0</v>
      </c>
      <c r="J102" s="285">
        <v>0</v>
      </c>
      <c r="K102" s="285">
        <v>0</v>
      </c>
      <c r="L102" s="286">
        <f t="shared" si="10"/>
        <v>0</v>
      </c>
      <c r="M102" s="285">
        <v>0</v>
      </c>
      <c r="N102" s="285">
        <f t="shared" si="11"/>
        <v>0</v>
      </c>
      <c r="O102" s="288"/>
      <c r="Q102" s="290">
        <f t="shared" si="12"/>
        <v>0</v>
      </c>
      <c r="R102" s="290">
        <v>0</v>
      </c>
      <c r="S102" s="290">
        <f t="shared" si="13"/>
        <v>0</v>
      </c>
      <c r="T102" s="290">
        <f t="shared" si="14"/>
        <v>0</v>
      </c>
      <c r="U102" s="290">
        <f t="shared" si="15"/>
        <v>0</v>
      </c>
      <c r="V102" s="290">
        <f t="shared" si="16"/>
        <v>0</v>
      </c>
      <c r="W102" s="290">
        <f t="shared" si="17"/>
        <v>0</v>
      </c>
      <c r="X102" s="291">
        <f t="shared" si="18"/>
        <v>0</v>
      </c>
      <c r="Y102" s="291">
        <f t="shared" si="19"/>
        <v>0</v>
      </c>
    </row>
    <row r="103" spans="2:25" s="289" customFormat="1" x14ac:dyDescent="0.25">
      <c r="B103" s="282" t="s">
        <v>679</v>
      </c>
      <c r="C103" s="243"/>
      <c r="D103" s="283" t="s">
        <v>221</v>
      </c>
      <c r="E103" s="284">
        <v>13.44</v>
      </c>
      <c r="F103" s="284">
        <v>13.44</v>
      </c>
      <c r="G103" s="243">
        <v>0</v>
      </c>
      <c r="H103" s="285">
        <v>0</v>
      </c>
      <c r="I103" s="285">
        <v>0</v>
      </c>
      <c r="J103" s="285">
        <v>0</v>
      </c>
      <c r="K103" s="285">
        <v>0</v>
      </c>
      <c r="L103" s="286">
        <f t="shared" si="10"/>
        <v>0</v>
      </c>
      <c r="M103" s="285">
        <v>0</v>
      </c>
      <c r="N103" s="285">
        <f t="shared" si="11"/>
        <v>0</v>
      </c>
      <c r="O103" s="288"/>
      <c r="Q103" s="290">
        <f t="shared" si="12"/>
        <v>0</v>
      </c>
      <c r="R103" s="290">
        <v>0</v>
      </c>
      <c r="S103" s="290">
        <f t="shared" si="13"/>
        <v>0</v>
      </c>
      <c r="T103" s="290">
        <f t="shared" si="14"/>
        <v>0</v>
      </c>
      <c r="U103" s="290">
        <f t="shared" si="15"/>
        <v>0</v>
      </c>
      <c r="V103" s="290">
        <f t="shared" si="16"/>
        <v>0</v>
      </c>
      <c r="W103" s="290">
        <f t="shared" si="17"/>
        <v>0</v>
      </c>
      <c r="X103" s="291">
        <f t="shared" si="18"/>
        <v>0</v>
      </c>
      <c r="Y103" s="291">
        <f t="shared" si="19"/>
        <v>0</v>
      </c>
    </row>
    <row r="104" spans="2:25" s="289" customFormat="1" x14ac:dyDescent="0.25">
      <c r="B104" s="282" t="s">
        <v>222</v>
      </c>
      <c r="C104" s="243" t="s">
        <v>26</v>
      </c>
      <c r="D104" s="283" t="s">
        <v>223</v>
      </c>
      <c r="E104" s="284">
        <v>0.63</v>
      </c>
      <c r="F104" s="284">
        <v>0.63</v>
      </c>
      <c r="G104" s="243">
        <v>3800</v>
      </c>
      <c r="H104" s="285">
        <v>0</v>
      </c>
      <c r="I104" s="285">
        <v>0</v>
      </c>
      <c r="J104" s="285">
        <v>0</v>
      </c>
      <c r="K104" s="285">
        <v>0</v>
      </c>
      <c r="L104" s="286">
        <f t="shared" si="10"/>
        <v>3800</v>
      </c>
      <c r="M104" s="285">
        <v>3800</v>
      </c>
      <c r="N104" s="285">
        <f t="shared" si="11"/>
        <v>0</v>
      </c>
      <c r="O104" s="288"/>
      <c r="Q104" s="290">
        <f t="shared" si="12"/>
        <v>2394</v>
      </c>
      <c r="R104" s="290">
        <v>0</v>
      </c>
      <c r="S104" s="290">
        <f t="shared" si="13"/>
        <v>0</v>
      </c>
      <c r="T104" s="290">
        <f t="shared" si="14"/>
        <v>0</v>
      </c>
      <c r="U104" s="290">
        <f t="shared" si="15"/>
        <v>0</v>
      </c>
      <c r="V104" s="290">
        <f t="shared" si="16"/>
        <v>0</v>
      </c>
      <c r="W104" s="290">
        <f t="shared" si="17"/>
        <v>2394</v>
      </c>
      <c r="X104" s="291">
        <f t="shared" si="18"/>
        <v>2394</v>
      </c>
      <c r="Y104" s="291">
        <f t="shared" si="19"/>
        <v>0</v>
      </c>
    </row>
    <row r="105" spans="2:25" s="289" customFormat="1" x14ac:dyDescent="0.25">
      <c r="B105" s="282" t="s">
        <v>224</v>
      </c>
      <c r="C105" s="243" t="s">
        <v>29</v>
      </c>
      <c r="D105" s="283" t="s">
        <v>225</v>
      </c>
      <c r="E105" s="284">
        <v>20.5</v>
      </c>
      <c r="F105" s="284">
        <v>20.5</v>
      </c>
      <c r="G105" s="243">
        <v>0</v>
      </c>
      <c r="H105" s="285">
        <v>0</v>
      </c>
      <c r="I105" s="285">
        <v>0</v>
      </c>
      <c r="J105" s="285">
        <v>0</v>
      </c>
      <c r="K105" s="285">
        <v>0</v>
      </c>
      <c r="L105" s="286">
        <f t="shared" si="10"/>
        <v>0</v>
      </c>
      <c r="M105" s="285">
        <v>0</v>
      </c>
      <c r="N105" s="285">
        <f t="shared" si="11"/>
        <v>0</v>
      </c>
      <c r="O105" s="288"/>
      <c r="Q105" s="290">
        <f t="shared" si="12"/>
        <v>0</v>
      </c>
      <c r="R105" s="290">
        <v>0</v>
      </c>
      <c r="S105" s="290">
        <f t="shared" si="13"/>
        <v>0</v>
      </c>
      <c r="T105" s="290">
        <f t="shared" si="14"/>
        <v>0</v>
      </c>
      <c r="U105" s="290">
        <f t="shared" si="15"/>
        <v>0</v>
      </c>
      <c r="V105" s="290">
        <f t="shared" si="16"/>
        <v>0</v>
      </c>
      <c r="W105" s="290">
        <f t="shared" si="17"/>
        <v>0</v>
      </c>
      <c r="X105" s="291">
        <f t="shared" si="18"/>
        <v>0</v>
      </c>
      <c r="Y105" s="291">
        <f t="shared" si="19"/>
        <v>0</v>
      </c>
    </row>
    <row r="106" spans="2:25" s="289" customFormat="1" ht="30" x14ac:dyDescent="0.25">
      <c r="B106" s="282" t="s">
        <v>226</v>
      </c>
      <c r="C106" s="243" t="s">
        <v>58</v>
      </c>
      <c r="D106" s="283" t="s">
        <v>227</v>
      </c>
      <c r="E106" s="284">
        <v>8.57</v>
      </c>
      <c r="F106" s="284">
        <v>8.57</v>
      </c>
      <c r="G106" s="243">
        <v>0</v>
      </c>
      <c r="H106" s="285">
        <v>0</v>
      </c>
      <c r="I106" s="285">
        <v>0</v>
      </c>
      <c r="J106" s="285">
        <v>0</v>
      </c>
      <c r="K106" s="285">
        <v>0</v>
      </c>
      <c r="L106" s="286">
        <f t="shared" si="10"/>
        <v>0</v>
      </c>
      <c r="M106" s="285">
        <v>0</v>
      </c>
      <c r="N106" s="285">
        <f t="shared" si="11"/>
        <v>0</v>
      </c>
      <c r="O106" s="288"/>
      <c r="Q106" s="290">
        <f t="shared" si="12"/>
        <v>0</v>
      </c>
      <c r="R106" s="290">
        <v>0</v>
      </c>
      <c r="S106" s="290">
        <f t="shared" si="13"/>
        <v>0</v>
      </c>
      <c r="T106" s="290">
        <f t="shared" si="14"/>
        <v>0</v>
      </c>
      <c r="U106" s="290">
        <f t="shared" si="15"/>
        <v>0</v>
      </c>
      <c r="V106" s="290">
        <f t="shared" si="16"/>
        <v>0</v>
      </c>
      <c r="W106" s="290">
        <f t="shared" si="17"/>
        <v>0</v>
      </c>
      <c r="X106" s="291">
        <f t="shared" si="18"/>
        <v>0</v>
      </c>
      <c r="Y106" s="291">
        <f t="shared" si="19"/>
        <v>0</v>
      </c>
    </row>
    <row r="107" spans="2:25" s="289" customFormat="1" ht="30" x14ac:dyDescent="0.25">
      <c r="B107" s="282" t="s">
        <v>228</v>
      </c>
      <c r="C107" s="243" t="s">
        <v>58</v>
      </c>
      <c r="D107" s="283" t="s">
        <v>229</v>
      </c>
      <c r="E107" s="284">
        <v>16.510000000000002</v>
      </c>
      <c r="F107" s="284">
        <v>16.510000000000002</v>
      </c>
      <c r="G107" s="243">
        <v>0</v>
      </c>
      <c r="H107" s="285">
        <v>0</v>
      </c>
      <c r="I107" s="285">
        <v>0</v>
      </c>
      <c r="J107" s="285">
        <v>0</v>
      </c>
      <c r="K107" s="285">
        <v>0</v>
      </c>
      <c r="L107" s="286">
        <f t="shared" si="10"/>
        <v>0</v>
      </c>
      <c r="M107" s="285">
        <v>0</v>
      </c>
      <c r="N107" s="285">
        <f t="shared" si="11"/>
        <v>0</v>
      </c>
      <c r="O107" s="288"/>
      <c r="Q107" s="290">
        <f t="shared" si="12"/>
        <v>0</v>
      </c>
      <c r="R107" s="290">
        <v>0</v>
      </c>
      <c r="S107" s="290">
        <f t="shared" si="13"/>
        <v>0</v>
      </c>
      <c r="T107" s="290">
        <f t="shared" si="14"/>
        <v>0</v>
      </c>
      <c r="U107" s="290">
        <f t="shared" si="15"/>
        <v>0</v>
      </c>
      <c r="V107" s="290">
        <f t="shared" si="16"/>
        <v>0</v>
      </c>
      <c r="W107" s="290">
        <f t="shared" si="17"/>
        <v>0</v>
      </c>
      <c r="X107" s="291">
        <f t="shared" si="18"/>
        <v>0</v>
      </c>
      <c r="Y107" s="291">
        <f t="shared" si="19"/>
        <v>0</v>
      </c>
    </row>
    <row r="108" spans="2:25" s="289" customFormat="1" x14ac:dyDescent="0.25">
      <c r="B108" s="282" t="s">
        <v>230</v>
      </c>
      <c r="C108" s="243" t="s">
        <v>29</v>
      </c>
      <c r="D108" s="283" t="s">
        <v>231</v>
      </c>
      <c r="E108" s="284">
        <v>18.260000000000002</v>
      </c>
      <c r="F108" s="284">
        <v>18.260000000000002</v>
      </c>
      <c r="G108" s="243">
        <v>0</v>
      </c>
      <c r="H108" s="285">
        <v>0</v>
      </c>
      <c r="I108" s="285">
        <v>0</v>
      </c>
      <c r="J108" s="285">
        <v>0</v>
      </c>
      <c r="K108" s="285">
        <v>0</v>
      </c>
      <c r="L108" s="286">
        <f t="shared" si="10"/>
        <v>0</v>
      </c>
      <c r="M108" s="285">
        <v>0</v>
      </c>
      <c r="N108" s="285">
        <f t="shared" si="11"/>
        <v>0</v>
      </c>
      <c r="O108" s="288"/>
      <c r="Q108" s="290">
        <f t="shared" si="12"/>
        <v>0</v>
      </c>
      <c r="R108" s="290">
        <v>0</v>
      </c>
      <c r="S108" s="290">
        <f t="shared" si="13"/>
        <v>0</v>
      </c>
      <c r="T108" s="290">
        <f t="shared" si="14"/>
        <v>0</v>
      </c>
      <c r="U108" s="290">
        <f t="shared" si="15"/>
        <v>0</v>
      </c>
      <c r="V108" s="290">
        <f t="shared" si="16"/>
        <v>0</v>
      </c>
      <c r="W108" s="290">
        <f t="shared" si="17"/>
        <v>0</v>
      </c>
      <c r="X108" s="291">
        <f t="shared" si="18"/>
        <v>0</v>
      </c>
      <c r="Y108" s="291">
        <f t="shared" si="19"/>
        <v>0</v>
      </c>
    </row>
    <row r="109" spans="2:25" s="289" customFormat="1" x14ac:dyDescent="0.25">
      <c r="B109" s="282" t="s">
        <v>232</v>
      </c>
      <c r="C109" s="243" t="s">
        <v>29</v>
      </c>
      <c r="D109" s="283" t="s">
        <v>233</v>
      </c>
      <c r="E109" s="284">
        <v>12.6</v>
      </c>
      <c r="F109" s="284">
        <v>12.6</v>
      </c>
      <c r="G109" s="243">
        <v>0</v>
      </c>
      <c r="H109" s="285">
        <v>0</v>
      </c>
      <c r="I109" s="285">
        <v>0</v>
      </c>
      <c r="J109" s="285">
        <v>0</v>
      </c>
      <c r="K109" s="285">
        <v>0</v>
      </c>
      <c r="L109" s="286">
        <f t="shared" si="10"/>
        <v>0</v>
      </c>
      <c r="M109" s="285">
        <v>0</v>
      </c>
      <c r="N109" s="285">
        <f t="shared" si="11"/>
        <v>0</v>
      </c>
      <c r="O109" s="288"/>
      <c r="Q109" s="290">
        <f t="shared" si="12"/>
        <v>0</v>
      </c>
      <c r="R109" s="290">
        <v>0</v>
      </c>
      <c r="S109" s="290">
        <f t="shared" si="13"/>
        <v>0</v>
      </c>
      <c r="T109" s="290">
        <f t="shared" si="14"/>
        <v>0</v>
      </c>
      <c r="U109" s="290">
        <f t="shared" si="15"/>
        <v>0</v>
      </c>
      <c r="V109" s="290">
        <f t="shared" si="16"/>
        <v>0</v>
      </c>
      <c r="W109" s="290">
        <f t="shared" si="17"/>
        <v>0</v>
      </c>
      <c r="X109" s="291">
        <f t="shared" si="18"/>
        <v>0</v>
      </c>
      <c r="Y109" s="291">
        <f t="shared" si="19"/>
        <v>0</v>
      </c>
    </row>
    <row r="110" spans="2:25" s="289" customFormat="1" ht="30" x14ac:dyDescent="0.25">
      <c r="B110" s="282" t="s">
        <v>234</v>
      </c>
      <c r="C110" s="243" t="s">
        <v>26</v>
      </c>
      <c r="D110" s="283" t="s">
        <v>235</v>
      </c>
      <c r="E110" s="284">
        <v>0.36</v>
      </c>
      <c r="F110" s="284">
        <v>0.36</v>
      </c>
      <c r="G110" s="243">
        <v>18369</v>
      </c>
      <c r="H110" s="285">
        <v>0</v>
      </c>
      <c r="I110" s="285">
        <v>0</v>
      </c>
      <c r="J110" s="285">
        <v>0</v>
      </c>
      <c r="K110" s="285">
        <v>0</v>
      </c>
      <c r="L110" s="286">
        <f t="shared" si="10"/>
        <v>18369</v>
      </c>
      <c r="M110" s="285">
        <v>18369</v>
      </c>
      <c r="N110" s="285">
        <f t="shared" si="11"/>
        <v>0</v>
      </c>
      <c r="O110" s="288"/>
      <c r="Q110" s="290">
        <f t="shared" si="12"/>
        <v>6612.84</v>
      </c>
      <c r="R110" s="290">
        <v>0</v>
      </c>
      <c r="S110" s="290">
        <f t="shared" si="13"/>
        <v>0</v>
      </c>
      <c r="T110" s="290">
        <f t="shared" si="14"/>
        <v>0</v>
      </c>
      <c r="U110" s="290">
        <f t="shared" si="15"/>
        <v>0</v>
      </c>
      <c r="V110" s="290">
        <f t="shared" si="16"/>
        <v>0</v>
      </c>
      <c r="W110" s="290">
        <f t="shared" si="17"/>
        <v>6612.84</v>
      </c>
      <c r="X110" s="291">
        <f t="shared" si="18"/>
        <v>6612.84</v>
      </c>
      <c r="Y110" s="291">
        <f t="shared" si="19"/>
        <v>0</v>
      </c>
    </row>
    <row r="111" spans="2:25" s="289" customFormat="1" x14ac:dyDescent="0.25">
      <c r="B111" s="282" t="s">
        <v>236</v>
      </c>
      <c r="C111" s="243" t="s">
        <v>26</v>
      </c>
      <c r="D111" s="283" t="s">
        <v>237</v>
      </c>
      <c r="E111" s="284">
        <v>2.2400000000000002</v>
      </c>
      <c r="F111" s="284">
        <v>2.2400000000000002</v>
      </c>
      <c r="G111" s="243">
        <v>0</v>
      </c>
      <c r="H111" s="285">
        <v>0</v>
      </c>
      <c r="I111" s="285">
        <v>0</v>
      </c>
      <c r="J111" s="285">
        <v>0</v>
      </c>
      <c r="K111" s="285">
        <v>0</v>
      </c>
      <c r="L111" s="286">
        <f t="shared" si="10"/>
        <v>0</v>
      </c>
      <c r="M111" s="285">
        <v>0</v>
      </c>
      <c r="N111" s="285">
        <f t="shared" si="11"/>
        <v>0</v>
      </c>
      <c r="O111" s="288"/>
      <c r="Q111" s="290">
        <f t="shared" si="12"/>
        <v>0</v>
      </c>
      <c r="R111" s="290">
        <v>0</v>
      </c>
      <c r="S111" s="290">
        <f t="shared" si="13"/>
        <v>0</v>
      </c>
      <c r="T111" s="290">
        <f t="shared" si="14"/>
        <v>0</v>
      </c>
      <c r="U111" s="290">
        <f t="shared" si="15"/>
        <v>0</v>
      </c>
      <c r="V111" s="290">
        <f t="shared" si="16"/>
        <v>0</v>
      </c>
      <c r="W111" s="290">
        <f t="shared" si="17"/>
        <v>0</v>
      </c>
      <c r="X111" s="291">
        <f t="shared" si="18"/>
        <v>0</v>
      </c>
      <c r="Y111" s="291">
        <f t="shared" si="19"/>
        <v>0</v>
      </c>
    </row>
    <row r="112" spans="2:25" s="289" customFormat="1" x14ac:dyDescent="0.25">
      <c r="B112" s="282" t="s">
        <v>238</v>
      </c>
      <c r="C112" s="243" t="s">
        <v>29</v>
      </c>
      <c r="D112" s="283" t="s">
        <v>239</v>
      </c>
      <c r="E112" s="284">
        <v>16.8</v>
      </c>
      <c r="F112" s="284">
        <v>16.8</v>
      </c>
      <c r="G112" s="243">
        <v>0</v>
      </c>
      <c r="H112" s="285">
        <v>0</v>
      </c>
      <c r="I112" s="285">
        <v>0</v>
      </c>
      <c r="J112" s="285">
        <v>0</v>
      </c>
      <c r="K112" s="285">
        <v>0</v>
      </c>
      <c r="L112" s="286">
        <f t="shared" si="10"/>
        <v>0</v>
      </c>
      <c r="M112" s="285">
        <v>0</v>
      </c>
      <c r="N112" s="285">
        <f t="shared" si="11"/>
        <v>0</v>
      </c>
      <c r="O112" s="288"/>
      <c r="Q112" s="290">
        <f t="shared" si="12"/>
        <v>0</v>
      </c>
      <c r="R112" s="290">
        <v>0</v>
      </c>
      <c r="S112" s="290">
        <f t="shared" si="13"/>
        <v>0</v>
      </c>
      <c r="T112" s="290">
        <f t="shared" si="14"/>
        <v>0</v>
      </c>
      <c r="U112" s="290">
        <f t="shared" si="15"/>
        <v>0</v>
      </c>
      <c r="V112" s="290">
        <f t="shared" si="16"/>
        <v>0</v>
      </c>
      <c r="W112" s="290">
        <f t="shared" si="17"/>
        <v>0</v>
      </c>
      <c r="X112" s="291">
        <f t="shared" si="18"/>
        <v>0</v>
      </c>
      <c r="Y112" s="291">
        <f t="shared" si="19"/>
        <v>0</v>
      </c>
    </row>
    <row r="113" spans="2:25" s="289" customFormat="1" x14ac:dyDescent="0.25">
      <c r="B113" s="282" t="s">
        <v>240</v>
      </c>
      <c r="C113" s="243" t="s">
        <v>29</v>
      </c>
      <c r="D113" s="283" t="s">
        <v>241</v>
      </c>
      <c r="E113" s="284">
        <v>17.239999999999998</v>
      </c>
      <c r="F113" s="284">
        <v>17.239999999999998</v>
      </c>
      <c r="G113" s="243">
        <v>98</v>
      </c>
      <c r="H113" s="285">
        <v>0</v>
      </c>
      <c r="I113" s="285">
        <v>0</v>
      </c>
      <c r="J113" s="287">
        <v>98</v>
      </c>
      <c r="K113" s="285">
        <v>0</v>
      </c>
      <c r="L113" s="286">
        <f t="shared" si="10"/>
        <v>0</v>
      </c>
      <c r="M113" s="285">
        <v>0</v>
      </c>
      <c r="N113" s="285">
        <f t="shared" si="11"/>
        <v>0</v>
      </c>
      <c r="O113" s="288"/>
      <c r="Q113" s="290">
        <f t="shared" si="12"/>
        <v>1689.5199999999998</v>
      </c>
      <c r="R113" s="290">
        <v>0</v>
      </c>
      <c r="S113" s="290">
        <f t="shared" si="13"/>
        <v>0</v>
      </c>
      <c r="T113" s="290">
        <f t="shared" si="14"/>
        <v>0</v>
      </c>
      <c r="U113" s="290">
        <f t="shared" si="15"/>
        <v>1689.5199999999998</v>
      </c>
      <c r="V113" s="290">
        <f t="shared" si="16"/>
        <v>0</v>
      </c>
      <c r="W113" s="290">
        <f t="shared" si="17"/>
        <v>0</v>
      </c>
      <c r="X113" s="291">
        <f t="shared" si="18"/>
        <v>0</v>
      </c>
      <c r="Y113" s="291">
        <f t="shared" si="19"/>
        <v>0</v>
      </c>
    </row>
    <row r="114" spans="2:25" s="289" customFormat="1" x14ac:dyDescent="0.25">
      <c r="B114" s="282" t="s">
        <v>242</v>
      </c>
      <c r="C114" s="243" t="s">
        <v>29</v>
      </c>
      <c r="D114" s="283" t="s">
        <v>243</v>
      </c>
      <c r="E114" s="284">
        <v>16.8</v>
      </c>
      <c r="F114" s="284">
        <v>16.8</v>
      </c>
      <c r="G114" s="243">
        <v>0</v>
      </c>
      <c r="H114" s="285">
        <v>0</v>
      </c>
      <c r="I114" s="285">
        <v>0</v>
      </c>
      <c r="J114" s="285">
        <v>0</v>
      </c>
      <c r="K114" s="285">
        <v>0</v>
      </c>
      <c r="L114" s="286">
        <f t="shared" si="10"/>
        <v>0</v>
      </c>
      <c r="M114" s="285">
        <v>0</v>
      </c>
      <c r="N114" s="285">
        <f t="shared" si="11"/>
        <v>0</v>
      </c>
      <c r="O114" s="288"/>
      <c r="Q114" s="290">
        <f t="shared" si="12"/>
        <v>0</v>
      </c>
      <c r="R114" s="290">
        <v>0</v>
      </c>
      <c r="S114" s="290">
        <f t="shared" si="13"/>
        <v>0</v>
      </c>
      <c r="T114" s="290">
        <f t="shared" si="14"/>
        <v>0</v>
      </c>
      <c r="U114" s="290">
        <f t="shared" si="15"/>
        <v>0</v>
      </c>
      <c r="V114" s="290">
        <f t="shared" si="16"/>
        <v>0</v>
      </c>
      <c r="W114" s="290">
        <f t="shared" si="17"/>
        <v>0</v>
      </c>
      <c r="X114" s="291">
        <f t="shared" si="18"/>
        <v>0</v>
      </c>
      <c r="Y114" s="291">
        <f t="shared" si="19"/>
        <v>0</v>
      </c>
    </row>
    <row r="115" spans="2:25" s="289" customFormat="1" x14ac:dyDescent="0.25">
      <c r="B115" s="282" t="s">
        <v>244</v>
      </c>
      <c r="C115" s="243" t="s">
        <v>29</v>
      </c>
      <c r="D115" s="283" t="s">
        <v>245</v>
      </c>
      <c r="E115" s="284">
        <v>5</v>
      </c>
      <c r="F115" s="284">
        <v>5</v>
      </c>
      <c r="G115" s="243">
        <v>0</v>
      </c>
      <c r="H115" s="285">
        <v>0</v>
      </c>
      <c r="I115" s="285">
        <v>0</v>
      </c>
      <c r="J115" s="285">
        <v>0</v>
      </c>
      <c r="K115" s="285">
        <v>0</v>
      </c>
      <c r="L115" s="286">
        <f t="shared" si="10"/>
        <v>0</v>
      </c>
      <c r="M115" s="285">
        <v>0</v>
      </c>
      <c r="N115" s="285">
        <f t="shared" si="11"/>
        <v>0</v>
      </c>
      <c r="O115" s="288"/>
      <c r="Q115" s="290">
        <f t="shared" si="12"/>
        <v>0</v>
      </c>
      <c r="R115" s="290">
        <v>0</v>
      </c>
      <c r="S115" s="290">
        <f t="shared" si="13"/>
        <v>0</v>
      </c>
      <c r="T115" s="290">
        <f t="shared" si="14"/>
        <v>0</v>
      </c>
      <c r="U115" s="290">
        <f t="shared" si="15"/>
        <v>0</v>
      </c>
      <c r="V115" s="290">
        <f t="shared" si="16"/>
        <v>0</v>
      </c>
      <c r="W115" s="290">
        <f t="shared" si="17"/>
        <v>0</v>
      </c>
      <c r="X115" s="291">
        <f t="shared" si="18"/>
        <v>0</v>
      </c>
      <c r="Y115" s="291">
        <f t="shared" si="19"/>
        <v>0</v>
      </c>
    </row>
    <row r="116" spans="2:25" s="289" customFormat="1" x14ac:dyDescent="0.25">
      <c r="B116" s="282" t="s">
        <v>246</v>
      </c>
      <c r="C116" s="243" t="s">
        <v>26</v>
      </c>
      <c r="D116" s="283" t="s">
        <v>247</v>
      </c>
      <c r="E116" s="284">
        <v>99</v>
      </c>
      <c r="F116" s="284">
        <v>99</v>
      </c>
      <c r="G116" s="243">
        <v>10</v>
      </c>
      <c r="H116" s="285">
        <v>0</v>
      </c>
      <c r="I116" s="285">
        <v>0</v>
      </c>
      <c r="J116" s="285">
        <v>0</v>
      </c>
      <c r="K116" s="285">
        <v>0</v>
      </c>
      <c r="L116" s="286">
        <f t="shared" si="10"/>
        <v>10</v>
      </c>
      <c r="M116" s="285">
        <v>10</v>
      </c>
      <c r="N116" s="285">
        <f t="shared" si="11"/>
        <v>0</v>
      </c>
      <c r="O116" s="288"/>
      <c r="Q116" s="290">
        <f t="shared" si="12"/>
        <v>990</v>
      </c>
      <c r="R116" s="290">
        <v>0</v>
      </c>
      <c r="S116" s="290">
        <f t="shared" si="13"/>
        <v>0</v>
      </c>
      <c r="T116" s="290">
        <f t="shared" si="14"/>
        <v>0</v>
      </c>
      <c r="U116" s="290">
        <f t="shared" si="15"/>
        <v>0</v>
      </c>
      <c r="V116" s="290">
        <f t="shared" si="16"/>
        <v>0</v>
      </c>
      <c r="W116" s="290">
        <f t="shared" si="17"/>
        <v>990</v>
      </c>
      <c r="X116" s="291">
        <f t="shared" si="18"/>
        <v>990</v>
      </c>
      <c r="Y116" s="291">
        <f t="shared" si="19"/>
        <v>0</v>
      </c>
    </row>
    <row r="117" spans="2:25" s="289" customFormat="1" x14ac:dyDescent="0.25">
      <c r="B117" s="282" t="s">
        <v>249</v>
      </c>
      <c r="C117" s="243" t="s">
        <v>26</v>
      </c>
      <c r="D117" s="283" t="s">
        <v>250</v>
      </c>
      <c r="E117" s="284">
        <v>202.9</v>
      </c>
      <c r="F117" s="284">
        <v>202.9</v>
      </c>
      <c r="G117" s="243">
        <v>0</v>
      </c>
      <c r="H117" s="285">
        <v>0</v>
      </c>
      <c r="I117" s="285">
        <v>0</v>
      </c>
      <c r="J117" s="285">
        <v>0</v>
      </c>
      <c r="K117" s="285">
        <v>0</v>
      </c>
      <c r="L117" s="286">
        <f t="shared" si="10"/>
        <v>0</v>
      </c>
      <c r="M117" s="285">
        <v>0</v>
      </c>
      <c r="N117" s="285">
        <f t="shared" si="11"/>
        <v>0</v>
      </c>
      <c r="O117" s="288"/>
      <c r="Q117" s="290">
        <f t="shared" si="12"/>
        <v>0</v>
      </c>
      <c r="R117" s="290">
        <v>0</v>
      </c>
      <c r="S117" s="290">
        <f t="shared" si="13"/>
        <v>0</v>
      </c>
      <c r="T117" s="290">
        <f t="shared" si="14"/>
        <v>0</v>
      </c>
      <c r="U117" s="290">
        <f t="shared" si="15"/>
        <v>0</v>
      </c>
      <c r="V117" s="290">
        <f t="shared" si="16"/>
        <v>0</v>
      </c>
      <c r="W117" s="290">
        <f t="shared" si="17"/>
        <v>0</v>
      </c>
      <c r="X117" s="291">
        <f t="shared" si="18"/>
        <v>0</v>
      </c>
      <c r="Y117" s="291">
        <f t="shared" si="19"/>
        <v>0</v>
      </c>
    </row>
    <row r="118" spans="2:25" s="289" customFormat="1" x14ac:dyDescent="0.25">
      <c r="B118" s="282" t="s">
        <v>252</v>
      </c>
      <c r="C118" s="243" t="s">
        <v>26</v>
      </c>
      <c r="D118" s="283" t="s">
        <v>253</v>
      </c>
      <c r="E118" s="284">
        <v>97.95</v>
      </c>
      <c r="F118" s="284">
        <v>97.95</v>
      </c>
      <c r="G118" s="243">
        <v>0</v>
      </c>
      <c r="H118" s="285">
        <v>0</v>
      </c>
      <c r="I118" s="285">
        <v>0</v>
      </c>
      <c r="J118" s="285">
        <v>0</v>
      </c>
      <c r="K118" s="285">
        <v>0</v>
      </c>
      <c r="L118" s="286">
        <f t="shared" si="10"/>
        <v>0</v>
      </c>
      <c r="M118" s="285">
        <v>0</v>
      </c>
      <c r="N118" s="285">
        <f t="shared" si="11"/>
        <v>0</v>
      </c>
      <c r="O118" s="288"/>
      <c r="Q118" s="290">
        <f t="shared" si="12"/>
        <v>0</v>
      </c>
      <c r="R118" s="290">
        <v>0</v>
      </c>
      <c r="S118" s="290">
        <f t="shared" si="13"/>
        <v>0</v>
      </c>
      <c r="T118" s="290">
        <f t="shared" si="14"/>
        <v>0</v>
      </c>
      <c r="U118" s="290">
        <f t="shared" si="15"/>
        <v>0</v>
      </c>
      <c r="V118" s="290">
        <f t="shared" si="16"/>
        <v>0</v>
      </c>
      <c r="W118" s="290">
        <f t="shared" si="17"/>
        <v>0</v>
      </c>
      <c r="X118" s="291">
        <f t="shared" si="18"/>
        <v>0</v>
      </c>
      <c r="Y118" s="291">
        <f t="shared" si="19"/>
        <v>0</v>
      </c>
    </row>
    <row r="119" spans="2:25" s="289" customFormat="1" x14ac:dyDescent="0.25">
      <c r="B119" s="282" t="s">
        <v>254</v>
      </c>
      <c r="C119" s="243" t="s">
        <v>26</v>
      </c>
      <c r="D119" s="283" t="s">
        <v>255</v>
      </c>
      <c r="E119" s="284">
        <v>49.9</v>
      </c>
      <c r="F119" s="284">
        <v>49.9</v>
      </c>
      <c r="G119" s="243">
        <v>0</v>
      </c>
      <c r="H119" s="285">
        <v>0</v>
      </c>
      <c r="I119" s="285">
        <v>0</v>
      </c>
      <c r="J119" s="285">
        <v>0</v>
      </c>
      <c r="K119" s="285">
        <v>0</v>
      </c>
      <c r="L119" s="286">
        <f t="shared" si="10"/>
        <v>0</v>
      </c>
      <c r="M119" s="285">
        <v>0</v>
      </c>
      <c r="N119" s="285">
        <f t="shared" si="11"/>
        <v>0</v>
      </c>
      <c r="O119" s="288"/>
      <c r="Q119" s="290">
        <f t="shared" si="12"/>
        <v>0</v>
      </c>
      <c r="R119" s="290">
        <v>0</v>
      </c>
      <c r="S119" s="290">
        <f t="shared" si="13"/>
        <v>0</v>
      </c>
      <c r="T119" s="290">
        <f t="shared" si="14"/>
        <v>0</v>
      </c>
      <c r="U119" s="290">
        <f t="shared" si="15"/>
        <v>0</v>
      </c>
      <c r="V119" s="290">
        <f t="shared" si="16"/>
        <v>0</v>
      </c>
      <c r="W119" s="290">
        <f t="shared" si="17"/>
        <v>0</v>
      </c>
      <c r="X119" s="291">
        <f t="shared" si="18"/>
        <v>0</v>
      </c>
      <c r="Y119" s="291">
        <f t="shared" si="19"/>
        <v>0</v>
      </c>
    </row>
    <row r="120" spans="2:25" s="289" customFormat="1" x14ac:dyDescent="0.25">
      <c r="B120" s="282" t="s">
        <v>256</v>
      </c>
      <c r="C120" s="243" t="s">
        <v>26</v>
      </c>
      <c r="D120" s="283" t="s">
        <v>257</v>
      </c>
      <c r="E120" s="284">
        <v>44</v>
      </c>
      <c r="F120" s="284">
        <v>44</v>
      </c>
      <c r="G120" s="243">
        <v>0</v>
      </c>
      <c r="H120" s="285">
        <v>0</v>
      </c>
      <c r="I120" s="285">
        <v>0</v>
      </c>
      <c r="J120" s="285">
        <v>0</v>
      </c>
      <c r="K120" s="285">
        <v>0</v>
      </c>
      <c r="L120" s="286">
        <f t="shared" si="10"/>
        <v>0</v>
      </c>
      <c r="M120" s="285">
        <v>0</v>
      </c>
      <c r="N120" s="285">
        <f t="shared" si="11"/>
        <v>0</v>
      </c>
      <c r="O120" s="288"/>
      <c r="Q120" s="290">
        <f t="shared" si="12"/>
        <v>0</v>
      </c>
      <c r="R120" s="290">
        <v>0</v>
      </c>
      <c r="S120" s="290">
        <f t="shared" si="13"/>
        <v>0</v>
      </c>
      <c r="T120" s="290">
        <f t="shared" si="14"/>
        <v>0</v>
      </c>
      <c r="U120" s="290">
        <f t="shared" si="15"/>
        <v>0</v>
      </c>
      <c r="V120" s="290">
        <f t="shared" si="16"/>
        <v>0</v>
      </c>
      <c r="W120" s="290">
        <f t="shared" si="17"/>
        <v>0</v>
      </c>
      <c r="X120" s="291">
        <f t="shared" si="18"/>
        <v>0</v>
      </c>
      <c r="Y120" s="291">
        <f t="shared" si="19"/>
        <v>0</v>
      </c>
    </row>
    <row r="121" spans="2:25" s="289" customFormat="1" x14ac:dyDescent="0.25">
      <c r="B121" s="282" t="s">
        <v>258</v>
      </c>
      <c r="C121" s="243" t="s">
        <v>26</v>
      </c>
      <c r="D121" s="295" t="s">
        <v>259</v>
      </c>
      <c r="E121" s="296">
        <v>89.9</v>
      </c>
      <c r="F121" s="296">
        <v>89.9</v>
      </c>
      <c r="G121" s="243">
        <v>0</v>
      </c>
      <c r="H121" s="285">
        <v>0</v>
      </c>
      <c r="I121" s="285">
        <v>0</v>
      </c>
      <c r="J121" s="285">
        <v>0</v>
      </c>
      <c r="K121" s="285">
        <v>0</v>
      </c>
      <c r="L121" s="286">
        <f t="shared" si="10"/>
        <v>0</v>
      </c>
      <c r="M121" s="285">
        <v>0</v>
      </c>
      <c r="N121" s="285">
        <f t="shared" si="11"/>
        <v>0</v>
      </c>
      <c r="O121" s="288"/>
      <c r="Q121" s="290">
        <f t="shared" si="12"/>
        <v>0</v>
      </c>
      <c r="R121" s="290">
        <v>0</v>
      </c>
      <c r="S121" s="290">
        <f t="shared" si="13"/>
        <v>0</v>
      </c>
      <c r="T121" s="290">
        <f t="shared" si="14"/>
        <v>0</v>
      </c>
      <c r="U121" s="290">
        <f t="shared" si="15"/>
        <v>0</v>
      </c>
      <c r="V121" s="290">
        <f t="shared" si="16"/>
        <v>0</v>
      </c>
      <c r="W121" s="290">
        <f t="shared" si="17"/>
        <v>0</v>
      </c>
      <c r="X121" s="291">
        <f t="shared" si="18"/>
        <v>0</v>
      </c>
      <c r="Y121" s="291">
        <f t="shared" si="19"/>
        <v>0</v>
      </c>
    </row>
    <row r="122" spans="2:25" s="289" customFormat="1" x14ac:dyDescent="0.25">
      <c r="B122" s="282" t="s">
        <v>260</v>
      </c>
      <c r="C122" s="243" t="s">
        <v>26</v>
      </c>
      <c r="D122" s="283" t="s">
        <v>261</v>
      </c>
      <c r="E122" s="284">
        <v>189</v>
      </c>
      <c r="F122" s="284">
        <v>189</v>
      </c>
      <c r="G122" s="243">
        <v>0</v>
      </c>
      <c r="H122" s="285">
        <v>0</v>
      </c>
      <c r="I122" s="285">
        <v>0</v>
      </c>
      <c r="J122" s="285">
        <v>0</v>
      </c>
      <c r="K122" s="285">
        <v>0</v>
      </c>
      <c r="L122" s="286">
        <f t="shared" si="10"/>
        <v>0</v>
      </c>
      <c r="M122" s="285">
        <v>0</v>
      </c>
      <c r="N122" s="285">
        <f t="shared" si="11"/>
        <v>0</v>
      </c>
      <c r="O122" s="288"/>
      <c r="Q122" s="290">
        <f t="shared" si="12"/>
        <v>0</v>
      </c>
      <c r="R122" s="290">
        <v>0</v>
      </c>
      <c r="S122" s="290">
        <f t="shared" si="13"/>
        <v>0</v>
      </c>
      <c r="T122" s="290">
        <f t="shared" si="14"/>
        <v>0</v>
      </c>
      <c r="U122" s="290">
        <f t="shared" si="15"/>
        <v>0</v>
      </c>
      <c r="V122" s="290">
        <f t="shared" si="16"/>
        <v>0</v>
      </c>
      <c r="W122" s="290">
        <f t="shared" si="17"/>
        <v>0</v>
      </c>
      <c r="X122" s="291">
        <f t="shared" si="18"/>
        <v>0</v>
      </c>
      <c r="Y122" s="291">
        <f t="shared" si="19"/>
        <v>0</v>
      </c>
    </row>
    <row r="123" spans="2:25" s="289" customFormat="1" x14ac:dyDescent="0.25">
      <c r="B123" s="282" t="s">
        <v>262</v>
      </c>
      <c r="C123" s="243" t="s">
        <v>26</v>
      </c>
      <c r="D123" s="295" t="s">
        <v>263</v>
      </c>
      <c r="E123" s="296">
        <v>185.29</v>
      </c>
      <c r="F123" s="296">
        <v>185.29</v>
      </c>
      <c r="G123" s="243">
        <v>0</v>
      </c>
      <c r="H123" s="285">
        <v>0</v>
      </c>
      <c r="I123" s="285">
        <v>0</v>
      </c>
      <c r="J123" s="285">
        <v>0</v>
      </c>
      <c r="K123" s="285">
        <v>0</v>
      </c>
      <c r="L123" s="286">
        <f t="shared" si="10"/>
        <v>0</v>
      </c>
      <c r="M123" s="285">
        <v>0</v>
      </c>
      <c r="N123" s="285">
        <f t="shared" si="11"/>
        <v>0</v>
      </c>
      <c r="O123" s="288"/>
      <c r="Q123" s="290">
        <f t="shared" si="12"/>
        <v>0</v>
      </c>
      <c r="R123" s="290">
        <v>0</v>
      </c>
      <c r="S123" s="290">
        <f t="shared" si="13"/>
        <v>0</v>
      </c>
      <c r="T123" s="290">
        <f t="shared" si="14"/>
        <v>0</v>
      </c>
      <c r="U123" s="290">
        <f t="shared" si="15"/>
        <v>0</v>
      </c>
      <c r="V123" s="290">
        <f t="shared" si="16"/>
        <v>0</v>
      </c>
      <c r="W123" s="290">
        <f t="shared" si="17"/>
        <v>0</v>
      </c>
      <c r="X123" s="291">
        <f t="shared" si="18"/>
        <v>0</v>
      </c>
      <c r="Y123" s="291">
        <f t="shared" si="19"/>
        <v>0</v>
      </c>
    </row>
    <row r="124" spans="2:25" s="289" customFormat="1" x14ac:dyDescent="0.25">
      <c r="B124" s="282" t="s">
        <v>264</v>
      </c>
      <c r="C124" s="243" t="s">
        <v>58</v>
      </c>
      <c r="D124" s="283" t="s">
        <v>265</v>
      </c>
      <c r="E124" s="284">
        <v>1.45</v>
      </c>
      <c r="F124" s="284">
        <v>1.45</v>
      </c>
      <c r="G124" s="243">
        <v>0</v>
      </c>
      <c r="H124" s="285">
        <v>0</v>
      </c>
      <c r="I124" s="285">
        <v>0</v>
      </c>
      <c r="J124" s="285">
        <v>0</v>
      </c>
      <c r="K124" s="285">
        <v>0</v>
      </c>
      <c r="L124" s="286">
        <f t="shared" si="10"/>
        <v>0</v>
      </c>
      <c r="M124" s="285">
        <v>0</v>
      </c>
      <c r="N124" s="285">
        <f t="shared" si="11"/>
        <v>0</v>
      </c>
      <c r="O124" s="288"/>
      <c r="Q124" s="290">
        <f t="shared" si="12"/>
        <v>0</v>
      </c>
      <c r="R124" s="290">
        <v>0</v>
      </c>
      <c r="S124" s="290">
        <f t="shared" si="13"/>
        <v>0</v>
      </c>
      <c r="T124" s="290">
        <f t="shared" si="14"/>
        <v>0</v>
      </c>
      <c r="U124" s="290">
        <f t="shared" si="15"/>
        <v>0</v>
      </c>
      <c r="V124" s="290">
        <f t="shared" si="16"/>
        <v>0</v>
      </c>
      <c r="W124" s="290">
        <f t="shared" si="17"/>
        <v>0</v>
      </c>
      <c r="X124" s="291">
        <f t="shared" si="18"/>
        <v>0</v>
      </c>
      <c r="Y124" s="291">
        <f t="shared" si="19"/>
        <v>0</v>
      </c>
    </row>
    <row r="125" spans="2:25" s="289" customFormat="1" x14ac:dyDescent="0.25">
      <c r="B125" s="282" t="s">
        <v>266</v>
      </c>
      <c r="C125" s="243" t="s">
        <v>29</v>
      </c>
      <c r="D125" s="283" t="s">
        <v>267</v>
      </c>
      <c r="E125" s="284">
        <v>15.41</v>
      </c>
      <c r="F125" s="284">
        <v>15.41</v>
      </c>
      <c r="G125" s="243">
        <v>0</v>
      </c>
      <c r="H125" s="285">
        <v>0</v>
      </c>
      <c r="I125" s="285">
        <v>0</v>
      </c>
      <c r="J125" s="285">
        <v>0</v>
      </c>
      <c r="K125" s="285">
        <v>0</v>
      </c>
      <c r="L125" s="286">
        <f t="shared" si="10"/>
        <v>0</v>
      </c>
      <c r="M125" s="285">
        <v>0</v>
      </c>
      <c r="N125" s="285">
        <f t="shared" si="11"/>
        <v>0</v>
      </c>
      <c r="O125" s="288"/>
      <c r="Q125" s="290">
        <f t="shared" si="12"/>
        <v>0</v>
      </c>
      <c r="R125" s="290">
        <v>0</v>
      </c>
      <c r="S125" s="290">
        <f t="shared" si="13"/>
        <v>0</v>
      </c>
      <c r="T125" s="290">
        <f t="shared" si="14"/>
        <v>0</v>
      </c>
      <c r="U125" s="290">
        <f t="shared" si="15"/>
        <v>0</v>
      </c>
      <c r="V125" s="290">
        <f t="shared" si="16"/>
        <v>0</v>
      </c>
      <c r="W125" s="290">
        <f t="shared" si="17"/>
        <v>0</v>
      </c>
      <c r="X125" s="291">
        <f t="shared" si="18"/>
        <v>0</v>
      </c>
      <c r="Y125" s="291">
        <f t="shared" si="19"/>
        <v>0</v>
      </c>
    </row>
    <row r="126" spans="2:25" s="289" customFormat="1" x14ac:dyDescent="0.25">
      <c r="B126" s="282" t="s">
        <v>268</v>
      </c>
      <c r="C126" s="243" t="s">
        <v>29</v>
      </c>
      <c r="D126" s="283" t="s">
        <v>269</v>
      </c>
      <c r="E126" s="284">
        <v>6.56</v>
      </c>
      <c r="F126" s="284">
        <v>6.56</v>
      </c>
      <c r="G126" s="243">
        <v>0</v>
      </c>
      <c r="H126" s="285">
        <v>0</v>
      </c>
      <c r="I126" s="285">
        <v>0</v>
      </c>
      <c r="J126" s="285">
        <v>0</v>
      </c>
      <c r="K126" s="285">
        <v>0</v>
      </c>
      <c r="L126" s="286">
        <f t="shared" si="10"/>
        <v>0</v>
      </c>
      <c r="M126" s="285">
        <v>0</v>
      </c>
      <c r="N126" s="285">
        <f t="shared" si="11"/>
        <v>0</v>
      </c>
      <c r="O126" s="288"/>
      <c r="Q126" s="290">
        <f t="shared" si="12"/>
        <v>0</v>
      </c>
      <c r="R126" s="290">
        <v>0</v>
      </c>
      <c r="S126" s="290">
        <f t="shared" si="13"/>
        <v>0</v>
      </c>
      <c r="T126" s="290">
        <f t="shared" si="14"/>
        <v>0</v>
      </c>
      <c r="U126" s="290">
        <f t="shared" si="15"/>
        <v>0</v>
      </c>
      <c r="V126" s="290">
        <f t="shared" si="16"/>
        <v>0</v>
      </c>
      <c r="W126" s="290">
        <f t="shared" si="17"/>
        <v>0</v>
      </c>
      <c r="X126" s="291">
        <f t="shared" si="18"/>
        <v>0</v>
      </c>
      <c r="Y126" s="291">
        <f t="shared" si="19"/>
        <v>0</v>
      </c>
    </row>
    <row r="127" spans="2:25" s="289" customFormat="1" x14ac:dyDescent="0.25">
      <c r="B127" s="282" t="s">
        <v>270</v>
      </c>
      <c r="C127" s="243" t="s">
        <v>29</v>
      </c>
      <c r="D127" s="283" t="s">
        <v>271</v>
      </c>
      <c r="E127" s="284">
        <v>0</v>
      </c>
      <c r="F127" s="284">
        <v>0</v>
      </c>
      <c r="G127" s="243">
        <v>0</v>
      </c>
      <c r="H127" s="285">
        <v>0</v>
      </c>
      <c r="I127" s="285">
        <v>0</v>
      </c>
      <c r="J127" s="285">
        <v>0</v>
      </c>
      <c r="K127" s="285">
        <v>0</v>
      </c>
      <c r="L127" s="286">
        <f t="shared" si="10"/>
        <v>0</v>
      </c>
      <c r="M127" s="285">
        <v>0</v>
      </c>
      <c r="N127" s="285">
        <f t="shared" si="11"/>
        <v>0</v>
      </c>
      <c r="O127" s="288"/>
      <c r="Q127" s="290">
        <f t="shared" si="12"/>
        <v>0</v>
      </c>
      <c r="R127" s="290">
        <v>0</v>
      </c>
      <c r="S127" s="290">
        <f t="shared" si="13"/>
        <v>0</v>
      </c>
      <c r="T127" s="290">
        <f t="shared" si="14"/>
        <v>0</v>
      </c>
      <c r="U127" s="290">
        <f t="shared" si="15"/>
        <v>0</v>
      </c>
      <c r="V127" s="290">
        <f t="shared" si="16"/>
        <v>0</v>
      </c>
      <c r="W127" s="290">
        <f t="shared" si="17"/>
        <v>0</v>
      </c>
      <c r="X127" s="291">
        <f t="shared" si="18"/>
        <v>0</v>
      </c>
      <c r="Y127" s="291">
        <f t="shared" si="19"/>
        <v>0</v>
      </c>
    </row>
    <row r="128" spans="2:25" s="289" customFormat="1" ht="30" x14ac:dyDescent="0.25">
      <c r="B128" s="282" t="s">
        <v>272</v>
      </c>
      <c r="C128" s="243" t="s">
        <v>29</v>
      </c>
      <c r="D128" s="283" t="s">
        <v>273</v>
      </c>
      <c r="E128" s="284">
        <v>0</v>
      </c>
      <c r="F128" s="284">
        <v>0</v>
      </c>
      <c r="G128" s="243">
        <v>0</v>
      </c>
      <c r="H128" s="285">
        <v>0</v>
      </c>
      <c r="I128" s="285">
        <v>0</v>
      </c>
      <c r="J128" s="285">
        <v>0</v>
      </c>
      <c r="K128" s="285">
        <v>0</v>
      </c>
      <c r="L128" s="286">
        <f t="shared" si="10"/>
        <v>0</v>
      </c>
      <c r="M128" s="285">
        <v>0</v>
      </c>
      <c r="N128" s="285">
        <f t="shared" si="11"/>
        <v>0</v>
      </c>
      <c r="O128" s="288"/>
      <c r="Q128" s="290">
        <f t="shared" si="12"/>
        <v>0</v>
      </c>
      <c r="R128" s="290">
        <v>0</v>
      </c>
      <c r="S128" s="290">
        <f t="shared" si="13"/>
        <v>0</v>
      </c>
      <c r="T128" s="290">
        <f t="shared" si="14"/>
        <v>0</v>
      </c>
      <c r="U128" s="290">
        <f t="shared" si="15"/>
        <v>0</v>
      </c>
      <c r="V128" s="290">
        <f t="shared" si="16"/>
        <v>0</v>
      </c>
      <c r="W128" s="290">
        <f t="shared" si="17"/>
        <v>0</v>
      </c>
      <c r="X128" s="291">
        <f t="shared" si="18"/>
        <v>0</v>
      </c>
      <c r="Y128" s="291">
        <f t="shared" si="19"/>
        <v>0</v>
      </c>
    </row>
    <row r="129" spans="2:25" s="289" customFormat="1" x14ac:dyDescent="0.25">
      <c r="B129" s="282" t="s">
        <v>274</v>
      </c>
      <c r="C129" s="243" t="s">
        <v>29</v>
      </c>
      <c r="D129" s="283" t="s">
        <v>275</v>
      </c>
      <c r="E129" s="284">
        <v>14.94</v>
      </c>
      <c r="F129" s="284">
        <v>14.94</v>
      </c>
      <c r="G129" s="243">
        <v>0</v>
      </c>
      <c r="H129" s="285">
        <v>0</v>
      </c>
      <c r="I129" s="285">
        <v>0</v>
      </c>
      <c r="J129" s="285">
        <v>0</v>
      </c>
      <c r="K129" s="285">
        <v>0</v>
      </c>
      <c r="L129" s="286">
        <f t="shared" si="10"/>
        <v>0</v>
      </c>
      <c r="M129" s="285">
        <v>0</v>
      </c>
      <c r="N129" s="285">
        <f t="shared" si="11"/>
        <v>0</v>
      </c>
      <c r="O129" s="288"/>
      <c r="Q129" s="290">
        <f t="shared" si="12"/>
        <v>0</v>
      </c>
      <c r="R129" s="290">
        <v>0</v>
      </c>
      <c r="S129" s="290">
        <f t="shared" si="13"/>
        <v>0</v>
      </c>
      <c r="T129" s="290">
        <f t="shared" si="14"/>
        <v>0</v>
      </c>
      <c r="U129" s="290">
        <f t="shared" si="15"/>
        <v>0</v>
      </c>
      <c r="V129" s="290">
        <f t="shared" si="16"/>
        <v>0</v>
      </c>
      <c r="W129" s="290">
        <f t="shared" si="17"/>
        <v>0</v>
      </c>
      <c r="X129" s="291">
        <f t="shared" si="18"/>
        <v>0</v>
      </c>
      <c r="Y129" s="291">
        <f t="shared" si="19"/>
        <v>0</v>
      </c>
    </row>
    <row r="130" spans="2:25" s="289" customFormat="1" x14ac:dyDescent="0.25">
      <c r="B130" s="282" t="s">
        <v>276</v>
      </c>
      <c r="C130" s="243" t="s">
        <v>29</v>
      </c>
      <c r="D130" s="283" t="s">
        <v>277</v>
      </c>
      <c r="E130" s="284">
        <v>17.12</v>
      </c>
      <c r="F130" s="284">
        <v>17.12</v>
      </c>
      <c r="G130" s="243">
        <v>0</v>
      </c>
      <c r="H130" s="285">
        <v>0</v>
      </c>
      <c r="I130" s="285">
        <v>0</v>
      </c>
      <c r="J130" s="285">
        <v>0</v>
      </c>
      <c r="K130" s="285">
        <v>0</v>
      </c>
      <c r="L130" s="286">
        <f t="shared" si="10"/>
        <v>0</v>
      </c>
      <c r="M130" s="285">
        <v>0</v>
      </c>
      <c r="N130" s="285">
        <f t="shared" si="11"/>
        <v>0</v>
      </c>
      <c r="O130" s="288"/>
      <c r="Q130" s="290">
        <f t="shared" si="12"/>
        <v>0</v>
      </c>
      <c r="R130" s="290">
        <v>0</v>
      </c>
      <c r="S130" s="290">
        <f t="shared" si="13"/>
        <v>0</v>
      </c>
      <c r="T130" s="290">
        <f t="shared" si="14"/>
        <v>0</v>
      </c>
      <c r="U130" s="290">
        <f t="shared" si="15"/>
        <v>0</v>
      </c>
      <c r="V130" s="290">
        <f t="shared" si="16"/>
        <v>0</v>
      </c>
      <c r="W130" s="290">
        <f t="shared" si="17"/>
        <v>0</v>
      </c>
      <c r="X130" s="291">
        <f t="shared" si="18"/>
        <v>0</v>
      </c>
      <c r="Y130" s="291">
        <f t="shared" si="19"/>
        <v>0</v>
      </c>
    </row>
    <row r="131" spans="2:25" s="289" customFormat="1" x14ac:dyDescent="0.25">
      <c r="B131" s="282" t="s">
        <v>278</v>
      </c>
      <c r="C131" s="243" t="s">
        <v>29</v>
      </c>
      <c r="D131" s="283" t="s">
        <v>279</v>
      </c>
      <c r="E131" s="284">
        <v>17.12</v>
      </c>
      <c r="F131" s="284">
        <v>17.12</v>
      </c>
      <c r="G131" s="243">
        <v>0</v>
      </c>
      <c r="H131" s="285">
        <v>0</v>
      </c>
      <c r="I131" s="285">
        <v>0</v>
      </c>
      <c r="J131" s="285">
        <v>0</v>
      </c>
      <c r="K131" s="285">
        <v>0</v>
      </c>
      <c r="L131" s="286">
        <f t="shared" si="10"/>
        <v>0</v>
      </c>
      <c r="M131" s="285">
        <v>0</v>
      </c>
      <c r="N131" s="285">
        <f t="shared" si="11"/>
        <v>0</v>
      </c>
      <c r="O131" s="288"/>
      <c r="Q131" s="290">
        <f t="shared" si="12"/>
        <v>0</v>
      </c>
      <c r="R131" s="290">
        <v>0</v>
      </c>
      <c r="S131" s="290">
        <f t="shared" si="13"/>
        <v>0</v>
      </c>
      <c r="T131" s="290">
        <f t="shared" si="14"/>
        <v>0</v>
      </c>
      <c r="U131" s="290">
        <f t="shared" si="15"/>
        <v>0</v>
      </c>
      <c r="V131" s="290">
        <f t="shared" si="16"/>
        <v>0</v>
      </c>
      <c r="W131" s="290">
        <f t="shared" si="17"/>
        <v>0</v>
      </c>
      <c r="X131" s="291">
        <f t="shared" si="18"/>
        <v>0</v>
      </c>
      <c r="Y131" s="291">
        <f t="shared" si="19"/>
        <v>0</v>
      </c>
    </row>
    <row r="132" spans="2:25" s="289" customFormat="1" x14ac:dyDescent="0.25">
      <c r="B132" s="282" t="s">
        <v>280</v>
      </c>
      <c r="C132" s="243" t="s">
        <v>29</v>
      </c>
      <c r="D132" s="283" t="s">
        <v>281</v>
      </c>
      <c r="E132" s="284">
        <v>12.6</v>
      </c>
      <c r="F132" s="284">
        <v>12.6</v>
      </c>
      <c r="G132" s="243">
        <v>0</v>
      </c>
      <c r="H132" s="285">
        <v>0</v>
      </c>
      <c r="I132" s="285">
        <v>0</v>
      </c>
      <c r="J132" s="285">
        <v>0</v>
      </c>
      <c r="K132" s="285">
        <v>0</v>
      </c>
      <c r="L132" s="286">
        <f t="shared" si="10"/>
        <v>0</v>
      </c>
      <c r="M132" s="285">
        <v>0</v>
      </c>
      <c r="N132" s="285">
        <f t="shared" si="11"/>
        <v>0</v>
      </c>
      <c r="O132" s="288"/>
      <c r="Q132" s="290">
        <f t="shared" si="12"/>
        <v>0</v>
      </c>
      <c r="R132" s="290">
        <v>0</v>
      </c>
      <c r="S132" s="290">
        <f t="shared" si="13"/>
        <v>0</v>
      </c>
      <c r="T132" s="290">
        <f t="shared" si="14"/>
        <v>0</v>
      </c>
      <c r="U132" s="290">
        <f t="shared" si="15"/>
        <v>0</v>
      </c>
      <c r="V132" s="290">
        <f t="shared" si="16"/>
        <v>0</v>
      </c>
      <c r="W132" s="290">
        <f t="shared" si="17"/>
        <v>0</v>
      </c>
      <c r="X132" s="291">
        <f t="shared" si="18"/>
        <v>0</v>
      </c>
      <c r="Y132" s="291">
        <f t="shared" si="19"/>
        <v>0</v>
      </c>
    </row>
    <row r="133" spans="2:25" s="289" customFormat="1" x14ac:dyDescent="0.25">
      <c r="B133" s="282" t="s">
        <v>282</v>
      </c>
      <c r="C133" s="243" t="s">
        <v>29</v>
      </c>
      <c r="D133" s="283" t="s">
        <v>283</v>
      </c>
      <c r="E133" s="284">
        <v>13.44</v>
      </c>
      <c r="F133" s="284">
        <v>13.44</v>
      </c>
      <c r="G133" s="243">
        <v>0</v>
      </c>
      <c r="H133" s="285">
        <v>0</v>
      </c>
      <c r="I133" s="285">
        <v>0</v>
      </c>
      <c r="J133" s="285">
        <v>0</v>
      </c>
      <c r="K133" s="285">
        <v>0</v>
      </c>
      <c r="L133" s="286">
        <f t="shared" si="10"/>
        <v>0</v>
      </c>
      <c r="M133" s="285">
        <v>0</v>
      </c>
      <c r="N133" s="285">
        <f t="shared" si="11"/>
        <v>0</v>
      </c>
      <c r="O133" s="288"/>
      <c r="Q133" s="290">
        <f t="shared" si="12"/>
        <v>0</v>
      </c>
      <c r="R133" s="290">
        <v>0</v>
      </c>
      <c r="S133" s="290">
        <f t="shared" si="13"/>
        <v>0</v>
      </c>
      <c r="T133" s="290">
        <f t="shared" si="14"/>
        <v>0</v>
      </c>
      <c r="U133" s="290">
        <f t="shared" si="15"/>
        <v>0</v>
      </c>
      <c r="V133" s="290">
        <f t="shared" si="16"/>
        <v>0</v>
      </c>
      <c r="W133" s="290">
        <f t="shared" si="17"/>
        <v>0</v>
      </c>
      <c r="X133" s="291">
        <f t="shared" si="18"/>
        <v>0</v>
      </c>
      <c r="Y133" s="291">
        <f t="shared" si="19"/>
        <v>0</v>
      </c>
    </row>
    <row r="134" spans="2:25" s="289" customFormat="1" x14ac:dyDescent="0.25">
      <c r="B134" s="282" t="s">
        <v>285</v>
      </c>
      <c r="C134" s="243" t="s">
        <v>29</v>
      </c>
      <c r="D134" s="283" t="s">
        <v>284</v>
      </c>
      <c r="E134" s="284">
        <v>13.44</v>
      </c>
      <c r="F134" s="284">
        <v>13.44</v>
      </c>
      <c r="G134" s="243">
        <v>0</v>
      </c>
      <c r="H134" s="285">
        <v>0</v>
      </c>
      <c r="I134" s="285">
        <v>0</v>
      </c>
      <c r="J134" s="285">
        <v>0</v>
      </c>
      <c r="K134" s="285">
        <v>0</v>
      </c>
      <c r="L134" s="286">
        <f t="shared" si="10"/>
        <v>0</v>
      </c>
      <c r="M134" s="285">
        <v>0</v>
      </c>
      <c r="N134" s="285">
        <f t="shared" si="11"/>
        <v>0</v>
      </c>
      <c r="O134" s="288"/>
      <c r="Q134" s="290">
        <f t="shared" si="12"/>
        <v>0</v>
      </c>
      <c r="R134" s="290">
        <v>0</v>
      </c>
      <c r="S134" s="290">
        <f t="shared" si="13"/>
        <v>0</v>
      </c>
      <c r="T134" s="290">
        <f t="shared" si="14"/>
        <v>0</v>
      </c>
      <c r="U134" s="290">
        <f t="shared" si="15"/>
        <v>0</v>
      </c>
      <c r="V134" s="290">
        <f t="shared" si="16"/>
        <v>0</v>
      </c>
      <c r="W134" s="290">
        <f t="shared" si="17"/>
        <v>0</v>
      </c>
      <c r="X134" s="291">
        <f t="shared" si="18"/>
        <v>0</v>
      </c>
      <c r="Y134" s="291">
        <f t="shared" si="19"/>
        <v>0</v>
      </c>
    </row>
    <row r="135" spans="2:25" s="289" customFormat="1" x14ac:dyDescent="0.25">
      <c r="B135" s="282" t="s">
        <v>287</v>
      </c>
      <c r="C135" s="243" t="s">
        <v>29</v>
      </c>
      <c r="D135" s="283" t="s">
        <v>288</v>
      </c>
      <c r="E135" s="284">
        <v>15.56</v>
      </c>
      <c r="F135" s="284">
        <v>15.56</v>
      </c>
      <c r="G135" s="243">
        <v>0</v>
      </c>
      <c r="H135" s="285">
        <v>0</v>
      </c>
      <c r="I135" s="285">
        <v>0</v>
      </c>
      <c r="J135" s="285">
        <v>0</v>
      </c>
      <c r="K135" s="285">
        <v>0</v>
      </c>
      <c r="L135" s="286">
        <f t="shared" si="10"/>
        <v>0</v>
      </c>
      <c r="M135" s="285">
        <v>0</v>
      </c>
      <c r="N135" s="285">
        <f t="shared" si="11"/>
        <v>0</v>
      </c>
      <c r="O135" s="288"/>
      <c r="Q135" s="290">
        <f t="shared" si="12"/>
        <v>0</v>
      </c>
      <c r="R135" s="290">
        <v>0</v>
      </c>
      <c r="S135" s="290">
        <f t="shared" si="13"/>
        <v>0</v>
      </c>
      <c r="T135" s="290">
        <f t="shared" si="14"/>
        <v>0</v>
      </c>
      <c r="U135" s="290">
        <f t="shared" si="15"/>
        <v>0</v>
      </c>
      <c r="V135" s="290">
        <f t="shared" si="16"/>
        <v>0</v>
      </c>
      <c r="W135" s="290">
        <f t="shared" si="17"/>
        <v>0</v>
      </c>
      <c r="X135" s="291">
        <f t="shared" si="18"/>
        <v>0</v>
      </c>
      <c r="Y135" s="291">
        <f t="shared" si="19"/>
        <v>0</v>
      </c>
    </row>
    <row r="136" spans="2:25" s="289" customFormat="1" x14ac:dyDescent="0.25">
      <c r="B136" s="282" t="s">
        <v>289</v>
      </c>
      <c r="C136" s="243" t="s">
        <v>29</v>
      </c>
      <c r="D136" s="283" t="s">
        <v>290</v>
      </c>
      <c r="E136" s="284">
        <v>17.12</v>
      </c>
      <c r="F136" s="284">
        <v>17.12</v>
      </c>
      <c r="G136" s="243">
        <v>0</v>
      </c>
      <c r="H136" s="285">
        <v>0</v>
      </c>
      <c r="I136" s="285">
        <v>0</v>
      </c>
      <c r="J136" s="285">
        <v>0</v>
      </c>
      <c r="K136" s="285">
        <v>0</v>
      </c>
      <c r="L136" s="286">
        <f t="shared" ref="L136:L170" si="20">G136+H136+I136-J136-K136</f>
        <v>0</v>
      </c>
      <c r="M136" s="285">
        <v>0</v>
      </c>
      <c r="N136" s="285">
        <f t="shared" ref="N136:N170" si="21">M136-L136</f>
        <v>0</v>
      </c>
      <c r="O136" s="288"/>
      <c r="Q136" s="290">
        <f t="shared" ref="Q136:Q170" si="22">G136*E136</f>
        <v>0</v>
      </c>
      <c r="R136" s="290">
        <v>0</v>
      </c>
      <c r="S136" s="290">
        <f t="shared" ref="S136:S170" si="23">H136*F136</f>
        <v>0</v>
      </c>
      <c r="T136" s="290">
        <f t="shared" ref="T136:T170" si="24">I136*F136</f>
        <v>0</v>
      </c>
      <c r="U136" s="290">
        <f t="shared" ref="U136:U170" si="25">J136*F136</f>
        <v>0</v>
      </c>
      <c r="V136" s="290">
        <f t="shared" ref="V136:V170" si="26">K136*F136</f>
        <v>0</v>
      </c>
      <c r="W136" s="290">
        <f t="shared" ref="W136:W170" si="27">Q136+R136+S136+T136-U136-V136</f>
        <v>0</v>
      </c>
      <c r="X136" s="291">
        <f t="shared" ref="X136:X170" si="28">L136*F136</f>
        <v>0</v>
      </c>
      <c r="Y136" s="291">
        <f t="shared" ref="Y136:Y170" si="29">X136-W136</f>
        <v>0</v>
      </c>
    </row>
    <row r="137" spans="2:25" s="289" customFormat="1" x14ac:dyDescent="0.25">
      <c r="B137" s="282" t="s">
        <v>291</v>
      </c>
      <c r="C137" s="243" t="s">
        <v>29</v>
      </c>
      <c r="D137" s="283" t="s">
        <v>292</v>
      </c>
      <c r="E137" s="284">
        <v>17.12</v>
      </c>
      <c r="F137" s="284">
        <v>17.12</v>
      </c>
      <c r="G137" s="243">
        <v>0</v>
      </c>
      <c r="H137" s="285">
        <v>0</v>
      </c>
      <c r="I137" s="285">
        <v>0</v>
      </c>
      <c r="J137" s="285">
        <v>0</v>
      </c>
      <c r="K137" s="285">
        <v>0</v>
      </c>
      <c r="L137" s="286">
        <f t="shared" si="20"/>
        <v>0</v>
      </c>
      <c r="M137" s="285">
        <v>0</v>
      </c>
      <c r="N137" s="285">
        <f t="shared" si="21"/>
        <v>0</v>
      </c>
      <c r="O137" s="288"/>
      <c r="Q137" s="290">
        <f t="shared" si="22"/>
        <v>0</v>
      </c>
      <c r="R137" s="290">
        <v>0</v>
      </c>
      <c r="S137" s="290">
        <f t="shared" si="23"/>
        <v>0</v>
      </c>
      <c r="T137" s="290">
        <f t="shared" si="24"/>
        <v>0</v>
      </c>
      <c r="U137" s="290">
        <f t="shared" si="25"/>
        <v>0</v>
      </c>
      <c r="V137" s="290">
        <f t="shared" si="26"/>
        <v>0</v>
      </c>
      <c r="W137" s="290">
        <f t="shared" si="27"/>
        <v>0</v>
      </c>
      <c r="X137" s="291">
        <f t="shared" si="28"/>
        <v>0</v>
      </c>
      <c r="Y137" s="291">
        <f t="shared" si="29"/>
        <v>0</v>
      </c>
    </row>
    <row r="138" spans="2:25" s="289" customFormat="1" x14ac:dyDescent="0.25">
      <c r="B138" s="282" t="s">
        <v>293</v>
      </c>
      <c r="C138" s="243" t="s">
        <v>29</v>
      </c>
      <c r="D138" s="283" t="s">
        <v>294</v>
      </c>
      <c r="E138" s="284">
        <v>17.12</v>
      </c>
      <c r="F138" s="284">
        <v>17.12</v>
      </c>
      <c r="G138" s="243">
        <v>0</v>
      </c>
      <c r="H138" s="285">
        <v>0</v>
      </c>
      <c r="I138" s="285">
        <v>0</v>
      </c>
      <c r="J138" s="285">
        <v>0</v>
      </c>
      <c r="K138" s="285">
        <v>0</v>
      </c>
      <c r="L138" s="286">
        <f t="shared" si="20"/>
        <v>0</v>
      </c>
      <c r="M138" s="285">
        <v>0</v>
      </c>
      <c r="N138" s="285">
        <f t="shared" si="21"/>
        <v>0</v>
      </c>
      <c r="O138" s="288"/>
      <c r="Q138" s="290">
        <f t="shared" si="22"/>
        <v>0</v>
      </c>
      <c r="R138" s="290">
        <v>0</v>
      </c>
      <c r="S138" s="290">
        <f t="shared" si="23"/>
        <v>0</v>
      </c>
      <c r="T138" s="290">
        <f t="shared" si="24"/>
        <v>0</v>
      </c>
      <c r="U138" s="290">
        <f t="shared" si="25"/>
        <v>0</v>
      </c>
      <c r="V138" s="290">
        <f t="shared" si="26"/>
        <v>0</v>
      </c>
      <c r="W138" s="290">
        <f t="shared" si="27"/>
        <v>0</v>
      </c>
      <c r="X138" s="291">
        <f t="shared" si="28"/>
        <v>0</v>
      </c>
      <c r="Y138" s="291">
        <f t="shared" si="29"/>
        <v>0</v>
      </c>
    </row>
    <row r="139" spans="2:25" s="289" customFormat="1" x14ac:dyDescent="0.25">
      <c r="B139" s="282" t="s">
        <v>296</v>
      </c>
      <c r="C139" s="243" t="s">
        <v>29</v>
      </c>
      <c r="D139" s="283" t="s">
        <v>297</v>
      </c>
      <c r="E139" s="284">
        <v>17.12</v>
      </c>
      <c r="F139" s="284">
        <v>17.12</v>
      </c>
      <c r="G139" s="243">
        <v>0</v>
      </c>
      <c r="H139" s="285">
        <v>0</v>
      </c>
      <c r="I139" s="285">
        <v>0</v>
      </c>
      <c r="J139" s="285">
        <v>0</v>
      </c>
      <c r="K139" s="285">
        <v>0</v>
      </c>
      <c r="L139" s="286">
        <f t="shared" si="20"/>
        <v>0</v>
      </c>
      <c r="M139" s="285">
        <v>0</v>
      </c>
      <c r="N139" s="285">
        <f t="shared" si="21"/>
        <v>0</v>
      </c>
      <c r="O139" s="288"/>
      <c r="Q139" s="290">
        <f t="shared" si="22"/>
        <v>0</v>
      </c>
      <c r="R139" s="290">
        <v>0</v>
      </c>
      <c r="S139" s="290">
        <f t="shared" si="23"/>
        <v>0</v>
      </c>
      <c r="T139" s="290">
        <f t="shared" si="24"/>
        <v>0</v>
      </c>
      <c r="U139" s="290">
        <f t="shared" si="25"/>
        <v>0</v>
      </c>
      <c r="V139" s="290">
        <f t="shared" si="26"/>
        <v>0</v>
      </c>
      <c r="W139" s="290">
        <f t="shared" si="27"/>
        <v>0</v>
      </c>
      <c r="X139" s="291">
        <f t="shared" si="28"/>
        <v>0</v>
      </c>
      <c r="Y139" s="291">
        <f t="shared" si="29"/>
        <v>0</v>
      </c>
    </row>
    <row r="140" spans="2:25" s="289" customFormat="1" x14ac:dyDescent="0.25">
      <c r="B140" s="282" t="s">
        <v>299</v>
      </c>
      <c r="C140" s="243" t="s">
        <v>29</v>
      </c>
      <c r="D140" s="283" t="s">
        <v>300</v>
      </c>
      <c r="E140" s="284">
        <v>17.12</v>
      </c>
      <c r="F140" s="284">
        <v>17.12</v>
      </c>
      <c r="G140" s="243">
        <v>0</v>
      </c>
      <c r="H140" s="285">
        <v>0</v>
      </c>
      <c r="I140" s="285">
        <v>0</v>
      </c>
      <c r="J140" s="285">
        <v>0</v>
      </c>
      <c r="K140" s="285">
        <v>0</v>
      </c>
      <c r="L140" s="286">
        <f t="shared" si="20"/>
        <v>0</v>
      </c>
      <c r="M140" s="285">
        <v>0</v>
      </c>
      <c r="N140" s="285">
        <f t="shared" si="21"/>
        <v>0</v>
      </c>
      <c r="O140" s="288"/>
      <c r="Q140" s="290">
        <f t="shared" si="22"/>
        <v>0</v>
      </c>
      <c r="R140" s="290">
        <v>0</v>
      </c>
      <c r="S140" s="290">
        <f t="shared" si="23"/>
        <v>0</v>
      </c>
      <c r="T140" s="290">
        <f t="shared" si="24"/>
        <v>0</v>
      </c>
      <c r="U140" s="290">
        <f t="shared" si="25"/>
        <v>0</v>
      </c>
      <c r="V140" s="290">
        <f t="shared" si="26"/>
        <v>0</v>
      </c>
      <c r="W140" s="290">
        <f t="shared" si="27"/>
        <v>0</v>
      </c>
      <c r="X140" s="291">
        <f t="shared" si="28"/>
        <v>0</v>
      </c>
      <c r="Y140" s="291">
        <f t="shared" si="29"/>
        <v>0</v>
      </c>
    </row>
    <row r="141" spans="2:25" s="289" customFormat="1" x14ac:dyDescent="0.25">
      <c r="B141" s="282" t="s">
        <v>301</v>
      </c>
      <c r="C141" s="243" t="s">
        <v>29</v>
      </c>
      <c r="D141" s="283" t="s">
        <v>302</v>
      </c>
      <c r="E141" s="284">
        <v>10.29</v>
      </c>
      <c r="F141" s="284">
        <v>10.29</v>
      </c>
      <c r="G141" s="243">
        <v>0</v>
      </c>
      <c r="H141" s="285">
        <v>0</v>
      </c>
      <c r="I141" s="285">
        <v>0</v>
      </c>
      <c r="J141" s="285">
        <v>0</v>
      </c>
      <c r="K141" s="285">
        <v>0</v>
      </c>
      <c r="L141" s="286">
        <f t="shared" si="20"/>
        <v>0</v>
      </c>
      <c r="M141" s="285">
        <v>0</v>
      </c>
      <c r="N141" s="285">
        <f t="shared" si="21"/>
        <v>0</v>
      </c>
      <c r="O141" s="288"/>
      <c r="Q141" s="290">
        <f t="shared" si="22"/>
        <v>0</v>
      </c>
      <c r="R141" s="290">
        <v>0</v>
      </c>
      <c r="S141" s="290">
        <f t="shared" si="23"/>
        <v>0</v>
      </c>
      <c r="T141" s="290">
        <f t="shared" si="24"/>
        <v>0</v>
      </c>
      <c r="U141" s="290">
        <f t="shared" si="25"/>
        <v>0</v>
      </c>
      <c r="V141" s="290">
        <f t="shared" si="26"/>
        <v>0</v>
      </c>
      <c r="W141" s="290">
        <f t="shared" si="27"/>
        <v>0</v>
      </c>
      <c r="X141" s="291">
        <f t="shared" si="28"/>
        <v>0</v>
      </c>
      <c r="Y141" s="291">
        <f t="shared" si="29"/>
        <v>0</v>
      </c>
    </row>
    <row r="142" spans="2:25" s="289" customFormat="1" x14ac:dyDescent="0.25">
      <c r="B142" s="282" t="s">
        <v>303</v>
      </c>
      <c r="C142" s="243" t="s">
        <v>26</v>
      </c>
      <c r="D142" s="283" t="s">
        <v>304</v>
      </c>
      <c r="E142" s="284">
        <v>19</v>
      </c>
      <c r="F142" s="284">
        <v>19</v>
      </c>
      <c r="G142" s="243">
        <v>7</v>
      </c>
      <c r="H142" s="285">
        <v>0</v>
      </c>
      <c r="I142" s="285">
        <v>0</v>
      </c>
      <c r="J142" s="285">
        <v>0</v>
      </c>
      <c r="K142" s="285">
        <v>0</v>
      </c>
      <c r="L142" s="286">
        <f t="shared" si="20"/>
        <v>7</v>
      </c>
      <c r="M142" s="285">
        <v>7</v>
      </c>
      <c r="N142" s="285">
        <f t="shared" si="21"/>
        <v>0</v>
      </c>
      <c r="O142" s="288"/>
      <c r="Q142" s="290">
        <f t="shared" si="22"/>
        <v>133</v>
      </c>
      <c r="R142" s="290">
        <v>0</v>
      </c>
      <c r="S142" s="290">
        <f t="shared" si="23"/>
        <v>0</v>
      </c>
      <c r="T142" s="290">
        <f t="shared" si="24"/>
        <v>0</v>
      </c>
      <c r="U142" s="290">
        <f t="shared" si="25"/>
        <v>0</v>
      </c>
      <c r="V142" s="290">
        <f t="shared" si="26"/>
        <v>0</v>
      </c>
      <c r="W142" s="290">
        <f t="shared" si="27"/>
        <v>133</v>
      </c>
      <c r="X142" s="291">
        <f t="shared" si="28"/>
        <v>133</v>
      </c>
      <c r="Y142" s="291">
        <f t="shared" si="29"/>
        <v>0</v>
      </c>
    </row>
    <row r="143" spans="2:25" s="289" customFormat="1" ht="30" x14ac:dyDescent="0.25">
      <c r="B143" s="282" t="s">
        <v>305</v>
      </c>
      <c r="C143" s="243" t="s">
        <v>58</v>
      </c>
      <c r="D143" s="283" t="s">
        <v>306</v>
      </c>
      <c r="E143" s="284">
        <v>6.24</v>
      </c>
      <c r="F143" s="284">
        <v>6.24</v>
      </c>
      <c r="G143" s="243">
        <v>1</v>
      </c>
      <c r="H143" s="285">
        <v>0</v>
      </c>
      <c r="I143" s="285">
        <v>0</v>
      </c>
      <c r="J143" s="285">
        <v>0</v>
      </c>
      <c r="K143" s="285">
        <v>0</v>
      </c>
      <c r="L143" s="286">
        <f t="shared" si="20"/>
        <v>1</v>
      </c>
      <c r="M143" s="285">
        <v>1</v>
      </c>
      <c r="N143" s="285">
        <f t="shared" si="21"/>
        <v>0</v>
      </c>
      <c r="O143" s="288"/>
      <c r="Q143" s="290">
        <f t="shared" si="22"/>
        <v>6.24</v>
      </c>
      <c r="R143" s="290">
        <v>0</v>
      </c>
      <c r="S143" s="290">
        <f t="shared" si="23"/>
        <v>0</v>
      </c>
      <c r="T143" s="290">
        <f t="shared" si="24"/>
        <v>0</v>
      </c>
      <c r="U143" s="290">
        <f t="shared" si="25"/>
        <v>0</v>
      </c>
      <c r="V143" s="290">
        <f t="shared" si="26"/>
        <v>0</v>
      </c>
      <c r="W143" s="290">
        <f t="shared" si="27"/>
        <v>6.24</v>
      </c>
      <c r="X143" s="291">
        <f t="shared" si="28"/>
        <v>6.24</v>
      </c>
      <c r="Y143" s="291">
        <f t="shared" si="29"/>
        <v>0</v>
      </c>
    </row>
    <row r="144" spans="2:25" s="289" customFormat="1" ht="30" x14ac:dyDescent="0.25">
      <c r="B144" s="282" t="s">
        <v>307</v>
      </c>
      <c r="C144" s="243" t="s">
        <v>58</v>
      </c>
      <c r="D144" s="283" t="s">
        <v>308</v>
      </c>
      <c r="E144" s="284">
        <v>6.93</v>
      </c>
      <c r="F144" s="284">
        <v>6.93</v>
      </c>
      <c r="G144" s="243">
        <v>0</v>
      </c>
      <c r="H144" s="285">
        <v>0</v>
      </c>
      <c r="I144" s="285">
        <v>0</v>
      </c>
      <c r="J144" s="285">
        <v>0</v>
      </c>
      <c r="K144" s="285">
        <v>0</v>
      </c>
      <c r="L144" s="286">
        <f t="shared" si="20"/>
        <v>0</v>
      </c>
      <c r="M144" s="285">
        <v>0</v>
      </c>
      <c r="N144" s="285">
        <f t="shared" si="21"/>
        <v>0</v>
      </c>
      <c r="O144" s="288"/>
      <c r="Q144" s="290">
        <f t="shared" si="22"/>
        <v>0</v>
      </c>
      <c r="R144" s="290">
        <v>0</v>
      </c>
      <c r="S144" s="290">
        <f t="shared" si="23"/>
        <v>0</v>
      </c>
      <c r="T144" s="290">
        <f t="shared" si="24"/>
        <v>0</v>
      </c>
      <c r="U144" s="290">
        <f t="shared" si="25"/>
        <v>0</v>
      </c>
      <c r="V144" s="290">
        <f t="shared" si="26"/>
        <v>0</v>
      </c>
      <c r="W144" s="290">
        <f t="shared" si="27"/>
        <v>0</v>
      </c>
      <c r="X144" s="291">
        <f t="shared" si="28"/>
        <v>0</v>
      </c>
      <c r="Y144" s="291">
        <f t="shared" si="29"/>
        <v>0</v>
      </c>
    </row>
    <row r="145" spans="2:25" s="289" customFormat="1" x14ac:dyDescent="0.25">
      <c r="B145" s="282" t="s">
        <v>309</v>
      </c>
      <c r="C145" s="243" t="s">
        <v>29</v>
      </c>
      <c r="D145" s="283" t="s">
        <v>310</v>
      </c>
      <c r="E145" s="284">
        <v>0.45</v>
      </c>
      <c r="F145" s="284">
        <v>0.45</v>
      </c>
      <c r="G145" s="243">
        <v>193</v>
      </c>
      <c r="H145" s="285">
        <v>0</v>
      </c>
      <c r="I145" s="285">
        <v>0</v>
      </c>
      <c r="J145" s="287">
        <v>1</v>
      </c>
      <c r="K145" s="285">
        <v>0</v>
      </c>
      <c r="L145" s="286">
        <f t="shared" si="20"/>
        <v>192</v>
      </c>
      <c r="M145" s="285">
        <v>192</v>
      </c>
      <c r="N145" s="285">
        <f t="shared" si="21"/>
        <v>0</v>
      </c>
      <c r="O145" s="288"/>
      <c r="Q145" s="290">
        <f t="shared" si="22"/>
        <v>86.850000000000009</v>
      </c>
      <c r="R145" s="290">
        <v>0</v>
      </c>
      <c r="S145" s="290">
        <f t="shared" si="23"/>
        <v>0</v>
      </c>
      <c r="T145" s="290">
        <f t="shared" si="24"/>
        <v>0</v>
      </c>
      <c r="U145" s="290">
        <f t="shared" si="25"/>
        <v>0.45</v>
      </c>
      <c r="V145" s="290">
        <f t="shared" si="26"/>
        <v>0</v>
      </c>
      <c r="W145" s="290">
        <f t="shared" si="27"/>
        <v>86.4</v>
      </c>
      <c r="X145" s="291">
        <f t="shared" si="28"/>
        <v>86.4</v>
      </c>
      <c r="Y145" s="291">
        <f t="shared" si="29"/>
        <v>0</v>
      </c>
    </row>
    <row r="146" spans="2:25" s="289" customFormat="1" x14ac:dyDescent="0.25">
      <c r="B146" s="282" t="s">
        <v>311</v>
      </c>
      <c r="C146" s="243" t="s">
        <v>26</v>
      </c>
      <c r="D146" s="283" t="s">
        <v>312</v>
      </c>
      <c r="E146" s="284">
        <v>16.7</v>
      </c>
      <c r="F146" s="284">
        <v>16.7</v>
      </c>
      <c r="G146" s="243">
        <v>14</v>
      </c>
      <c r="H146" s="285">
        <v>0</v>
      </c>
      <c r="I146" s="285">
        <v>0</v>
      </c>
      <c r="J146" s="285">
        <v>0</v>
      </c>
      <c r="K146" s="285">
        <v>0</v>
      </c>
      <c r="L146" s="286">
        <f t="shared" si="20"/>
        <v>14</v>
      </c>
      <c r="M146" s="285">
        <v>14</v>
      </c>
      <c r="N146" s="285">
        <f t="shared" si="21"/>
        <v>0</v>
      </c>
      <c r="O146" s="288"/>
      <c r="Q146" s="290">
        <f t="shared" si="22"/>
        <v>233.79999999999998</v>
      </c>
      <c r="R146" s="290">
        <v>0</v>
      </c>
      <c r="S146" s="290">
        <f t="shared" si="23"/>
        <v>0</v>
      </c>
      <c r="T146" s="290">
        <f t="shared" si="24"/>
        <v>0</v>
      </c>
      <c r="U146" s="290">
        <f t="shared" si="25"/>
        <v>0</v>
      </c>
      <c r="V146" s="290">
        <f t="shared" si="26"/>
        <v>0</v>
      </c>
      <c r="W146" s="290">
        <f t="shared" si="27"/>
        <v>233.79999999999998</v>
      </c>
      <c r="X146" s="291">
        <f t="shared" si="28"/>
        <v>233.79999999999998</v>
      </c>
      <c r="Y146" s="291">
        <f t="shared" si="29"/>
        <v>0</v>
      </c>
    </row>
    <row r="147" spans="2:25" s="289" customFormat="1" x14ac:dyDescent="0.25">
      <c r="B147" s="282" t="s">
        <v>313</v>
      </c>
      <c r="C147" s="243" t="s">
        <v>26</v>
      </c>
      <c r="D147" s="283" t="s">
        <v>314</v>
      </c>
      <c r="E147" s="284">
        <v>0.11</v>
      </c>
      <c r="F147" s="284">
        <v>0.11</v>
      </c>
      <c r="G147" s="243">
        <v>8550</v>
      </c>
      <c r="H147" s="285">
        <v>0</v>
      </c>
      <c r="I147" s="285">
        <v>0</v>
      </c>
      <c r="J147" s="285">
        <v>0</v>
      </c>
      <c r="K147" s="285">
        <v>0</v>
      </c>
      <c r="L147" s="286">
        <f t="shared" si="20"/>
        <v>8550</v>
      </c>
      <c r="M147" s="285">
        <v>8550</v>
      </c>
      <c r="N147" s="285">
        <f t="shared" si="21"/>
        <v>0</v>
      </c>
      <c r="O147" s="288"/>
      <c r="Q147" s="290">
        <f t="shared" si="22"/>
        <v>940.5</v>
      </c>
      <c r="R147" s="290">
        <v>0</v>
      </c>
      <c r="S147" s="290">
        <f t="shared" si="23"/>
        <v>0</v>
      </c>
      <c r="T147" s="290">
        <f t="shared" si="24"/>
        <v>0</v>
      </c>
      <c r="U147" s="290">
        <f t="shared" si="25"/>
        <v>0</v>
      </c>
      <c r="V147" s="290">
        <f t="shared" si="26"/>
        <v>0</v>
      </c>
      <c r="W147" s="290">
        <f t="shared" si="27"/>
        <v>940.5</v>
      </c>
      <c r="X147" s="291">
        <f t="shared" si="28"/>
        <v>940.5</v>
      </c>
      <c r="Y147" s="291">
        <f t="shared" si="29"/>
        <v>0</v>
      </c>
    </row>
    <row r="148" spans="2:25" s="289" customFormat="1" x14ac:dyDescent="0.25">
      <c r="B148" s="282" t="s">
        <v>315</v>
      </c>
      <c r="C148" s="243" t="s">
        <v>58</v>
      </c>
      <c r="D148" s="283" t="s">
        <v>316</v>
      </c>
      <c r="E148" s="284">
        <v>0.56000000000000005</v>
      </c>
      <c r="F148" s="284">
        <v>0.56000000000000005</v>
      </c>
      <c r="G148" s="243">
        <v>0</v>
      </c>
      <c r="H148" s="285">
        <v>0</v>
      </c>
      <c r="I148" s="285">
        <v>0</v>
      </c>
      <c r="J148" s="285">
        <v>0</v>
      </c>
      <c r="K148" s="285">
        <v>0</v>
      </c>
      <c r="L148" s="286">
        <f t="shared" si="20"/>
        <v>0</v>
      </c>
      <c r="M148" s="285">
        <v>0</v>
      </c>
      <c r="N148" s="285">
        <f t="shared" si="21"/>
        <v>0</v>
      </c>
      <c r="O148" s="288"/>
      <c r="Q148" s="290">
        <f t="shared" si="22"/>
        <v>0</v>
      </c>
      <c r="R148" s="290">
        <v>0</v>
      </c>
      <c r="S148" s="290">
        <f t="shared" si="23"/>
        <v>0</v>
      </c>
      <c r="T148" s="290">
        <f t="shared" si="24"/>
        <v>0</v>
      </c>
      <c r="U148" s="290">
        <f t="shared" si="25"/>
        <v>0</v>
      </c>
      <c r="V148" s="290">
        <f t="shared" si="26"/>
        <v>0</v>
      </c>
      <c r="W148" s="290">
        <f t="shared" si="27"/>
        <v>0</v>
      </c>
      <c r="X148" s="291">
        <f t="shared" si="28"/>
        <v>0</v>
      </c>
      <c r="Y148" s="291">
        <f t="shared" si="29"/>
        <v>0</v>
      </c>
    </row>
    <row r="149" spans="2:25" s="289" customFormat="1" x14ac:dyDescent="0.25">
      <c r="B149" s="282" t="s">
        <v>317</v>
      </c>
      <c r="C149" s="243" t="s">
        <v>29</v>
      </c>
      <c r="D149" s="283" t="s">
        <v>318</v>
      </c>
      <c r="E149" s="284">
        <v>12.9</v>
      </c>
      <c r="F149" s="284">
        <v>12.9</v>
      </c>
      <c r="G149" s="243">
        <v>0</v>
      </c>
      <c r="H149" s="285">
        <v>0</v>
      </c>
      <c r="I149" s="285">
        <v>0</v>
      </c>
      <c r="J149" s="285">
        <v>0</v>
      </c>
      <c r="K149" s="285">
        <v>0</v>
      </c>
      <c r="L149" s="286">
        <f t="shared" si="20"/>
        <v>0</v>
      </c>
      <c r="M149" s="285">
        <v>0</v>
      </c>
      <c r="N149" s="285">
        <f t="shared" si="21"/>
        <v>0</v>
      </c>
      <c r="O149" s="288"/>
      <c r="Q149" s="290">
        <f t="shared" si="22"/>
        <v>0</v>
      </c>
      <c r="R149" s="290">
        <v>0</v>
      </c>
      <c r="S149" s="290">
        <f t="shared" si="23"/>
        <v>0</v>
      </c>
      <c r="T149" s="290">
        <f t="shared" si="24"/>
        <v>0</v>
      </c>
      <c r="U149" s="290">
        <f t="shared" si="25"/>
        <v>0</v>
      </c>
      <c r="V149" s="290">
        <f t="shared" si="26"/>
        <v>0</v>
      </c>
      <c r="W149" s="290">
        <f t="shared" si="27"/>
        <v>0</v>
      </c>
      <c r="X149" s="291">
        <f t="shared" si="28"/>
        <v>0</v>
      </c>
      <c r="Y149" s="291">
        <f t="shared" si="29"/>
        <v>0</v>
      </c>
    </row>
    <row r="150" spans="2:25" s="289" customFormat="1" x14ac:dyDescent="0.25">
      <c r="B150" s="282" t="s">
        <v>319</v>
      </c>
      <c r="C150" s="243" t="s">
        <v>29</v>
      </c>
      <c r="D150" s="283" t="s">
        <v>320</v>
      </c>
      <c r="E150" s="284">
        <v>16.8</v>
      </c>
      <c r="F150" s="284">
        <v>16.8</v>
      </c>
      <c r="G150" s="243">
        <v>0</v>
      </c>
      <c r="H150" s="285">
        <v>0</v>
      </c>
      <c r="I150" s="285">
        <v>0</v>
      </c>
      <c r="J150" s="285">
        <v>0</v>
      </c>
      <c r="K150" s="285">
        <v>0</v>
      </c>
      <c r="L150" s="286">
        <f t="shared" si="20"/>
        <v>0</v>
      </c>
      <c r="M150" s="285">
        <v>0</v>
      </c>
      <c r="N150" s="285">
        <f t="shared" si="21"/>
        <v>0</v>
      </c>
      <c r="O150" s="288"/>
      <c r="Q150" s="290">
        <f t="shared" si="22"/>
        <v>0</v>
      </c>
      <c r="R150" s="290">
        <v>0</v>
      </c>
      <c r="S150" s="290">
        <f t="shared" si="23"/>
        <v>0</v>
      </c>
      <c r="T150" s="290">
        <f t="shared" si="24"/>
        <v>0</v>
      </c>
      <c r="U150" s="290">
        <f t="shared" si="25"/>
        <v>0</v>
      </c>
      <c r="V150" s="290">
        <f t="shared" si="26"/>
        <v>0</v>
      </c>
      <c r="W150" s="290">
        <f t="shared" si="27"/>
        <v>0</v>
      </c>
      <c r="X150" s="291">
        <f t="shared" si="28"/>
        <v>0</v>
      </c>
      <c r="Y150" s="291">
        <f t="shared" si="29"/>
        <v>0</v>
      </c>
    </row>
    <row r="151" spans="2:25" s="289" customFormat="1" x14ac:dyDescent="0.25">
      <c r="B151" s="282" t="s">
        <v>321</v>
      </c>
      <c r="C151" s="243" t="s">
        <v>29</v>
      </c>
      <c r="D151" s="283" t="s">
        <v>322</v>
      </c>
      <c r="E151" s="284">
        <v>16.399999999999999</v>
      </c>
      <c r="F151" s="284">
        <v>16.399999999999999</v>
      </c>
      <c r="G151" s="243">
        <v>0</v>
      </c>
      <c r="H151" s="285">
        <v>0</v>
      </c>
      <c r="I151" s="285">
        <v>0</v>
      </c>
      <c r="J151" s="285">
        <v>0</v>
      </c>
      <c r="K151" s="285">
        <v>0</v>
      </c>
      <c r="L151" s="286">
        <f t="shared" si="20"/>
        <v>0</v>
      </c>
      <c r="M151" s="285">
        <v>0</v>
      </c>
      <c r="N151" s="285">
        <f t="shared" si="21"/>
        <v>0</v>
      </c>
      <c r="O151" s="288"/>
      <c r="Q151" s="290">
        <f t="shared" si="22"/>
        <v>0</v>
      </c>
      <c r="R151" s="290">
        <v>0</v>
      </c>
      <c r="S151" s="290">
        <f t="shared" si="23"/>
        <v>0</v>
      </c>
      <c r="T151" s="290">
        <f t="shared" si="24"/>
        <v>0</v>
      </c>
      <c r="U151" s="290">
        <f t="shared" si="25"/>
        <v>0</v>
      </c>
      <c r="V151" s="290">
        <f t="shared" si="26"/>
        <v>0</v>
      </c>
      <c r="W151" s="290">
        <f t="shared" si="27"/>
        <v>0</v>
      </c>
      <c r="X151" s="291">
        <f t="shared" si="28"/>
        <v>0</v>
      </c>
      <c r="Y151" s="291">
        <f t="shared" si="29"/>
        <v>0</v>
      </c>
    </row>
    <row r="152" spans="2:25" s="289" customFormat="1" x14ac:dyDescent="0.25">
      <c r="B152" s="282" t="s">
        <v>323</v>
      </c>
      <c r="C152" s="243" t="s">
        <v>29</v>
      </c>
      <c r="D152" s="283" t="s">
        <v>324</v>
      </c>
      <c r="E152" s="284">
        <v>16.79</v>
      </c>
      <c r="F152" s="284">
        <v>16.79</v>
      </c>
      <c r="G152" s="243">
        <v>0</v>
      </c>
      <c r="H152" s="285">
        <v>0</v>
      </c>
      <c r="I152" s="285">
        <v>0</v>
      </c>
      <c r="J152" s="285">
        <v>0</v>
      </c>
      <c r="K152" s="285">
        <v>0</v>
      </c>
      <c r="L152" s="286">
        <f t="shared" si="20"/>
        <v>0</v>
      </c>
      <c r="M152" s="285">
        <v>0</v>
      </c>
      <c r="N152" s="285">
        <f t="shared" si="21"/>
        <v>0</v>
      </c>
      <c r="O152" s="288"/>
      <c r="Q152" s="290">
        <f t="shared" si="22"/>
        <v>0</v>
      </c>
      <c r="R152" s="290">
        <v>0</v>
      </c>
      <c r="S152" s="290">
        <f t="shared" si="23"/>
        <v>0</v>
      </c>
      <c r="T152" s="290">
        <f t="shared" si="24"/>
        <v>0</v>
      </c>
      <c r="U152" s="290">
        <f t="shared" si="25"/>
        <v>0</v>
      </c>
      <c r="V152" s="290">
        <f t="shared" si="26"/>
        <v>0</v>
      </c>
      <c r="W152" s="290">
        <f t="shared" si="27"/>
        <v>0</v>
      </c>
      <c r="X152" s="291">
        <f t="shared" si="28"/>
        <v>0</v>
      </c>
      <c r="Y152" s="291">
        <f t="shared" si="29"/>
        <v>0</v>
      </c>
    </row>
    <row r="153" spans="2:25" s="289" customFormat="1" x14ac:dyDescent="0.25">
      <c r="B153" s="282" t="s">
        <v>325</v>
      </c>
      <c r="C153" s="243" t="s">
        <v>29</v>
      </c>
      <c r="D153" s="283" t="s">
        <v>326</v>
      </c>
      <c r="E153" s="284">
        <v>14.28</v>
      </c>
      <c r="F153" s="284">
        <v>14.28</v>
      </c>
      <c r="G153" s="243">
        <v>0</v>
      </c>
      <c r="H153" s="285">
        <v>0</v>
      </c>
      <c r="I153" s="285">
        <v>0</v>
      </c>
      <c r="J153" s="285">
        <v>0</v>
      </c>
      <c r="K153" s="285">
        <v>0</v>
      </c>
      <c r="L153" s="286">
        <f t="shared" si="20"/>
        <v>0</v>
      </c>
      <c r="M153" s="285">
        <v>0</v>
      </c>
      <c r="N153" s="285">
        <f t="shared" si="21"/>
        <v>0</v>
      </c>
      <c r="O153" s="288"/>
      <c r="Q153" s="290">
        <f t="shared" si="22"/>
        <v>0</v>
      </c>
      <c r="R153" s="290">
        <v>0</v>
      </c>
      <c r="S153" s="290">
        <f t="shared" si="23"/>
        <v>0</v>
      </c>
      <c r="T153" s="290">
        <f t="shared" si="24"/>
        <v>0</v>
      </c>
      <c r="U153" s="290">
        <f t="shared" si="25"/>
        <v>0</v>
      </c>
      <c r="V153" s="290">
        <f t="shared" si="26"/>
        <v>0</v>
      </c>
      <c r="W153" s="290">
        <f t="shared" si="27"/>
        <v>0</v>
      </c>
      <c r="X153" s="291">
        <f t="shared" si="28"/>
        <v>0</v>
      </c>
      <c r="Y153" s="291">
        <f t="shared" si="29"/>
        <v>0</v>
      </c>
    </row>
    <row r="154" spans="2:25" s="289" customFormat="1" x14ac:dyDescent="0.25">
      <c r="B154" s="282" t="s">
        <v>327</v>
      </c>
      <c r="C154" s="243" t="s">
        <v>29</v>
      </c>
      <c r="D154" s="283" t="s">
        <v>328</v>
      </c>
      <c r="E154" s="284">
        <v>16.79</v>
      </c>
      <c r="F154" s="284">
        <v>16.79</v>
      </c>
      <c r="G154" s="243">
        <v>0</v>
      </c>
      <c r="H154" s="285">
        <v>0</v>
      </c>
      <c r="I154" s="285">
        <v>0</v>
      </c>
      <c r="J154" s="285">
        <v>0</v>
      </c>
      <c r="K154" s="285">
        <v>0</v>
      </c>
      <c r="L154" s="286">
        <f t="shared" si="20"/>
        <v>0</v>
      </c>
      <c r="M154" s="285">
        <v>0</v>
      </c>
      <c r="N154" s="285">
        <f t="shared" si="21"/>
        <v>0</v>
      </c>
      <c r="O154" s="288"/>
      <c r="Q154" s="290">
        <f t="shared" si="22"/>
        <v>0</v>
      </c>
      <c r="R154" s="290">
        <v>0</v>
      </c>
      <c r="S154" s="290">
        <f t="shared" si="23"/>
        <v>0</v>
      </c>
      <c r="T154" s="290">
        <f t="shared" si="24"/>
        <v>0</v>
      </c>
      <c r="U154" s="290">
        <f t="shared" si="25"/>
        <v>0</v>
      </c>
      <c r="V154" s="290">
        <f t="shared" si="26"/>
        <v>0</v>
      </c>
      <c r="W154" s="290">
        <f t="shared" si="27"/>
        <v>0</v>
      </c>
      <c r="X154" s="291">
        <f t="shared" si="28"/>
        <v>0</v>
      </c>
      <c r="Y154" s="291">
        <f t="shared" si="29"/>
        <v>0</v>
      </c>
    </row>
    <row r="155" spans="2:25" s="289" customFormat="1" x14ac:dyDescent="0.25">
      <c r="B155" s="282" t="s">
        <v>329</v>
      </c>
      <c r="C155" s="243" t="s">
        <v>29</v>
      </c>
      <c r="D155" s="283" t="s">
        <v>330</v>
      </c>
      <c r="E155" s="284">
        <v>16.79</v>
      </c>
      <c r="F155" s="284">
        <v>16.79</v>
      </c>
      <c r="G155" s="243">
        <v>0</v>
      </c>
      <c r="H155" s="285">
        <v>0</v>
      </c>
      <c r="I155" s="285">
        <v>0</v>
      </c>
      <c r="J155" s="285">
        <v>0</v>
      </c>
      <c r="K155" s="285">
        <v>0</v>
      </c>
      <c r="L155" s="286">
        <f t="shared" si="20"/>
        <v>0</v>
      </c>
      <c r="M155" s="285">
        <v>0</v>
      </c>
      <c r="N155" s="285">
        <f t="shared" si="21"/>
        <v>0</v>
      </c>
      <c r="O155" s="288"/>
      <c r="Q155" s="290">
        <f t="shared" si="22"/>
        <v>0</v>
      </c>
      <c r="R155" s="290">
        <v>0</v>
      </c>
      <c r="S155" s="290">
        <f t="shared" si="23"/>
        <v>0</v>
      </c>
      <c r="T155" s="290">
        <f t="shared" si="24"/>
        <v>0</v>
      </c>
      <c r="U155" s="290">
        <f t="shared" si="25"/>
        <v>0</v>
      </c>
      <c r="V155" s="290">
        <f t="shared" si="26"/>
        <v>0</v>
      </c>
      <c r="W155" s="290">
        <f t="shared" si="27"/>
        <v>0</v>
      </c>
      <c r="X155" s="291">
        <f t="shared" si="28"/>
        <v>0</v>
      </c>
      <c r="Y155" s="291">
        <f t="shared" si="29"/>
        <v>0</v>
      </c>
    </row>
    <row r="156" spans="2:25" s="289" customFormat="1" x14ac:dyDescent="0.25">
      <c r="B156" s="282" t="s">
        <v>331</v>
      </c>
      <c r="C156" s="243" t="s">
        <v>29</v>
      </c>
      <c r="D156" s="283" t="s">
        <v>332</v>
      </c>
      <c r="E156" s="284">
        <v>13.44</v>
      </c>
      <c r="F156" s="284">
        <v>13.44</v>
      </c>
      <c r="G156" s="243">
        <v>0</v>
      </c>
      <c r="H156" s="285">
        <v>0</v>
      </c>
      <c r="I156" s="285">
        <v>0</v>
      </c>
      <c r="J156" s="285">
        <v>0</v>
      </c>
      <c r="K156" s="285">
        <v>0</v>
      </c>
      <c r="L156" s="286">
        <f t="shared" si="20"/>
        <v>0</v>
      </c>
      <c r="M156" s="285">
        <v>0</v>
      </c>
      <c r="N156" s="285">
        <f t="shared" si="21"/>
        <v>0</v>
      </c>
      <c r="O156" s="288"/>
      <c r="Q156" s="290">
        <f t="shared" si="22"/>
        <v>0</v>
      </c>
      <c r="R156" s="290">
        <v>0</v>
      </c>
      <c r="S156" s="290">
        <f t="shared" si="23"/>
        <v>0</v>
      </c>
      <c r="T156" s="290">
        <f t="shared" si="24"/>
        <v>0</v>
      </c>
      <c r="U156" s="290">
        <f t="shared" si="25"/>
        <v>0</v>
      </c>
      <c r="V156" s="290">
        <f t="shared" si="26"/>
        <v>0</v>
      </c>
      <c r="W156" s="290">
        <f t="shared" si="27"/>
        <v>0</v>
      </c>
      <c r="X156" s="291">
        <f t="shared" si="28"/>
        <v>0</v>
      </c>
      <c r="Y156" s="291">
        <f t="shared" si="29"/>
        <v>0</v>
      </c>
    </row>
    <row r="157" spans="2:25" s="289" customFormat="1" x14ac:dyDescent="0.25">
      <c r="B157" s="282" t="s">
        <v>333</v>
      </c>
      <c r="C157" s="243" t="s">
        <v>29</v>
      </c>
      <c r="D157" s="283" t="s">
        <v>334</v>
      </c>
      <c r="E157" s="284">
        <v>16.79</v>
      </c>
      <c r="F157" s="284">
        <v>16.79</v>
      </c>
      <c r="G157" s="243">
        <v>0</v>
      </c>
      <c r="H157" s="285">
        <v>0</v>
      </c>
      <c r="I157" s="285">
        <v>0</v>
      </c>
      <c r="J157" s="285">
        <v>0</v>
      </c>
      <c r="K157" s="285">
        <v>0</v>
      </c>
      <c r="L157" s="286">
        <f t="shared" si="20"/>
        <v>0</v>
      </c>
      <c r="M157" s="285">
        <v>0</v>
      </c>
      <c r="N157" s="285">
        <f t="shared" si="21"/>
        <v>0</v>
      </c>
      <c r="O157" s="288"/>
      <c r="Q157" s="290">
        <f t="shared" si="22"/>
        <v>0</v>
      </c>
      <c r="R157" s="290">
        <v>0</v>
      </c>
      <c r="S157" s="290">
        <f t="shared" si="23"/>
        <v>0</v>
      </c>
      <c r="T157" s="290">
        <f t="shared" si="24"/>
        <v>0</v>
      </c>
      <c r="U157" s="290">
        <f t="shared" si="25"/>
        <v>0</v>
      </c>
      <c r="V157" s="290">
        <f t="shared" si="26"/>
        <v>0</v>
      </c>
      <c r="W157" s="290">
        <f t="shared" si="27"/>
        <v>0</v>
      </c>
      <c r="X157" s="291">
        <f t="shared" si="28"/>
        <v>0</v>
      </c>
      <c r="Y157" s="291">
        <f t="shared" si="29"/>
        <v>0</v>
      </c>
    </row>
    <row r="158" spans="2:25" s="289" customFormat="1" x14ac:dyDescent="0.25">
      <c r="B158" s="282" t="s">
        <v>335</v>
      </c>
      <c r="C158" s="243" t="s">
        <v>29</v>
      </c>
      <c r="D158" s="283" t="s">
        <v>336</v>
      </c>
      <c r="E158" s="284">
        <v>16.79</v>
      </c>
      <c r="F158" s="284">
        <v>16.79</v>
      </c>
      <c r="G158" s="243">
        <v>0</v>
      </c>
      <c r="H158" s="285">
        <v>0</v>
      </c>
      <c r="I158" s="285">
        <v>0</v>
      </c>
      <c r="J158" s="285">
        <v>0</v>
      </c>
      <c r="K158" s="285">
        <v>0</v>
      </c>
      <c r="L158" s="286">
        <f t="shared" si="20"/>
        <v>0</v>
      </c>
      <c r="M158" s="285">
        <v>0</v>
      </c>
      <c r="N158" s="285">
        <f t="shared" si="21"/>
        <v>0</v>
      </c>
      <c r="O158" s="288"/>
      <c r="Q158" s="290">
        <f t="shared" si="22"/>
        <v>0</v>
      </c>
      <c r="R158" s="290">
        <v>0</v>
      </c>
      <c r="S158" s="290">
        <f t="shared" si="23"/>
        <v>0</v>
      </c>
      <c r="T158" s="290">
        <f t="shared" si="24"/>
        <v>0</v>
      </c>
      <c r="U158" s="290">
        <f t="shared" si="25"/>
        <v>0</v>
      </c>
      <c r="V158" s="290">
        <f t="shared" si="26"/>
        <v>0</v>
      </c>
      <c r="W158" s="290">
        <f t="shared" si="27"/>
        <v>0</v>
      </c>
      <c r="X158" s="291">
        <f t="shared" si="28"/>
        <v>0</v>
      </c>
      <c r="Y158" s="291">
        <f t="shared" si="29"/>
        <v>0</v>
      </c>
    </row>
    <row r="159" spans="2:25" s="289" customFormat="1" x14ac:dyDescent="0.25">
      <c r="B159" s="282" t="s">
        <v>337</v>
      </c>
      <c r="C159" s="243" t="s">
        <v>26</v>
      </c>
      <c r="D159" s="283" t="s">
        <v>338</v>
      </c>
      <c r="E159" s="284">
        <v>0.14000000000000001</v>
      </c>
      <c r="F159" s="284">
        <v>0.14000000000000001</v>
      </c>
      <c r="G159" s="243">
        <v>1550</v>
      </c>
      <c r="H159" s="285">
        <v>0</v>
      </c>
      <c r="I159" s="285">
        <v>0</v>
      </c>
      <c r="J159" s="285">
        <v>0</v>
      </c>
      <c r="K159" s="285">
        <v>0</v>
      </c>
      <c r="L159" s="286">
        <f t="shared" si="20"/>
        <v>1550</v>
      </c>
      <c r="M159" s="285">
        <v>1550</v>
      </c>
      <c r="N159" s="285">
        <f t="shared" si="21"/>
        <v>0</v>
      </c>
      <c r="O159" s="288"/>
      <c r="Q159" s="290">
        <f t="shared" si="22"/>
        <v>217.00000000000003</v>
      </c>
      <c r="R159" s="290">
        <v>0</v>
      </c>
      <c r="S159" s="290">
        <f t="shared" si="23"/>
        <v>0</v>
      </c>
      <c r="T159" s="290">
        <f t="shared" si="24"/>
        <v>0</v>
      </c>
      <c r="U159" s="290">
        <f t="shared" si="25"/>
        <v>0</v>
      </c>
      <c r="V159" s="290">
        <f t="shared" si="26"/>
        <v>0</v>
      </c>
      <c r="W159" s="290">
        <f t="shared" si="27"/>
        <v>217.00000000000003</v>
      </c>
      <c r="X159" s="291">
        <f t="shared" si="28"/>
        <v>217.00000000000003</v>
      </c>
      <c r="Y159" s="291">
        <f t="shared" si="29"/>
        <v>0</v>
      </c>
    </row>
    <row r="160" spans="2:25" s="289" customFormat="1" x14ac:dyDescent="0.25">
      <c r="B160" s="282" t="s">
        <v>339</v>
      </c>
      <c r="C160" s="243" t="s">
        <v>26</v>
      </c>
      <c r="D160" s="283" t="s">
        <v>340</v>
      </c>
      <c r="E160" s="284">
        <v>0.31</v>
      </c>
      <c r="F160" s="284">
        <v>0.31</v>
      </c>
      <c r="G160" s="243">
        <v>500</v>
      </c>
      <c r="H160" s="285">
        <v>0</v>
      </c>
      <c r="I160" s="285">
        <v>0</v>
      </c>
      <c r="J160" s="285">
        <v>0</v>
      </c>
      <c r="K160" s="285">
        <v>0</v>
      </c>
      <c r="L160" s="286">
        <f t="shared" si="20"/>
        <v>500</v>
      </c>
      <c r="M160" s="285">
        <v>500</v>
      </c>
      <c r="N160" s="285">
        <f t="shared" si="21"/>
        <v>0</v>
      </c>
      <c r="O160" s="288"/>
      <c r="Q160" s="290">
        <f t="shared" si="22"/>
        <v>155</v>
      </c>
      <c r="R160" s="290">
        <v>0</v>
      </c>
      <c r="S160" s="290">
        <f t="shared" si="23"/>
        <v>0</v>
      </c>
      <c r="T160" s="290">
        <f t="shared" si="24"/>
        <v>0</v>
      </c>
      <c r="U160" s="290">
        <f t="shared" si="25"/>
        <v>0</v>
      </c>
      <c r="V160" s="290">
        <f t="shared" si="26"/>
        <v>0</v>
      </c>
      <c r="W160" s="290">
        <f t="shared" si="27"/>
        <v>155</v>
      </c>
      <c r="X160" s="291">
        <f t="shared" si="28"/>
        <v>155</v>
      </c>
      <c r="Y160" s="291">
        <f t="shared" si="29"/>
        <v>0</v>
      </c>
    </row>
    <row r="161" spans="1:25" s="289" customFormat="1" x14ac:dyDescent="0.25">
      <c r="B161" s="282" t="s">
        <v>341</v>
      </c>
      <c r="C161" s="243" t="s">
        <v>26</v>
      </c>
      <c r="D161" s="283" t="s">
        <v>342</v>
      </c>
      <c r="E161" s="284">
        <v>5.69</v>
      </c>
      <c r="F161" s="284">
        <v>5.69</v>
      </c>
      <c r="G161" s="243">
        <v>0</v>
      </c>
      <c r="H161" s="285">
        <v>0</v>
      </c>
      <c r="I161" s="285">
        <v>0</v>
      </c>
      <c r="J161" s="285">
        <v>0</v>
      </c>
      <c r="K161" s="285">
        <v>0</v>
      </c>
      <c r="L161" s="286">
        <f t="shared" si="20"/>
        <v>0</v>
      </c>
      <c r="M161" s="285">
        <v>0</v>
      </c>
      <c r="N161" s="285">
        <f t="shared" si="21"/>
        <v>0</v>
      </c>
      <c r="O161" s="288"/>
      <c r="Q161" s="290">
        <f t="shared" si="22"/>
        <v>0</v>
      </c>
      <c r="R161" s="290">
        <v>0</v>
      </c>
      <c r="S161" s="290">
        <f t="shared" si="23"/>
        <v>0</v>
      </c>
      <c r="T161" s="290">
        <f t="shared" si="24"/>
        <v>0</v>
      </c>
      <c r="U161" s="290">
        <f t="shared" si="25"/>
        <v>0</v>
      </c>
      <c r="V161" s="290">
        <f t="shared" si="26"/>
        <v>0</v>
      </c>
      <c r="W161" s="290">
        <f t="shared" si="27"/>
        <v>0</v>
      </c>
      <c r="X161" s="291">
        <f t="shared" si="28"/>
        <v>0</v>
      </c>
      <c r="Y161" s="291">
        <f t="shared" si="29"/>
        <v>0</v>
      </c>
    </row>
    <row r="162" spans="1:25" s="289" customFormat="1" x14ac:dyDescent="0.25">
      <c r="B162" s="282" t="s">
        <v>343</v>
      </c>
      <c r="C162" s="243" t="s">
        <v>26</v>
      </c>
      <c r="D162" s="283" t="s">
        <v>344</v>
      </c>
      <c r="E162" s="284">
        <v>4.1399999999999997</v>
      </c>
      <c r="F162" s="284">
        <v>4.1399999999999997</v>
      </c>
      <c r="G162" s="243">
        <v>0</v>
      </c>
      <c r="H162" s="285">
        <v>0</v>
      </c>
      <c r="I162" s="285">
        <v>0</v>
      </c>
      <c r="J162" s="285">
        <v>0</v>
      </c>
      <c r="K162" s="285">
        <v>0</v>
      </c>
      <c r="L162" s="286">
        <f t="shared" si="20"/>
        <v>0</v>
      </c>
      <c r="M162" s="285">
        <v>0</v>
      </c>
      <c r="N162" s="285">
        <f t="shared" si="21"/>
        <v>0</v>
      </c>
      <c r="O162" s="288"/>
      <c r="Q162" s="290">
        <f t="shared" si="22"/>
        <v>0</v>
      </c>
      <c r="R162" s="290">
        <v>0</v>
      </c>
      <c r="S162" s="290">
        <f t="shared" si="23"/>
        <v>0</v>
      </c>
      <c r="T162" s="290">
        <f t="shared" si="24"/>
        <v>0</v>
      </c>
      <c r="U162" s="290">
        <f t="shared" si="25"/>
        <v>0</v>
      </c>
      <c r="V162" s="290">
        <f t="shared" si="26"/>
        <v>0</v>
      </c>
      <c r="W162" s="290">
        <f t="shared" si="27"/>
        <v>0</v>
      </c>
      <c r="X162" s="291">
        <f t="shared" si="28"/>
        <v>0</v>
      </c>
      <c r="Y162" s="291">
        <f t="shared" si="29"/>
        <v>0</v>
      </c>
    </row>
    <row r="163" spans="1:25" s="289" customFormat="1" ht="30" x14ac:dyDescent="0.25">
      <c r="B163" s="282" t="s">
        <v>345</v>
      </c>
      <c r="C163" s="243" t="s">
        <v>58</v>
      </c>
      <c r="D163" s="283" t="s">
        <v>346</v>
      </c>
      <c r="E163" s="284">
        <v>1.39</v>
      </c>
      <c r="F163" s="284">
        <v>1.39</v>
      </c>
      <c r="G163" s="243">
        <v>0</v>
      </c>
      <c r="H163" s="285">
        <v>0</v>
      </c>
      <c r="I163" s="285">
        <v>0</v>
      </c>
      <c r="J163" s="285">
        <v>0</v>
      </c>
      <c r="K163" s="285">
        <v>0</v>
      </c>
      <c r="L163" s="286">
        <f t="shared" si="20"/>
        <v>0</v>
      </c>
      <c r="M163" s="285">
        <v>0</v>
      </c>
      <c r="N163" s="285">
        <f t="shared" si="21"/>
        <v>0</v>
      </c>
      <c r="O163" s="288"/>
      <c r="Q163" s="290">
        <f t="shared" si="22"/>
        <v>0</v>
      </c>
      <c r="R163" s="290">
        <v>0</v>
      </c>
      <c r="S163" s="290">
        <f t="shared" si="23"/>
        <v>0</v>
      </c>
      <c r="T163" s="290">
        <f t="shared" si="24"/>
        <v>0</v>
      </c>
      <c r="U163" s="290">
        <f t="shared" si="25"/>
        <v>0</v>
      </c>
      <c r="V163" s="290">
        <f t="shared" si="26"/>
        <v>0</v>
      </c>
      <c r="W163" s="290">
        <f t="shared" si="27"/>
        <v>0</v>
      </c>
      <c r="X163" s="291">
        <f t="shared" si="28"/>
        <v>0</v>
      </c>
      <c r="Y163" s="291">
        <f t="shared" si="29"/>
        <v>0</v>
      </c>
    </row>
    <row r="164" spans="1:25" s="289" customFormat="1" x14ac:dyDescent="0.25">
      <c r="B164" s="282" t="s">
        <v>347</v>
      </c>
      <c r="C164" s="243" t="s">
        <v>58</v>
      </c>
      <c r="D164" s="283" t="s">
        <v>348</v>
      </c>
      <c r="E164" s="284">
        <v>7.67</v>
      </c>
      <c r="F164" s="284">
        <v>7.67</v>
      </c>
      <c r="G164" s="243">
        <v>22</v>
      </c>
      <c r="H164" s="285">
        <v>0</v>
      </c>
      <c r="I164" s="285">
        <v>0</v>
      </c>
      <c r="J164" s="285">
        <v>0</v>
      </c>
      <c r="K164" s="285">
        <v>0</v>
      </c>
      <c r="L164" s="286">
        <f t="shared" si="20"/>
        <v>22</v>
      </c>
      <c r="M164" s="285">
        <v>22</v>
      </c>
      <c r="N164" s="285">
        <f t="shared" si="21"/>
        <v>0</v>
      </c>
      <c r="O164" s="288"/>
      <c r="Q164" s="290">
        <f t="shared" si="22"/>
        <v>168.74</v>
      </c>
      <c r="R164" s="290">
        <v>0</v>
      </c>
      <c r="S164" s="290">
        <f t="shared" si="23"/>
        <v>0</v>
      </c>
      <c r="T164" s="290">
        <f t="shared" si="24"/>
        <v>0</v>
      </c>
      <c r="U164" s="290">
        <f t="shared" si="25"/>
        <v>0</v>
      </c>
      <c r="V164" s="290">
        <f t="shared" si="26"/>
        <v>0</v>
      </c>
      <c r="W164" s="290">
        <f t="shared" si="27"/>
        <v>168.74</v>
      </c>
      <c r="X164" s="291">
        <f t="shared" si="28"/>
        <v>168.74</v>
      </c>
      <c r="Y164" s="291">
        <f t="shared" si="29"/>
        <v>0</v>
      </c>
    </row>
    <row r="165" spans="1:25" s="289" customFormat="1" x14ac:dyDescent="0.25">
      <c r="B165" s="282" t="s">
        <v>349</v>
      </c>
      <c r="C165" s="243" t="s">
        <v>29</v>
      </c>
      <c r="D165" s="283" t="s">
        <v>350</v>
      </c>
      <c r="E165" s="284">
        <v>17.12</v>
      </c>
      <c r="F165" s="284">
        <v>17.12</v>
      </c>
      <c r="G165" s="243">
        <v>0</v>
      </c>
      <c r="H165" s="285">
        <v>0</v>
      </c>
      <c r="I165" s="285">
        <v>0</v>
      </c>
      <c r="J165" s="285">
        <v>0</v>
      </c>
      <c r="K165" s="285">
        <v>0</v>
      </c>
      <c r="L165" s="286">
        <f t="shared" si="20"/>
        <v>0</v>
      </c>
      <c r="M165" s="285">
        <v>0</v>
      </c>
      <c r="N165" s="285">
        <f t="shared" si="21"/>
        <v>0</v>
      </c>
      <c r="O165" s="288"/>
      <c r="Q165" s="290">
        <f t="shared" si="22"/>
        <v>0</v>
      </c>
      <c r="R165" s="290">
        <v>0</v>
      </c>
      <c r="S165" s="290">
        <f t="shared" si="23"/>
        <v>0</v>
      </c>
      <c r="T165" s="290">
        <f t="shared" si="24"/>
        <v>0</v>
      </c>
      <c r="U165" s="290">
        <f t="shared" si="25"/>
        <v>0</v>
      </c>
      <c r="V165" s="290">
        <f t="shared" si="26"/>
        <v>0</v>
      </c>
      <c r="W165" s="290">
        <f t="shared" si="27"/>
        <v>0</v>
      </c>
      <c r="X165" s="291">
        <f t="shared" si="28"/>
        <v>0</v>
      </c>
      <c r="Y165" s="291">
        <f t="shared" si="29"/>
        <v>0</v>
      </c>
    </row>
    <row r="166" spans="1:25" s="289" customFormat="1" x14ac:dyDescent="0.25">
      <c r="B166" s="297" t="s">
        <v>352</v>
      </c>
      <c r="C166" s="298" t="s">
        <v>29</v>
      </c>
      <c r="D166" s="299" t="s">
        <v>353</v>
      </c>
      <c r="E166" s="300">
        <v>15.12</v>
      </c>
      <c r="F166" s="300">
        <v>15.12</v>
      </c>
      <c r="G166" s="298">
        <v>0</v>
      </c>
      <c r="H166" s="285">
        <v>0</v>
      </c>
      <c r="I166" s="285">
        <v>0</v>
      </c>
      <c r="J166" s="285">
        <v>0</v>
      </c>
      <c r="K166" s="285">
        <v>0</v>
      </c>
      <c r="L166" s="286">
        <f t="shared" si="20"/>
        <v>0</v>
      </c>
      <c r="M166" s="285">
        <v>0</v>
      </c>
      <c r="N166" s="285">
        <f t="shared" si="21"/>
        <v>0</v>
      </c>
      <c r="O166" s="288"/>
      <c r="Q166" s="290">
        <f t="shared" si="22"/>
        <v>0</v>
      </c>
      <c r="R166" s="290">
        <v>0</v>
      </c>
      <c r="S166" s="290">
        <f t="shared" si="23"/>
        <v>0</v>
      </c>
      <c r="T166" s="290">
        <f t="shared" si="24"/>
        <v>0</v>
      </c>
      <c r="U166" s="290">
        <f t="shared" si="25"/>
        <v>0</v>
      </c>
      <c r="V166" s="290">
        <f t="shared" si="26"/>
        <v>0</v>
      </c>
      <c r="W166" s="290">
        <f t="shared" si="27"/>
        <v>0</v>
      </c>
      <c r="X166" s="291">
        <f t="shared" si="28"/>
        <v>0</v>
      </c>
      <c r="Y166" s="291">
        <f t="shared" si="29"/>
        <v>0</v>
      </c>
    </row>
    <row r="167" spans="1:25" s="289" customFormat="1" ht="30" x14ac:dyDescent="0.25">
      <c r="B167" s="297" t="s">
        <v>354</v>
      </c>
      <c r="C167" s="298" t="s">
        <v>26</v>
      </c>
      <c r="D167" s="299" t="s">
        <v>355</v>
      </c>
      <c r="E167" s="300">
        <v>0.28999999999999998</v>
      </c>
      <c r="F167" s="300">
        <v>0.28999999999999998</v>
      </c>
      <c r="G167" s="298">
        <v>2900</v>
      </c>
      <c r="H167" s="285">
        <v>0</v>
      </c>
      <c r="I167" s="285">
        <v>0</v>
      </c>
      <c r="J167" s="285">
        <v>0</v>
      </c>
      <c r="K167" s="285">
        <v>0</v>
      </c>
      <c r="L167" s="286">
        <f t="shared" si="20"/>
        <v>2900</v>
      </c>
      <c r="M167" s="285">
        <v>2900</v>
      </c>
      <c r="N167" s="285">
        <f t="shared" si="21"/>
        <v>0</v>
      </c>
      <c r="O167" s="288"/>
      <c r="Q167" s="290">
        <f t="shared" si="22"/>
        <v>840.99999999999989</v>
      </c>
      <c r="R167" s="290">
        <v>0</v>
      </c>
      <c r="S167" s="290">
        <f t="shared" si="23"/>
        <v>0</v>
      </c>
      <c r="T167" s="290">
        <f t="shared" si="24"/>
        <v>0</v>
      </c>
      <c r="U167" s="290">
        <f t="shared" si="25"/>
        <v>0</v>
      </c>
      <c r="V167" s="290">
        <f t="shared" si="26"/>
        <v>0</v>
      </c>
      <c r="W167" s="290">
        <f t="shared" si="27"/>
        <v>840.99999999999989</v>
      </c>
      <c r="X167" s="291">
        <f t="shared" si="28"/>
        <v>840.99999999999989</v>
      </c>
      <c r="Y167" s="291">
        <f t="shared" si="29"/>
        <v>0</v>
      </c>
    </row>
    <row r="168" spans="1:25" s="289" customFormat="1" x14ac:dyDescent="0.25">
      <c r="B168" s="297" t="s">
        <v>356</v>
      </c>
      <c r="C168" s="298" t="s">
        <v>58</v>
      </c>
      <c r="D168" s="299" t="s">
        <v>357</v>
      </c>
      <c r="E168" s="300">
        <v>9.6</v>
      </c>
      <c r="F168" s="300">
        <v>9.6</v>
      </c>
      <c r="G168" s="298">
        <v>143</v>
      </c>
      <c r="H168" s="285">
        <v>0</v>
      </c>
      <c r="I168" s="285">
        <v>0</v>
      </c>
      <c r="J168" s="285">
        <v>0</v>
      </c>
      <c r="K168" s="285">
        <v>0</v>
      </c>
      <c r="L168" s="286">
        <f t="shared" si="20"/>
        <v>143</v>
      </c>
      <c r="M168" s="285">
        <v>143</v>
      </c>
      <c r="N168" s="285">
        <f t="shared" si="21"/>
        <v>0</v>
      </c>
      <c r="O168" s="288"/>
      <c r="Q168" s="290">
        <f t="shared" si="22"/>
        <v>1372.8</v>
      </c>
      <c r="R168" s="290">
        <v>0</v>
      </c>
      <c r="S168" s="290">
        <f t="shared" si="23"/>
        <v>0</v>
      </c>
      <c r="T168" s="290">
        <f t="shared" si="24"/>
        <v>0</v>
      </c>
      <c r="U168" s="290">
        <f t="shared" si="25"/>
        <v>0</v>
      </c>
      <c r="V168" s="290">
        <f t="shared" si="26"/>
        <v>0</v>
      </c>
      <c r="W168" s="290">
        <f t="shared" si="27"/>
        <v>1372.8</v>
      </c>
      <c r="X168" s="291">
        <f t="shared" si="28"/>
        <v>1372.8</v>
      </c>
      <c r="Y168" s="291">
        <f t="shared" si="29"/>
        <v>0</v>
      </c>
    </row>
    <row r="169" spans="1:25" s="289" customFormat="1" x14ac:dyDescent="0.25">
      <c r="B169" s="297" t="s">
        <v>358</v>
      </c>
      <c r="C169" s="298" t="s">
        <v>58</v>
      </c>
      <c r="D169" s="299" t="s">
        <v>359</v>
      </c>
      <c r="E169" s="300">
        <v>1.44</v>
      </c>
      <c r="F169" s="300">
        <v>1.44</v>
      </c>
      <c r="G169" s="298">
        <v>0</v>
      </c>
      <c r="H169" s="285">
        <v>0</v>
      </c>
      <c r="I169" s="285">
        <v>0</v>
      </c>
      <c r="J169" s="285">
        <v>0</v>
      </c>
      <c r="K169" s="285">
        <v>0</v>
      </c>
      <c r="L169" s="286">
        <f t="shared" si="20"/>
        <v>0</v>
      </c>
      <c r="M169" s="285">
        <v>0</v>
      </c>
      <c r="N169" s="285">
        <f t="shared" si="21"/>
        <v>0</v>
      </c>
      <c r="O169" s="288"/>
      <c r="P169"/>
      <c r="Q169" s="290">
        <f t="shared" si="22"/>
        <v>0</v>
      </c>
      <c r="R169" s="290">
        <v>0</v>
      </c>
      <c r="S169" s="290">
        <f t="shared" si="23"/>
        <v>0</v>
      </c>
      <c r="T169" s="290">
        <f t="shared" si="24"/>
        <v>0</v>
      </c>
      <c r="U169" s="290">
        <f t="shared" si="25"/>
        <v>0</v>
      </c>
      <c r="V169" s="290">
        <f t="shared" si="26"/>
        <v>0</v>
      </c>
      <c r="W169" s="290">
        <f t="shared" si="27"/>
        <v>0</v>
      </c>
      <c r="X169" s="291">
        <f t="shared" si="28"/>
        <v>0</v>
      </c>
      <c r="Y169" s="291">
        <f t="shared" si="29"/>
        <v>0</v>
      </c>
    </row>
    <row r="170" spans="1:25" ht="15.75" thickBot="1" x14ac:dyDescent="0.3">
      <c r="A170" s="289"/>
      <c r="B170" s="282" t="s">
        <v>680</v>
      </c>
      <c r="C170" s="243"/>
      <c r="D170" s="283" t="s">
        <v>298</v>
      </c>
      <c r="E170" s="284">
        <v>17.12</v>
      </c>
      <c r="F170" s="284">
        <v>17.12</v>
      </c>
      <c r="G170" s="243">
        <v>0</v>
      </c>
      <c r="H170" s="285">
        <v>0</v>
      </c>
      <c r="I170" s="285">
        <v>0</v>
      </c>
      <c r="J170" s="285">
        <v>0</v>
      </c>
      <c r="K170" s="285">
        <v>0</v>
      </c>
      <c r="L170" s="286">
        <f t="shared" si="20"/>
        <v>0</v>
      </c>
      <c r="M170" s="285">
        <v>0</v>
      </c>
      <c r="N170" s="285">
        <f t="shared" si="21"/>
        <v>0</v>
      </c>
      <c r="O170" s="288"/>
      <c r="P170" s="289"/>
      <c r="Q170" s="290">
        <f t="shared" si="22"/>
        <v>0</v>
      </c>
      <c r="R170" s="290">
        <v>0</v>
      </c>
      <c r="S170" s="290">
        <f t="shared" si="23"/>
        <v>0</v>
      </c>
      <c r="T170" s="290">
        <f t="shared" si="24"/>
        <v>0</v>
      </c>
      <c r="U170" s="290">
        <f t="shared" si="25"/>
        <v>0</v>
      </c>
      <c r="V170" s="290">
        <f t="shared" si="26"/>
        <v>0</v>
      </c>
      <c r="W170" s="290">
        <f t="shared" si="27"/>
        <v>0</v>
      </c>
      <c r="X170" s="291">
        <f t="shared" si="28"/>
        <v>0</v>
      </c>
      <c r="Y170" s="291">
        <f t="shared" si="29"/>
        <v>0</v>
      </c>
    </row>
    <row r="171" spans="1:25" ht="16.5" thickTop="1" thickBot="1" x14ac:dyDescent="0.3">
      <c r="B171" s="301"/>
      <c r="C171" s="301" t="s">
        <v>360</v>
      </c>
      <c r="D171" s="302"/>
      <c r="E171" s="303"/>
      <c r="F171" s="303"/>
      <c r="G171" s="304">
        <f t="shared" ref="G171:O171" si="30">SUM(G8:G170)</f>
        <v>57212</v>
      </c>
      <c r="H171" s="304">
        <f t="shared" si="30"/>
        <v>0</v>
      </c>
      <c r="I171" s="304">
        <f t="shared" si="30"/>
        <v>1</v>
      </c>
      <c r="J171" s="304">
        <f t="shared" si="30"/>
        <v>781</v>
      </c>
      <c r="K171" s="304">
        <f t="shared" si="30"/>
        <v>0</v>
      </c>
      <c r="L171" s="304">
        <f t="shared" si="30"/>
        <v>56432</v>
      </c>
      <c r="M171" s="304">
        <f t="shared" si="30"/>
        <v>56432</v>
      </c>
      <c r="N171" s="304">
        <f t="shared" si="30"/>
        <v>0</v>
      </c>
      <c r="O171" s="304">
        <f t="shared" si="30"/>
        <v>0</v>
      </c>
      <c r="Q171" s="305">
        <f t="shared" ref="Q171:W171" si="31">SUM(Q8:Q170)</f>
        <v>44102.020000000004</v>
      </c>
      <c r="R171" s="305">
        <f t="shared" si="31"/>
        <v>0</v>
      </c>
      <c r="S171" s="305">
        <f t="shared" si="31"/>
        <v>0</v>
      </c>
      <c r="T171" s="305">
        <f t="shared" si="31"/>
        <v>18.420000000000002</v>
      </c>
      <c r="U171" s="305">
        <f t="shared" si="31"/>
        <v>10672.910000000002</v>
      </c>
      <c r="V171" s="305">
        <f t="shared" si="31"/>
        <v>0</v>
      </c>
      <c r="W171" s="305">
        <f t="shared" si="31"/>
        <v>33447.530000000006</v>
      </c>
    </row>
    <row r="172" spans="1:25" ht="15.75" thickTop="1" x14ac:dyDescent="0.25">
      <c r="B172" s="306"/>
      <c r="C172" s="307"/>
      <c r="D172" s="308"/>
      <c r="E172" s="309"/>
      <c r="F172" s="309"/>
      <c r="G172" s="307"/>
      <c r="H172" s="307"/>
      <c r="I172" s="307"/>
      <c r="J172" s="307"/>
      <c r="K172" s="307"/>
      <c r="L172" s="307"/>
      <c r="M172" s="307"/>
      <c r="N172" s="307"/>
      <c r="O172" s="307"/>
    </row>
    <row r="173" spans="1:25" x14ac:dyDescent="0.25">
      <c r="B173" s="306"/>
      <c r="C173" s="307"/>
      <c r="D173" s="308"/>
      <c r="E173" s="309"/>
      <c r="F173" s="309"/>
      <c r="G173" s="310"/>
      <c r="H173" s="310"/>
      <c r="I173" s="310"/>
      <c r="J173" s="310"/>
      <c r="K173" s="310"/>
      <c r="L173" s="307"/>
      <c r="M173" s="307"/>
      <c r="N173" s="307"/>
      <c r="O173" s="307"/>
      <c r="S173" s="200"/>
    </row>
    <row r="174" spans="1:25" x14ac:dyDescent="0.25">
      <c r="B174" s="306"/>
      <c r="C174" s="307"/>
      <c r="D174" s="324"/>
      <c r="E174" s="324"/>
      <c r="F174" s="309"/>
      <c r="G174" s="307"/>
      <c r="H174" s="307"/>
      <c r="I174" s="307"/>
      <c r="J174" s="307"/>
      <c r="K174" s="307"/>
      <c r="L174" s="307"/>
      <c r="M174" s="307"/>
      <c r="N174" s="307"/>
      <c r="O174" s="307"/>
    </row>
    <row r="175" spans="1:25" x14ac:dyDescent="0.25">
      <c r="B175" s="306"/>
      <c r="C175" s="307"/>
      <c r="D175" s="308"/>
      <c r="E175" s="309"/>
      <c r="F175" s="309"/>
      <c r="G175" s="307"/>
      <c r="H175" s="307"/>
      <c r="I175" s="307"/>
      <c r="J175" s="307"/>
      <c r="K175" s="307"/>
      <c r="L175" s="307"/>
      <c r="M175" s="307"/>
      <c r="N175" s="307"/>
      <c r="O175" s="307"/>
      <c r="S175" s="191"/>
    </row>
    <row r="177" spans="1:23" ht="15.75" x14ac:dyDescent="0.25">
      <c r="A177" s="311"/>
      <c r="B177" s="4"/>
      <c r="C177" s="58"/>
      <c r="D177" s="319" t="s">
        <v>681</v>
      </c>
      <c r="E177" s="319"/>
      <c r="F177" s="319"/>
      <c r="G177" s="319"/>
      <c r="I177" s="4"/>
      <c r="J177" s="320" t="s">
        <v>682</v>
      </c>
      <c r="K177" s="320"/>
      <c r="L177" s="320"/>
      <c r="M177" s="320"/>
      <c r="N177" s="320"/>
      <c r="O177" s="320"/>
      <c r="P177" s="320"/>
      <c r="Q177" s="320"/>
      <c r="R177" s="80"/>
      <c r="S177" s="312"/>
      <c r="T177" s="320" t="s">
        <v>683</v>
      </c>
      <c r="U177" s="320"/>
      <c r="V177" s="320"/>
      <c r="W177" s="320"/>
    </row>
    <row r="178" spans="1:23" ht="15.75" x14ac:dyDescent="0.25">
      <c r="B178" s="4"/>
      <c r="C178" s="58"/>
      <c r="D178" s="321"/>
      <c r="E178" s="321"/>
      <c r="F178" s="321"/>
      <c r="G178" s="321"/>
      <c r="I178" s="4"/>
      <c r="J178" s="322"/>
      <c r="K178" s="322"/>
      <c r="L178" s="322"/>
      <c r="M178" s="322"/>
      <c r="N178" s="322"/>
      <c r="O178" s="322"/>
      <c r="P178" s="322"/>
      <c r="Q178" s="322"/>
      <c r="R178" s="80"/>
      <c r="S178" s="312"/>
      <c r="T178" s="323"/>
      <c r="U178" s="323"/>
      <c r="V178" s="323"/>
      <c r="W178" s="323"/>
    </row>
    <row r="179" spans="1:23" ht="15.75" x14ac:dyDescent="0.25">
      <c r="B179" s="4"/>
      <c r="C179" s="58"/>
      <c r="D179" s="316" t="s">
        <v>684</v>
      </c>
      <c r="E179" s="316"/>
      <c r="F179" s="316"/>
      <c r="G179" s="316"/>
      <c r="I179" s="4"/>
      <c r="J179" s="317" t="s">
        <v>685</v>
      </c>
      <c r="K179" s="317"/>
      <c r="L179" s="317"/>
      <c r="M179" s="317"/>
      <c r="N179" s="317"/>
      <c r="O179" s="317"/>
      <c r="P179" s="317"/>
      <c r="Q179" s="317"/>
      <c r="R179" s="80"/>
      <c r="S179" s="312"/>
      <c r="T179" s="317" t="s">
        <v>686</v>
      </c>
      <c r="U179" s="317"/>
      <c r="V179" s="317"/>
      <c r="W179" s="317"/>
    </row>
    <row r="180" spans="1:23" s="4" customFormat="1" ht="31.5" customHeight="1" x14ac:dyDescent="0.25">
      <c r="C180" s="58"/>
      <c r="D180" s="318" t="s">
        <v>687</v>
      </c>
      <c r="E180" s="318"/>
      <c r="F180" s="318"/>
      <c r="G180" s="318"/>
      <c r="H180" s="313"/>
      <c r="J180" s="318" t="s">
        <v>688</v>
      </c>
      <c r="K180" s="318"/>
      <c r="L180" s="318"/>
      <c r="M180" s="318"/>
      <c r="N180" s="318"/>
      <c r="O180" s="318"/>
      <c r="P180" s="318"/>
      <c r="Q180" s="318"/>
      <c r="R180" s="314"/>
      <c r="S180" s="312"/>
      <c r="T180" s="318" t="s">
        <v>689</v>
      </c>
      <c r="U180" s="318"/>
      <c r="V180" s="318"/>
      <c r="W180" s="318"/>
    </row>
  </sheetData>
  <autoFilter ref="A7:Y171" xr:uid="{323FDBEC-A3BC-4091-8637-BAF6F44165A0}"/>
  <mergeCells count="18">
    <mergeCell ref="D174:E174"/>
    <mergeCell ref="B1:W1"/>
    <mergeCell ref="B2:W2"/>
    <mergeCell ref="B3:W3"/>
    <mergeCell ref="Q4:S4"/>
    <mergeCell ref="H6:N6"/>
    <mergeCell ref="D177:G177"/>
    <mergeCell ref="J177:Q177"/>
    <mergeCell ref="T177:W177"/>
    <mergeCell ref="D178:G178"/>
    <mergeCell ref="J178:Q178"/>
    <mergeCell ref="T178:W178"/>
    <mergeCell ref="D179:G179"/>
    <mergeCell ref="J179:Q179"/>
    <mergeCell ref="T179:W179"/>
    <mergeCell ref="D180:G180"/>
    <mergeCell ref="J180:Q180"/>
    <mergeCell ref="T180:W180"/>
  </mergeCells>
  <conditionalFormatting sqref="B101">
    <cfRule type="duplicateValues" dxfId="2" priority="2"/>
  </conditionalFormatting>
  <conditionalFormatting sqref="B103">
    <cfRule type="duplicateValues" dxfId="1" priority="1"/>
  </conditionalFormatting>
  <conditionalFormatting sqref="B170">
    <cfRule type="duplicateValues" dxfId="0" priority="3"/>
  </conditionalFormatting>
  <pageMargins left="0.23622047244094491" right="0.23622047244094491" top="0.74803149606299213" bottom="0.74803149606299213" header="0.31496062992125984" footer="0.31496062992125984"/>
  <pageSetup scale="52" fitToHeight="0" orientation="landscape" r:id="rId1"/>
  <headerFooter>
    <oddFooter>&amp;C&amp;P/&amp;N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8F293-91C1-4670-8959-6DC48B10B0DC}">
  <dimension ref="B6"/>
  <sheetViews>
    <sheetView workbookViewId="0">
      <selection activeCell="F6" sqref="F6"/>
    </sheetView>
  </sheetViews>
  <sheetFormatPr baseColWidth="10" defaultRowHeight="15" x14ac:dyDescent="0.25"/>
  <sheetData>
    <row r="6" spans="2:2" x14ac:dyDescent="0.25">
      <c r="B6" t="s">
        <v>692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3399"/>
    <pageSetUpPr fitToPage="1"/>
  </sheetPr>
  <dimension ref="A1:BP176"/>
  <sheetViews>
    <sheetView zoomScale="85" zoomScaleNormal="85" workbookViewId="0">
      <pane ySplit="6" topLeftCell="A54" activePane="bottomLeft" state="frozen"/>
      <selection pane="bottomLeft" activeCell="E79" sqref="E79"/>
    </sheetView>
  </sheetViews>
  <sheetFormatPr baseColWidth="10" defaultColWidth="13.140625" defaultRowHeight="15.75" x14ac:dyDescent="0.25"/>
  <cols>
    <col min="1" max="1" width="4" style="4" customWidth="1"/>
    <col min="2" max="2" width="15.28515625" style="4" customWidth="1"/>
    <col min="3" max="3" width="7.85546875" style="58" customWidth="1"/>
    <col min="4" max="4" width="29.28515625" style="1" customWidth="1"/>
    <col min="5" max="5" width="10.7109375" style="1" customWidth="1"/>
    <col min="6" max="6" width="10.28515625" style="1" customWidth="1"/>
    <col min="7" max="7" width="10.85546875" style="4" customWidth="1"/>
    <col min="8" max="11" width="8.7109375" style="4" hidden="1" customWidth="1"/>
    <col min="12" max="12" width="10.7109375" style="59" hidden="1" customWidth="1"/>
    <col min="13" max="13" width="8.7109375" style="4" hidden="1" customWidth="1"/>
    <col min="14" max="14" width="10.140625" style="60" hidden="1" customWidth="1"/>
    <col min="15" max="18" width="10.140625" style="4" hidden="1" customWidth="1"/>
    <col min="19" max="19" width="11.28515625" style="4" hidden="1" customWidth="1"/>
    <col min="20" max="21" width="10.140625" style="4" hidden="1" customWidth="1"/>
    <col min="22" max="25" width="9.85546875" style="4" hidden="1" customWidth="1"/>
    <col min="26" max="26" width="10.7109375" style="4" hidden="1" customWidth="1"/>
    <col min="27" max="27" width="9.85546875" style="4" hidden="1" customWidth="1"/>
    <col min="28" max="28" width="11.5703125" style="4" hidden="1" customWidth="1"/>
    <col min="29" max="32" width="9.7109375" style="4" hidden="1" customWidth="1"/>
    <col min="33" max="33" width="10.85546875" style="4" hidden="1" customWidth="1"/>
    <col min="34" max="39" width="9.7109375" style="4" hidden="1" customWidth="1"/>
    <col min="40" max="40" width="10" style="4" hidden="1" customWidth="1"/>
    <col min="41" max="41" width="9.7109375" style="4" hidden="1" customWidth="1"/>
    <col min="42" max="42" width="10.5703125" style="4" hidden="1" customWidth="1"/>
    <col min="43" max="49" width="12.5703125" style="4" customWidth="1"/>
    <col min="50" max="50" width="20.42578125" style="1" customWidth="1"/>
    <col min="51" max="51" width="5.7109375" style="2" customWidth="1"/>
    <col min="52" max="52" width="15.28515625" style="3" customWidth="1"/>
    <col min="53" max="54" width="15.42578125" style="3" customWidth="1"/>
    <col min="55" max="55" width="14.28515625" style="3" customWidth="1"/>
    <col min="56" max="56" width="13.28515625" style="3" customWidth="1"/>
    <col min="57" max="57" width="12.42578125" style="3" customWidth="1"/>
    <col min="58" max="59" width="13.140625" style="3" bestFit="1" customWidth="1"/>
    <col min="60" max="60" width="11.28515625" style="3" customWidth="1"/>
    <col min="61" max="61" width="36" style="4" customWidth="1"/>
    <col min="62" max="62" width="36.7109375" style="4" hidden="1" customWidth="1"/>
    <col min="63" max="64" width="9" style="4" hidden="1" customWidth="1"/>
    <col min="65" max="65" width="0" style="4" hidden="1" customWidth="1"/>
    <col min="66" max="66" width="9.5703125" style="4" hidden="1" customWidth="1"/>
    <col min="67" max="67" width="10.7109375" style="4" hidden="1" customWidth="1"/>
    <col min="68" max="68" width="13.7109375" style="4" hidden="1" customWidth="1"/>
    <col min="69" max="69" width="12.140625" style="4" bestFit="1" customWidth="1"/>
    <col min="70" max="136" width="13.140625" style="4"/>
    <col min="137" max="137" width="18.85546875" style="4" customWidth="1"/>
    <col min="138" max="138" width="13.140625" style="4"/>
    <col min="139" max="139" width="16.5703125" style="4" customWidth="1"/>
    <col min="140" max="140" width="13.85546875" style="4" customWidth="1"/>
    <col min="141" max="141" width="27.28515625" style="4" customWidth="1"/>
    <col min="142" max="142" width="31.85546875" style="4" customWidth="1"/>
    <col min="143" max="143" width="22.140625" style="4" customWidth="1"/>
    <col min="144" max="144" width="12.42578125" style="4" customWidth="1"/>
    <col min="145" max="392" width="13.140625" style="4"/>
    <col min="393" max="393" width="18.85546875" style="4" customWidth="1"/>
    <col min="394" max="394" width="13.140625" style="4"/>
    <col min="395" max="395" width="16.5703125" style="4" customWidth="1"/>
    <col min="396" max="396" width="13.85546875" style="4" customWidth="1"/>
    <col min="397" max="397" width="27.28515625" style="4" customWidth="1"/>
    <col min="398" max="398" width="31.85546875" style="4" customWidth="1"/>
    <col min="399" max="399" width="22.140625" style="4" customWidth="1"/>
    <col min="400" max="400" width="12.42578125" style="4" customWidth="1"/>
    <col min="401" max="648" width="13.140625" style="4"/>
    <col min="649" max="649" width="18.85546875" style="4" customWidth="1"/>
    <col min="650" max="650" width="13.140625" style="4"/>
    <col min="651" max="651" width="16.5703125" style="4" customWidth="1"/>
    <col min="652" max="652" width="13.85546875" style="4" customWidth="1"/>
    <col min="653" max="653" width="27.28515625" style="4" customWidth="1"/>
    <col min="654" max="654" width="31.85546875" style="4" customWidth="1"/>
    <col min="655" max="655" width="22.140625" style="4" customWidth="1"/>
    <col min="656" max="656" width="12.42578125" style="4" customWidth="1"/>
    <col min="657" max="904" width="13.140625" style="4"/>
    <col min="905" max="905" width="18.85546875" style="4" customWidth="1"/>
    <col min="906" max="906" width="13.140625" style="4"/>
    <col min="907" max="907" width="16.5703125" style="4" customWidth="1"/>
    <col min="908" max="908" width="13.85546875" style="4" customWidth="1"/>
    <col min="909" max="909" width="27.28515625" style="4" customWidth="1"/>
    <col min="910" max="910" width="31.85546875" style="4" customWidth="1"/>
    <col min="911" max="911" width="22.140625" style="4" customWidth="1"/>
    <col min="912" max="912" width="12.42578125" style="4" customWidth="1"/>
    <col min="913" max="1160" width="13.140625" style="4"/>
    <col min="1161" max="1161" width="18.85546875" style="4" customWidth="1"/>
    <col min="1162" max="1162" width="13.140625" style="4"/>
    <col min="1163" max="1163" width="16.5703125" style="4" customWidth="1"/>
    <col min="1164" max="1164" width="13.85546875" style="4" customWidth="1"/>
    <col min="1165" max="1165" width="27.28515625" style="4" customWidth="1"/>
    <col min="1166" max="1166" width="31.85546875" style="4" customWidth="1"/>
    <col min="1167" max="1167" width="22.140625" style="4" customWidth="1"/>
    <col min="1168" max="1168" width="12.42578125" style="4" customWidth="1"/>
    <col min="1169" max="1416" width="13.140625" style="4"/>
    <col min="1417" max="1417" width="18.85546875" style="4" customWidth="1"/>
    <col min="1418" max="1418" width="13.140625" style="4"/>
    <col min="1419" max="1419" width="16.5703125" style="4" customWidth="1"/>
    <col min="1420" max="1420" width="13.85546875" style="4" customWidth="1"/>
    <col min="1421" max="1421" width="27.28515625" style="4" customWidth="1"/>
    <col min="1422" max="1422" width="31.85546875" style="4" customWidth="1"/>
    <col min="1423" max="1423" width="22.140625" style="4" customWidth="1"/>
    <col min="1424" max="1424" width="12.42578125" style="4" customWidth="1"/>
    <col min="1425" max="1672" width="13.140625" style="4"/>
    <col min="1673" max="1673" width="18.85546875" style="4" customWidth="1"/>
    <col min="1674" max="1674" width="13.140625" style="4"/>
    <col min="1675" max="1675" width="16.5703125" style="4" customWidth="1"/>
    <col min="1676" max="1676" width="13.85546875" style="4" customWidth="1"/>
    <col min="1677" max="1677" width="27.28515625" style="4" customWidth="1"/>
    <col min="1678" max="1678" width="31.85546875" style="4" customWidth="1"/>
    <col min="1679" max="1679" width="22.140625" style="4" customWidth="1"/>
    <col min="1680" max="1680" width="12.42578125" style="4" customWidth="1"/>
    <col min="1681" max="1928" width="13.140625" style="4"/>
    <col min="1929" max="1929" width="18.85546875" style="4" customWidth="1"/>
    <col min="1930" max="1930" width="13.140625" style="4"/>
    <col min="1931" max="1931" width="16.5703125" style="4" customWidth="1"/>
    <col min="1932" max="1932" width="13.85546875" style="4" customWidth="1"/>
    <col min="1933" max="1933" width="27.28515625" style="4" customWidth="1"/>
    <col min="1934" max="1934" width="31.85546875" style="4" customWidth="1"/>
    <col min="1935" max="1935" width="22.140625" style="4" customWidth="1"/>
    <col min="1936" max="1936" width="12.42578125" style="4" customWidth="1"/>
    <col min="1937" max="2184" width="13.140625" style="4"/>
    <col min="2185" max="2185" width="18.85546875" style="4" customWidth="1"/>
    <col min="2186" max="2186" width="13.140625" style="4"/>
    <col min="2187" max="2187" width="16.5703125" style="4" customWidth="1"/>
    <col min="2188" max="2188" width="13.85546875" style="4" customWidth="1"/>
    <col min="2189" max="2189" width="27.28515625" style="4" customWidth="1"/>
    <col min="2190" max="2190" width="31.85546875" style="4" customWidth="1"/>
    <col min="2191" max="2191" width="22.140625" style="4" customWidth="1"/>
    <col min="2192" max="2192" width="12.42578125" style="4" customWidth="1"/>
    <col min="2193" max="2440" width="13.140625" style="4"/>
    <col min="2441" max="2441" width="18.85546875" style="4" customWidth="1"/>
    <col min="2442" max="2442" width="13.140625" style="4"/>
    <col min="2443" max="2443" width="16.5703125" style="4" customWidth="1"/>
    <col min="2444" max="2444" width="13.85546875" style="4" customWidth="1"/>
    <col min="2445" max="2445" width="27.28515625" style="4" customWidth="1"/>
    <col min="2446" max="2446" width="31.85546875" style="4" customWidth="1"/>
    <col min="2447" max="2447" width="22.140625" style="4" customWidth="1"/>
    <col min="2448" max="2448" width="12.42578125" style="4" customWidth="1"/>
    <col min="2449" max="2696" width="13.140625" style="4"/>
    <col min="2697" max="2697" width="18.85546875" style="4" customWidth="1"/>
    <col min="2698" max="2698" width="13.140625" style="4"/>
    <col min="2699" max="2699" width="16.5703125" style="4" customWidth="1"/>
    <col min="2700" max="2700" width="13.85546875" style="4" customWidth="1"/>
    <col min="2701" max="2701" width="27.28515625" style="4" customWidth="1"/>
    <col min="2702" max="2702" width="31.85546875" style="4" customWidth="1"/>
    <col min="2703" max="2703" width="22.140625" style="4" customWidth="1"/>
    <col min="2704" max="2704" width="12.42578125" style="4" customWidth="1"/>
    <col min="2705" max="2952" width="13.140625" style="4"/>
    <col min="2953" max="2953" width="18.85546875" style="4" customWidth="1"/>
    <col min="2954" max="2954" width="13.140625" style="4"/>
    <col min="2955" max="2955" width="16.5703125" style="4" customWidth="1"/>
    <col min="2956" max="2956" width="13.85546875" style="4" customWidth="1"/>
    <col min="2957" max="2957" width="27.28515625" style="4" customWidth="1"/>
    <col min="2958" max="2958" width="31.85546875" style="4" customWidth="1"/>
    <col min="2959" max="2959" width="22.140625" style="4" customWidth="1"/>
    <col min="2960" max="2960" width="12.42578125" style="4" customWidth="1"/>
    <col min="2961" max="3208" width="13.140625" style="4"/>
    <col min="3209" max="3209" width="18.85546875" style="4" customWidth="1"/>
    <col min="3210" max="3210" width="13.140625" style="4"/>
    <col min="3211" max="3211" width="16.5703125" style="4" customWidth="1"/>
    <col min="3212" max="3212" width="13.85546875" style="4" customWidth="1"/>
    <col min="3213" max="3213" width="27.28515625" style="4" customWidth="1"/>
    <col min="3214" max="3214" width="31.85546875" style="4" customWidth="1"/>
    <col min="3215" max="3215" width="22.140625" style="4" customWidth="1"/>
    <col min="3216" max="3216" width="12.42578125" style="4" customWidth="1"/>
    <col min="3217" max="3464" width="13.140625" style="4"/>
    <col min="3465" max="3465" width="18.85546875" style="4" customWidth="1"/>
    <col min="3466" max="3466" width="13.140625" style="4"/>
    <col min="3467" max="3467" width="16.5703125" style="4" customWidth="1"/>
    <col min="3468" max="3468" width="13.85546875" style="4" customWidth="1"/>
    <col min="3469" max="3469" width="27.28515625" style="4" customWidth="1"/>
    <col min="3470" max="3470" width="31.85546875" style="4" customWidth="1"/>
    <col min="3471" max="3471" width="22.140625" style="4" customWidth="1"/>
    <col min="3472" max="3472" width="12.42578125" style="4" customWidth="1"/>
    <col min="3473" max="3720" width="13.140625" style="4"/>
    <col min="3721" max="3721" width="18.85546875" style="4" customWidth="1"/>
    <col min="3722" max="3722" width="13.140625" style="4"/>
    <col min="3723" max="3723" width="16.5703125" style="4" customWidth="1"/>
    <col min="3724" max="3724" width="13.85546875" style="4" customWidth="1"/>
    <col min="3725" max="3725" width="27.28515625" style="4" customWidth="1"/>
    <col min="3726" max="3726" width="31.85546875" style="4" customWidth="1"/>
    <col min="3727" max="3727" width="22.140625" style="4" customWidth="1"/>
    <col min="3728" max="3728" width="12.42578125" style="4" customWidth="1"/>
    <col min="3729" max="3976" width="13.140625" style="4"/>
    <col min="3977" max="3977" width="18.85546875" style="4" customWidth="1"/>
    <col min="3978" max="3978" width="13.140625" style="4"/>
    <col min="3979" max="3979" width="16.5703125" style="4" customWidth="1"/>
    <col min="3980" max="3980" width="13.85546875" style="4" customWidth="1"/>
    <col min="3981" max="3981" width="27.28515625" style="4" customWidth="1"/>
    <col min="3982" max="3982" width="31.85546875" style="4" customWidth="1"/>
    <col min="3983" max="3983" width="22.140625" style="4" customWidth="1"/>
    <col min="3984" max="3984" width="12.42578125" style="4" customWidth="1"/>
    <col min="3985" max="4232" width="13.140625" style="4"/>
    <col min="4233" max="4233" width="18.85546875" style="4" customWidth="1"/>
    <col min="4234" max="4234" width="13.140625" style="4"/>
    <col min="4235" max="4235" width="16.5703125" style="4" customWidth="1"/>
    <col min="4236" max="4236" width="13.85546875" style="4" customWidth="1"/>
    <col min="4237" max="4237" width="27.28515625" style="4" customWidth="1"/>
    <col min="4238" max="4238" width="31.85546875" style="4" customWidth="1"/>
    <col min="4239" max="4239" width="22.140625" style="4" customWidth="1"/>
    <col min="4240" max="4240" width="12.42578125" style="4" customWidth="1"/>
    <col min="4241" max="4488" width="13.140625" style="4"/>
    <col min="4489" max="4489" width="18.85546875" style="4" customWidth="1"/>
    <col min="4490" max="4490" width="13.140625" style="4"/>
    <col min="4491" max="4491" width="16.5703125" style="4" customWidth="1"/>
    <col min="4492" max="4492" width="13.85546875" style="4" customWidth="1"/>
    <col min="4493" max="4493" width="27.28515625" style="4" customWidth="1"/>
    <col min="4494" max="4494" width="31.85546875" style="4" customWidth="1"/>
    <col min="4495" max="4495" width="22.140625" style="4" customWidth="1"/>
    <col min="4496" max="4496" width="12.42578125" style="4" customWidth="1"/>
    <col min="4497" max="4744" width="13.140625" style="4"/>
    <col min="4745" max="4745" width="18.85546875" style="4" customWidth="1"/>
    <col min="4746" max="4746" width="13.140625" style="4"/>
    <col min="4747" max="4747" width="16.5703125" style="4" customWidth="1"/>
    <col min="4748" max="4748" width="13.85546875" style="4" customWidth="1"/>
    <col min="4749" max="4749" width="27.28515625" style="4" customWidth="1"/>
    <col min="4750" max="4750" width="31.85546875" style="4" customWidth="1"/>
    <col min="4751" max="4751" width="22.140625" style="4" customWidth="1"/>
    <col min="4752" max="4752" width="12.42578125" style="4" customWidth="1"/>
    <col min="4753" max="5000" width="13.140625" style="4"/>
    <col min="5001" max="5001" width="18.85546875" style="4" customWidth="1"/>
    <col min="5002" max="5002" width="13.140625" style="4"/>
    <col min="5003" max="5003" width="16.5703125" style="4" customWidth="1"/>
    <col min="5004" max="5004" width="13.85546875" style="4" customWidth="1"/>
    <col min="5005" max="5005" width="27.28515625" style="4" customWidth="1"/>
    <col min="5006" max="5006" width="31.85546875" style="4" customWidth="1"/>
    <col min="5007" max="5007" width="22.140625" style="4" customWidth="1"/>
    <col min="5008" max="5008" width="12.42578125" style="4" customWidth="1"/>
    <col min="5009" max="5256" width="13.140625" style="4"/>
    <col min="5257" max="5257" width="18.85546875" style="4" customWidth="1"/>
    <col min="5258" max="5258" width="13.140625" style="4"/>
    <col min="5259" max="5259" width="16.5703125" style="4" customWidth="1"/>
    <col min="5260" max="5260" width="13.85546875" style="4" customWidth="1"/>
    <col min="5261" max="5261" width="27.28515625" style="4" customWidth="1"/>
    <col min="5262" max="5262" width="31.85546875" style="4" customWidth="1"/>
    <col min="5263" max="5263" width="22.140625" style="4" customWidth="1"/>
    <col min="5264" max="5264" width="12.42578125" style="4" customWidth="1"/>
    <col min="5265" max="5512" width="13.140625" style="4"/>
    <col min="5513" max="5513" width="18.85546875" style="4" customWidth="1"/>
    <col min="5514" max="5514" width="13.140625" style="4"/>
    <col min="5515" max="5515" width="16.5703125" style="4" customWidth="1"/>
    <col min="5516" max="5516" width="13.85546875" style="4" customWidth="1"/>
    <col min="5517" max="5517" width="27.28515625" style="4" customWidth="1"/>
    <col min="5518" max="5518" width="31.85546875" style="4" customWidth="1"/>
    <col min="5519" max="5519" width="22.140625" style="4" customWidth="1"/>
    <col min="5520" max="5520" width="12.42578125" style="4" customWidth="1"/>
    <col min="5521" max="5768" width="13.140625" style="4"/>
    <col min="5769" max="5769" width="18.85546875" style="4" customWidth="1"/>
    <col min="5770" max="5770" width="13.140625" style="4"/>
    <col min="5771" max="5771" width="16.5703125" style="4" customWidth="1"/>
    <col min="5772" max="5772" width="13.85546875" style="4" customWidth="1"/>
    <col min="5773" max="5773" width="27.28515625" style="4" customWidth="1"/>
    <col min="5774" max="5774" width="31.85546875" style="4" customWidth="1"/>
    <col min="5775" max="5775" width="22.140625" style="4" customWidth="1"/>
    <col min="5776" max="5776" width="12.42578125" style="4" customWidth="1"/>
    <col min="5777" max="6024" width="13.140625" style="4"/>
    <col min="6025" max="6025" width="18.85546875" style="4" customWidth="1"/>
    <col min="6026" max="6026" width="13.140625" style="4"/>
    <col min="6027" max="6027" width="16.5703125" style="4" customWidth="1"/>
    <col min="6028" max="6028" width="13.85546875" style="4" customWidth="1"/>
    <col min="6029" max="6029" width="27.28515625" style="4" customWidth="1"/>
    <col min="6030" max="6030" width="31.85546875" style="4" customWidth="1"/>
    <col min="6031" max="6031" width="22.140625" style="4" customWidth="1"/>
    <col min="6032" max="6032" width="12.42578125" style="4" customWidth="1"/>
    <col min="6033" max="6280" width="13.140625" style="4"/>
    <col min="6281" max="6281" width="18.85546875" style="4" customWidth="1"/>
    <col min="6282" max="6282" width="13.140625" style="4"/>
    <col min="6283" max="6283" width="16.5703125" style="4" customWidth="1"/>
    <col min="6284" max="6284" width="13.85546875" style="4" customWidth="1"/>
    <col min="6285" max="6285" width="27.28515625" style="4" customWidth="1"/>
    <col min="6286" max="6286" width="31.85546875" style="4" customWidth="1"/>
    <col min="6287" max="6287" width="22.140625" style="4" customWidth="1"/>
    <col min="6288" max="6288" width="12.42578125" style="4" customWidth="1"/>
    <col min="6289" max="6536" width="13.140625" style="4"/>
    <col min="6537" max="6537" width="18.85546875" style="4" customWidth="1"/>
    <col min="6538" max="6538" width="13.140625" style="4"/>
    <col min="6539" max="6539" width="16.5703125" style="4" customWidth="1"/>
    <col min="6540" max="6540" width="13.85546875" style="4" customWidth="1"/>
    <col min="6541" max="6541" width="27.28515625" style="4" customWidth="1"/>
    <col min="6542" max="6542" width="31.85546875" style="4" customWidth="1"/>
    <col min="6543" max="6543" width="22.140625" style="4" customWidth="1"/>
    <col min="6544" max="6544" width="12.42578125" style="4" customWidth="1"/>
    <col min="6545" max="6792" width="13.140625" style="4"/>
    <col min="6793" max="6793" width="18.85546875" style="4" customWidth="1"/>
    <col min="6794" max="6794" width="13.140625" style="4"/>
    <col min="6795" max="6795" width="16.5703125" style="4" customWidth="1"/>
    <col min="6796" max="6796" width="13.85546875" style="4" customWidth="1"/>
    <col min="6797" max="6797" width="27.28515625" style="4" customWidth="1"/>
    <col min="6798" max="6798" width="31.85546875" style="4" customWidth="1"/>
    <col min="6799" max="6799" width="22.140625" style="4" customWidth="1"/>
    <col min="6800" max="6800" width="12.42578125" style="4" customWidth="1"/>
    <col min="6801" max="7048" width="13.140625" style="4"/>
    <col min="7049" max="7049" width="18.85546875" style="4" customWidth="1"/>
    <col min="7050" max="7050" width="13.140625" style="4"/>
    <col min="7051" max="7051" width="16.5703125" style="4" customWidth="1"/>
    <col min="7052" max="7052" width="13.85546875" style="4" customWidth="1"/>
    <col min="7053" max="7053" width="27.28515625" style="4" customWidth="1"/>
    <col min="7054" max="7054" width="31.85546875" style="4" customWidth="1"/>
    <col min="7055" max="7055" width="22.140625" style="4" customWidth="1"/>
    <col min="7056" max="7056" width="12.42578125" style="4" customWidth="1"/>
    <col min="7057" max="7304" width="13.140625" style="4"/>
    <col min="7305" max="7305" width="18.85546875" style="4" customWidth="1"/>
    <col min="7306" max="7306" width="13.140625" style="4"/>
    <col min="7307" max="7307" width="16.5703125" style="4" customWidth="1"/>
    <col min="7308" max="7308" width="13.85546875" style="4" customWidth="1"/>
    <col min="7309" max="7309" width="27.28515625" style="4" customWidth="1"/>
    <col min="7310" max="7310" width="31.85546875" style="4" customWidth="1"/>
    <col min="7311" max="7311" width="22.140625" style="4" customWidth="1"/>
    <col min="7312" max="7312" width="12.42578125" style="4" customWidth="1"/>
    <col min="7313" max="7560" width="13.140625" style="4"/>
    <col min="7561" max="7561" width="18.85546875" style="4" customWidth="1"/>
    <col min="7562" max="7562" width="13.140625" style="4"/>
    <col min="7563" max="7563" width="16.5703125" style="4" customWidth="1"/>
    <col min="7564" max="7564" width="13.85546875" style="4" customWidth="1"/>
    <col min="7565" max="7565" width="27.28515625" style="4" customWidth="1"/>
    <col min="7566" max="7566" width="31.85546875" style="4" customWidth="1"/>
    <col min="7567" max="7567" width="22.140625" style="4" customWidth="1"/>
    <col min="7568" max="7568" width="12.42578125" style="4" customWidth="1"/>
    <col min="7569" max="7816" width="13.140625" style="4"/>
    <col min="7817" max="7817" width="18.85546875" style="4" customWidth="1"/>
    <col min="7818" max="7818" width="13.140625" style="4"/>
    <col min="7819" max="7819" width="16.5703125" style="4" customWidth="1"/>
    <col min="7820" max="7820" width="13.85546875" style="4" customWidth="1"/>
    <col min="7821" max="7821" width="27.28515625" style="4" customWidth="1"/>
    <col min="7822" max="7822" width="31.85546875" style="4" customWidth="1"/>
    <col min="7823" max="7823" width="22.140625" style="4" customWidth="1"/>
    <col min="7824" max="7824" width="12.42578125" style="4" customWidth="1"/>
    <col min="7825" max="8072" width="13.140625" style="4"/>
    <col min="8073" max="8073" width="18.85546875" style="4" customWidth="1"/>
    <col min="8074" max="8074" width="13.140625" style="4"/>
    <col min="8075" max="8075" width="16.5703125" style="4" customWidth="1"/>
    <col min="8076" max="8076" width="13.85546875" style="4" customWidth="1"/>
    <col min="8077" max="8077" width="27.28515625" style="4" customWidth="1"/>
    <col min="8078" max="8078" width="31.85546875" style="4" customWidth="1"/>
    <col min="8079" max="8079" width="22.140625" style="4" customWidth="1"/>
    <col min="8080" max="8080" width="12.42578125" style="4" customWidth="1"/>
    <col min="8081" max="8328" width="13.140625" style="4"/>
    <col min="8329" max="8329" width="18.85546875" style="4" customWidth="1"/>
    <col min="8330" max="8330" width="13.140625" style="4"/>
    <col min="8331" max="8331" width="16.5703125" style="4" customWidth="1"/>
    <col min="8332" max="8332" width="13.85546875" style="4" customWidth="1"/>
    <col min="8333" max="8333" width="27.28515625" style="4" customWidth="1"/>
    <col min="8334" max="8334" width="31.85546875" style="4" customWidth="1"/>
    <col min="8335" max="8335" width="22.140625" style="4" customWidth="1"/>
    <col min="8336" max="8336" width="12.42578125" style="4" customWidth="1"/>
    <col min="8337" max="8584" width="13.140625" style="4"/>
    <col min="8585" max="8585" width="18.85546875" style="4" customWidth="1"/>
    <col min="8586" max="8586" width="13.140625" style="4"/>
    <col min="8587" max="8587" width="16.5703125" style="4" customWidth="1"/>
    <col min="8588" max="8588" width="13.85546875" style="4" customWidth="1"/>
    <col min="8589" max="8589" width="27.28515625" style="4" customWidth="1"/>
    <col min="8590" max="8590" width="31.85546875" style="4" customWidth="1"/>
    <col min="8591" max="8591" width="22.140625" style="4" customWidth="1"/>
    <col min="8592" max="8592" width="12.42578125" style="4" customWidth="1"/>
    <col min="8593" max="8840" width="13.140625" style="4"/>
    <col min="8841" max="8841" width="18.85546875" style="4" customWidth="1"/>
    <col min="8842" max="8842" width="13.140625" style="4"/>
    <col min="8843" max="8843" width="16.5703125" style="4" customWidth="1"/>
    <col min="8844" max="8844" width="13.85546875" style="4" customWidth="1"/>
    <col min="8845" max="8845" width="27.28515625" style="4" customWidth="1"/>
    <col min="8846" max="8846" width="31.85546875" style="4" customWidth="1"/>
    <col min="8847" max="8847" width="22.140625" style="4" customWidth="1"/>
    <col min="8848" max="8848" width="12.42578125" style="4" customWidth="1"/>
    <col min="8849" max="9096" width="13.140625" style="4"/>
    <col min="9097" max="9097" width="18.85546875" style="4" customWidth="1"/>
    <col min="9098" max="9098" width="13.140625" style="4"/>
    <col min="9099" max="9099" width="16.5703125" style="4" customWidth="1"/>
    <col min="9100" max="9100" width="13.85546875" style="4" customWidth="1"/>
    <col min="9101" max="9101" width="27.28515625" style="4" customWidth="1"/>
    <col min="9102" max="9102" width="31.85546875" style="4" customWidth="1"/>
    <col min="9103" max="9103" width="22.140625" style="4" customWidth="1"/>
    <col min="9104" max="9104" width="12.42578125" style="4" customWidth="1"/>
    <col min="9105" max="9352" width="13.140625" style="4"/>
    <col min="9353" max="9353" width="18.85546875" style="4" customWidth="1"/>
    <col min="9354" max="9354" width="13.140625" style="4"/>
    <col min="9355" max="9355" width="16.5703125" style="4" customWidth="1"/>
    <col min="9356" max="9356" width="13.85546875" style="4" customWidth="1"/>
    <col min="9357" max="9357" width="27.28515625" style="4" customWidth="1"/>
    <col min="9358" max="9358" width="31.85546875" style="4" customWidth="1"/>
    <col min="9359" max="9359" width="22.140625" style="4" customWidth="1"/>
    <col min="9360" max="9360" width="12.42578125" style="4" customWidth="1"/>
    <col min="9361" max="9608" width="13.140625" style="4"/>
    <col min="9609" max="9609" width="18.85546875" style="4" customWidth="1"/>
    <col min="9610" max="9610" width="13.140625" style="4"/>
    <col min="9611" max="9611" width="16.5703125" style="4" customWidth="1"/>
    <col min="9612" max="9612" width="13.85546875" style="4" customWidth="1"/>
    <col min="9613" max="9613" width="27.28515625" style="4" customWidth="1"/>
    <col min="9614" max="9614" width="31.85546875" style="4" customWidth="1"/>
    <col min="9615" max="9615" width="22.140625" style="4" customWidth="1"/>
    <col min="9616" max="9616" width="12.42578125" style="4" customWidth="1"/>
    <col min="9617" max="9864" width="13.140625" style="4"/>
    <col min="9865" max="9865" width="18.85546875" style="4" customWidth="1"/>
    <col min="9866" max="9866" width="13.140625" style="4"/>
    <col min="9867" max="9867" width="16.5703125" style="4" customWidth="1"/>
    <col min="9868" max="9868" width="13.85546875" style="4" customWidth="1"/>
    <col min="9869" max="9869" width="27.28515625" style="4" customWidth="1"/>
    <col min="9870" max="9870" width="31.85546875" style="4" customWidth="1"/>
    <col min="9871" max="9871" width="22.140625" style="4" customWidth="1"/>
    <col min="9872" max="9872" width="12.42578125" style="4" customWidth="1"/>
    <col min="9873" max="10120" width="13.140625" style="4"/>
    <col min="10121" max="10121" width="18.85546875" style="4" customWidth="1"/>
    <col min="10122" max="10122" width="13.140625" style="4"/>
    <col min="10123" max="10123" width="16.5703125" style="4" customWidth="1"/>
    <col min="10124" max="10124" width="13.85546875" style="4" customWidth="1"/>
    <col min="10125" max="10125" width="27.28515625" style="4" customWidth="1"/>
    <col min="10126" max="10126" width="31.85546875" style="4" customWidth="1"/>
    <col min="10127" max="10127" width="22.140625" style="4" customWidth="1"/>
    <col min="10128" max="10128" width="12.42578125" style="4" customWidth="1"/>
    <col min="10129" max="10376" width="13.140625" style="4"/>
    <col min="10377" max="10377" width="18.85546875" style="4" customWidth="1"/>
    <col min="10378" max="10378" width="13.140625" style="4"/>
    <col min="10379" max="10379" width="16.5703125" style="4" customWidth="1"/>
    <col min="10380" max="10380" width="13.85546875" style="4" customWidth="1"/>
    <col min="10381" max="10381" width="27.28515625" style="4" customWidth="1"/>
    <col min="10382" max="10382" width="31.85546875" style="4" customWidth="1"/>
    <col min="10383" max="10383" width="22.140625" style="4" customWidth="1"/>
    <col min="10384" max="10384" width="12.42578125" style="4" customWidth="1"/>
    <col min="10385" max="10632" width="13.140625" style="4"/>
    <col min="10633" max="10633" width="18.85546875" style="4" customWidth="1"/>
    <col min="10634" max="10634" width="13.140625" style="4"/>
    <col min="10635" max="10635" width="16.5703125" style="4" customWidth="1"/>
    <col min="10636" max="10636" width="13.85546875" style="4" customWidth="1"/>
    <col min="10637" max="10637" width="27.28515625" style="4" customWidth="1"/>
    <col min="10638" max="10638" width="31.85546875" style="4" customWidth="1"/>
    <col min="10639" max="10639" width="22.140625" style="4" customWidth="1"/>
    <col min="10640" max="10640" width="12.42578125" style="4" customWidth="1"/>
    <col min="10641" max="10888" width="13.140625" style="4"/>
    <col min="10889" max="10889" width="18.85546875" style="4" customWidth="1"/>
    <col min="10890" max="10890" width="13.140625" style="4"/>
    <col min="10891" max="10891" width="16.5703125" style="4" customWidth="1"/>
    <col min="10892" max="10892" width="13.85546875" style="4" customWidth="1"/>
    <col min="10893" max="10893" width="27.28515625" style="4" customWidth="1"/>
    <col min="10894" max="10894" width="31.85546875" style="4" customWidth="1"/>
    <col min="10895" max="10895" width="22.140625" style="4" customWidth="1"/>
    <col min="10896" max="10896" width="12.42578125" style="4" customWidth="1"/>
    <col min="10897" max="11144" width="13.140625" style="4"/>
    <col min="11145" max="11145" width="18.85546875" style="4" customWidth="1"/>
    <col min="11146" max="11146" width="13.140625" style="4"/>
    <col min="11147" max="11147" width="16.5703125" style="4" customWidth="1"/>
    <col min="11148" max="11148" width="13.85546875" style="4" customWidth="1"/>
    <col min="11149" max="11149" width="27.28515625" style="4" customWidth="1"/>
    <col min="11150" max="11150" width="31.85546875" style="4" customWidth="1"/>
    <col min="11151" max="11151" width="22.140625" style="4" customWidth="1"/>
    <col min="11152" max="11152" width="12.42578125" style="4" customWidth="1"/>
    <col min="11153" max="11400" width="13.140625" style="4"/>
    <col min="11401" max="11401" width="18.85546875" style="4" customWidth="1"/>
    <col min="11402" max="11402" width="13.140625" style="4"/>
    <col min="11403" max="11403" width="16.5703125" style="4" customWidth="1"/>
    <col min="11404" max="11404" width="13.85546875" style="4" customWidth="1"/>
    <col min="11405" max="11405" width="27.28515625" style="4" customWidth="1"/>
    <col min="11406" max="11406" width="31.85546875" style="4" customWidth="1"/>
    <col min="11407" max="11407" width="22.140625" style="4" customWidth="1"/>
    <col min="11408" max="11408" width="12.42578125" style="4" customWidth="1"/>
    <col min="11409" max="11656" width="13.140625" style="4"/>
    <col min="11657" max="11657" width="18.85546875" style="4" customWidth="1"/>
    <col min="11658" max="11658" width="13.140625" style="4"/>
    <col min="11659" max="11659" width="16.5703125" style="4" customWidth="1"/>
    <col min="11660" max="11660" width="13.85546875" style="4" customWidth="1"/>
    <col min="11661" max="11661" width="27.28515625" style="4" customWidth="1"/>
    <col min="11662" max="11662" width="31.85546875" style="4" customWidth="1"/>
    <col min="11663" max="11663" width="22.140625" style="4" customWidth="1"/>
    <col min="11664" max="11664" width="12.42578125" style="4" customWidth="1"/>
    <col min="11665" max="11912" width="13.140625" style="4"/>
    <col min="11913" max="11913" width="18.85546875" style="4" customWidth="1"/>
    <col min="11914" max="11914" width="13.140625" style="4"/>
    <col min="11915" max="11915" width="16.5703125" style="4" customWidth="1"/>
    <col min="11916" max="11916" width="13.85546875" style="4" customWidth="1"/>
    <col min="11917" max="11917" width="27.28515625" style="4" customWidth="1"/>
    <col min="11918" max="11918" width="31.85546875" style="4" customWidth="1"/>
    <col min="11919" max="11919" width="22.140625" style="4" customWidth="1"/>
    <col min="11920" max="11920" width="12.42578125" style="4" customWidth="1"/>
    <col min="11921" max="12168" width="13.140625" style="4"/>
    <col min="12169" max="12169" width="18.85546875" style="4" customWidth="1"/>
    <col min="12170" max="12170" width="13.140625" style="4"/>
    <col min="12171" max="12171" width="16.5703125" style="4" customWidth="1"/>
    <col min="12172" max="12172" width="13.85546875" style="4" customWidth="1"/>
    <col min="12173" max="12173" width="27.28515625" style="4" customWidth="1"/>
    <col min="12174" max="12174" width="31.85546875" style="4" customWidth="1"/>
    <col min="12175" max="12175" width="22.140625" style="4" customWidth="1"/>
    <col min="12176" max="12176" width="12.42578125" style="4" customWidth="1"/>
    <col min="12177" max="12424" width="13.140625" style="4"/>
    <col min="12425" max="12425" width="18.85546875" style="4" customWidth="1"/>
    <col min="12426" max="12426" width="13.140625" style="4"/>
    <col min="12427" max="12427" width="16.5703125" style="4" customWidth="1"/>
    <col min="12428" max="12428" width="13.85546875" style="4" customWidth="1"/>
    <col min="12429" max="12429" width="27.28515625" style="4" customWidth="1"/>
    <col min="12430" max="12430" width="31.85546875" style="4" customWidth="1"/>
    <col min="12431" max="12431" width="22.140625" style="4" customWidth="1"/>
    <col min="12432" max="12432" width="12.42578125" style="4" customWidth="1"/>
    <col min="12433" max="12680" width="13.140625" style="4"/>
    <col min="12681" max="12681" width="18.85546875" style="4" customWidth="1"/>
    <col min="12682" max="12682" width="13.140625" style="4"/>
    <col min="12683" max="12683" width="16.5703125" style="4" customWidth="1"/>
    <col min="12684" max="12684" width="13.85546875" style="4" customWidth="1"/>
    <col min="12685" max="12685" width="27.28515625" style="4" customWidth="1"/>
    <col min="12686" max="12686" width="31.85546875" style="4" customWidth="1"/>
    <col min="12687" max="12687" width="22.140625" style="4" customWidth="1"/>
    <col min="12688" max="12688" width="12.42578125" style="4" customWidth="1"/>
    <col min="12689" max="12936" width="13.140625" style="4"/>
    <col min="12937" max="12937" width="18.85546875" style="4" customWidth="1"/>
    <col min="12938" max="12938" width="13.140625" style="4"/>
    <col min="12939" max="12939" width="16.5703125" style="4" customWidth="1"/>
    <col min="12940" max="12940" width="13.85546875" style="4" customWidth="1"/>
    <col min="12941" max="12941" width="27.28515625" style="4" customWidth="1"/>
    <col min="12942" max="12942" width="31.85546875" style="4" customWidth="1"/>
    <col min="12943" max="12943" width="22.140625" style="4" customWidth="1"/>
    <col min="12944" max="12944" width="12.42578125" style="4" customWidth="1"/>
    <col min="12945" max="13192" width="13.140625" style="4"/>
    <col min="13193" max="13193" width="18.85546875" style="4" customWidth="1"/>
    <col min="13194" max="13194" width="13.140625" style="4"/>
    <col min="13195" max="13195" width="16.5703125" style="4" customWidth="1"/>
    <col min="13196" max="13196" width="13.85546875" style="4" customWidth="1"/>
    <col min="13197" max="13197" width="27.28515625" style="4" customWidth="1"/>
    <col min="13198" max="13198" width="31.85546875" style="4" customWidth="1"/>
    <col min="13199" max="13199" width="22.140625" style="4" customWidth="1"/>
    <col min="13200" max="13200" width="12.42578125" style="4" customWidth="1"/>
    <col min="13201" max="13448" width="13.140625" style="4"/>
    <col min="13449" max="13449" width="18.85546875" style="4" customWidth="1"/>
    <col min="13450" max="13450" width="13.140625" style="4"/>
    <col min="13451" max="13451" width="16.5703125" style="4" customWidth="1"/>
    <col min="13452" max="13452" width="13.85546875" style="4" customWidth="1"/>
    <col min="13453" max="13453" width="27.28515625" style="4" customWidth="1"/>
    <col min="13454" max="13454" width="31.85546875" style="4" customWidth="1"/>
    <col min="13455" max="13455" width="22.140625" style="4" customWidth="1"/>
    <col min="13456" max="13456" width="12.42578125" style="4" customWidth="1"/>
    <col min="13457" max="13704" width="13.140625" style="4"/>
    <col min="13705" max="13705" width="18.85546875" style="4" customWidth="1"/>
    <col min="13706" max="13706" width="13.140625" style="4"/>
    <col min="13707" max="13707" width="16.5703125" style="4" customWidth="1"/>
    <col min="13708" max="13708" width="13.85546875" style="4" customWidth="1"/>
    <col min="13709" max="13709" width="27.28515625" style="4" customWidth="1"/>
    <col min="13710" max="13710" width="31.85546875" style="4" customWidth="1"/>
    <col min="13711" max="13711" width="22.140625" style="4" customWidth="1"/>
    <col min="13712" max="13712" width="12.42578125" style="4" customWidth="1"/>
    <col min="13713" max="13960" width="13.140625" style="4"/>
    <col min="13961" max="13961" width="18.85546875" style="4" customWidth="1"/>
    <col min="13962" max="13962" width="13.140625" style="4"/>
    <col min="13963" max="13963" width="16.5703125" style="4" customWidth="1"/>
    <col min="13964" max="13964" width="13.85546875" style="4" customWidth="1"/>
    <col min="13965" max="13965" width="27.28515625" style="4" customWidth="1"/>
    <col min="13966" max="13966" width="31.85546875" style="4" customWidth="1"/>
    <col min="13967" max="13967" width="22.140625" style="4" customWidth="1"/>
    <col min="13968" max="13968" width="12.42578125" style="4" customWidth="1"/>
    <col min="13969" max="14216" width="13.140625" style="4"/>
    <col min="14217" max="14217" width="18.85546875" style="4" customWidth="1"/>
    <col min="14218" max="14218" width="13.140625" style="4"/>
    <col min="14219" max="14219" width="16.5703125" style="4" customWidth="1"/>
    <col min="14220" max="14220" width="13.85546875" style="4" customWidth="1"/>
    <col min="14221" max="14221" width="27.28515625" style="4" customWidth="1"/>
    <col min="14222" max="14222" width="31.85546875" style="4" customWidth="1"/>
    <col min="14223" max="14223" width="22.140625" style="4" customWidth="1"/>
    <col min="14224" max="14224" width="12.42578125" style="4" customWidth="1"/>
    <col min="14225" max="14472" width="13.140625" style="4"/>
    <col min="14473" max="14473" width="18.85546875" style="4" customWidth="1"/>
    <col min="14474" max="14474" width="13.140625" style="4"/>
    <col min="14475" max="14475" width="16.5703125" style="4" customWidth="1"/>
    <col min="14476" max="14476" width="13.85546875" style="4" customWidth="1"/>
    <col min="14477" max="14477" width="27.28515625" style="4" customWidth="1"/>
    <col min="14478" max="14478" width="31.85546875" style="4" customWidth="1"/>
    <col min="14479" max="14479" width="22.140625" style="4" customWidth="1"/>
    <col min="14480" max="14480" width="12.42578125" style="4" customWidth="1"/>
    <col min="14481" max="14728" width="13.140625" style="4"/>
    <col min="14729" max="14729" width="18.85546875" style="4" customWidth="1"/>
    <col min="14730" max="14730" width="13.140625" style="4"/>
    <col min="14731" max="14731" width="16.5703125" style="4" customWidth="1"/>
    <col min="14732" max="14732" width="13.85546875" style="4" customWidth="1"/>
    <col min="14733" max="14733" width="27.28515625" style="4" customWidth="1"/>
    <col min="14734" max="14734" width="31.85546875" style="4" customWidth="1"/>
    <col min="14735" max="14735" width="22.140625" style="4" customWidth="1"/>
    <col min="14736" max="14736" width="12.42578125" style="4" customWidth="1"/>
    <col min="14737" max="14984" width="13.140625" style="4"/>
    <col min="14985" max="14985" width="18.85546875" style="4" customWidth="1"/>
    <col min="14986" max="14986" width="13.140625" style="4"/>
    <col min="14987" max="14987" width="16.5703125" style="4" customWidth="1"/>
    <col min="14988" max="14988" width="13.85546875" style="4" customWidth="1"/>
    <col min="14989" max="14989" width="27.28515625" style="4" customWidth="1"/>
    <col min="14990" max="14990" width="31.85546875" style="4" customWidth="1"/>
    <col min="14991" max="14991" width="22.140625" style="4" customWidth="1"/>
    <col min="14992" max="14992" width="12.42578125" style="4" customWidth="1"/>
    <col min="14993" max="15240" width="13.140625" style="4"/>
    <col min="15241" max="15241" width="18.85546875" style="4" customWidth="1"/>
    <col min="15242" max="15242" width="13.140625" style="4"/>
    <col min="15243" max="15243" width="16.5703125" style="4" customWidth="1"/>
    <col min="15244" max="15244" width="13.85546875" style="4" customWidth="1"/>
    <col min="15245" max="15245" width="27.28515625" style="4" customWidth="1"/>
    <col min="15246" max="15246" width="31.85546875" style="4" customWidth="1"/>
    <col min="15247" max="15247" width="22.140625" style="4" customWidth="1"/>
    <col min="15248" max="15248" width="12.42578125" style="4" customWidth="1"/>
    <col min="15249" max="15496" width="13.140625" style="4"/>
    <col min="15497" max="15497" width="18.85546875" style="4" customWidth="1"/>
    <col min="15498" max="15498" width="13.140625" style="4"/>
    <col min="15499" max="15499" width="16.5703125" style="4" customWidth="1"/>
    <col min="15500" max="15500" width="13.85546875" style="4" customWidth="1"/>
    <col min="15501" max="15501" width="27.28515625" style="4" customWidth="1"/>
    <col min="15502" max="15502" width="31.85546875" style="4" customWidth="1"/>
    <col min="15503" max="15503" width="22.140625" style="4" customWidth="1"/>
    <col min="15504" max="15504" width="12.42578125" style="4" customWidth="1"/>
    <col min="15505" max="16192" width="13.140625" style="4"/>
    <col min="16193" max="16202" width="11.42578125" style="4" customWidth="1"/>
    <col min="16203" max="16250" width="13.140625" style="4"/>
    <col min="16251" max="16384" width="12.5703125" style="4" customWidth="1"/>
  </cols>
  <sheetData>
    <row r="1" spans="2:68" ht="21.95" customHeight="1" x14ac:dyDescent="0.25">
      <c r="B1" s="339" t="s">
        <v>0</v>
      </c>
      <c r="C1" s="339"/>
      <c r="D1" s="339"/>
      <c r="E1" s="339"/>
      <c r="F1" s="339"/>
      <c r="G1" s="339"/>
      <c r="H1" s="339"/>
      <c r="I1" s="339"/>
      <c r="J1" s="339"/>
      <c r="K1" s="339"/>
      <c r="L1" s="340"/>
      <c r="M1" s="339"/>
      <c r="N1" s="341"/>
      <c r="O1" s="339"/>
      <c r="P1" s="339"/>
      <c r="Q1" s="339"/>
      <c r="R1" s="339"/>
      <c r="S1" s="339"/>
      <c r="T1" s="339"/>
      <c r="U1" s="339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</row>
    <row r="2" spans="2:68" ht="21.95" customHeight="1" x14ac:dyDescent="0.25">
      <c r="B2" s="342" t="s">
        <v>1</v>
      </c>
      <c r="C2" s="342"/>
      <c r="D2" s="342"/>
      <c r="E2" s="342"/>
      <c r="F2" s="342"/>
      <c r="G2" s="342"/>
      <c r="H2" s="342"/>
      <c r="I2" s="342"/>
      <c r="J2" s="342"/>
      <c r="K2" s="342"/>
      <c r="L2" s="343"/>
      <c r="M2" s="342"/>
      <c r="N2" s="344"/>
      <c r="O2" s="342"/>
      <c r="P2" s="342"/>
      <c r="Q2" s="342"/>
      <c r="R2" s="342"/>
      <c r="S2" s="342"/>
      <c r="T2" s="342"/>
      <c r="U2" s="34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</row>
    <row r="3" spans="2:68" ht="21.95" customHeight="1" x14ac:dyDescent="0.25">
      <c r="B3" s="342" t="s">
        <v>424</v>
      </c>
      <c r="C3" s="342"/>
      <c r="D3" s="342"/>
      <c r="E3" s="342"/>
      <c r="F3" s="342"/>
      <c r="G3" s="342"/>
      <c r="H3" s="342"/>
      <c r="I3" s="342"/>
      <c r="J3" s="342"/>
      <c r="K3" s="342"/>
      <c r="L3" s="343"/>
      <c r="M3" s="342"/>
      <c r="N3" s="344"/>
      <c r="O3" s="342"/>
      <c r="P3" s="342"/>
      <c r="Q3" s="342"/>
      <c r="R3" s="342"/>
      <c r="S3" s="342"/>
      <c r="T3" s="342"/>
      <c r="U3" s="34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</row>
    <row r="4" spans="2:68" x14ac:dyDescent="0.25">
      <c r="B4" s="62"/>
      <c r="C4" s="62"/>
      <c r="D4" s="62"/>
      <c r="E4" s="62"/>
      <c r="F4" s="62"/>
      <c r="G4" s="62"/>
      <c r="H4" s="62"/>
      <c r="I4" s="62"/>
      <c r="J4" s="62"/>
      <c r="K4" s="62"/>
      <c r="L4" s="63"/>
      <c r="M4" s="62"/>
      <c r="N4" s="64"/>
    </row>
    <row r="5" spans="2:68" x14ac:dyDescent="0.25">
      <c r="B5" s="62"/>
      <c r="C5" s="62"/>
      <c r="D5" s="62"/>
      <c r="E5" s="62"/>
      <c r="F5" s="62"/>
      <c r="G5" s="62"/>
      <c r="H5" s="62"/>
      <c r="I5" s="62"/>
      <c r="J5" s="62"/>
      <c r="K5" s="62"/>
      <c r="L5" s="63"/>
      <c r="M5" s="62"/>
      <c r="N5" s="64"/>
    </row>
    <row r="6" spans="2:68" s="5" customFormat="1" ht="19.5" customHeight="1" x14ac:dyDescent="0.35">
      <c r="C6" s="6"/>
      <c r="H6" s="348" t="s">
        <v>427</v>
      </c>
      <c r="I6" s="348"/>
      <c r="J6" s="348"/>
      <c r="K6" s="348"/>
      <c r="L6" s="348"/>
      <c r="M6" s="348"/>
      <c r="N6" s="348"/>
      <c r="O6" s="345" t="s">
        <v>429</v>
      </c>
      <c r="P6" s="345"/>
      <c r="Q6" s="345"/>
      <c r="R6" s="345"/>
      <c r="S6" s="345"/>
      <c r="T6" s="345"/>
      <c r="U6" s="345"/>
      <c r="V6" s="346" t="s">
        <v>431</v>
      </c>
      <c r="W6" s="346"/>
      <c r="X6" s="346"/>
      <c r="Y6" s="346"/>
      <c r="Z6" s="346"/>
      <c r="AA6" s="346"/>
      <c r="AB6" s="346"/>
      <c r="AC6" s="349" t="s">
        <v>450</v>
      </c>
      <c r="AD6" s="349"/>
      <c r="AE6" s="349"/>
      <c r="AF6" s="349"/>
      <c r="AG6" s="349"/>
      <c r="AH6" s="349"/>
      <c r="AI6" s="349"/>
      <c r="AJ6" s="347" t="s">
        <v>434</v>
      </c>
      <c r="AK6" s="347"/>
      <c r="AL6" s="347"/>
      <c r="AM6" s="347"/>
      <c r="AN6" s="347"/>
      <c r="AO6" s="347"/>
      <c r="AP6" s="347"/>
      <c r="AQ6" s="338" t="s">
        <v>420</v>
      </c>
      <c r="AR6" s="338"/>
      <c r="AS6" s="338"/>
      <c r="AT6" s="338"/>
      <c r="AU6" s="338"/>
      <c r="AV6" s="338"/>
      <c r="AW6" s="338"/>
      <c r="AY6" s="7"/>
      <c r="AZ6" s="8"/>
      <c r="BA6" s="8"/>
      <c r="BB6" s="8"/>
      <c r="BC6" s="8"/>
      <c r="BD6" s="8"/>
      <c r="BE6" s="8"/>
      <c r="BF6" s="8"/>
      <c r="BG6" s="8"/>
      <c r="BH6" s="8"/>
    </row>
    <row r="7" spans="2:68" s="16" customFormat="1" ht="56.25" customHeight="1" x14ac:dyDescent="0.2">
      <c r="B7" s="9" t="s">
        <v>2</v>
      </c>
      <c r="C7" s="9" t="s">
        <v>3</v>
      </c>
      <c r="D7" s="10" t="s">
        <v>4</v>
      </c>
      <c r="E7" s="11" t="s">
        <v>5</v>
      </c>
      <c r="F7" s="11" t="s">
        <v>6</v>
      </c>
      <c r="G7" s="10" t="s">
        <v>7</v>
      </c>
      <c r="H7" s="10" t="s">
        <v>8</v>
      </c>
      <c r="I7" s="10" t="s">
        <v>9</v>
      </c>
      <c r="J7" s="10" t="s">
        <v>10</v>
      </c>
      <c r="K7" s="10" t="s">
        <v>11</v>
      </c>
      <c r="L7" s="12" t="s">
        <v>428</v>
      </c>
      <c r="M7" s="13" t="s">
        <v>12</v>
      </c>
      <c r="N7" s="14" t="s">
        <v>13</v>
      </c>
      <c r="O7" s="10" t="s">
        <v>8</v>
      </c>
      <c r="P7" s="10" t="s">
        <v>9</v>
      </c>
      <c r="Q7" s="10" t="s">
        <v>10</v>
      </c>
      <c r="R7" s="10" t="s">
        <v>11</v>
      </c>
      <c r="S7" s="10" t="s">
        <v>430</v>
      </c>
      <c r="T7" s="10" t="s">
        <v>12</v>
      </c>
      <c r="U7" s="11" t="s">
        <v>13</v>
      </c>
      <c r="V7" s="10" t="s">
        <v>8</v>
      </c>
      <c r="W7" s="10" t="s">
        <v>9</v>
      </c>
      <c r="X7" s="10" t="s">
        <v>10</v>
      </c>
      <c r="Y7" s="10" t="s">
        <v>11</v>
      </c>
      <c r="Z7" s="10" t="s">
        <v>432</v>
      </c>
      <c r="AA7" s="10" t="s">
        <v>12</v>
      </c>
      <c r="AB7" s="10" t="s">
        <v>421</v>
      </c>
      <c r="AC7" s="11" t="s">
        <v>8</v>
      </c>
      <c r="AD7" s="11" t="s">
        <v>9</v>
      </c>
      <c r="AE7" s="11" t="s">
        <v>10</v>
      </c>
      <c r="AF7" s="11" t="s">
        <v>11</v>
      </c>
      <c r="AG7" s="11" t="s">
        <v>433</v>
      </c>
      <c r="AH7" s="11" t="s">
        <v>12</v>
      </c>
      <c r="AI7" s="11" t="s">
        <v>423</v>
      </c>
      <c r="AJ7" s="11" t="s">
        <v>8</v>
      </c>
      <c r="AK7" s="11" t="s">
        <v>9</v>
      </c>
      <c r="AL7" s="11" t="s">
        <v>10</v>
      </c>
      <c r="AM7" s="11" t="s">
        <v>11</v>
      </c>
      <c r="AN7" s="11" t="s">
        <v>435</v>
      </c>
      <c r="AO7" s="11" t="s">
        <v>12</v>
      </c>
      <c r="AP7" s="11" t="s">
        <v>13</v>
      </c>
      <c r="AQ7" s="10" t="s">
        <v>8</v>
      </c>
      <c r="AR7" s="10" t="s">
        <v>9</v>
      </c>
      <c r="AS7" s="10" t="s">
        <v>10</v>
      </c>
      <c r="AT7" s="10" t="s">
        <v>11</v>
      </c>
      <c r="AU7" s="10" t="s">
        <v>422</v>
      </c>
      <c r="AV7" s="10" t="s">
        <v>12</v>
      </c>
      <c r="AW7" s="10" t="s">
        <v>423</v>
      </c>
      <c r="AX7" s="15" t="s">
        <v>14</v>
      </c>
      <c r="AZ7" s="17" t="s">
        <v>15</v>
      </c>
      <c r="BA7" s="17" t="s">
        <v>16</v>
      </c>
      <c r="BB7" s="17" t="s">
        <v>17</v>
      </c>
      <c r="BC7" s="17" t="s">
        <v>18</v>
      </c>
      <c r="BD7" s="17" t="s">
        <v>19</v>
      </c>
      <c r="BE7" s="17" t="s">
        <v>20</v>
      </c>
      <c r="BF7" s="17" t="s">
        <v>21</v>
      </c>
      <c r="BG7" s="18"/>
      <c r="BH7" s="19" t="s">
        <v>16</v>
      </c>
      <c r="BJ7" s="10" t="s">
        <v>4</v>
      </c>
      <c r="BK7" s="20" t="s">
        <v>22</v>
      </c>
      <c r="BL7" s="20" t="s">
        <v>23</v>
      </c>
      <c r="BN7" s="20" t="s">
        <v>22</v>
      </c>
      <c r="BO7" s="20" t="s">
        <v>24</v>
      </c>
    </row>
    <row r="8" spans="2:68" s="31" customFormat="1" x14ac:dyDescent="0.25">
      <c r="B8" s="21" t="s">
        <v>25</v>
      </c>
      <c r="C8" s="22" t="s">
        <v>26</v>
      </c>
      <c r="D8" s="23" t="s">
        <v>27</v>
      </c>
      <c r="E8" s="24">
        <v>42.45</v>
      </c>
      <c r="F8" s="24">
        <v>42.45</v>
      </c>
      <c r="G8" s="22">
        <v>220</v>
      </c>
      <c r="H8" s="22">
        <v>0</v>
      </c>
      <c r="I8" s="22">
        <v>0</v>
      </c>
      <c r="J8" s="22">
        <v>0</v>
      </c>
      <c r="K8" s="22">
        <v>0</v>
      </c>
      <c r="L8" s="22">
        <f t="shared" ref="L8:L71" si="0">G8+H8+I8-J8-K8</f>
        <v>220</v>
      </c>
      <c r="M8" s="22">
        <v>220</v>
      </c>
      <c r="N8" s="22">
        <f t="shared" ref="N8:N41" si="1">M8-L8</f>
        <v>0</v>
      </c>
      <c r="O8" s="153">
        <v>0</v>
      </c>
      <c r="P8" s="153">
        <v>0</v>
      </c>
      <c r="Q8" s="153">
        <v>0</v>
      </c>
      <c r="R8" s="153">
        <v>0</v>
      </c>
      <c r="S8" s="153">
        <f t="shared" ref="S8:S71" si="2">L8+O8+P8-Q8-R8</f>
        <v>220</v>
      </c>
      <c r="T8" s="153">
        <v>220</v>
      </c>
      <c r="U8" s="153">
        <f t="shared" ref="U8:U71" si="3">T8-S8</f>
        <v>0</v>
      </c>
      <c r="V8" s="154">
        <v>0</v>
      </c>
      <c r="W8" s="154">
        <v>0</v>
      </c>
      <c r="X8" s="154">
        <v>0</v>
      </c>
      <c r="Y8" s="154">
        <v>0</v>
      </c>
      <c r="Z8" s="154">
        <f t="shared" ref="Z8:Z71" si="4">S8+V8+W8-X8-Y8</f>
        <v>220</v>
      </c>
      <c r="AA8" s="154">
        <v>220</v>
      </c>
      <c r="AB8" s="154">
        <f t="shared" ref="AB8:AB71" si="5">AA8-Z8</f>
        <v>0</v>
      </c>
      <c r="AC8" s="154">
        <v>0</v>
      </c>
      <c r="AD8" s="154">
        <v>0</v>
      </c>
      <c r="AE8" s="154">
        <v>0</v>
      </c>
      <c r="AF8" s="154">
        <v>0</v>
      </c>
      <c r="AG8" s="154">
        <f t="shared" ref="AG8:AG71" si="6">Z8+AC8+AD8-AE8-AF8</f>
        <v>220</v>
      </c>
      <c r="AH8" s="154">
        <v>220</v>
      </c>
      <c r="AI8" s="154">
        <f t="shared" ref="AI8:AI71" si="7">AH8-AG8</f>
        <v>0</v>
      </c>
      <c r="AJ8" s="154">
        <v>0</v>
      </c>
      <c r="AK8" s="154">
        <v>0</v>
      </c>
      <c r="AL8" s="154">
        <v>0</v>
      </c>
      <c r="AM8" s="154">
        <v>0</v>
      </c>
      <c r="AN8" s="154">
        <f>AG8+AJ8+AK8-AL8-AM8</f>
        <v>220</v>
      </c>
      <c r="AO8" s="154">
        <v>220</v>
      </c>
      <c r="AP8" s="154">
        <f t="shared" ref="AP8:AP71" si="8">AO8-AN8</f>
        <v>0</v>
      </c>
      <c r="AQ8" s="154">
        <f>H8+O8+V8+AC8+AJ8</f>
        <v>0</v>
      </c>
      <c r="AR8" s="154">
        <f>I8+P8+W8+AD8+AK8</f>
        <v>0</v>
      </c>
      <c r="AS8" s="154">
        <f>J8+Q8+X8+AE8+AL8</f>
        <v>0</v>
      </c>
      <c r="AT8" s="154">
        <f>K8+R8+Y8+AF8+AM8</f>
        <v>0</v>
      </c>
      <c r="AU8" s="154">
        <f t="shared" ref="AU8:AU39" si="9">G8+AQ8+AR8-AS8-AT8</f>
        <v>220</v>
      </c>
      <c r="AV8" s="154">
        <v>220</v>
      </c>
      <c r="AW8" s="154">
        <f t="shared" ref="AW8:AW71" si="10">AV8-AU8</f>
        <v>0</v>
      </c>
      <c r="AX8" s="25"/>
      <c r="AY8" s="26"/>
      <c r="AZ8" s="27">
        <f t="shared" ref="AZ8:AZ39" si="11">E8*G8</f>
        <v>9339</v>
      </c>
      <c r="BA8" s="28"/>
      <c r="BB8" s="28">
        <f t="shared" ref="BB8:BB39" si="12">F8*H8</f>
        <v>0</v>
      </c>
      <c r="BC8" s="28">
        <f t="shared" ref="BC8:BC39" si="13">F8*I8</f>
        <v>0</v>
      </c>
      <c r="BD8" s="28">
        <f t="shared" ref="BD8:BD39" si="14">F8*J8</f>
        <v>0</v>
      </c>
      <c r="BE8" s="28">
        <f t="shared" ref="BE8:BE39" si="15">F8*K8</f>
        <v>0</v>
      </c>
      <c r="BF8" s="27">
        <f>AZ8+BA8+BB8+BC8-BD8-BE8</f>
        <v>9339</v>
      </c>
      <c r="BG8" s="29">
        <f t="shared" ref="BG8:BG39" si="16">F8*L8</f>
        <v>9339</v>
      </c>
      <c r="BH8" s="29">
        <f>BG8-BF8</f>
        <v>0</v>
      </c>
      <c r="BI8" s="30"/>
      <c r="BJ8" s="23" t="s">
        <v>27</v>
      </c>
      <c r="BK8" s="31">
        <v>0</v>
      </c>
      <c r="BL8" s="31">
        <v>220</v>
      </c>
      <c r="BO8" s="31">
        <v>220</v>
      </c>
      <c r="BP8" s="31" t="b">
        <f t="shared" ref="BP8:BP39" si="17">D8=BJ8</f>
        <v>1</v>
      </c>
    </row>
    <row r="9" spans="2:68" s="31" customFormat="1" x14ac:dyDescent="0.25">
      <c r="B9" s="21" t="s">
        <v>28</v>
      </c>
      <c r="C9" s="22" t="s">
        <v>29</v>
      </c>
      <c r="D9" s="23" t="s">
        <v>30</v>
      </c>
      <c r="E9" s="24">
        <v>10.83</v>
      </c>
      <c r="F9" s="24">
        <v>10.83</v>
      </c>
      <c r="G9" s="22">
        <v>176</v>
      </c>
      <c r="H9" s="22">
        <v>0</v>
      </c>
      <c r="I9" s="22">
        <v>0</v>
      </c>
      <c r="J9" s="22">
        <v>49</v>
      </c>
      <c r="K9" s="22">
        <v>0</v>
      </c>
      <c r="L9" s="22">
        <f t="shared" si="0"/>
        <v>127</v>
      </c>
      <c r="M9" s="22">
        <v>127</v>
      </c>
      <c r="N9" s="22">
        <f t="shared" si="1"/>
        <v>0</v>
      </c>
      <c r="O9" s="153">
        <v>0</v>
      </c>
      <c r="P9" s="153">
        <v>0</v>
      </c>
      <c r="Q9" s="153">
        <v>21</v>
      </c>
      <c r="R9" s="153">
        <v>0</v>
      </c>
      <c r="S9" s="153">
        <f t="shared" si="2"/>
        <v>106</v>
      </c>
      <c r="T9" s="153">
        <v>106</v>
      </c>
      <c r="U9" s="153">
        <f t="shared" si="3"/>
        <v>0</v>
      </c>
      <c r="V9" s="154">
        <v>0</v>
      </c>
      <c r="W9" s="154">
        <v>0</v>
      </c>
      <c r="X9" s="154">
        <v>14</v>
      </c>
      <c r="Y9" s="154">
        <v>0</v>
      </c>
      <c r="Z9" s="154">
        <f t="shared" si="4"/>
        <v>92</v>
      </c>
      <c r="AA9" s="154">
        <v>92</v>
      </c>
      <c r="AB9" s="154">
        <f t="shared" si="5"/>
        <v>0</v>
      </c>
      <c r="AC9" s="154">
        <v>0</v>
      </c>
      <c r="AD9" s="154">
        <v>0</v>
      </c>
      <c r="AE9" s="154">
        <v>92</v>
      </c>
      <c r="AF9" s="154">
        <v>0</v>
      </c>
      <c r="AG9" s="154">
        <f t="shared" si="6"/>
        <v>0</v>
      </c>
      <c r="AH9" s="154">
        <v>0</v>
      </c>
      <c r="AI9" s="154">
        <f t="shared" si="7"/>
        <v>0</v>
      </c>
      <c r="AJ9" s="154">
        <v>0</v>
      </c>
      <c r="AK9" s="154">
        <v>0</v>
      </c>
      <c r="AL9" s="154">
        <v>0</v>
      </c>
      <c r="AM9" s="154">
        <v>0</v>
      </c>
      <c r="AN9" s="154">
        <f t="shared" ref="AN9:AN72" si="18">AG9+AJ9+AK9-AL9-AM9</f>
        <v>0</v>
      </c>
      <c r="AO9" s="154">
        <v>0</v>
      </c>
      <c r="AP9" s="154">
        <f t="shared" si="8"/>
        <v>0</v>
      </c>
      <c r="AQ9" s="154">
        <f t="shared" ref="AQ9:AQ40" si="19">H9+O9+V9+AC9+AJ9</f>
        <v>0</v>
      </c>
      <c r="AR9" s="154">
        <f t="shared" ref="AR9:AR40" si="20">I9+P9+W9+AD9+AK9</f>
        <v>0</v>
      </c>
      <c r="AS9" s="154">
        <f t="shared" ref="AS9:AS72" si="21">J9+Q9+X9+AE9+AL9</f>
        <v>176</v>
      </c>
      <c r="AT9" s="154">
        <f t="shared" ref="AT9:AT40" si="22">K9+R9+Y9+AF9+AM9</f>
        <v>0</v>
      </c>
      <c r="AU9" s="154">
        <f t="shared" si="9"/>
        <v>0</v>
      </c>
      <c r="AV9" s="154">
        <v>0</v>
      </c>
      <c r="AW9" s="154">
        <f t="shared" si="10"/>
        <v>0</v>
      </c>
      <c r="AX9" s="25"/>
      <c r="AY9" s="26"/>
      <c r="AZ9" s="28">
        <f t="shared" si="11"/>
        <v>1906.08</v>
      </c>
      <c r="BA9" s="28"/>
      <c r="BB9" s="28">
        <f t="shared" si="12"/>
        <v>0</v>
      </c>
      <c r="BC9" s="28">
        <f t="shared" si="13"/>
        <v>0</v>
      </c>
      <c r="BD9" s="28">
        <f t="shared" si="14"/>
        <v>530.66999999999996</v>
      </c>
      <c r="BE9" s="28">
        <f t="shared" si="15"/>
        <v>0</v>
      </c>
      <c r="BF9" s="28">
        <f>AZ9+BA9+BB9+BC9-BD9-BE9</f>
        <v>1375.4099999999999</v>
      </c>
      <c r="BG9" s="29">
        <f t="shared" si="16"/>
        <v>1375.41</v>
      </c>
      <c r="BH9" s="29">
        <f>BG9-BF9</f>
        <v>0</v>
      </c>
      <c r="BI9" s="30"/>
      <c r="BJ9" s="23" t="s">
        <v>30</v>
      </c>
      <c r="BK9" s="31">
        <v>4</v>
      </c>
      <c r="BL9" s="31">
        <v>220</v>
      </c>
      <c r="BN9" s="31">
        <v>14</v>
      </c>
      <c r="BO9" s="31">
        <v>206</v>
      </c>
      <c r="BP9" s="31" t="b">
        <f t="shared" si="17"/>
        <v>1</v>
      </c>
    </row>
    <row r="10" spans="2:68" s="31" customFormat="1" x14ac:dyDescent="0.25">
      <c r="B10" s="21">
        <v>0</v>
      </c>
      <c r="C10" s="22" t="s">
        <v>29</v>
      </c>
      <c r="D10" s="23" t="s">
        <v>31</v>
      </c>
      <c r="E10" s="24">
        <v>13.33</v>
      </c>
      <c r="F10" s="24">
        <v>13.33</v>
      </c>
      <c r="G10" s="22">
        <v>100</v>
      </c>
      <c r="H10" s="22">
        <v>0</v>
      </c>
      <c r="I10" s="22">
        <v>0</v>
      </c>
      <c r="J10" s="22">
        <v>69</v>
      </c>
      <c r="K10" s="22">
        <v>0</v>
      </c>
      <c r="L10" s="22">
        <f t="shared" si="0"/>
        <v>31</v>
      </c>
      <c r="M10" s="22">
        <v>31</v>
      </c>
      <c r="N10" s="22">
        <f t="shared" si="1"/>
        <v>0</v>
      </c>
      <c r="O10" s="153">
        <v>0</v>
      </c>
      <c r="P10" s="153">
        <v>0</v>
      </c>
      <c r="Q10" s="153">
        <v>24</v>
      </c>
      <c r="R10" s="153">
        <v>0</v>
      </c>
      <c r="S10" s="153">
        <f t="shared" si="2"/>
        <v>7</v>
      </c>
      <c r="T10" s="153">
        <v>7</v>
      </c>
      <c r="U10" s="153">
        <f t="shared" si="3"/>
        <v>0</v>
      </c>
      <c r="V10" s="154">
        <v>0</v>
      </c>
      <c r="W10" s="154">
        <v>0</v>
      </c>
      <c r="X10" s="154">
        <v>7</v>
      </c>
      <c r="Y10" s="154">
        <v>0</v>
      </c>
      <c r="Z10" s="154">
        <f t="shared" si="4"/>
        <v>0</v>
      </c>
      <c r="AA10" s="154">
        <v>0</v>
      </c>
      <c r="AB10" s="154">
        <f t="shared" si="5"/>
        <v>0</v>
      </c>
      <c r="AC10" s="154">
        <v>0</v>
      </c>
      <c r="AD10" s="154">
        <v>0</v>
      </c>
      <c r="AE10" s="154">
        <v>0</v>
      </c>
      <c r="AF10" s="154">
        <v>0</v>
      </c>
      <c r="AG10" s="154">
        <f t="shared" si="6"/>
        <v>0</v>
      </c>
      <c r="AH10" s="154">
        <v>0</v>
      </c>
      <c r="AI10" s="154">
        <f t="shared" si="7"/>
        <v>0</v>
      </c>
      <c r="AJ10" s="154">
        <v>0</v>
      </c>
      <c r="AK10" s="154">
        <v>0</v>
      </c>
      <c r="AL10" s="154">
        <v>0</v>
      </c>
      <c r="AM10" s="154">
        <v>0</v>
      </c>
      <c r="AN10" s="154">
        <f t="shared" si="18"/>
        <v>0</v>
      </c>
      <c r="AO10" s="154">
        <v>0</v>
      </c>
      <c r="AP10" s="154">
        <f t="shared" si="8"/>
        <v>0</v>
      </c>
      <c r="AQ10" s="154">
        <f t="shared" si="19"/>
        <v>0</v>
      </c>
      <c r="AR10" s="154">
        <f t="shared" si="20"/>
        <v>0</v>
      </c>
      <c r="AS10" s="154">
        <f t="shared" si="21"/>
        <v>100</v>
      </c>
      <c r="AT10" s="154">
        <f t="shared" si="22"/>
        <v>0</v>
      </c>
      <c r="AU10" s="154">
        <f t="shared" si="9"/>
        <v>0</v>
      </c>
      <c r="AV10" s="154">
        <v>0</v>
      </c>
      <c r="AW10" s="154">
        <f t="shared" si="10"/>
        <v>0</v>
      </c>
      <c r="AX10" s="25"/>
      <c r="AY10" s="26"/>
      <c r="AZ10" s="28">
        <f t="shared" si="11"/>
        <v>1333</v>
      </c>
      <c r="BA10" s="28"/>
      <c r="BB10" s="28">
        <f t="shared" si="12"/>
        <v>0</v>
      </c>
      <c r="BC10" s="28">
        <f t="shared" si="13"/>
        <v>0</v>
      </c>
      <c r="BD10" s="28">
        <f t="shared" si="14"/>
        <v>919.77</v>
      </c>
      <c r="BE10" s="28">
        <f t="shared" si="15"/>
        <v>0</v>
      </c>
      <c r="BF10" s="28">
        <f t="shared" ref="BF10:BF73" si="23">AZ10+BA10+BB10+BC10-BD10-BE10</f>
        <v>413.23</v>
      </c>
      <c r="BG10" s="29">
        <f t="shared" si="16"/>
        <v>413.23</v>
      </c>
      <c r="BH10" s="29">
        <f t="shared" ref="BH10:BH73" si="24">BG10-BF10</f>
        <v>0</v>
      </c>
      <c r="BI10" s="30"/>
      <c r="BJ10" s="23" t="s">
        <v>31</v>
      </c>
      <c r="BK10" s="31">
        <v>18</v>
      </c>
      <c r="BL10" s="31">
        <v>156</v>
      </c>
      <c r="BN10" s="31">
        <v>28</v>
      </c>
      <c r="BO10" s="31">
        <v>128</v>
      </c>
      <c r="BP10" s="31" t="b">
        <f t="shared" si="17"/>
        <v>1</v>
      </c>
    </row>
    <row r="11" spans="2:68" s="31" customFormat="1" x14ac:dyDescent="0.25">
      <c r="B11" s="21" t="s">
        <v>32</v>
      </c>
      <c r="C11" s="22" t="s">
        <v>29</v>
      </c>
      <c r="D11" s="23" t="s">
        <v>33</v>
      </c>
      <c r="E11" s="24">
        <v>15.83</v>
      </c>
      <c r="F11" s="24">
        <v>15.83</v>
      </c>
      <c r="G11" s="22">
        <v>204</v>
      </c>
      <c r="H11" s="22">
        <v>0</v>
      </c>
      <c r="I11" s="22">
        <v>0</v>
      </c>
      <c r="J11" s="22">
        <v>53</v>
      </c>
      <c r="K11" s="22">
        <v>0</v>
      </c>
      <c r="L11" s="22">
        <f t="shared" si="0"/>
        <v>151</v>
      </c>
      <c r="M11" s="22">
        <v>151</v>
      </c>
      <c r="N11" s="22">
        <f t="shared" si="1"/>
        <v>0</v>
      </c>
      <c r="O11" s="153">
        <v>0</v>
      </c>
      <c r="P11" s="153">
        <v>0</v>
      </c>
      <c r="Q11" s="153">
        <v>21</v>
      </c>
      <c r="R11" s="153">
        <v>0</v>
      </c>
      <c r="S11" s="153">
        <f t="shared" si="2"/>
        <v>130</v>
      </c>
      <c r="T11" s="153">
        <v>130</v>
      </c>
      <c r="U11" s="153">
        <f t="shared" si="3"/>
        <v>0</v>
      </c>
      <c r="V11" s="154">
        <v>0</v>
      </c>
      <c r="W11" s="154">
        <v>0</v>
      </c>
      <c r="X11" s="154">
        <v>2</v>
      </c>
      <c r="Y11" s="154">
        <v>0</v>
      </c>
      <c r="Z11" s="154">
        <f t="shared" si="4"/>
        <v>128</v>
      </c>
      <c r="AA11" s="154">
        <v>128</v>
      </c>
      <c r="AB11" s="154">
        <f t="shared" si="5"/>
        <v>0</v>
      </c>
      <c r="AC11" s="154">
        <v>0</v>
      </c>
      <c r="AD11" s="154">
        <v>0</v>
      </c>
      <c r="AE11" s="154">
        <v>63</v>
      </c>
      <c r="AF11" s="154">
        <v>0</v>
      </c>
      <c r="AG11" s="154">
        <f t="shared" si="6"/>
        <v>65</v>
      </c>
      <c r="AH11" s="154">
        <v>65</v>
      </c>
      <c r="AI11" s="154">
        <v>0</v>
      </c>
      <c r="AJ11" s="154">
        <v>0</v>
      </c>
      <c r="AK11" s="154">
        <v>0</v>
      </c>
      <c r="AL11" s="154">
        <v>48</v>
      </c>
      <c r="AM11" s="154">
        <v>0</v>
      </c>
      <c r="AN11" s="154">
        <f t="shared" si="18"/>
        <v>17</v>
      </c>
      <c r="AO11" s="154">
        <v>17</v>
      </c>
      <c r="AP11" s="154">
        <f t="shared" si="8"/>
        <v>0</v>
      </c>
      <c r="AQ11" s="154">
        <f t="shared" si="19"/>
        <v>0</v>
      </c>
      <c r="AR11" s="154">
        <f t="shared" si="20"/>
        <v>0</v>
      </c>
      <c r="AS11" s="154">
        <f t="shared" si="21"/>
        <v>187</v>
      </c>
      <c r="AT11" s="154">
        <f t="shared" si="22"/>
        <v>0</v>
      </c>
      <c r="AU11" s="154">
        <f t="shared" si="9"/>
        <v>17</v>
      </c>
      <c r="AV11" s="154">
        <v>17</v>
      </c>
      <c r="AW11" s="154">
        <f t="shared" si="10"/>
        <v>0</v>
      </c>
      <c r="AX11" s="25"/>
      <c r="AY11" s="26"/>
      <c r="AZ11" s="28">
        <f t="shared" si="11"/>
        <v>3229.32</v>
      </c>
      <c r="BA11" s="28"/>
      <c r="BB11" s="28">
        <f t="shared" si="12"/>
        <v>0</v>
      </c>
      <c r="BC11" s="28">
        <f t="shared" si="13"/>
        <v>0</v>
      </c>
      <c r="BD11" s="28">
        <f t="shared" si="14"/>
        <v>838.99</v>
      </c>
      <c r="BE11" s="28">
        <f t="shared" si="15"/>
        <v>0</v>
      </c>
      <c r="BF11" s="28">
        <f t="shared" si="23"/>
        <v>2390.33</v>
      </c>
      <c r="BG11" s="29">
        <f t="shared" si="16"/>
        <v>2390.33</v>
      </c>
      <c r="BH11" s="29">
        <f t="shared" si="24"/>
        <v>0</v>
      </c>
      <c r="BI11" s="30"/>
      <c r="BJ11" s="23" t="s">
        <v>33</v>
      </c>
      <c r="BK11" s="31">
        <v>19</v>
      </c>
      <c r="BL11" s="31">
        <v>233</v>
      </c>
      <c r="BN11" s="31">
        <v>12</v>
      </c>
      <c r="BO11" s="31">
        <v>221</v>
      </c>
      <c r="BP11" s="31" t="b">
        <f t="shared" si="17"/>
        <v>1</v>
      </c>
    </row>
    <row r="12" spans="2:68" s="31" customFormat="1" x14ac:dyDescent="0.25">
      <c r="B12" s="21" t="s">
        <v>34</v>
      </c>
      <c r="C12" s="22" t="s">
        <v>26</v>
      </c>
      <c r="D12" s="23" t="s">
        <v>35</v>
      </c>
      <c r="E12" s="24">
        <v>12.85</v>
      </c>
      <c r="F12" s="24">
        <v>12.85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f t="shared" si="0"/>
        <v>0</v>
      </c>
      <c r="M12" s="22">
        <v>0</v>
      </c>
      <c r="N12" s="22">
        <f t="shared" si="1"/>
        <v>0</v>
      </c>
      <c r="O12" s="153">
        <v>0</v>
      </c>
      <c r="P12" s="153">
        <v>0</v>
      </c>
      <c r="Q12" s="153">
        <v>0</v>
      </c>
      <c r="R12" s="153">
        <v>0</v>
      </c>
      <c r="S12" s="153">
        <f t="shared" si="2"/>
        <v>0</v>
      </c>
      <c r="T12" s="153">
        <v>0</v>
      </c>
      <c r="U12" s="153">
        <f t="shared" si="3"/>
        <v>0</v>
      </c>
      <c r="V12" s="154">
        <v>0</v>
      </c>
      <c r="W12" s="154">
        <v>0</v>
      </c>
      <c r="X12" s="154">
        <v>0</v>
      </c>
      <c r="Y12" s="154">
        <v>0</v>
      </c>
      <c r="Z12" s="154">
        <f t="shared" si="4"/>
        <v>0</v>
      </c>
      <c r="AA12" s="154">
        <v>0</v>
      </c>
      <c r="AB12" s="154">
        <f t="shared" si="5"/>
        <v>0</v>
      </c>
      <c r="AC12" s="154">
        <v>0</v>
      </c>
      <c r="AD12" s="154">
        <v>0</v>
      </c>
      <c r="AE12" s="154">
        <v>0</v>
      </c>
      <c r="AF12" s="154">
        <v>0</v>
      </c>
      <c r="AG12" s="154">
        <f t="shared" si="6"/>
        <v>0</v>
      </c>
      <c r="AH12" s="154">
        <v>0</v>
      </c>
      <c r="AI12" s="154">
        <f t="shared" si="7"/>
        <v>0</v>
      </c>
      <c r="AJ12" s="154">
        <v>0</v>
      </c>
      <c r="AK12" s="154">
        <v>0</v>
      </c>
      <c r="AL12" s="154">
        <v>0</v>
      </c>
      <c r="AM12" s="154">
        <v>0</v>
      </c>
      <c r="AN12" s="154">
        <f t="shared" si="18"/>
        <v>0</v>
      </c>
      <c r="AO12" s="154">
        <v>0</v>
      </c>
      <c r="AP12" s="154">
        <f t="shared" si="8"/>
        <v>0</v>
      </c>
      <c r="AQ12" s="154">
        <f t="shared" si="19"/>
        <v>0</v>
      </c>
      <c r="AR12" s="154">
        <f t="shared" si="20"/>
        <v>0</v>
      </c>
      <c r="AS12" s="154">
        <f t="shared" si="21"/>
        <v>0</v>
      </c>
      <c r="AT12" s="154">
        <f t="shared" si="22"/>
        <v>0</v>
      </c>
      <c r="AU12" s="154">
        <f t="shared" si="9"/>
        <v>0</v>
      </c>
      <c r="AV12" s="154">
        <f>AH12</f>
        <v>0</v>
      </c>
      <c r="AW12" s="154">
        <f t="shared" si="10"/>
        <v>0</v>
      </c>
      <c r="AX12" s="25"/>
      <c r="AY12" s="26"/>
      <c r="AZ12" s="28">
        <f t="shared" si="11"/>
        <v>0</v>
      </c>
      <c r="BA12" s="28"/>
      <c r="BB12" s="28">
        <f t="shared" si="12"/>
        <v>0</v>
      </c>
      <c r="BC12" s="28">
        <f t="shared" si="13"/>
        <v>0</v>
      </c>
      <c r="BD12" s="28">
        <f t="shared" si="14"/>
        <v>0</v>
      </c>
      <c r="BE12" s="28">
        <f t="shared" si="15"/>
        <v>0</v>
      </c>
      <c r="BF12" s="28">
        <f t="shared" si="23"/>
        <v>0</v>
      </c>
      <c r="BG12" s="29">
        <f t="shared" si="16"/>
        <v>0</v>
      </c>
      <c r="BH12" s="29">
        <f t="shared" si="24"/>
        <v>0</v>
      </c>
      <c r="BI12" s="30"/>
      <c r="BJ12" s="23" t="s">
        <v>35</v>
      </c>
      <c r="BK12" s="31">
        <v>0</v>
      </c>
      <c r="BL12" s="31">
        <v>0</v>
      </c>
      <c r="BO12" s="31">
        <v>0</v>
      </c>
      <c r="BP12" s="31" t="b">
        <f t="shared" si="17"/>
        <v>1</v>
      </c>
    </row>
    <row r="13" spans="2:68" s="31" customFormat="1" x14ac:dyDescent="0.25">
      <c r="B13" s="21" t="s">
        <v>36</v>
      </c>
      <c r="C13" s="22" t="s">
        <v>26</v>
      </c>
      <c r="D13" s="23" t="s">
        <v>37</v>
      </c>
      <c r="E13" s="24">
        <v>8.16</v>
      </c>
      <c r="F13" s="24">
        <v>8.16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f t="shared" si="0"/>
        <v>0</v>
      </c>
      <c r="M13" s="22">
        <v>0</v>
      </c>
      <c r="N13" s="22">
        <f t="shared" si="1"/>
        <v>0</v>
      </c>
      <c r="O13" s="153">
        <v>0</v>
      </c>
      <c r="P13" s="153">
        <v>0</v>
      </c>
      <c r="Q13" s="153">
        <v>0</v>
      </c>
      <c r="R13" s="153">
        <v>0</v>
      </c>
      <c r="S13" s="153">
        <f t="shared" si="2"/>
        <v>0</v>
      </c>
      <c r="T13" s="153">
        <v>0</v>
      </c>
      <c r="U13" s="153">
        <f t="shared" si="3"/>
        <v>0</v>
      </c>
      <c r="V13" s="154">
        <v>0</v>
      </c>
      <c r="W13" s="154">
        <v>0</v>
      </c>
      <c r="X13" s="154">
        <v>0</v>
      </c>
      <c r="Y13" s="154">
        <v>0</v>
      </c>
      <c r="Z13" s="154">
        <f t="shared" si="4"/>
        <v>0</v>
      </c>
      <c r="AA13" s="154">
        <v>0</v>
      </c>
      <c r="AB13" s="154">
        <f t="shared" si="5"/>
        <v>0</v>
      </c>
      <c r="AC13" s="154">
        <v>0</v>
      </c>
      <c r="AD13" s="154">
        <v>0</v>
      </c>
      <c r="AE13" s="154">
        <v>0</v>
      </c>
      <c r="AF13" s="154">
        <v>0</v>
      </c>
      <c r="AG13" s="154">
        <f t="shared" si="6"/>
        <v>0</v>
      </c>
      <c r="AH13" s="154">
        <v>0</v>
      </c>
      <c r="AI13" s="154">
        <f t="shared" si="7"/>
        <v>0</v>
      </c>
      <c r="AJ13" s="154">
        <v>0</v>
      </c>
      <c r="AK13" s="154">
        <v>0</v>
      </c>
      <c r="AL13" s="154">
        <v>0</v>
      </c>
      <c r="AM13" s="154">
        <v>0</v>
      </c>
      <c r="AN13" s="154">
        <f t="shared" si="18"/>
        <v>0</v>
      </c>
      <c r="AO13" s="154">
        <v>0</v>
      </c>
      <c r="AP13" s="154">
        <f t="shared" si="8"/>
        <v>0</v>
      </c>
      <c r="AQ13" s="154">
        <f t="shared" si="19"/>
        <v>0</v>
      </c>
      <c r="AR13" s="154">
        <f t="shared" si="20"/>
        <v>0</v>
      </c>
      <c r="AS13" s="154">
        <f t="shared" si="21"/>
        <v>0</v>
      </c>
      <c r="AT13" s="154">
        <f t="shared" si="22"/>
        <v>0</v>
      </c>
      <c r="AU13" s="154">
        <f t="shared" si="9"/>
        <v>0</v>
      </c>
      <c r="AV13" s="154">
        <f>AH13</f>
        <v>0</v>
      </c>
      <c r="AW13" s="154">
        <f t="shared" si="10"/>
        <v>0</v>
      </c>
      <c r="AX13" s="25"/>
      <c r="AY13" s="26"/>
      <c r="AZ13" s="28">
        <f t="shared" si="11"/>
        <v>0</v>
      </c>
      <c r="BA13" s="28"/>
      <c r="BB13" s="28">
        <f t="shared" si="12"/>
        <v>0</v>
      </c>
      <c r="BC13" s="28">
        <f t="shared" si="13"/>
        <v>0</v>
      </c>
      <c r="BD13" s="28">
        <f t="shared" si="14"/>
        <v>0</v>
      </c>
      <c r="BE13" s="28">
        <f t="shared" si="15"/>
        <v>0</v>
      </c>
      <c r="BF13" s="28">
        <f t="shared" si="23"/>
        <v>0</v>
      </c>
      <c r="BG13" s="29">
        <f t="shared" si="16"/>
        <v>0</v>
      </c>
      <c r="BH13" s="29">
        <f t="shared" si="24"/>
        <v>0</v>
      </c>
      <c r="BI13" s="30"/>
      <c r="BJ13" s="23" t="s">
        <v>37</v>
      </c>
      <c r="BK13" s="31">
        <v>0</v>
      </c>
      <c r="BL13" s="31">
        <v>0</v>
      </c>
      <c r="BO13" s="31">
        <v>0</v>
      </c>
      <c r="BP13" s="31" t="b">
        <f t="shared" si="17"/>
        <v>1</v>
      </c>
    </row>
    <row r="14" spans="2:68" s="31" customFormat="1" x14ac:dyDescent="0.25">
      <c r="B14" s="21" t="s">
        <v>38</v>
      </c>
      <c r="C14" s="22" t="s">
        <v>26</v>
      </c>
      <c r="D14" s="23" t="s">
        <v>39</v>
      </c>
      <c r="E14" s="24">
        <v>41.25</v>
      </c>
      <c r="F14" s="24">
        <v>41.25</v>
      </c>
      <c r="G14" s="22">
        <v>39</v>
      </c>
      <c r="H14" s="22">
        <v>0</v>
      </c>
      <c r="I14" s="22">
        <v>0</v>
      </c>
      <c r="J14" s="22">
        <v>0</v>
      </c>
      <c r="K14" s="22">
        <v>0</v>
      </c>
      <c r="L14" s="22">
        <f t="shared" si="0"/>
        <v>39</v>
      </c>
      <c r="M14" s="22">
        <v>39</v>
      </c>
      <c r="N14" s="22">
        <f t="shared" si="1"/>
        <v>0</v>
      </c>
      <c r="O14" s="153">
        <v>0</v>
      </c>
      <c r="P14" s="153">
        <v>0</v>
      </c>
      <c r="Q14" s="153">
        <v>0</v>
      </c>
      <c r="R14" s="153">
        <v>0</v>
      </c>
      <c r="S14" s="153">
        <f t="shared" si="2"/>
        <v>39</v>
      </c>
      <c r="T14" s="153">
        <v>39</v>
      </c>
      <c r="U14" s="153">
        <f t="shared" si="3"/>
        <v>0</v>
      </c>
      <c r="V14" s="154">
        <v>0</v>
      </c>
      <c r="W14" s="154">
        <v>0</v>
      </c>
      <c r="X14" s="154">
        <v>0</v>
      </c>
      <c r="Y14" s="154">
        <v>0</v>
      </c>
      <c r="Z14" s="154">
        <f t="shared" si="4"/>
        <v>39</v>
      </c>
      <c r="AA14" s="154">
        <v>39</v>
      </c>
      <c r="AB14" s="154">
        <f t="shared" si="5"/>
        <v>0</v>
      </c>
      <c r="AC14" s="154">
        <v>0</v>
      </c>
      <c r="AD14" s="154">
        <v>0</v>
      </c>
      <c r="AE14" s="154">
        <v>0</v>
      </c>
      <c r="AF14" s="154">
        <v>0</v>
      </c>
      <c r="AG14" s="154">
        <f t="shared" si="6"/>
        <v>39</v>
      </c>
      <c r="AH14" s="154">
        <v>39</v>
      </c>
      <c r="AI14" s="154">
        <f t="shared" si="7"/>
        <v>0</v>
      </c>
      <c r="AJ14" s="154">
        <v>0</v>
      </c>
      <c r="AK14" s="154">
        <v>0</v>
      </c>
      <c r="AL14" s="154">
        <v>0</v>
      </c>
      <c r="AM14" s="154">
        <v>0</v>
      </c>
      <c r="AN14" s="154">
        <f t="shared" si="18"/>
        <v>39</v>
      </c>
      <c r="AO14" s="154">
        <v>39</v>
      </c>
      <c r="AP14" s="154">
        <f t="shared" si="8"/>
        <v>0</v>
      </c>
      <c r="AQ14" s="154">
        <f t="shared" si="19"/>
        <v>0</v>
      </c>
      <c r="AR14" s="154">
        <f t="shared" si="20"/>
        <v>0</v>
      </c>
      <c r="AS14" s="154">
        <f t="shared" si="21"/>
        <v>0</v>
      </c>
      <c r="AT14" s="154">
        <f t="shared" si="22"/>
        <v>0</v>
      </c>
      <c r="AU14" s="154">
        <f t="shared" si="9"/>
        <v>39</v>
      </c>
      <c r="AV14" s="154">
        <v>39</v>
      </c>
      <c r="AW14" s="154">
        <f t="shared" si="10"/>
        <v>0</v>
      </c>
      <c r="AX14" s="25"/>
      <c r="AY14" s="26"/>
      <c r="AZ14" s="28">
        <f t="shared" si="11"/>
        <v>1608.75</v>
      </c>
      <c r="BA14" s="28"/>
      <c r="BB14" s="28">
        <f t="shared" si="12"/>
        <v>0</v>
      </c>
      <c r="BC14" s="28">
        <f t="shared" si="13"/>
        <v>0</v>
      </c>
      <c r="BD14" s="28">
        <f t="shared" si="14"/>
        <v>0</v>
      </c>
      <c r="BE14" s="28">
        <f t="shared" si="15"/>
        <v>0</v>
      </c>
      <c r="BF14" s="28">
        <f t="shared" si="23"/>
        <v>1608.75</v>
      </c>
      <c r="BG14" s="29">
        <f t="shared" si="16"/>
        <v>1608.75</v>
      </c>
      <c r="BH14" s="29">
        <f t="shared" si="24"/>
        <v>0</v>
      </c>
      <c r="BI14" s="30"/>
      <c r="BJ14" s="23" t="s">
        <v>39</v>
      </c>
      <c r="BK14" s="31">
        <v>0</v>
      </c>
      <c r="BL14" s="31">
        <v>39</v>
      </c>
      <c r="BO14" s="31">
        <v>39</v>
      </c>
      <c r="BP14" s="31" t="b">
        <f t="shared" si="17"/>
        <v>1</v>
      </c>
    </row>
    <row r="15" spans="2:68" s="31" customFormat="1" x14ac:dyDescent="0.25">
      <c r="B15" s="21" t="s">
        <v>40</v>
      </c>
      <c r="C15" s="22" t="s">
        <v>26</v>
      </c>
      <c r="D15" s="23" t="s">
        <v>41</v>
      </c>
      <c r="E15" s="24">
        <v>18.420000000000002</v>
      </c>
      <c r="F15" s="24">
        <v>18.420000000000002</v>
      </c>
      <c r="G15" s="22">
        <v>29</v>
      </c>
      <c r="H15" s="22">
        <v>0</v>
      </c>
      <c r="I15" s="22">
        <v>0</v>
      </c>
      <c r="J15" s="22">
        <v>0</v>
      </c>
      <c r="K15" s="22">
        <v>0</v>
      </c>
      <c r="L15" s="22">
        <f t="shared" si="0"/>
        <v>29</v>
      </c>
      <c r="M15" s="22">
        <v>29</v>
      </c>
      <c r="N15" s="22">
        <f t="shared" si="1"/>
        <v>0</v>
      </c>
      <c r="O15" s="153">
        <v>0</v>
      </c>
      <c r="P15" s="153">
        <v>0</v>
      </c>
      <c r="Q15" s="153">
        <v>0</v>
      </c>
      <c r="R15" s="153">
        <v>0</v>
      </c>
      <c r="S15" s="153">
        <f t="shared" si="2"/>
        <v>29</v>
      </c>
      <c r="T15" s="153">
        <v>29</v>
      </c>
      <c r="U15" s="153">
        <f t="shared" si="3"/>
        <v>0</v>
      </c>
      <c r="V15" s="154">
        <v>0</v>
      </c>
      <c r="W15" s="154">
        <v>0</v>
      </c>
      <c r="X15" s="154">
        <v>0</v>
      </c>
      <c r="Y15" s="154">
        <v>0</v>
      </c>
      <c r="Z15" s="154">
        <f t="shared" si="4"/>
        <v>29</v>
      </c>
      <c r="AA15" s="154">
        <v>29</v>
      </c>
      <c r="AB15" s="154">
        <f t="shared" si="5"/>
        <v>0</v>
      </c>
      <c r="AC15" s="154">
        <v>0</v>
      </c>
      <c r="AD15" s="154">
        <v>0</v>
      </c>
      <c r="AE15" s="154">
        <v>0</v>
      </c>
      <c r="AF15" s="154">
        <v>0</v>
      </c>
      <c r="AG15" s="154">
        <f t="shared" si="6"/>
        <v>29</v>
      </c>
      <c r="AH15" s="154">
        <v>29</v>
      </c>
      <c r="AI15" s="154">
        <f t="shared" si="7"/>
        <v>0</v>
      </c>
      <c r="AJ15" s="154">
        <v>0</v>
      </c>
      <c r="AK15" s="154">
        <v>0</v>
      </c>
      <c r="AL15" s="154">
        <v>0</v>
      </c>
      <c r="AM15" s="154">
        <v>0</v>
      </c>
      <c r="AN15" s="154">
        <f t="shared" si="18"/>
        <v>29</v>
      </c>
      <c r="AO15" s="154">
        <v>29</v>
      </c>
      <c r="AP15" s="154">
        <f t="shared" si="8"/>
        <v>0</v>
      </c>
      <c r="AQ15" s="154">
        <f t="shared" si="19"/>
        <v>0</v>
      </c>
      <c r="AR15" s="154">
        <f t="shared" si="20"/>
        <v>0</v>
      </c>
      <c r="AS15" s="154">
        <f t="shared" si="21"/>
        <v>0</v>
      </c>
      <c r="AT15" s="154">
        <f t="shared" si="22"/>
        <v>0</v>
      </c>
      <c r="AU15" s="154">
        <f t="shared" si="9"/>
        <v>29</v>
      </c>
      <c r="AV15" s="154">
        <v>29</v>
      </c>
      <c r="AW15" s="154">
        <f t="shared" si="10"/>
        <v>0</v>
      </c>
      <c r="AX15" s="25"/>
      <c r="AY15" s="26"/>
      <c r="AZ15" s="28">
        <f t="shared" si="11"/>
        <v>534.18000000000006</v>
      </c>
      <c r="BA15" s="28"/>
      <c r="BB15" s="28">
        <f t="shared" si="12"/>
        <v>0</v>
      </c>
      <c r="BC15" s="28">
        <f t="shared" si="13"/>
        <v>0</v>
      </c>
      <c r="BD15" s="28">
        <f t="shared" si="14"/>
        <v>0</v>
      </c>
      <c r="BE15" s="28">
        <f t="shared" si="15"/>
        <v>0</v>
      </c>
      <c r="BF15" s="28">
        <f t="shared" si="23"/>
        <v>534.18000000000006</v>
      </c>
      <c r="BG15" s="29">
        <f t="shared" si="16"/>
        <v>534.18000000000006</v>
      </c>
      <c r="BH15" s="29">
        <f t="shared" si="24"/>
        <v>0</v>
      </c>
      <c r="BI15" s="30"/>
      <c r="BJ15" s="23" t="s">
        <v>41</v>
      </c>
      <c r="BK15" s="31">
        <v>0</v>
      </c>
      <c r="BL15" s="31">
        <v>29</v>
      </c>
      <c r="BO15" s="31">
        <v>29</v>
      </c>
      <c r="BP15" s="31" t="b">
        <f t="shared" si="17"/>
        <v>1</v>
      </c>
    </row>
    <row r="16" spans="2:68" s="31" customFormat="1" x14ac:dyDescent="0.25">
      <c r="B16" s="21" t="s">
        <v>42</v>
      </c>
      <c r="C16" s="22" t="s">
        <v>26</v>
      </c>
      <c r="D16" s="23" t="s">
        <v>43</v>
      </c>
      <c r="E16" s="24">
        <v>29.9</v>
      </c>
      <c r="F16" s="24">
        <v>29.9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f t="shared" si="0"/>
        <v>0</v>
      </c>
      <c r="M16" s="22">
        <v>0</v>
      </c>
      <c r="N16" s="22">
        <f t="shared" si="1"/>
        <v>0</v>
      </c>
      <c r="O16" s="153">
        <v>0</v>
      </c>
      <c r="P16" s="153">
        <v>0</v>
      </c>
      <c r="Q16" s="153">
        <v>0</v>
      </c>
      <c r="R16" s="153">
        <v>0</v>
      </c>
      <c r="S16" s="153">
        <f t="shared" si="2"/>
        <v>0</v>
      </c>
      <c r="T16" s="153">
        <v>0</v>
      </c>
      <c r="U16" s="153">
        <f t="shared" si="3"/>
        <v>0</v>
      </c>
      <c r="V16" s="154">
        <v>0</v>
      </c>
      <c r="W16" s="154">
        <v>0</v>
      </c>
      <c r="X16" s="154">
        <v>0</v>
      </c>
      <c r="Y16" s="154">
        <v>0</v>
      </c>
      <c r="Z16" s="154">
        <f t="shared" si="4"/>
        <v>0</v>
      </c>
      <c r="AA16" s="154">
        <v>0</v>
      </c>
      <c r="AB16" s="154">
        <f t="shared" si="5"/>
        <v>0</v>
      </c>
      <c r="AC16" s="154">
        <v>0</v>
      </c>
      <c r="AD16" s="154">
        <v>0</v>
      </c>
      <c r="AE16" s="154">
        <v>0</v>
      </c>
      <c r="AF16" s="154">
        <v>0</v>
      </c>
      <c r="AG16" s="154">
        <f t="shared" si="6"/>
        <v>0</v>
      </c>
      <c r="AH16" s="154"/>
      <c r="AI16" s="154">
        <f t="shared" si="7"/>
        <v>0</v>
      </c>
      <c r="AJ16" s="154">
        <v>0</v>
      </c>
      <c r="AK16" s="154">
        <v>0</v>
      </c>
      <c r="AL16" s="154">
        <v>0</v>
      </c>
      <c r="AM16" s="154">
        <v>0</v>
      </c>
      <c r="AN16" s="154">
        <f t="shared" si="18"/>
        <v>0</v>
      </c>
      <c r="AO16" s="154">
        <v>0</v>
      </c>
      <c r="AP16" s="154">
        <f t="shared" si="8"/>
        <v>0</v>
      </c>
      <c r="AQ16" s="154">
        <f t="shared" si="19"/>
        <v>0</v>
      </c>
      <c r="AR16" s="154">
        <f t="shared" si="20"/>
        <v>0</v>
      </c>
      <c r="AS16" s="154">
        <f t="shared" si="21"/>
        <v>0</v>
      </c>
      <c r="AT16" s="154">
        <f t="shared" si="22"/>
        <v>0</v>
      </c>
      <c r="AU16" s="154">
        <f t="shared" si="9"/>
        <v>0</v>
      </c>
      <c r="AV16" s="154">
        <f>AH16</f>
        <v>0</v>
      </c>
      <c r="AW16" s="154">
        <f t="shared" si="10"/>
        <v>0</v>
      </c>
      <c r="AX16" s="25"/>
      <c r="AY16" s="26"/>
      <c r="AZ16" s="28">
        <f t="shared" si="11"/>
        <v>0</v>
      </c>
      <c r="BA16" s="28"/>
      <c r="BB16" s="28">
        <f t="shared" si="12"/>
        <v>0</v>
      </c>
      <c r="BC16" s="28">
        <f t="shared" si="13"/>
        <v>0</v>
      </c>
      <c r="BD16" s="28">
        <f t="shared" si="14"/>
        <v>0</v>
      </c>
      <c r="BE16" s="28">
        <f t="shared" si="15"/>
        <v>0</v>
      </c>
      <c r="BF16" s="28">
        <f t="shared" si="23"/>
        <v>0</v>
      </c>
      <c r="BG16" s="29">
        <f t="shared" si="16"/>
        <v>0</v>
      </c>
      <c r="BH16" s="29">
        <f t="shared" si="24"/>
        <v>0</v>
      </c>
      <c r="BI16" s="30"/>
      <c r="BJ16" s="23" t="s">
        <v>43</v>
      </c>
      <c r="BK16" s="31">
        <v>0</v>
      </c>
      <c r="BL16" s="31">
        <v>0</v>
      </c>
      <c r="BO16" s="31">
        <v>0</v>
      </c>
      <c r="BP16" s="31" t="b">
        <f t="shared" si="17"/>
        <v>1</v>
      </c>
    </row>
    <row r="17" spans="2:68" s="31" customFormat="1" x14ac:dyDescent="0.25">
      <c r="B17" s="21" t="s">
        <v>44</v>
      </c>
      <c r="C17" s="22" t="s">
        <v>26</v>
      </c>
      <c r="D17" s="23" t="s">
        <v>45</v>
      </c>
      <c r="E17" s="24">
        <v>99.14</v>
      </c>
      <c r="F17" s="24">
        <v>99.14</v>
      </c>
      <c r="G17" s="22">
        <v>2</v>
      </c>
      <c r="H17" s="22">
        <v>0</v>
      </c>
      <c r="I17" s="22">
        <v>0</v>
      </c>
      <c r="J17" s="22">
        <v>0</v>
      </c>
      <c r="K17" s="22">
        <v>0</v>
      </c>
      <c r="L17" s="22">
        <f t="shared" si="0"/>
        <v>2</v>
      </c>
      <c r="M17" s="22">
        <v>2</v>
      </c>
      <c r="N17" s="22">
        <f t="shared" si="1"/>
        <v>0</v>
      </c>
      <c r="O17" s="153">
        <v>0</v>
      </c>
      <c r="P17" s="153">
        <v>0</v>
      </c>
      <c r="Q17" s="153">
        <v>0</v>
      </c>
      <c r="R17" s="153">
        <v>0</v>
      </c>
      <c r="S17" s="153">
        <f t="shared" si="2"/>
        <v>2</v>
      </c>
      <c r="T17" s="153">
        <v>2</v>
      </c>
      <c r="U17" s="153">
        <f t="shared" si="3"/>
        <v>0</v>
      </c>
      <c r="V17" s="154">
        <v>0</v>
      </c>
      <c r="W17" s="154">
        <v>0</v>
      </c>
      <c r="X17" s="154">
        <v>0</v>
      </c>
      <c r="Y17" s="154">
        <v>0</v>
      </c>
      <c r="Z17" s="154">
        <f t="shared" si="4"/>
        <v>2</v>
      </c>
      <c r="AA17" s="154">
        <v>2</v>
      </c>
      <c r="AB17" s="154">
        <f t="shared" si="5"/>
        <v>0</v>
      </c>
      <c r="AC17" s="154">
        <v>0</v>
      </c>
      <c r="AD17" s="154">
        <v>0</v>
      </c>
      <c r="AE17" s="154">
        <v>0</v>
      </c>
      <c r="AF17" s="154">
        <v>0</v>
      </c>
      <c r="AG17" s="154">
        <f t="shared" si="6"/>
        <v>2</v>
      </c>
      <c r="AH17" s="154">
        <v>2</v>
      </c>
      <c r="AI17" s="154">
        <f t="shared" si="7"/>
        <v>0</v>
      </c>
      <c r="AJ17" s="154">
        <v>0</v>
      </c>
      <c r="AK17" s="154">
        <v>0</v>
      </c>
      <c r="AL17" s="154">
        <v>0</v>
      </c>
      <c r="AM17" s="154">
        <v>0</v>
      </c>
      <c r="AN17" s="154">
        <f t="shared" si="18"/>
        <v>2</v>
      </c>
      <c r="AO17" s="154">
        <v>2</v>
      </c>
      <c r="AP17" s="154">
        <f t="shared" si="8"/>
        <v>0</v>
      </c>
      <c r="AQ17" s="154">
        <f t="shared" si="19"/>
        <v>0</v>
      </c>
      <c r="AR17" s="154">
        <f t="shared" si="20"/>
        <v>0</v>
      </c>
      <c r="AS17" s="154">
        <f t="shared" si="21"/>
        <v>0</v>
      </c>
      <c r="AT17" s="154">
        <f t="shared" si="22"/>
        <v>0</v>
      </c>
      <c r="AU17" s="154">
        <f t="shared" si="9"/>
        <v>2</v>
      </c>
      <c r="AV17" s="154">
        <v>2</v>
      </c>
      <c r="AW17" s="154">
        <f t="shared" si="10"/>
        <v>0</v>
      </c>
      <c r="AX17" s="25"/>
      <c r="AY17" s="26"/>
      <c r="AZ17" s="28">
        <f t="shared" si="11"/>
        <v>198.28</v>
      </c>
      <c r="BA17" s="28"/>
      <c r="BB17" s="28">
        <f t="shared" si="12"/>
        <v>0</v>
      </c>
      <c r="BC17" s="28">
        <f t="shared" si="13"/>
        <v>0</v>
      </c>
      <c r="BD17" s="28">
        <f t="shared" si="14"/>
        <v>0</v>
      </c>
      <c r="BE17" s="28">
        <f t="shared" si="15"/>
        <v>0</v>
      </c>
      <c r="BF17" s="28">
        <f t="shared" si="23"/>
        <v>198.28</v>
      </c>
      <c r="BG17" s="29">
        <f t="shared" si="16"/>
        <v>198.28</v>
      </c>
      <c r="BH17" s="29">
        <f t="shared" si="24"/>
        <v>0</v>
      </c>
      <c r="BI17" s="30"/>
      <c r="BJ17" s="23" t="s">
        <v>45</v>
      </c>
      <c r="BK17" s="31">
        <v>0</v>
      </c>
      <c r="BL17" s="31">
        <v>2</v>
      </c>
      <c r="BO17" s="31">
        <v>2</v>
      </c>
      <c r="BP17" s="31" t="b">
        <f t="shared" si="17"/>
        <v>1</v>
      </c>
    </row>
    <row r="18" spans="2:68" s="31" customFormat="1" x14ac:dyDescent="0.25">
      <c r="B18" s="21" t="s">
        <v>46</v>
      </c>
      <c r="C18" s="22" t="s">
        <v>29</v>
      </c>
      <c r="D18" s="23" t="s">
        <v>47</v>
      </c>
      <c r="E18" s="24">
        <v>13.44</v>
      </c>
      <c r="F18" s="24">
        <v>13.44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f t="shared" si="0"/>
        <v>0</v>
      </c>
      <c r="M18" s="22">
        <v>0</v>
      </c>
      <c r="N18" s="22">
        <f t="shared" si="1"/>
        <v>0</v>
      </c>
      <c r="O18" s="153">
        <v>0</v>
      </c>
      <c r="P18" s="153">
        <v>0</v>
      </c>
      <c r="Q18" s="153">
        <v>0</v>
      </c>
      <c r="R18" s="153">
        <v>0</v>
      </c>
      <c r="S18" s="153">
        <f t="shared" si="2"/>
        <v>0</v>
      </c>
      <c r="T18" s="153">
        <v>0</v>
      </c>
      <c r="U18" s="153">
        <f t="shared" si="3"/>
        <v>0</v>
      </c>
      <c r="V18" s="154">
        <v>0</v>
      </c>
      <c r="W18" s="154">
        <v>0</v>
      </c>
      <c r="X18" s="154">
        <v>0</v>
      </c>
      <c r="Y18" s="154">
        <v>0</v>
      </c>
      <c r="Z18" s="154">
        <f t="shared" si="4"/>
        <v>0</v>
      </c>
      <c r="AA18" s="154">
        <v>0</v>
      </c>
      <c r="AB18" s="154">
        <f t="shared" si="5"/>
        <v>0</v>
      </c>
      <c r="AC18" s="154">
        <v>0</v>
      </c>
      <c r="AD18" s="154">
        <v>0</v>
      </c>
      <c r="AE18" s="154">
        <v>0</v>
      </c>
      <c r="AF18" s="154">
        <v>0</v>
      </c>
      <c r="AG18" s="154">
        <f t="shared" si="6"/>
        <v>0</v>
      </c>
      <c r="AH18" s="154">
        <v>0</v>
      </c>
      <c r="AI18" s="154">
        <f t="shared" si="7"/>
        <v>0</v>
      </c>
      <c r="AJ18" s="154">
        <v>0</v>
      </c>
      <c r="AK18" s="154">
        <v>0</v>
      </c>
      <c r="AL18" s="154">
        <v>0</v>
      </c>
      <c r="AM18" s="154">
        <v>0</v>
      </c>
      <c r="AN18" s="154">
        <f t="shared" si="18"/>
        <v>0</v>
      </c>
      <c r="AO18" s="154">
        <v>0</v>
      </c>
      <c r="AP18" s="154">
        <f t="shared" si="8"/>
        <v>0</v>
      </c>
      <c r="AQ18" s="154">
        <f t="shared" si="19"/>
        <v>0</v>
      </c>
      <c r="AR18" s="154">
        <f t="shared" si="20"/>
        <v>0</v>
      </c>
      <c r="AS18" s="154">
        <f t="shared" si="21"/>
        <v>0</v>
      </c>
      <c r="AT18" s="154">
        <f t="shared" si="22"/>
        <v>0</v>
      </c>
      <c r="AU18" s="154">
        <f t="shared" si="9"/>
        <v>0</v>
      </c>
      <c r="AV18" s="154">
        <f>AH18</f>
        <v>0</v>
      </c>
      <c r="AW18" s="154">
        <f t="shared" si="10"/>
        <v>0</v>
      </c>
      <c r="AX18" s="25"/>
      <c r="AY18" s="26"/>
      <c r="AZ18" s="28">
        <f t="shared" si="11"/>
        <v>0</v>
      </c>
      <c r="BA18" s="28"/>
      <c r="BB18" s="28">
        <f t="shared" si="12"/>
        <v>0</v>
      </c>
      <c r="BC18" s="28">
        <f t="shared" si="13"/>
        <v>0</v>
      </c>
      <c r="BD18" s="28">
        <f t="shared" si="14"/>
        <v>0</v>
      </c>
      <c r="BE18" s="28">
        <f t="shared" si="15"/>
        <v>0</v>
      </c>
      <c r="BF18" s="28">
        <f t="shared" si="23"/>
        <v>0</v>
      </c>
      <c r="BG18" s="29">
        <f t="shared" si="16"/>
        <v>0</v>
      </c>
      <c r="BH18" s="29">
        <f t="shared" si="24"/>
        <v>0</v>
      </c>
      <c r="BI18" s="30"/>
      <c r="BJ18" s="23" t="s">
        <v>48</v>
      </c>
      <c r="BK18" s="31">
        <v>0</v>
      </c>
      <c r="BL18" s="31">
        <v>0</v>
      </c>
      <c r="BO18" s="31">
        <v>0</v>
      </c>
      <c r="BP18" s="31" t="b">
        <f t="shared" si="17"/>
        <v>0</v>
      </c>
    </row>
    <row r="19" spans="2:68" s="31" customFormat="1" x14ac:dyDescent="0.25">
      <c r="B19" s="32" t="s">
        <v>49</v>
      </c>
      <c r="C19" s="22" t="s">
        <v>29</v>
      </c>
      <c r="D19" s="23" t="s">
        <v>50</v>
      </c>
      <c r="E19" s="24">
        <v>15.8</v>
      </c>
      <c r="F19" s="24">
        <v>15.8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f t="shared" si="0"/>
        <v>0</v>
      </c>
      <c r="M19" s="22">
        <v>0</v>
      </c>
      <c r="N19" s="22">
        <f t="shared" si="1"/>
        <v>0</v>
      </c>
      <c r="O19" s="153">
        <v>0</v>
      </c>
      <c r="P19" s="153">
        <v>0</v>
      </c>
      <c r="Q19" s="153">
        <v>0</v>
      </c>
      <c r="R19" s="153">
        <v>0</v>
      </c>
      <c r="S19" s="153">
        <f t="shared" si="2"/>
        <v>0</v>
      </c>
      <c r="T19" s="153">
        <v>0</v>
      </c>
      <c r="U19" s="153">
        <f t="shared" si="3"/>
        <v>0</v>
      </c>
      <c r="V19" s="154">
        <v>0</v>
      </c>
      <c r="W19" s="154">
        <v>0</v>
      </c>
      <c r="X19" s="154">
        <v>0</v>
      </c>
      <c r="Y19" s="154">
        <v>0</v>
      </c>
      <c r="Z19" s="154">
        <f t="shared" si="4"/>
        <v>0</v>
      </c>
      <c r="AA19" s="154">
        <v>0</v>
      </c>
      <c r="AB19" s="154">
        <f t="shared" si="5"/>
        <v>0</v>
      </c>
      <c r="AC19" s="154">
        <v>0</v>
      </c>
      <c r="AD19" s="154">
        <v>0</v>
      </c>
      <c r="AE19" s="154">
        <v>0</v>
      </c>
      <c r="AF19" s="154">
        <v>0</v>
      </c>
      <c r="AG19" s="154">
        <f t="shared" si="6"/>
        <v>0</v>
      </c>
      <c r="AH19" s="154">
        <v>0</v>
      </c>
      <c r="AI19" s="154">
        <f t="shared" si="7"/>
        <v>0</v>
      </c>
      <c r="AJ19" s="154">
        <v>0</v>
      </c>
      <c r="AK19" s="154">
        <v>0</v>
      </c>
      <c r="AL19" s="154">
        <v>0</v>
      </c>
      <c r="AM19" s="154">
        <v>0</v>
      </c>
      <c r="AN19" s="154">
        <f t="shared" si="18"/>
        <v>0</v>
      </c>
      <c r="AO19" s="154">
        <v>0</v>
      </c>
      <c r="AP19" s="154">
        <f t="shared" si="8"/>
        <v>0</v>
      </c>
      <c r="AQ19" s="154">
        <f t="shared" si="19"/>
        <v>0</v>
      </c>
      <c r="AR19" s="154">
        <f t="shared" si="20"/>
        <v>0</v>
      </c>
      <c r="AS19" s="154">
        <f t="shared" si="21"/>
        <v>0</v>
      </c>
      <c r="AT19" s="154">
        <f t="shared" si="22"/>
        <v>0</v>
      </c>
      <c r="AU19" s="154">
        <f t="shared" si="9"/>
        <v>0</v>
      </c>
      <c r="AV19" s="154">
        <f>AH19</f>
        <v>0</v>
      </c>
      <c r="AW19" s="154">
        <f t="shared" si="10"/>
        <v>0</v>
      </c>
      <c r="AX19" s="25"/>
      <c r="AY19" s="26"/>
      <c r="AZ19" s="28">
        <f t="shared" si="11"/>
        <v>0</v>
      </c>
      <c r="BA19" s="28"/>
      <c r="BB19" s="28">
        <f t="shared" si="12"/>
        <v>0</v>
      </c>
      <c r="BC19" s="28">
        <f t="shared" si="13"/>
        <v>0</v>
      </c>
      <c r="BD19" s="28">
        <f t="shared" si="14"/>
        <v>0</v>
      </c>
      <c r="BE19" s="28">
        <f t="shared" si="15"/>
        <v>0</v>
      </c>
      <c r="BF19" s="28">
        <f t="shared" si="23"/>
        <v>0</v>
      </c>
      <c r="BG19" s="29">
        <f t="shared" si="16"/>
        <v>0</v>
      </c>
      <c r="BH19" s="29">
        <f t="shared" si="24"/>
        <v>0</v>
      </c>
      <c r="BI19" s="30"/>
      <c r="BJ19" s="23" t="s">
        <v>50</v>
      </c>
      <c r="BK19" s="31">
        <v>0</v>
      </c>
      <c r="BL19" s="31">
        <v>0</v>
      </c>
      <c r="BO19" s="31">
        <v>0</v>
      </c>
      <c r="BP19" s="31" t="b">
        <f t="shared" si="17"/>
        <v>1</v>
      </c>
    </row>
    <row r="20" spans="2:68" s="31" customFormat="1" x14ac:dyDescent="0.25">
      <c r="B20" s="21" t="s">
        <v>51</v>
      </c>
      <c r="C20" s="22" t="s">
        <v>29</v>
      </c>
      <c r="D20" s="23" t="s">
        <v>52</v>
      </c>
      <c r="E20" s="24">
        <v>13.44</v>
      </c>
      <c r="F20" s="24">
        <v>13.44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f t="shared" si="0"/>
        <v>0</v>
      </c>
      <c r="M20" s="22">
        <v>0</v>
      </c>
      <c r="N20" s="22">
        <f t="shared" si="1"/>
        <v>0</v>
      </c>
      <c r="O20" s="153">
        <v>0</v>
      </c>
      <c r="P20" s="153">
        <v>0</v>
      </c>
      <c r="Q20" s="153">
        <v>0</v>
      </c>
      <c r="R20" s="153">
        <v>0</v>
      </c>
      <c r="S20" s="153">
        <f t="shared" si="2"/>
        <v>0</v>
      </c>
      <c r="T20" s="153">
        <v>0</v>
      </c>
      <c r="U20" s="153">
        <f t="shared" si="3"/>
        <v>0</v>
      </c>
      <c r="V20" s="154">
        <v>0</v>
      </c>
      <c r="W20" s="154">
        <v>0</v>
      </c>
      <c r="X20" s="154">
        <v>0</v>
      </c>
      <c r="Y20" s="154">
        <v>0</v>
      </c>
      <c r="Z20" s="154">
        <f t="shared" si="4"/>
        <v>0</v>
      </c>
      <c r="AA20" s="154">
        <v>0</v>
      </c>
      <c r="AB20" s="154">
        <f t="shared" si="5"/>
        <v>0</v>
      </c>
      <c r="AC20" s="154">
        <v>0</v>
      </c>
      <c r="AD20" s="154">
        <v>0</v>
      </c>
      <c r="AE20" s="154">
        <v>0</v>
      </c>
      <c r="AF20" s="154">
        <v>0</v>
      </c>
      <c r="AG20" s="154">
        <f t="shared" si="6"/>
        <v>0</v>
      </c>
      <c r="AH20" s="154">
        <v>0</v>
      </c>
      <c r="AI20" s="154">
        <f t="shared" si="7"/>
        <v>0</v>
      </c>
      <c r="AJ20" s="154">
        <v>0</v>
      </c>
      <c r="AK20" s="154">
        <v>0</v>
      </c>
      <c r="AL20" s="154">
        <v>0</v>
      </c>
      <c r="AM20" s="154">
        <v>0</v>
      </c>
      <c r="AN20" s="154">
        <f t="shared" si="18"/>
        <v>0</v>
      </c>
      <c r="AO20" s="154">
        <v>0</v>
      </c>
      <c r="AP20" s="154">
        <f t="shared" si="8"/>
        <v>0</v>
      </c>
      <c r="AQ20" s="154">
        <f t="shared" si="19"/>
        <v>0</v>
      </c>
      <c r="AR20" s="154">
        <f t="shared" si="20"/>
        <v>0</v>
      </c>
      <c r="AS20" s="154">
        <f t="shared" si="21"/>
        <v>0</v>
      </c>
      <c r="AT20" s="154">
        <f t="shared" si="22"/>
        <v>0</v>
      </c>
      <c r="AU20" s="154">
        <f t="shared" si="9"/>
        <v>0</v>
      </c>
      <c r="AV20" s="154">
        <f>AH20</f>
        <v>0</v>
      </c>
      <c r="AW20" s="154">
        <f t="shared" si="10"/>
        <v>0</v>
      </c>
      <c r="AX20" s="25"/>
      <c r="AY20" s="26"/>
      <c r="AZ20" s="28">
        <f t="shared" si="11"/>
        <v>0</v>
      </c>
      <c r="BA20" s="28"/>
      <c r="BB20" s="28">
        <f t="shared" si="12"/>
        <v>0</v>
      </c>
      <c r="BC20" s="28">
        <f t="shared" si="13"/>
        <v>0</v>
      </c>
      <c r="BD20" s="28">
        <f t="shared" si="14"/>
        <v>0</v>
      </c>
      <c r="BE20" s="28">
        <f t="shared" si="15"/>
        <v>0</v>
      </c>
      <c r="BF20" s="28">
        <f t="shared" si="23"/>
        <v>0</v>
      </c>
      <c r="BG20" s="29">
        <f t="shared" si="16"/>
        <v>0</v>
      </c>
      <c r="BH20" s="29">
        <f t="shared" si="24"/>
        <v>0</v>
      </c>
      <c r="BI20" s="30"/>
      <c r="BJ20" s="23" t="s">
        <v>52</v>
      </c>
      <c r="BK20" s="31">
        <v>0</v>
      </c>
      <c r="BL20" s="31">
        <v>0</v>
      </c>
      <c r="BO20" s="31">
        <v>0</v>
      </c>
      <c r="BP20" s="31" t="b">
        <f t="shared" si="17"/>
        <v>1</v>
      </c>
    </row>
    <row r="21" spans="2:68" s="31" customFormat="1" x14ac:dyDescent="0.25">
      <c r="B21" s="21" t="s">
        <v>53</v>
      </c>
      <c r="C21" s="22" t="s">
        <v>29</v>
      </c>
      <c r="D21" s="23" t="s">
        <v>54</v>
      </c>
      <c r="E21" s="24">
        <v>15.8</v>
      </c>
      <c r="F21" s="24">
        <v>15.8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f t="shared" si="0"/>
        <v>0</v>
      </c>
      <c r="M21" s="22">
        <v>0</v>
      </c>
      <c r="N21" s="22">
        <f t="shared" si="1"/>
        <v>0</v>
      </c>
      <c r="O21" s="153">
        <v>0</v>
      </c>
      <c r="P21" s="153">
        <v>0</v>
      </c>
      <c r="Q21" s="153">
        <v>0</v>
      </c>
      <c r="R21" s="153">
        <v>0</v>
      </c>
      <c r="S21" s="153">
        <f t="shared" si="2"/>
        <v>0</v>
      </c>
      <c r="T21" s="153">
        <v>0</v>
      </c>
      <c r="U21" s="153">
        <f t="shared" si="3"/>
        <v>0</v>
      </c>
      <c r="V21" s="154">
        <v>0</v>
      </c>
      <c r="W21" s="154">
        <v>0</v>
      </c>
      <c r="X21" s="154">
        <v>0</v>
      </c>
      <c r="Y21" s="154">
        <v>0</v>
      </c>
      <c r="Z21" s="154">
        <f t="shared" si="4"/>
        <v>0</v>
      </c>
      <c r="AA21" s="154">
        <v>0</v>
      </c>
      <c r="AB21" s="154">
        <f t="shared" si="5"/>
        <v>0</v>
      </c>
      <c r="AC21" s="154">
        <v>0</v>
      </c>
      <c r="AD21" s="154">
        <v>0</v>
      </c>
      <c r="AE21" s="154">
        <v>0</v>
      </c>
      <c r="AF21" s="154">
        <v>0</v>
      </c>
      <c r="AG21" s="154">
        <f t="shared" si="6"/>
        <v>0</v>
      </c>
      <c r="AH21" s="154">
        <v>0</v>
      </c>
      <c r="AI21" s="154">
        <f t="shared" si="7"/>
        <v>0</v>
      </c>
      <c r="AJ21" s="154">
        <v>0</v>
      </c>
      <c r="AK21" s="154">
        <v>0</v>
      </c>
      <c r="AL21" s="154">
        <v>0</v>
      </c>
      <c r="AM21" s="154">
        <v>0</v>
      </c>
      <c r="AN21" s="154">
        <f t="shared" si="18"/>
        <v>0</v>
      </c>
      <c r="AO21" s="154">
        <v>0</v>
      </c>
      <c r="AP21" s="154">
        <f t="shared" si="8"/>
        <v>0</v>
      </c>
      <c r="AQ21" s="154">
        <f t="shared" si="19"/>
        <v>0</v>
      </c>
      <c r="AR21" s="154">
        <f t="shared" si="20"/>
        <v>0</v>
      </c>
      <c r="AS21" s="154">
        <f t="shared" si="21"/>
        <v>0</v>
      </c>
      <c r="AT21" s="154">
        <f t="shared" si="22"/>
        <v>0</v>
      </c>
      <c r="AU21" s="154">
        <f t="shared" si="9"/>
        <v>0</v>
      </c>
      <c r="AV21" s="154">
        <f>AH21</f>
        <v>0</v>
      </c>
      <c r="AW21" s="154">
        <f t="shared" si="10"/>
        <v>0</v>
      </c>
      <c r="AX21" s="25"/>
      <c r="AY21" s="26"/>
      <c r="AZ21" s="28">
        <f t="shared" si="11"/>
        <v>0</v>
      </c>
      <c r="BA21" s="28"/>
      <c r="BB21" s="28">
        <f t="shared" si="12"/>
        <v>0</v>
      </c>
      <c r="BC21" s="28">
        <f t="shared" si="13"/>
        <v>0</v>
      </c>
      <c r="BD21" s="28">
        <f t="shared" si="14"/>
        <v>0</v>
      </c>
      <c r="BE21" s="28">
        <f t="shared" si="15"/>
        <v>0</v>
      </c>
      <c r="BF21" s="28">
        <f t="shared" si="23"/>
        <v>0</v>
      </c>
      <c r="BG21" s="29">
        <f t="shared" si="16"/>
        <v>0</v>
      </c>
      <c r="BH21" s="29">
        <f t="shared" si="24"/>
        <v>0</v>
      </c>
      <c r="BI21" s="30"/>
      <c r="BJ21" s="23" t="s">
        <v>54</v>
      </c>
      <c r="BK21" s="31">
        <v>0</v>
      </c>
      <c r="BL21" s="31">
        <v>0</v>
      </c>
      <c r="BO21" s="31">
        <v>0</v>
      </c>
      <c r="BP21" s="31" t="b">
        <f t="shared" si="17"/>
        <v>1</v>
      </c>
    </row>
    <row r="22" spans="2:68" s="31" customFormat="1" x14ac:dyDescent="0.25">
      <c r="B22" s="21" t="s">
        <v>55</v>
      </c>
      <c r="C22" s="22" t="s">
        <v>29</v>
      </c>
      <c r="D22" s="23" t="s">
        <v>56</v>
      </c>
      <c r="E22" s="24">
        <v>0</v>
      </c>
      <c r="F22" s="24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f t="shared" si="0"/>
        <v>0</v>
      </c>
      <c r="M22" s="22">
        <v>0</v>
      </c>
      <c r="N22" s="22">
        <f t="shared" si="1"/>
        <v>0</v>
      </c>
      <c r="O22" s="153">
        <v>0</v>
      </c>
      <c r="P22" s="153">
        <v>0</v>
      </c>
      <c r="Q22" s="153">
        <v>0</v>
      </c>
      <c r="R22" s="153">
        <v>0</v>
      </c>
      <c r="S22" s="153">
        <f t="shared" si="2"/>
        <v>0</v>
      </c>
      <c r="T22" s="153">
        <v>0</v>
      </c>
      <c r="U22" s="153">
        <f t="shared" si="3"/>
        <v>0</v>
      </c>
      <c r="V22" s="154">
        <v>0</v>
      </c>
      <c r="W22" s="154">
        <v>0</v>
      </c>
      <c r="X22" s="154">
        <v>0</v>
      </c>
      <c r="Y22" s="154">
        <v>0</v>
      </c>
      <c r="Z22" s="154">
        <f t="shared" si="4"/>
        <v>0</v>
      </c>
      <c r="AA22" s="154">
        <v>0</v>
      </c>
      <c r="AB22" s="154">
        <f t="shared" si="5"/>
        <v>0</v>
      </c>
      <c r="AC22" s="154">
        <v>0</v>
      </c>
      <c r="AD22" s="154">
        <v>0</v>
      </c>
      <c r="AE22" s="154">
        <v>0</v>
      </c>
      <c r="AF22" s="154">
        <v>0</v>
      </c>
      <c r="AG22" s="154">
        <f t="shared" si="6"/>
        <v>0</v>
      </c>
      <c r="AH22" s="154">
        <v>0</v>
      </c>
      <c r="AI22" s="154">
        <f t="shared" si="7"/>
        <v>0</v>
      </c>
      <c r="AJ22" s="154">
        <v>0</v>
      </c>
      <c r="AK22" s="154">
        <v>0</v>
      </c>
      <c r="AL22" s="154">
        <v>0</v>
      </c>
      <c r="AM22" s="154">
        <v>0</v>
      </c>
      <c r="AN22" s="154">
        <f t="shared" si="18"/>
        <v>0</v>
      </c>
      <c r="AO22" s="154">
        <v>0</v>
      </c>
      <c r="AP22" s="154">
        <f t="shared" si="8"/>
        <v>0</v>
      </c>
      <c r="AQ22" s="154">
        <f t="shared" si="19"/>
        <v>0</v>
      </c>
      <c r="AR22" s="154">
        <f t="shared" si="20"/>
        <v>0</v>
      </c>
      <c r="AS22" s="154">
        <f t="shared" si="21"/>
        <v>0</v>
      </c>
      <c r="AT22" s="154">
        <f t="shared" si="22"/>
        <v>0</v>
      </c>
      <c r="AU22" s="154">
        <f t="shared" si="9"/>
        <v>0</v>
      </c>
      <c r="AV22" s="154">
        <f>AH22</f>
        <v>0</v>
      </c>
      <c r="AW22" s="154">
        <f t="shared" si="10"/>
        <v>0</v>
      </c>
      <c r="AX22" s="25"/>
      <c r="AY22" s="26"/>
      <c r="AZ22" s="28">
        <f t="shared" si="11"/>
        <v>0</v>
      </c>
      <c r="BA22" s="28"/>
      <c r="BB22" s="28">
        <f t="shared" si="12"/>
        <v>0</v>
      </c>
      <c r="BC22" s="28">
        <f t="shared" si="13"/>
        <v>0</v>
      </c>
      <c r="BD22" s="28">
        <f t="shared" si="14"/>
        <v>0</v>
      </c>
      <c r="BE22" s="28">
        <f t="shared" si="15"/>
        <v>0</v>
      </c>
      <c r="BF22" s="28">
        <f t="shared" si="23"/>
        <v>0</v>
      </c>
      <c r="BG22" s="29">
        <f t="shared" si="16"/>
        <v>0</v>
      </c>
      <c r="BH22" s="29">
        <f t="shared" si="24"/>
        <v>0</v>
      </c>
      <c r="BI22" s="30"/>
      <c r="BJ22" s="23" t="s">
        <v>56</v>
      </c>
      <c r="BK22" s="31">
        <v>0</v>
      </c>
      <c r="BL22" s="31">
        <v>0</v>
      </c>
      <c r="BO22" s="31">
        <v>0</v>
      </c>
      <c r="BP22" s="31" t="b">
        <f t="shared" si="17"/>
        <v>1</v>
      </c>
    </row>
    <row r="23" spans="2:68" s="31" customFormat="1" x14ac:dyDescent="0.25">
      <c r="B23" s="21" t="s">
        <v>57</v>
      </c>
      <c r="C23" s="22" t="s">
        <v>58</v>
      </c>
      <c r="D23" s="23" t="s">
        <v>59</v>
      </c>
      <c r="E23" s="24">
        <v>8.74</v>
      </c>
      <c r="F23" s="24">
        <v>8.74</v>
      </c>
      <c r="G23" s="22">
        <v>3</v>
      </c>
      <c r="H23" s="22">
        <v>0</v>
      </c>
      <c r="I23" s="22">
        <v>0</v>
      </c>
      <c r="J23" s="22">
        <v>0</v>
      </c>
      <c r="K23" s="22">
        <v>0</v>
      </c>
      <c r="L23" s="22">
        <f t="shared" si="0"/>
        <v>3</v>
      </c>
      <c r="M23" s="22">
        <v>3</v>
      </c>
      <c r="N23" s="22">
        <f t="shared" si="1"/>
        <v>0</v>
      </c>
      <c r="O23" s="153">
        <v>0</v>
      </c>
      <c r="P23" s="153">
        <v>0</v>
      </c>
      <c r="Q23" s="153">
        <v>0</v>
      </c>
      <c r="R23" s="153">
        <v>0</v>
      </c>
      <c r="S23" s="153">
        <f t="shared" si="2"/>
        <v>3</v>
      </c>
      <c r="T23" s="153">
        <v>3</v>
      </c>
      <c r="U23" s="153">
        <f t="shared" si="3"/>
        <v>0</v>
      </c>
      <c r="V23" s="154">
        <v>0</v>
      </c>
      <c r="W23" s="154">
        <v>0</v>
      </c>
      <c r="X23" s="154">
        <v>0</v>
      </c>
      <c r="Y23" s="154">
        <v>0</v>
      </c>
      <c r="Z23" s="154">
        <f t="shared" si="4"/>
        <v>3</v>
      </c>
      <c r="AA23" s="154">
        <v>3</v>
      </c>
      <c r="AB23" s="154">
        <f t="shared" si="5"/>
        <v>0</v>
      </c>
      <c r="AC23" s="154">
        <v>0</v>
      </c>
      <c r="AD23" s="154">
        <v>0</v>
      </c>
      <c r="AE23" s="154">
        <v>0</v>
      </c>
      <c r="AF23" s="154">
        <v>0</v>
      </c>
      <c r="AG23" s="154">
        <f t="shared" si="6"/>
        <v>3</v>
      </c>
      <c r="AH23" s="154">
        <v>3</v>
      </c>
      <c r="AI23" s="154">
        <f t="shared" si="7"/>
        <v>0</v>
      </c>
      <c r="AJ23" s="154">
        <v>0</v>
      </c>
      <c r="AK23" s="154">
        <v>0</v>
      </c>
      <c r="AL23" s="154">
        <v>0</v>
      </c>
      <c r="AM23" s="154">
        <v>0</v>
      </c>
      <c r="AN23" s="154">
        <f t="shared" si="18"/>
        <v>3</v>
      </c>
      <c r="AO23" s="154">
        <v>3</v>
      </c>
      <c r="AP23" s="154">
        <f t="shared" si="8"/>
        <v>0</v>
      </c>
      <c r="AQ23" s="154">
        <f t="shared" si="19"/>
        <v>0</v>
      </c>
      <c r="AR23" s="154">
        <f t="shared" si="20"/>
        <v>0</v>
      </c>
      <c r="AS23" s="154">
        <f t="shared" si="21"/>
        <v>0</v>
      </c>
      <c r="AT23" s="154">
        <f t="shared" si="22"/>
        <v>0</v>
      </c>
      <c r="AU23" s="154">
        <f t="shared" si="9"/>
        <v>3</v>
      </c>
      <c r="AV23" s="154">
        <v>3</v>
      </c>
      <c r="AW23" s="154">
        <f t="shared" si="10"/>
        <v>0</v>
      </c>
      <c r="AX23" s="25"/>
      <c r="AY23" s="26"/>
      <c r="AZ23" s="28">
        <f t="shared" si="11"/>
        <v>26.22</v>
      </c>
      <c r="BA23" s="28">
        <v>14.67</v>
      </c>
      <c r="BB23" s="28">
        <f t="shared" si="12"/>
        <v>0</v>
      </c>
      <c r="BC23" s="28">
        <f t="shared" si="13"/>
        <v>0</v>
      </c>
      <c r="BD23" s="28">
        <f t="shared" si="14"/>
        <v>0</v>
      </c>
      <c r="BE23" s="28">
        <f t="shared" si="15"/>
        <v>0</v>
      </c>
      <c r="BF23" s="28">
        <f t="shared" si="23"/>
        <v>40.89</v>
      </c>
      <c r="BG23" s="29">
        <f t="shared" si="16"/>
        <v>26.22</v>
      </c>
      <c r="BH23" s="29">
        <f t="shared" si="24"/>
        <v>-14.670000000000002</v>
      </c>
      <c r="BI23" s="30"/>
      <c r="BJ23" s="23" t="s">
        <v>59</v>
      </c>
      <c r="BK23" s="31">
        <v>0</v>
      </c>
      <c r="BL23" s="31">
        <v>3</v>
      </c>
      <c r="BO23" s="31">
        <v>3</v>
      </c>
      <c r="BP23" s="31" t="b">
        <f t="shared" si="17"/>
        <v>1</v>
      </c>
    </row>
    <row r="24" spans="2:68" s="31" customFormat="1" ht="15" customHeight="1" x14ac:dyDescent="0.25">
      <c r="B24" s="21" t="s">
        <v>60</v>
      </c>
      <c r="C24" s="22" t="s">
        <v>26</v>
      </c>
      <c r="D24" s="23" t="s">
        <v>61</v>
      </c>
      <c r="E24" s="24">
        <v>9.48</v>
      </c>
      <c r="F24" s="24">
        <v>9.48</v>
      </c>
      <c r="G24" s="22">
        <v>7</v>
      </c>
      <c r="H24" s="22">
        <v>0</v>
      </c>
      <c r="I24" s="22">
        <v>0</v>
      </c>
      <c r="J24" s="22">
        <v>0</v>
      </c>
      <c r="K24" s="22">
        <v>0</v>
      </c>
      <c r="L24" s="22">
        <f t="shared" si="0"/>
        <v>7</v>
      </c>
      <c r="M24" s="22">
        <v>7</v>
      </c>
      <c r="N24" s="22">
        <f t="shared" si="1"/>
        <v>0</v>
      </c>
      <c r="O24" s="153">
        <v>0</v>
      </c>
      <c r="P24" s="153">
        <v>0</v>
      </c>
      <c r="Q24" s="153">
        <v>0</v>
      </c>
      <c r="R24" s="153">
        <v>0</v>
      </c>
      <c r="S24" s="153">
        <f t="shared" si="2"/>
        <v>7</v>
      </c>
      <c r="T24" s="153">
        <v>7</v>
      </c>
      <c r="U24" s="153">
        <f t="shared" si="3"/>
        <v>0</v>
      </c>
      <c r="V24" s="154">
        <v>0</v>
      </c>
      <c r="W24" s="154">
        <v>0</v>
      </c>
      <c r="X24" s="154">
        <v>0</v>
      </c>
      <c r="Y24" s="154">
        <v>0</v>
      </c>
      <c r="Z24" s="154">
        <f t="shared" si="4"/>
        <v>7</v>
      </c>
      <c r="AA24" s="154">
        <v>7</v>
      </c>
      <c r="AB24" s="154">
        <f t="shared" si="5"/>
        <v>0</v>
      </c>
      <c r="AC24" s="154">
        <v>0</v>
      </c>
      <c r="AD24" s="154">
        <v>0</v>
      </c>
      <c r="AE24" s="154">
        <v>0</v>
      </c>
      <c r="AF24" s="154">
        <v>0</v>
      </c>
      <c r="AG24" s="154">
        <f t="shared" si="6"/>
        <v>7</v>
      </c>
      <c r="AH24" s="154">
        <v>7</v>
      </c>
      <c r="AI24" s="154">
        <f t="shared" si="7"/>
        <v>0</v>
      </c>
      <c r="AJ24" s="154">
        <v>0</v>
      </c>
      <c r="AK24" s="154">
        <v>0</v>
      </c>
      <c r="AL24" s="154">
        <v>0</v>
      </c>
      <c r="AM24" s="154">
        <v>0</v>
      </c>
      <c r="AN24" s="154">
        <f t="shared" si="18"/>
        <v>7</v>
      </c>
      <c r="AO24" s="154">
        <v>7</v>
      </c>
      <c r="AP24" s="154">
        <f t="shared" si="8"/>
        <v>0</v>
      </c>
      <c r="AQ24" s="154">
        <f t="shared" si="19"/>
        <v>0</v>
      </c>
      <c r="AR24" s="154">
        <f t="shared" si="20"/>
        <v>0</v>
      </c>
      <c r="AS24" s="154">
        <f t="shared" si="21"/>
        <v>0</v>
      </c>
      <c r="AT24" s="154">
        <f t="shared" si="22"/>
        <v>0</v>
      </c>
      <c r="AU24" s="154">
        <f t="shared" si="9"/>
        <v>7</v>
      </c>
      <c r="AV24" s="154">
        <v>7</v>
      </c>
      <c r="AW24" s="154">
        <f t="shared" si="10"/>
        <v>0</v>
      </c>
      <c r="AX24" s="25"/>
      <c r="AY24" s="26"/>
      <c r="AZ24" s="28">
        <f t="shared" si="11"/>
        <v>66.36</v>
      </c>
      <c r="BA24" s="28"/>
      <c r="BB24" s="28">
        <f t="shared" si="12"/>
        <v>0</v>
      </c>
      <c r="BC24" s="28">
        <f t="shared" si="13"/>
        <v>0</v>
      </c>
      <c r="BD24" s="28">
        <f t="shared" si="14"/>
        <v>0</v>
      </c>
      <c r="BE24" s="28">
        <f t="shared" si="15"/>
        <v>0</v>
      </c>
      <c r="BF24" s="28">
        <f t="shared" si="23"/>
        <v>66.36</v>
      </c>
      <c r="BG24" s="29">
        <f t="shared" si="16"/>
        <v>66.36</v>
      </c>
      <c r="BH24" s="29">
        <f t="shared" si="24"/>
        <v>0</v>
      </c>
      <c r="BI24" s="30"/>
      <c r="BJ24" s="23" t="s">
        <v>61</v>
      </c>
      <c r="BK24" s="31">
        <v>0</v>
      </c>
      <c r="BL24" s="31">
        <v>7</v>
      </c>
      <c r="BO24" s="31">
        <v>7</v>
      </c>
      <c r="BP24" s="31" t="b">
        <f t="shared" si="17"/>
        <v>1</v>
      </c>
    </row>
    <row r="25" spans="2:68" s="31" customFormat="1" ht="15" customHeight="1" x14ac:dyDescent="0.25">
      <c r="B25" s="21" t="s">
        <v>62</v>
      </c>
      <c r="C25" s="22" t="s">
        <v>26</v>
      </c>
      <c r="D25" s="23" t="s">
        <v>63</v>
      </c>
      <c r="E25" s="24">
        <v>12.07</v>
      </c>
      <c r="F25" s="24">
        <v>12.07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f t="shared" si="0"/>
        <v>0</v>
      </c>
      <c r="M25" s="22">
        <v>0</v>
      </c>
      <c r="N25" s="22">
        <f t="shared" si="1"/>
        <v>0</v>
      </c>
      <c r="O25" s="153">
        <v>0</v>
      </c>
      <c r="P25" s="153">
        <v>0</v>
      </c>
      <c r="Q25" s="153">
        <v>0</v>
      </c>
      <c r="R25" s="153">
        <v>0</v>
      </c>
      <c r="S25" s="153">
        <f t="shared" si="2"/>
        <v>0</v>
      </c>
      <c r="T25" s="153">
        <v>0</v>
      </c>
      <c r="U25" s="153">
        <f t="shared" si="3"/>
        <v>0</v>
      </c>
      <c r="V25" s="154">
        <v>0</v>
      </c>
      <c r="W25" s="154">
        <v>0</v>
      </c>
      <c r="X25" s="154">
        <v>0</v>
      </c>
      <c r="Y25" s="154">
        <v>0</v>
      </c>
      <c r="Z25" s="154">
        <f t="shared" si="4"/>
        <v>0</v>
      </c>
      <c r="AA25" s="154">
        <v>0</v>
      </c>
      <c r="AB25" s="154">
        <f t="shared" si="5"/>
        <v>0</v>
      </c>
      <c r="AC25" s="154">
        <v>0</v>
      </c>
      <c r="AD25" s="154">
        <v>0</v>
      </c>
      <c r="AE25" s="154">
        <v>0</v>
      </c>
      <c r="AF25" s="154">
        <v>0</v>
      </c>
      <c r="AG25" s="154">
        <f t="shared" si="6"/>
        <v>0</v>
      </c>
      <c r="AH25" s="154">
        <v>0</v>
      </c>
      <c r="AI25" s="154">
        <f t="shared" si="7"/>
        <v>0</v>
      </c>
      <c r="AJ25" s="154">
        <v>0</v>
      </c>
      <c r="AK25" s="154">
        <v>0</v>
      </c>
      <c r="AL25" s="154">
        <v>0</v>
      </c>
      <c r="AM25" s="154">
        <v>0</v>
      </c>
      <c r="AN25" s="154">
        <f t="shared" si="18"/>
        <v>0</v>
      </c>
      <c r="AO25" s="154">
        <v>0</v>
      </c>
      <c r="AP25" s="154">
        <f t="shared" si="8"/>
        <v>0</v>
      </c>
      <c r="AQ25" s="154">
        <f t="shared" si="19"/>
        <v>0</v>
      </c>
      <c r="AR25" s="154">
        <f t="shared" si="20"/>
        <v>0</v>
      </c>
      <c r="AS25" s="154">
        <f t="shared" si="21"/>
        <v>0</v>
      </c>
      <c r="AT25" s="154">
        <f t="shared" si="22"/>
        <v>0</v>
      </c>
      <c r="AU25" s="154">
        <f t="shared" si="9"/>
        <v>0</v>
      </c>
      <c r="AV25" s="154">
        <f>AH25</f>
        <v>0</v>
      </c>
      <c r="AW25" s="154">
        <f t="shared" si="10"/>
        <v>0</v>
      </c>
      <c r="AX25" s="25"/>
      <c r="AY25" s="26"/>
      <c r="AZ25" s="28">
        <f t="shared" si="11"/>
        <v>0</v>
      </c>
      <c r="BA25" s="28"/>
      <c r="BB25" s="28">
        <f t="shared" si="12"/>
        <v>0</v>
      </c>
      <c r="BC25" s="28">
        <f t="shared" si="13"/>
        <v>0</v>
      </c>
      <c r="BD25" s="28">
        <f t="shared" si="14"/>
        <v>0</v>
      </c>
      <c r="BE25" s="28">
        <f t="shared" si="15"/>
        <v>0</v>
      </c>
      <c r="BF25" s="28">
        <f t="shared" si="23"/>
        <v>0</v>
      </c>
      <c r="BG25" s="29">
        <f t="shared" si="16"/>
        <v>0</v>
      </c>
      <c r="BH25" s="29">
        <f t="shared" si="24"/>
        <v>0</v>
      </c>
      <c r="BI25" s="30"/>
      <c r="BJ25" s="23" t="s">
        <v>63</v>
      </c>
      <c r="BK25" s="31">
        <v>0</v>
      </c>
      <c r="BL25" s="31">
        <v>0</v>
      </c>
      <c r="BO25" s="31">
        <v>0</v>
      </c>
      <c r="BP25" s="31" t="b">
        <f t="shared" si="17"/>
        <v>1</v>
      </c>
    </row>
    <row r="26" spans="2:68" s="31" customFormat="1" ht="15" customHeight="1" x14ac:dyDescent="0.25">
      <c r="B26" s="21" t="s">
        <v>64</v>
      </c>
      <c r="C26" s="22" t="s">
        <v>26</v>
      </c>
      <c r="D26" s="23" t="s">
        <v>65</v>
      </c>
      <c r="E26" s="24">
        <v>30.69</v>
      </c>
      <c r="F26" s="24">
        <v>30.69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f t="shared" si="0"/>
        <v>0</v>
      </c>
      <c r="M26" s="22">
        <v>0</v>
      </c>
      <c r="N26" s="22">
        <f t="shared" si="1"/>
        <v>0</v>
      </c>
      <c r="O26" s="153">
        <v>0</v>
      </c>
      <c r="P26" s="153">
        <v>0</v>
      </c>
      <c r="Q26" s="153">
        <v>0</v>
      </c>
      <c r="R26" s="153">
        <v>0</v>
      </c>
      <c r="S26" s="153">
        <f t="shared" si="2"/>
        <v>0</v>
      </c>
      <c r="T26" s="153">
        <v>0</v>
      </c>
      <c r="U26" s="153">
        <f t="shared" si="3"/>
        <v>0</v>
      </c>
      <c r="V26" s="154">
        <v>0</v>
      </c>
      <c r="W26" s="154">
        <v>0</v>
      </c>
      <c r="X26" s="154">
        <v>0</v>
      </c>
      <c r="Y26" s="154">
        <v>0</v>
      </c>
      <c r="Z26" s="154">
        <f t="shared" si="4"/>
        <v>0</v>
      </c>
      <c r="AA26" s="154">
        <v>0</v>
      </c>
      <c r="AB26" s="154">
        <f t="shared" si="5"/>
        <v>0</v>
      </c>
      <c r="AC26" s="154">
        <v>0</v>
      </c>
      <c r="AD26" s="154">
        <v>0</v>
      </c>
      <c r="AE26" s="154">
        <v>0</v>
      </c>
      <c r="AF26" s="154">
        <v>0</v>
      </c>
      <c r="AG26" s="154">
        <f t="shared" si="6"/>
        <v>0</v>
      </c>
      <c r="AH26" s="154"/>
      <c r="AI26" s="154">
        <f t="shared" si="7"/>
        <v>0</v>
      </c>
      <c r="AJ26" s="154">
        <v>0</v>
      </c>
      <c r="AK26" s="154">
        <v>0</v>
      </c>
      <c r="AL26" s="154">
        <v>0</v>
      </c>
      <c r="AM26" s="154">
        <v>0</v>
      </c>
      <c r="AN26" s="154">
        <f t="shared" si="18"/>
        <v>0</v>
      </c>
      <c r="AO26" s="154">
        <v>0</v>
      </c>
      <c r="AP26" s="154">
        <f t="shared" si="8"/>
        <v>0</v>
      </c>
      <c r="AQ26" s="154">
        <f t="shared" si="19"/>
        <v>0</v>
      </c>
      <c r="AR26" s="154">
        <f t="shared" si="20"/>
        <v>0</v>
      </c>
      <c r="AS26" s="154">
        <f t="shared" si="21"/>
        <v>0</v>
      </c>
      <c r="AT26" s="154">
        <f t="shared" si="22"/>
        <v>0</v>
      </c>
      <c r="AU26" s="154">
        <f t="shared" si="9"/>
        <v>0</v>
      </c>
      <c r="AV26" s="154">
        <f>AH26</f>
        <v>0</v>
      </c>
      <c r="AW26" s="154">
        <f t="shared" si="10"/>
        <v>0</v>
      </c>
      <c r="AX26" s="25"/>
      <c r="AY26" s="26"/>
      <c r="AZ26" s="28">
        <f t="shared" si="11"/>
        <v>0</v>
      </c>
      <c r="BA26" s="28"/>
      <c r="BB26" s="28">
        <f t="shared" si="12"/>
        <v>0</v>
      </c>
      <c r="BC26" s="28">
        <f t="shared" si="13"/>
        <v>0</v>
      </c>
      <c r="BD26" s="28">
        <f t="shared" si="14"/>
        <v>0</v>
      </c>
      <c r="BE26" s="28">
        <f t="shared" si="15"/>
        <v>0</v>
      </c>
      <c r="BF26" s="28">
        <f t="shared" si="23"/>
        <v>0</v>
      </c>
      <c r="BG26" s="29">
        <f t="shared" si="16"/>
        <v>0</v>
      </c>
      <c r="BH26" s="29">
        <f t="shared" si="24"/>
        <v>0</v>
      </c>
      <c r="BI26" s="30"/>
      <c r="BJ26" s="23" t="s">
        <v>66</v>
      </c>
      <c r="BK26" s="31">
        <v>0</v>
      </c>
      <c r="BL26" s="31">
        <v>0</v>
      </c>
      <c r="BO26" s="31">
        <v>0</v>
      </c>
      <c r="BP26" s="31" t="b">
        <f t="shared" si="17"/>
        <v>0</v>
      </c>
    </row>
    <row r="27" spans="2:68" s="31" customFormat="1" x14ac:dyDescent="0.25">
      <c r="B27" s="21" t="s">
        <v>67</v>
      </c>
      <c r="C27" s="22" t="s">
        <v>26</v>
      </c>
      <c r="D27" s="23" t="s">
        <v>68</v>
      </c>
      <c r="E27" s="24">
        <v>30.17</v>
      </c>
      <c r="F27" s="24">
        <v>33.75</v>
      </c>
      <c r="G27" s="22">
        <v>9</v>
      </c>
      <c r="H27" s="22">
        <v>0</v>
      </c>
      <c r="I27" s="22">
        <v>0</v>
      </c>
      <c r="J27" s="162">
        <v>1</v>
      </c>
      <c r="K27" s="22">
        <v>0</v>
      </c>
      <c r="L27" s="22">
        <f t="shared" si="0"/>
        <v>8</v>
      </c>
      <c r="M27" s="22">
        <v>8</v>
      </c>
      <c r="N27" s="22">
        <f t="shared" si="1"/>
        <v>0</v>
      </c>
      <c r="O27" s="153">
        <v>0</v>
      </c>
      <c r="P27" s="153">
        <v>0</v>
      </c>
      <c r="Q27" s="153">
        <v>0</v>
      </c>
      <c r="R27" s="153">
        <v>0</v>
      </c>
      <c r="S27" s="153">
        <f t="shared" si="2"/>
        <v>8</v>
      </c>
      <c r="T27" s="153">
        <v>8</v>
      </c>
      <c r="U27" s="153">
        <f t="shared" si="3"/>
        <v>0</v>
      </c>
      <c r="V27" s="154">
        <v>0</v>
      </c>
      <c r="W27" s="154">
        <v>0</v>
      </c>
      <c r="X27" s="154">
        <v>0</v>
      </c>
      <c r="Y27" s="154">
        <v>0</v>
      </c>
      <c r="Z27" s="154">
        <f t="shared" si="4"/>
        <v>8</v>
      </c>
      <c r="AA27" s="154">
        <v>8</v>
      </c>
      <c r="AB27" s="154">
        <f t="shared" si="5"/>
        <v>0</v>
      </c>
      <c r="AC27" s="154">
        <v>0</v>
      </c>
      <c r="AD27" s="154">
        <v>0</v>
      </c>
      <c r="AE27" s="154">
        <v>0</v>
      </c>
      <c r="AF27" s="154">
        <v>0</v>
      </c>
      <c r="AG27" s="154">
        <f t="shared" si="6"/>
        <v>8</v>
      </c>
      <c r="AH27" s="154">
        <v>8</v>
      </c>
      <c r="AI27" s="154">
        <f t="shared" si="7"/>
        <v>0</v>
      </c>
      <c r="AJ27" s="154">
        <v>0</v>
      </c>
      <c r="AK27" s="154">
        <v>0</v>
      </c>
      <c r="AL27" s="154">
        <v>0</v>
      </c>
      <c r="AM27" s="154">
        <v>0</v>
      </c>
      <c r="AN27" s="154">
        <f t="shared" si="18"/>
        <v>8</v>
      </c>
      <c r="AO27" s="154">
        <v>8</v>
      </c>
      <c r="AP27" s="154">
        <f t="shared" si="8"/>
        <v>0</v>
      </c>
      <c r="AQ27" s="154">
        <f t="shared" si="19"/>
        <v>0</v>
      </c>
      <c r="AR27" s="154">
        <f t="shared" si="20"/>
        <v>0</v>
      </c>
      <c r="AS27" s="154">
        <f t="shared" si="21"/>
        <v>1</v>
      </c>
      <c r="AT27" s="154">
        <f t="shared" si="22"/>
        <v>0</v>
      </c>
      <c r="AU27" s="154">
        <f t="shared" si="9"/>
        <v>8</v>
      </c>
      <c r="AV27" s="154">
        <v>8</v>
      </c>
      <c r="AW27" s="154">
        <f t="shared" si="10"/>
        <v>0</v>
      </c>
      <c r="AX27" s="25"/>
      <c r="AY27" s="26"/>
      <c r="AZ27" s="28">
        <f t="shared" si="11"/>
        <v>271.53000000000003</v>
      </c>
      <c r="BA27" s="28"/>
      <c r="BB27" s="28">
        <f t="shared" si="12"/>
        <v>0</v>
      </c>
      <c r="BC27" s="28">
        <f t="shared" si="13"/>
        <v>0</v>
      </c>
      <c r="BD27" s="28">
        <f t="shared" si="14"/>
        <v>33.75</v>
      </c>
      <c r="BE27" s="28">
        <f t="shared" si="15"/>
        <v>0</v>
      </c>
      <c r="BF27" s="28">
        <f t="shared" si="23"/>
        <v>237.78000000000003</v>
      </c>
      <c r="BG27" s="29">
        <f t="shared" si="16"/>
        <v>270</v>
      </c>
      <c r="BH27" s="29">
        <f t="shared" si="24"/>
        <v>32.21999999999997</v>
      </c>
      <c r="BI27" s="30"/>
      <c r="BJ27" s="23" t="s">
        <v>68</v>
      </c>
      <c r="BK27" s="31">
        <v>0</v>
      </c>
      <c r="BL27" s="31">
        <v>9</v>
      </c>
      <c r="BO27" s="31">
        <v>9</v>
      </c>
      <c r="BP27" s="31" t="b">
        <f t="shared" si="17"/>
        <v>1</v>
      </c>
    </row>
    <row r="28" spans="2:68" s="31" customFormat="1" x14ac:dyDescent="0.25">
      <c r="B28" s="21" t="s">
        <v>69</v>
      </c>
      <c r="C28" s="22" t="s">
        <v>29</v>
      </c>
      <c r="D28" s="23" t="s">
        <v>70</v>
      </c>
      <c r="E28" s="24">
        <v>16.8</v>
      </c>
      <c r="F28" s="24">
        <v>16.8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f t="shared" si="0"/>
        <v>0</v>
      </c>
      <c r="M28" s="22">
        <v>0</v>
      </c>
      <c r="N28" s="22">
        <f t="shared" si="1"/>
        <v>0</v>
      </c>
      <c r="O28" s="153">
        <v>0</v>
      </c>
      <c r="P28" s="153">
        <v>0</v>
      </c>
      <c r="Q28" s="153">
        <v>0</v>
      </c>
      <c r="R28" s="153">
        <v>0</v>
      </c>
      <c r="S28" s="153">
        <f t="shared" si="2"/>
        <v>0</v>
      </c>
      <c r="T28" s="153">
        <v>0</v>
      </c>
      <c r="U28" s="153">
        <f t="shared" si="3"/>
        <v>0</v>
      </c>
      <c r="V28" s="154">
        <v>0</v>
      </c>
      <c r="W28" s="154">
        <v>0</v>
      </c>
      <c r="X28" s="154">
        <v>0</v>
      </c>
      <c r="Y28" s="154">
        <v>0</v>
      </c>
      <c r="Z28" s="154">
        <f t="shared" si="4"/>
        <v>0</v>
      </c>
      <c r="AA28" s="154">
        <v>0</v>
      </c>
      <c r="AB28" s="154">
        <f t="shared" si="5"/>
        <v>0</v>
      </c>
      <c r="AC28" s="154">
        <v>0</v>
      </c>
      <c r="AD28" s="154">
        <v>0</v>
      </c>
      <c r="AE28" s="154">
        <v>0</v>
      </c>
      <c r="AF28" s="154">
        <v>0</v>
      </c>
      <c r="AG28" s="154">
        <f t="shared" si="6"/>
        <v>0</v>
      </c>
      <c r="AH28" s="154">
        <v>0</v>
      </c>
      <c r="AI28" s="154">
        <f t="shared" si="7"/>
        <v>0</v>
      </c>
      <c r="AJ28" s="154">
        <v>0</v>
      </c>
      <c r="AK28" s="154">
        <v>0</v>
      </c>
      <c r="AL28" s="154">
        <v>0</v>
      </c>
      <c r="AM28" s="154">
        <v>0</v>
      </c>
      <c r="AN28" s="154">
        <f t="shared" si="18"/>
        <v>0</v>
      </c>
      <c r="AO28" s="154">
        <v>0</v>
      </c>
      <c r="AP28" s="154">
        <f t="shared" si="8"/>
        <v>0</v>
      </c>
      <c r="AQ28" s="154">
        <f t="shared" si="19"/>
        <v>0</v>
      </c>
      <c r="AR28" s="154">
        <f t="shared" si="20"/>
        <v>0</v>
      </c>
      <c r="AS28" s="154">
        <f t="shared" si="21"/>
        <v>0</v>
      </c>
      <c r="AT28" s="154">
        <f t="shared" si="22"/>
        <v>0</v>
      </c>
      <c r="AU28" s="154">
        <f t="shared" si="9"/>
        <v>0</v>
      </c>
      <c r="AV28" s="154">
        <f>AH28</f>
        <v>0</v>
      </c>
      <c r="AW28" s="154">
        <f t="shared" si="10"/>
        <v>0</v>
      </c>
      <c r="AX28" s="25"/>
      <c r="AY28" s="26"/>
      <c r="AZ28" s="28">
        <f t="shared" si="11"/>
        <v>0</v>
      </c>
      <c r="BA28" s="28"/>
      <c r="BB28" s="28">
        <f t="shared" si="12"/>
        <v>0</v>
      </c>
      <c r="BC28" s="28">
        <f t="shared" si="13"/>
        <v>0</v>
      </c>
      <c r="BD28" s="28">
        <f t="shared" si="14"/>
        <v>0</v>
      </c>
      <c r="BE28" s="28">
        <f t="shared" si="15"/>
        <v>0</v>
      </c>
      <c r="BF28" s="28">
        <f t="shared" si="23"/>
        <v>0</v>
      </c>
      <c r="BG28" s="29">
        <f t="shared" si="16"/>
        <v>0</v>
      </c>
      <c r="BH28" s="29">
        <f t="shared" si="24"/>
        <v>0</v>
      </c>
      <c r="BI28" s="30"/>
      <c r="BJ28" s="23" t="s">
        <v>70</v>
      </c>
      <c r="BK28" s="31">
        <v>0</v>
      </c>
      <c r="BL28" s="31">
        <v>0</v>
      </c>
      <c r="BO28" s="31">
        <v>0</v>
      </c>
      <c r="BP28" s="31" t="b">
        <f t="shared" si="17"/>
        <v>1</v>
      </c>
    </row>
    <row r="29" spans="2:68" s="31" customFormat="1" x14ac:dyDescent="0.25">
      <c r="B29" s="21" t="s">
        <v>71</v>
      </c>
      <c r="C29" s="22" t="s">
        <v>58</v>
      </c>
      <c r="D29" s="23" t="s">
        <v>72</v>
      </c>
      <c r="E29" s="24">
        <v>11</v>
      </c>
      <c r="F29" s="24">
        <v>11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f t="shared" si="0"/>
        <v>0</v>
      </c>
      <c r="M29" s="22">
        <v>0</v>
      </c>
      <c r="N29" s="22">
        <f t="shared" si="1"/>
        <v>0</v>
      </c>
      <c r="O29" s="153">
        <v>0</v>
      </c>
      <c r="P29" s="153">
        <v>0</v>
      </c>
      <c r="Q29" s="153">
        <v>0</v>
      </c>
      <c r="R29" s="153">
        <v>0</v>
      </c>
      <c r="S29" s="153">
        <f t="shared" si="2"/>
        <v>0</v>
      </c>
      <c r="T29" s="153">
        <v>0</v>
      </c>
      <c r="U29" s="153">
        <f t="shared" si="3"/>
        <v>0</v>
      </c>
      <c r="V29" s="154">
        <v>0</v>
      </c>
      <c r="W29" s="154">
        <v>0</v>
      </c>
      <c r="X29" s="154">
        <v>0</v>
      </c>
      <c r="Y29" s="154">
        <v>0</v>
      </c>
      <c r="Z29" s="154">
        <f t="shared" si="4"/>
        <v>0</v>
      </c>
      <c r="AA29" s="154">
        <v>0</v>
      </c>
      <c r="AB29" s="154">
        <f t="shared" si="5"/>
        <v>0</v>
      </c>
      <c r="AC29" s="154">
        <v>0</v>
      </c>
      <c r="AD29" s="154">
        <v>0</v>
      </c>
      <c r="AE29" s="154">
        <v>0</v>
      </c>
      <c r="AF29" s="154">
        <v>0</v>
      </c>
      <c r="AG29" s="154">
        <f t="shared" si="6"/>
        <v>0</v>
      </c>
      <c r="AH29" s="154">
        <v>0</v>
      </c>
      <c r="AI29" s="154">
        <f t="shared" si="7"/>
        <v>0</v>
      </c>
      <c r="AJ29" s="154">
        <v>0</v>
      </c>
      <c r="AK29" s="154">
        <v>0</v>
      </c>
      <c r="AL29" s="154">
        <v>0</v>
      </c>
      <c r="AM29" s="154">
        <v>0</v>
      </c>
      <c r="AN29" s="154">
        <f t="shared" si="18"/>
        <v>0</v>
      </c>
      <c r="AO29" s="154">
        <v>0</v>
      </c>
      <c r="AP29" s="154">
        <f t="shared" si="8"/>
        <v>0</v>
      </c>
      <c r="AQ29" s="154">
        <f t="shared" si="19"/>
        <v>0</v>
      </c>
      <c r="AR29" s="154">
        <f t="shared" si="20"/>
        <v>0</v>
      </c>
      <c r="AS29" s="154">
        <f t="shared" si="21"/>
        <v>0</v>
      </c>
      <c r="AT29" s="154">
        <f t="shared" si="22"/>
        <v>0</v>
      </c>
      <c r="AU29" s="154">
        <f t="shared" si="9"/>
        <v>0</v>
      </c>
      <c r="AV29" s="154">
        <f>AH29</f>
        <v>0</v>
      </c>
      <c r="AW29" s="154">
        <f t="shared" si="10"/>
        <v>0</v>
      </c>
      <c r="AX29" s="25"/>
      <c r="AY29" s="26"/>
      <c r="AZ29" s="28">
        <f t="shared" si="11"/>
        <v>0</v>
      </c>
      <c r="BA29" s="28"/>
      <c r="BB29" s="28">
        <f t="shared" si="12"/>
        <v>0</v>
      </c>
      <c r="BC29" s="28">
        <f t="shared" si="13"/>
        <v>0</v>
      </c>
      <c r="BD29" s="28">
        <f t="shared" si="14"/>
        <v>0</v>
      </c>
      <c r="BE29" s="28">
        <f t="shared" si="15"/>
        <v>0</v>
      </c>
      <c r="BF29" s="28">
        <f t="shared" si="23"/>
        <v>0</v>
      </c>
      <c r="BG29" s="29">
        <f t="shared" si="16"/>
        <v>0</v>
      </c>
      <c r="BH29" s="29">
        <f t="shared" si="24"/>
        <v>0</v>
      </c>
      <c r="BI29" s="30"/>
      <c r="BJ29" s="23" t="s">
        <v>72</v>
      </c>
      <c r="BK29" s="31">
        <v>0</v>
      </c>
      <c r="BL29" s="31">
        <v>0</v>
      </c>
      <c r="BO29" s="31">
        <v>0</v>
      </c>
      <c r="BP29" s="31" t="b">
        <f t="shared" si="17"/>
        <v>1</v>
      </c>
    </row>
    <row r="30" spans="2:68" s="31" customFormat="1" x14ac:dyDescent="0.25">
      <c r="B30" s="21" t="s">
        <v>73</v>
      </c>
      <c r="C30" s="22" t="s">
        <v>58</v>
      </c>
      <c r="D30" s="23" t="s">
        <v>74</v>
      </c>
      <c r="E30" s="24">
        <v>3.33</v>
      </c>
      <c r="F30" s="24">
        <v>3.33</v>
      </c>
      <c r="G30" s="22">
        <v>1</v>
      </c>
      <c r="H30" s="22">
        <v>0</v>
      </c>
      <c r="I30" s="22">
        <v>0</v>
      </c>
      <c r="J30" s="22">
        <v>0</v>
      </c>
      <c r="K30" s="22">
        <v>0</v>
      </c>
      <c r="L30" s="22">
        <f t="shared" si="0"/>
        <v>1</v>
      </c>
      <c r="M30" s="22">
        <v>1</v>
      </c>
      <c r="N30" s="22">
        <f t="shared" si="1"/>
        <v>0</v>
      </c>
      <c r="O30" s="153">
        <v>0</v>
      </c>
      <c r="P30" s="153">
        <v>0</v>
      </c>
      <c r="Q30" s="153">
        <v>0</v>
      </c>
      <c r="R30" s="153">
        <v>0</v>
      </c>
      <c r="S30" s="153">
        <f t="shared" si="2"/>
        <v>1</v>
      </c>
      <c r="T30" s="153">
        <v>1</v>
      </c>
      <c r="U30" s="153">
        <f t="shared" si="3"/>
        <v>0</v>
      </c>
      <c r="V30" s="154">
        <v>0</v>
      </c>
      <c r="W30" s="154">
        <v>0</v>
      </c>
      <c r="X30" s="154">
        <v>0</v>
      </c>
      <c r="Y30" s="154">
        <v>0</v>
      </c>
      <c r="Z30" s="154">
        <f t="shared" si="4"/>
        <v>1</v>
      </c>
      <c r="AA30" s="154">
        <v>1</v>
      </c>
      <c r="AB30" s="154">
        <f t="shared" si="5"/>
        <v>0</v>
      </c>
      <c r="AC30" s="154">
        <v>0</v>
      </c>
      <c r="AD30" s="154">
        <v>0</v>
      </c>
      <c r="AE30" s="154">
        <v>0</v>
      </c>
      <c r="AF30" s="154">
        <v>0</v>
      </c>
      <c r="AG30" s="154">
        <f t="shared" si="6"/>
        <v>1</v>
      </c>
      <c r="AH30" s="154">
        <v>1</v>
      </c>
      <c r="AI30" s="154">
        <f t="shared" si="7"/>
        <v>0</v>
      </c>
      <c r="AJ30" s="154">
        <v>0</v>
      </c>
      <c r="AK30" s="154">
        <v>0</v>
      </c>
      <c r="AL30" s="154">
        <v>0</v>
      </c>
      <c r="AM30" s="154">
        <v>0</v>
      </c>
      <c r="AN30" s="154">
        <f t="shared" si="18"/>
        <v>1</v>
      </c>
      <c r="AO30" s="154">
        <v>1</v>
      </c>
      <c r="AP30" s="154">
        <f t="shared" si="8"/>
        <v>0</v>
      </c>
      <c r="AQ30" s="154">
        <f t="shared" si="19"/>
        <v>0</v>
      </c>
      <c r="AR30" s="154">
        <f t="shared" si="20"/>
        <v>0</v>
      </c>
      <c r="AS30" s="154">
        <f t="shared" si="21"/>
        <v>0</v>
      </c>
      <c r="AT30" s="154">
        <f t="shared" si="22"/>
        <v>0</v>
      </c>
      <c r="AU30" s="154">
        <f t="shared" si="9"/>
        <v>1</v>
      </c>
      <c r="AV30" s="154">
        <v>1</v>
      </c>
      <c r="AW30" s="154">
        <f t="shared" si="10"/>
        <v>0</v>
      </c>
      <c r="AX30" s="25"/>
      <c r="AY30" s="26"/>
      <c r="AZ30" s="28">
        <f t="shared" si="11"/>
        <v>3.33</v>
      </c>
      <c r="BA30" s="28"/>
      <c r="BB30" s="28">
        <f t="shared" si="12"/>
        <v>0</v>
      </c>
      <c r="BC30" s="28">
        <f t="shared" si="13"/>
        <v>0</v>
      </c>
      <c r="BD30" s="28">
        <f t="shared" si="14"/>
        <v>0</v>
      </c>
      <c r="BE30" s="28">
        <f t="shared" si="15"/>
        <v>0</v>
      </c>
      <c r="BF30" s="28">
        <f t="shared" si="23"/>
        <v>3.33</v>
      </c>
      <c r="BG30" s="29">
        <f t="shared" si="16"/>
        <v>3.33</v>
      </c>
      <c r="BH30" s="29">
        <f t="shared" si="24"/>
        <v>0</v>
      </c>
      <c r="BI30" s="30"/>
      <c r="BJ30" s="23" t="s">
        <v>74</v>
      </c>
      <c r="BK30" s="31">
        <v>0</v>
      </c>
      <c r="BL30" s="31">
        <v>1</v>
      </c>
      <c r="BO30" s="31">
        <v>1</v>
      </c>
      <c r="BP30" s="31" t="b">
        <f t="shared" si="17"/>
        <v>1</v>
      </c>
    </row>
    <row r="31" spans="2:68" s="31" customFormat="1" ht="30" customHeight="1" x14ac:dyDescent="0.25">
      <c r="B31" s="21" t="s">
        <v>75</v>
      </c>
      <c r="C31" s="22" t="s">
        <v>26</v>
      </c>
      <c r="D31" s="23" t="s">
        <v>76</v>
      </c>
      <c r="E31" s="24">
        <v>89.9</v>
      </c>
      <c r="F31" s="24">
        <v>89.9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f t="shared" si="0"/>
        <v>0</v>
      </c>
      <c r="M31" s="22">
        <v>0</v>
      </c>
      <c r="N31" s="22">
        <f t="shared" si="1"/>
        <v>0</v>
      </c>
      <c r="O31" s="153">
        <v>0</v>
      </c>
      <c r="P31" s="153">
        <v>0</v>
      </c>
      <c r="Q31" s="153">
        <v>0</v>
      </c>
      <c r="R31" s="153">
        <v>0</v>
      </c>
      <c r="S31" s="153">
        <f t="shared" si="2"/>
        <v>0</v>
      </c>
      <c r="T31" s="153">
        <v>0</v>
      </c>
      <c r="U31" s="153">
        <f t="shared" si="3"/>
        <v>0</v>
      </c>
      <c r="V31" s="154">
        <v>0</v>
      </c>
      <c r="W31" s="154">
        <v>0</v>
      </c>
      <c r="X31" s="154">
        <v>0</v>
      </c>
      <c r="Y31" s="154">
        <v>0</v>
      </c>
      <c r="Z31" s="154">
        <f t="shared" si="4"/>
        <v>0</v>
      </c>
      <c r="AA31" s="154">
        <v>0</v>
      </c>
      <c r="AB31" s="154">
        <f t="shared" si="5"/>
        <v>0</v>
      </c>
      <c r="AC31" s="154">
        <v>0</v>
      </c>
      <c r="AD31" s="154">
        <v>0</v>
      </c>
      <c r="AE31" s="154">
        <v>0</v>
      </c>
      <c r="AF31" s="154">
        <v>0</v>
      </c>
      <c r="AG31" s="154">
        <f t="shared" si="6"/>
        <v>0</v>
      </c>
      <c r="AH31" s="154">
        <v>0</v>
      </c>
      <c r="AI31" s="154">
        <f t="shared" si="7"/>
        <v>0</v>
      </c>
      <c r="AJ31" s="154">
        <v>0</v>
      </c>
      <c r="AK31" s="154">
        <v>0</v>
      </c>
      <c r="AL31" s="154">
        <v>0</v>
      </c>
      <c r="AM31" s="154">
        <v>0</v>
      </c>
      <c r="AN31" s="154">
        <f t="shared" si="18"/>
        <v>0</v>
      </c>
      <c r="AO31" s="154">
        <v>0</v>
      </c>
      <c r="AP31" s="154">
        <f t="shared" si="8"/>
        <v>0</v>
      </c>
      <c r="AQ31" s="154">
        <f t="shared" si="19"/>
        <v>0</v>
      </c>
      <c r="AR31" s="154">
        <f t="shared" si="20"/>
        <v>0</v>
      </c>
      <c r="AS31" s="154">
        <f t="shared" si="21"/>
        <v>0</v>
      </c>
      <c r="AT31" s="154">
        <f t="shared" si="22"/>
        <v>0</v>
      </c>
      <c r="AU31" s="154">
        <f t="shared" si="9"/>
        <v>0</v>
      </c>
      <c r="AV31" s="154">
        <f>AH31</f>
        <v>0</v>
      </c>
      <c r="AW31" s="154">
        <f t="shared" si="10"/>
        <v>0</v>
      </c>
      <c r="AX31" s="25"/>
      <c r="AY31" s="26"/>
      <c r="AZ31" s="28">
        <f t="shared" si="11"/>
        <v>0</v>
      </c>
      <c r="BA31" s="28"/>
      <c r="BB31" s="28">
        <f t="shared" si="12"/>
        <v>0</v>
      </c>
      <c r="BC31" s="28">
        <f t="shared" si="13"/>
        <v>0</v>
      </c>
      <c r="BD31" s="28">
        <f t="shared" si="14"/>
        <v>0</v>
      </c>
      <c r="BE31" s="28">
        <f t="shared" si="15"/>
        <v>0</v>
      </c>
      <c r="BF31" s="28">
        <f t="shared" si="23"/>
        <v>0</v>
      </c>
      <c r="BG31" s="29">
        <f t="shared" si="16"/>
        <v>0</v>
      </c>
      <c r="BH31" s="29">
        <f t="shared" si="24"/>
        <v>0</v>
      </c>
      <c r="BI31" s="30"/>
      <c r="BJ31" s="23" t="s">
        <v>76</v>
      </c>
      <c r="BK31" s="31">
        <v>0</v>
      </c>
      <c r="BL31" s="31">
        <v>0</v>
      </c>
      <c r="BO31" s="31">
        <v>0</v>
      </c>
      <c r="BP31" s="31" t="b">
        <f t="shared" si="17"/>
        <v>1</v>
      </c>
    </row>
    <row r="32" spans="2:68" s="31" customFormat="1" x14ac:dyDescent="0.25">
      <c r="B32" s="21" t="s">
        <v>77</v>
      </c>
      <c r="C32" s="22" t="s">
        <v>26</v>
      </c>
      <c r="D32" s="23" t="s">
        <v>78</v>
      </c>
      <c r="E32" s="24">
        <v>87.2</v>
      </c>
      <c r="F32" s="24">
        <v>87.2</v>
      </c>
      <c r="G32" s="22">
        <v>6</v>
      </c>
      <c r="H32" s="22">
        <v>0</v>
      </c>
      <c r="I32" s="22">
        <v>0</v>
      </c>
      <c r="J32" s="22">
        <v>0</v>
      </c>
      <c r="K32" s="22">
        <v>0</v>
      </c>
      <c r="L32" s="22">
        <f t="shared" si="0"/>
        <v>6</v>
      </c>
      <c r="M32" s="22">
        <v>6</v>
      </c>
      <c r="N32" s="22">
        <f t="shared" si="1"/>
        <v>0</v>
      </c>
      <c r="O32" s="153">
        <v>0</v>
      </c>
      <c r="P32" s="153">
        <v>0</v>
      </c>
      <c r="Q32" s="153">
        <v>0</v>
      </c>
      <c r="R32" s="153">
        <v>0</v>
      </c>
      <c r="S32" s="153">
        <f t="shared" si="2"/>
        <v>6</v>
      </c>
      <c r="T32" s="153">
        <v>6</v>
      </c>
      <c r="U32" s="153">
        <f t="shared" si="3"/>
        <v>0</v>
      </c>
      <c r="V32" s="154">
        <v>0</v>
      </c>
      <c r="W32" s="154">
        <v>0</v>
      </c>
      <c r="X32" s="154">
        <v>0</v>
      </c>
      <c r="Y32" s="154">
        <v>0</v>
      </c>
      <c r="Z32" s="154">
        <f t="shared" si="4"/>
        <v>6</v>
      </c>
      <c r="AA32" s="154">
        <v>6</v>
      </c>
      <c r="AB32" s="154">
        <f t="shared" si="5"/>
        <v>0</v>
      </c>
      <c r="AC32" s="154">
        <v>0</v>
      </c>
      <c r="AD32" s="154">
        <v>0</v>
      </c>
      <c r="AE32" s="154">
        <v>0</v>
      </c>
      <c r="AF32" s="154">
        <v>0</v>
      </c>
      <c r="AG32" s="154">
        <f t="shared" si="6"/>
        <v>6</v>
      </c>
      <c r="AH32" s="154">
        <v>6</v>
      </c>
      <c r="AI32" s="154">
        <f t="shared" si="7"/>
        <v>0</v>
      </c>
      <c r="AJ32" s="154">
        <v>0</v>
      </c>
      <c r="AK32" s="154">
        <v>0</v>
      </c>
      <c r="AL32" s="154">
        <v>0</v>
      </c>
      <c r="AM32" s="154">
        <v>0</v>
      </c>
      <c r="AN32" s="154">
        <f t="shared" si="18"/>
        <v>6</v>
      </c>
      <c r="AO32" s="154">
        <v>6</v>
      </c>
      <c r="AP32" s="154">
        <f t="shared" si="8"/>
        <v>0</v>
      </c>
      <c r="AQ32" s="154">
        <f t="shared" si="19"/>
        <v>0</v>
      </c>
      <c r="AR32" s="154">
        <f t="shared" si="20"/>
        <v>0</v>
      </c>
      <c r="AS32" s="154">
        <f t="shared" si="21"/>
        <v>0</v>
      </c>
      <c r="AT32" s="154">
        <f t="shared" si="22"/>
        <v>0</v>
      </c>
      <c r="AU32" s="154">
        <f t="shared" si="9"/>
        <v>6</v>
      </c>
      <c r="AV32" s="154">
        <v>6</v>
      </c>
      <c r="AW32" s="154">
        <f t="shared" si="10"/>
        <v>0</v>
      </c>
      <c r="AX32" s="25"/>
      <c r="AY32" s="26"/>
      <c r="AZ32" s="28">
        <f t="shared" si="11"/>
        <v>523.20000000000005</v>
      </c>
      <c r="BA32" s="28"/>
      <c r="BB32" s="28">
        <f t="shared" si="12"/>
        <v>0</v>
      </c>
      <c r="BC32" s="28">
        <f t="shared" si="13"/>
        <v>0</v>
      </c>
      <c r="BD32" s="28">
        <f t="shared" si="14"/>
        <v>0</v>
      </c>
      <c r="BE32" s="28">
        <f t="shared" si="15"/>
        <v>0</v>
      </c>
      <c r="BF32" s="28">
        <f t="shared" si="23"/>
        <v>523.20000000000005</v>
      </c>
      <c r="BG32" s="29">
        <f t="shared" si="16"/>
        <v>523.20000000000005</v>
      </c>
      <c r="BH32" s="29">
        <f t="shared" si="24"/>
        <v>0</v>
      </c>
      <c r="BI32" s="30"/>
      <c r="BJ32" s="23" t="s">
        <v>78</v>
      </c>
      <c r="BK32" s="31">
        <v>0</v>
      </c>
      <c r="BL32" s="31">
        <v>6</v>
      </c>
      <c r="BO32" s="31">
        <v>6</v>
      </c>
      <c r="BP32" s="31" t="b">
        <f t="shared" si="17"/>
        <v>1</v>
      </c>
    </row>
    <row r="33" spans="2:68" s="31" customFormat="1" x14ac:dyDescent="0.25">
      <c r="B33" s="21" t="s">
        <v>79</v>
      </c>
      <c r="C33" s="22" t="s">
        <v>26</v>
      </c>
      <c r="D33" s="23" t="s">
        <v>80</v>
      </c>
      <c r="E33" s="24">
        <v>19.690000000000001</v>
      </c>
      <c r="F33" s="24">
        <v>19.690000000000001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f t="shared" si="0"/>
        <v>0</v>
      </c>
      <c r="M33" s="22">
        <v>0</v>
      </c>
      <c r="N33" s="22">
        <f t="shared" si="1"/>
        <v>0</v>
      </c>
      <c r="O33" s="153">
        <v>0</v>
      </c>
      <c r="P33" s="153">
        <v>0</v>
      </c>
      <c r="Q33" s="153">
        <v>0</v>
      </c>
      <c r="R33" s="153">
        <v>0</v>
      </c>
      <c r="S33" s="153">
        <f t="shared" si="2"/>
        <v>0</v>
      </c>
      <c r="T33" s="153">
        <v>0</v>
      </c>
      <c r="U33" s="153">
        <f t="shared" si="3"/>
        <v>0</v>
      </c>
      <c r="V33" s="154">
        <v>0</v>
      </c>
      <c r="W33" s="154">
        <v>0</v>
      </c>
      <c r="X33" s="154">
        <v>0</v>
      </c>
      <c r="Y33" s="154">
        <v>0</v>
      </c>
      <c r="Z33" s="154">
        <f t="shared" si="4"/>
        <v>0</v>
      </c>
      <c r="AA33" s="154">
        <v>0</v>
      </c>
      <c r="AB33" s="154">
        <f t="shared" si="5"/>
        <v>0</v>
      </c>
      <c r="AC33" s="154">
        <v>0</v>
      </c>
      <c r="AD33" s="154">
        <v>0</v>
      </c>
      <c r="AE33" s="154">
        <v>0</v>
      </c>
      <c r="AF33" s="154">
        <v>0</v>
      </c>
      <c r="AG33" s="154">
        <f t="shared" si="6"/>
        <v>0</v>
      </c>
      <c r="AH33" s="154"/>
      <c r="AI33" s="154">
        <f t="shared" si="7"/>
        <v>0</v>
      </c>
      <c r="AJ33" s="154">
        <v>0</v>
      </c>
      <c r="AK33" s="154">
        <v>0</v>
      </c>
      <c r="AL33" s="154">
        <v>0</v>
      </c>
      <c r="AM33" s="154">
        <v>0</v>
      </c>
      <c r="AN33" s="154">
        <f t="shared" si="18"/>
        <v>0</v>
      </c>
      <c r="AO33" s="154">
        <v>0</v>
      </c>
      <c r="AP33" s="154">
        <f t="shared" si="8"/>
        <v>0</v>
      </c>
      <c r="AQ33" s="154">
        <f t="shared" si="19"/>
        <v>0</v>
      </c>
      <c r="AR33" s="154">
        <f t="shared" si="20"/>
        <v>0</v>
      </c>
      <c r="AS33" s="154">
        <f t="shared" si="21"/>
        <v>0</v>
      </c>
      <c r="AT33" s="154">
        <f t="shared" si="22"/>
        <v>0</v>
      </c>
      <c r="AU33" s="154">
        <f t="shared" si="9"/>
        <v>0</v>
      </c>
      <c r="AV33" s="154">
        <f>AH33</f>
        <v>0</v>
      </c>
      <c r="AW33" s="154">
        <f t="shared" si="10"/>
        <v>0</v>
      </c>
      <c r="AX33" s="25"/>
      <c r="AY33" s="26"/>
      <c r="AZ33" s="28">
        <f t="shared" si="11"/>
        <v>0</v>
      </c>
      <c r="BA33" s="28"/>
      <c r="BB33" s="28">
        <f t="shared" si="12"/>
        <v>0</v>
      </c>
      <c r="BC33" s="28">
        <f t="shared" si="13"/>
        <v>0</v>
      </c>
      <c r="BD33" s="28">
        <f t="shared" si="14"/>
        <v>0</v>
      </c>
      <c r="BE33" s="28">
        <f t="shared" si="15"/>
        <v>0</v>
      </c>
      <c r="BF33" s="28">
        <f t="shared" si="23"/>
        <v>0</v>
      </c>
      <c r="BG33" s="29">
        <f t="shared" si="16"/>
        <v>0</v>
      </c>
      <c r="BH33" s="29">
        <f t="shared" si="24"/>
        <v>0</v>
      </c>
      <c r="BI33" s="30"/>
      <c r="BJ33" s="23" t="s">
        <v>80</v>
      </c>
      <c r="BK33" s="31">
        <v>0</v>
      </c>
      <c r="BL33" s="31">
        <v>0</v>
      </c>
      <c r="BO33" s="31">
        <v>0</v>
      </c>
      <c r="BP33" s="31" t="b">
        <f t="shared" si="17"/>
        <v>1</v>
      </c>
    </row>
    <row r="34" spans="2:68" s="31" customFormat="1" ht="15" customHeight="1" x14ac:dyDescent="0.25">
      <c r="B34" s="21" t="s">
        <v>81</v>
      </c>
      <c r="C34" s="22" t="s">
        <v>58</v>
      </c>
      <c r="D34" s="23" t="s">
        <v>82</v>
      </c>
      <c r="E34" s="24">
        <v>0.24</v>
      </c>
      <c r="F34" s="24">
        <v>0.24</v>
      </c>
      <c r="G34" s="22">
        <v>19982</v>
      </c>
      <c r="H34" s="22">
        <v>0</v>
      </c>
      <c r="I34" s="22">
        <v>0</v>
      </c>
      <c r="J34" s="22">
        <v>0</v>
      </c>
      <c r="K34" s="22">
        <v>0</v>
      </c>
      <c r="L34" s="22">
        <f t="shared" si="0"/>
        <v>19982</v>
      </c>
      <c r="M34" s="22">
        <v>19982</v>
      </c>
      <c r="N34" s="22">
        <f t="shared" si="1"/>
        <v>0</v>
      </c>
      <c r="O34" s="153">
        <v>0</v>
      </c>
      <c r="P34" s="153">
        <v>0</v>
      </c>
      <c r="Q34" s="153">
        <v>0</v>
      </c>
      <c r="R34" s="153">
        <v>0</v>
      </c>
      <c r="S34" s="153">
        <f t="shared" si="2"/>
        <v>19982</v>
      </c>
      <c r="T34" s="153">
        <v>19982</v>
      </c>
      <c r="U34" s="153">
        <f t="shared" si="3"/>
        <v>0</v>
      </c>
      <c r="V34" s="154">
        <v>0</v>
      </c>
      <c r="W34" s="154">
        <v>0</v>
      </c>
      <c r="X34" s="154">
        <v>0</v>
      </c>
      <c r="Y34" s="154">
        <v>0</v>
      </c>
      <c r="Z34" s="154">
        <f t="shared" si="4"/>
        <v>19982</v>
      </c>
      <c r="AA34" s="154">
        <v>19982</v>
      </c>
      <c r="AB34" s="154">
        <f t="shared" si="5"/>
        <v>0</v>
      </c>
      <c r="AC34" s="154">
        <v>0</v>
      </c>
      <c r="AD34" s="154">
        <v>0</v>
      </c>
      <c r="AE34" s="154">
        <v>0</v>
      </c>
      <c r="AF34" s="154">
        <v>0</v>
      </c>
      <c r="AG34" s="154">
        <f t="shared" si="6"/>
        <v>19982</v>
      </c>
      <c r="AH34" s="154">
        <v>19982</v>
      </c>
      <c r="AI34" s="154">
        <f t="shared" si="7"/>
        <v>0</v>
      </c>
      <c r="AJ34" s="154">
        <v>0</v>
      </c>
      <c r="AK34" s="154">
        <v>0</v>
      </c>
      <c r="AL34" s="154">
        <v>0</v>
      </c>
      <c r="AM34" s="154">
        <v>0</v>
      </c>
      <c r="AN34" s="154">
        <f t="shared" si="18"/>
        <v>19982</v>
      </c>
      <c r="AO34" s="154">
        <v>19982</v>
      </c>
      <c r="AP34" s="154">
        <f t="shared" si="8"/>
        <v>0</v>
      </c>
      <c r="AQ34" s="154">
        <f t="shared" si="19"/>
        <v>0</v>
      </c>
      <c r="AR34" s="154">
        <f t="shared" si="20"/>
        <v>0</v>
      </c>
      <c r="AS34" s="154">
        <f t="shared" si="21"/>
        <v>0</v>
      </c>
      <c r="AT34" s="154">
        <f t="shared" si="22"/>
        <v>0</v>
      </c>
      <c r="AU34" s="154">
        <f t="shared" si="9"/>
        <v>19982</v>
      </c>
      <c r="AV34" s="154">
        <v>19982</v>
      </c>
      <c r="AW34" s="154">
        <f t="shared" si="10"/>
        <v>0</v>
      </c>
      <c r="AX34" s="25"/>
      <c r="AY34" s="26"/>
      <c r="AZ34" s="28">
        <f t="shared" si="11"/>
        <v>4795.6799999999994</v>
      </c>
      <c r="BA34" s="28"/>
      <c r="BB34" s="28">
        <f t="shared" si="12"/>
        <v>0</v>
      </c>
      <c r="BC34" s="28">
        <f t="shared" si="13"/>
        <v>0</v>
      </c>
      <c r="BD34" s="28">
        <f t="shared" si="14"/>
        <v>0</v>
      </c>
      <c r="BE34" s="28">
        <f t="shared" si="15"/>
        <v>0</v>
      </c>
      <c r="BF34" s="28">
        <f t="shared" si="23"/>
        <v>4795.6799999999994</v>
      </c>
      <c r="BG34" s="29">
        <f t="shared" si="16"/>
        <v>4795.6799999999994</v>
      </c>
      <c r="BH34" s="29">
        <f t="shared" si="24"/>
        <v>0</v>
      </c>
      <c r="BI34" s="30"/>
      <c r="BJ34" s="23" t="s">
        <v>82</v>
      </c>
      <c r="BK34" s="31">
        <v>0</v>
      </c>
      <c r="BL34" s="31">
        <v>19982</v>
      </c>
      <c r="BO34" s="31">
        <v>19982</v>
      </c>
      <c r="BP34" s="31" t="b">
        <f t="shared" si="17"/>
        <v>1</v>
      </c>
    </row>
    <row r="35" spans="2:68" s="31" customFormat="1" ht="30" customHeight="1" x14ac:dyDescent="0.25">
      <c r="B35" s="21" t="s">
        <v>83</v>
      </c>
      <c r="C35" s="22" t="s">
        <v>29</v>
      </c>
      <c r="D35" s="23" t="s">
        <v>84</v>
      </c>
      <c r="E35" s="24">
        <v>12.84</v>
      </c>
      <c r="F35" s="24">
        <v>12.84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f t="shared" si="0"/>
        <v>0</v>
      </c>
      <c r="M35" s="22">
        <v>0</v>
      </c>
      <c r="N35" s="22">
        <f t="shared" si="1"/>
        <v>0</v>
      </c>
      <c r="O35" s="153">
        <v>0</v>
      </c>
      <c r="P35" s="153">
        <v>0</v>
      </c>
      <c r="Q35" s="153">
        <v>0</v>
      </c>
      <c r="R35" s="153">
        <v>0</v>
      </c>
      <c r="S35" s="153">
        <f t="shared" si="2"/>
        <v>0</v>
      </c>
      <c r="T35" s="153">
        <v>0</v>
      </c>
      <c r="U35" s="153">
        <f t="shared" si="3"/>
        <v>0</v>
      </c>
      <c r="V35" s="154">
        <v>0</v>
      </c>
      <c r="W35" s="154">
        <v>0</v>
      </c>
      <c r="X35" s="154">
        <v>0</v>
      </c>
      <c r="Y35" s="154">
        <v>0</v>
      </c>
      <c r="Z35" s="154">
        <f t="shared" si="4"/>
        <v>0</v>
      </c>
      <c r="AA35" s="154">
        <v>0</v>
      </c>
      <c r="AB35" s="154">
        <f t="shared" si="5"/>
        <v>0</v>
      </c>
      <c r="AC35" s="154">
        <v>0</v>
      </c>
      <c r="AD35" s="154">
        <v>0</v>
      </c>
      <c r="AE35" s="154">
        <v>0</v>
      </c>
      <c r="AF35" s="154">
        <v>0</v>
      </c>
      <c r="AG35" s="154">
        <f t="shared" si="6"/>
        <v>0</v>
      </c>
      <c r="AH35" s="154">
        <v>0</v>
      </c>
      <c r="AI35" s="154">
        <f t="shared" si="7"/>
        <v>0</v>
      </c>
      <c r="AJ35" s="154">
        <v>0</v>
      </c>
      <c r="AK35" s="154">
        <v>0</v>
      </c>
      <c r="AL35" s="154">
        <v>0</v>
      </c>
      <c r="AM35" s="154">
        <v>0</v>
      </c>
      <c r="AN35" s="154">
        <f t="shared" si="18"/>
        <v>0</v>
      </c>
      <c r="AO35" s="154">
        <v>0</v>
      </c>
      <c r="AP35" s="154">
        <f t="shared" si="8"/>
        <v>0</v>
      </c>
      <c r="AQ35" s="154">
        <f t="shared" si="19"/>
        <v>0</v>
      </c>
      <c r="AR35" s="154">
        <f t="shared" si="20"/>
        <v>0</v>
      </c>
      <c r="AS35" s="154">
        <f t="shared" si="21"/>
        <v>0</v>
      </c>
      <c r="AT35" s="154">
        <f t="shared" si="22"/>
        <v>0</v>
      </c>
      <c r="AU35" s="154">
        <f t="shared" si="9"/>
        <v>0</v>
      </c>
      <c r="AV35" s="154">
        <f>AH35</f>
        <v>0</v>
      </c>
      <c r="AW35" s="154">
        <f t="shared" si="10"/>
        <v>0</v>
      </c>
      <c r="AX35" s="25"/>
      <c r="AY35" s="26"/>
      <c r="AZ35" s="28">
        <f t="shared" si="11"/>
        <v>0</v>
      </c>
      <c r="BA35" s="28"/>
      <c r="BB35" s="28">
        <f t="shared" si="12"/>
        <v>0</v>
      </c>
      <c r="BC35" s="28">
        <f t="shared" si="13"/>
        <v>0</v>
      </c>
      <c r="BD35" s="28">
        <f t="shared" si="14"/>
        <v>0</v>
      </c>
      <c r="BE35" s="28">
        <f t="shared" si="15"/>
        <v>0</v>
      </c>
      <c r="BF35" s="28">
        <f t="shared" si="23"/>
        <v>0</v>
      </c>
      <c r="BG35" s="29">
        <f t="shared" si="16"/>
        <v>0</v>
      </c>
      <c r="BH35" s="29">
        <f t="shared" si="24"/>
        <v>0</v>
      </c>
      <c r="BI35" s="30"/>
      <c r="BJ35" s="23" t="s">
        <v>84</v>
      </c>
      <c r="BK35" s="31">
        <v>0</v>
      </c>
      <c r="BL35" s="31">
        <v>0</v>
      </c>
      <c r="BO35" s="31">
        <v>0</v>
      </c>
      <c r="BP35" s="31" t="b">
        <f t="shared" si="17"/>
        <v>1</v>
      </c>
    </row>
    <row r="36" spans="2:68" s="31" customFormat="1" x14ac:dyDescent="0.25">
      <c r="B36" s="21" t="s">
        <v>85</v>
      </c>
      <c r="C36" s="22" t="s">
        <v>29</v>
      </c>
      <c r="D36" s="23" t="s">
        <v>86</v>
      </c>
      <c r="E36" s="24">
        <v>0</v>
      </c>
      <c r="F36" s="24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f t="shared" si="0"/>
        <v>0</v>
      </c>
      <c r="M36" s="22">
        <v>0</v>
      </c>
      <c r="N36" s="22">
        <f t="shared" si="1"/>
        <v>0</v>
      </c>
      <c r="O36" s="153">
        <v>0</v>
      </c>
      <c r="P36" s="153">
        <v>0</v>
      </c>
      <c r="Q36" s="153">
        <v>0</v>
      </c>
      <c r="R36" s="153">
        <v>0</v>
      </c>
      <c r="S36" s="153">
        <f t="shared" si="2"/>
        <v>0</v>
      </c>
      <c r="T36" s="153">
        <v>0</v>
      </c>
      <c r="U36" s="153">
        <f t="shared" si="3"/>
        <v>0</v>
      </c>
      <c r="V36" s="154">
        <v>0</v>
      </c>
      <c r="W36" s="154">
        <v>0</v>
      </c>
      <c r="X36" s="154">
        <v>0</v>
      </c>
      <c r="Y36" s="154">
        <v>0</v>
      </c>
      <c r="Z36" s="154">
        <f t="shared" si="4"/>
        <v>0</v>
      </c>
      <c r="AA36" s="154">
        <v>0</v>
      </c>
      <c r="AB36" s="154">
        <f t="shared" si="5"/>
        <v>0</v>
      </c>
      <c r="AC36" s="154">
        <v>0</v>
      </c>
      <c r="AD36" s="154">
        <v>0</v>
      </c>
      <c r="AE36" s="154">
        <v>0</v>
      </c>
      <c r="AF36" s="154">
        <v>0</v>
      </c>
      <c r="AG36" s="154">
        <f t="shared" si="6"/>
        <v>0</v>
      </c>
      <c r="AH36" s="154">
        <v>0</v>
      </c>
      <c r="AI36" s="154">
        <f t="shared" si="7"/>
        <v>0</v>
      </c>
      <c r="AJ36" s="154">
        <v>0</v>
      </c>
      <c r="AK36" s="154">
        <v>0</v>
      </c>
      <c r="AL36" s="154">
        <v>0</v>
      </c>
      <c r="AM36" s="154">
        <v>0</v>
      </c>
      <c r="AN36" s="154">
        <f t="shared" si="18"/>
        <v>0</v>
      </c>
      <c r="AO36" s="154">
        <v>0</v>
      </c>
      <c r="AP36" s="154">
        <f t="shared" si="8"/>
        <v>0</v>
      </c>
      <c r="AQ36" s="154">
        <f t="shared" si="19"/>
        <v>0</v>
      </c>
      <c r="AR36" s="154">
        <f t="shared" si="20"/>
        <v>0</v>
      </c>
      <c r="AS36" s="154">
        <f t="shared" si="21"/>
        <v>0</v>
      </c>
      <c r="AT36" s="154">
        <f t="shared" si="22"/>
        <v>0</v>
      </c>
      <c r="AU36" s="154">
        <f t="shared" si="9"/>
        <v>0</v>
      </c>
      <c r="AV36" s="154">
        <f>AH36</f>
        <v>0</v>
      </c>
      <c r="AW36" s="154">
        <f t="shared" si="10"/>
        <v>0</v>
      </c>
      <c r="AX36" s="25"/>
      <c r="AY36" s="26"/>
      <c r="AZ36" s="28">
        <f t="shared" si="11"/>
        <v>0</v>
      </c>
      <c r="BA36" s="28"/>
      <c r="BB36" s="28">
        <f t="shared" si="12"/>
        <v>0</v>
      </c>
      <c r="BC36" s="28">
        <f t="shared" si="13"/>
        <v>0</v>
      </c>
      <c r="BD36" s="28">
        <f t="shared" si="14"/>
        <v>0</v>
      </c>
      <c r="BE36" s="28">
        <f t="shared" si="15"/>
        <v>0</v>
      </c>
      <c r="BF36" s="28">
        <f t="shared" si="23"/>
        <v>0</v>
      </c>
      <c r="BG36" s="29">
        <f t="shared" si="16"/>
        <v>0</v>
      </c>
      <c r="BH36" s="29">
        <f t="shared" si="24"/>
        <v>0</v>
      </c>
      <c r="BI36" s="30"/>
      <c r="BJ36" s="23" t="s">
        <v>86</v>
      </c>
      <c r="BK36" s="31">
        <v>0</v>
      </c>
      <c r="BL36" s="31">
        <v>0</v>
      </c>
      <c r="BO36" s="31">
        <v>0</v>
      </c>
      <c r="BP36" s="31" t="b">
        <f t="shared" si="17"/>
        <v>1</v>
      </c>
    </row>
    <row r="37" spans="2:68" s="31" customFormat="1" x14ac:dyDescent="0.25">
      <c r="B37" s="21" t="s">
        <v>87</v>
      </c>
      <c r="C37" s="22" t="s">
        <v>26</v>
      </c>
      <c r="D37" s="23" t="s">
        <v>88</v>
      </c>
      <c r="E37" s="24">
        <v>0.91</v>
      </c>
      <c r="F37" s="24">
        <v>0.91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f t="shared" si="0"/>
        <v>0</v>
      </c>
      <c r="M37" s="22">
        <v>0</v>
      </c>
      <c r="N37" s="22">
        <f t="shared" si="1"/>
        <v>0</v>
      </c>
      <c r="O37" s="153">
        <v>0</v>
      </c>
      <c r="P37" s="153">
        <v>0</v>
      </c>
      <c r="Q37" s="153">
        <v>0</v>
      </c>
      <c r="R37" s="153">
        <v>0</v>
      </c>
      <c r="S37" s="153">
        <f t="shared" si="2"/>
        <v>0</v>
      </c>
      <c r="T37" s="153">
        <v>0</v>
      </c>
      <c r="U37" s="153">
        <f t="shared" si="3"/>
        <v>0</v>
      </c>
      <c r="V37" s="154">
        <v>0</v>
      </c>
      <c r="W37" s="154">
        <v>0</v>
      </c>
      <c r="X37" s="154">
        <v>0</v>
      </c>
      <c r="Y37" s="154">
        <v>0</v>
      </c>
      <c r="Z37" s="154">
        <f t="shared" si="4"/>
        <v>0</v>
      </c>
      <c r="AA37" s="154">
        <v>0</v>
      </c>
      <c r="AB37" s="154">
        <f t="shared" si="5"/>
        <v>0</v>
      </c>
      <c r="AC37" s="154">
        <v>0</v>
      </c>
      <c r="AD37" s="154">
        <v>0</v>
      </c>
      <c r="AE37" s="154">
        <v>0</v>
      </c>
      <c r="AF37" s="154">
        <v>0</v>
      </c>
      <c r="AG37" s="154">
        <f t="shared" si="6"/>
        <v>0</v>
      </c>
      <c r="AH37" s="154">
        <v>0</v>
      </c>
      <c r="AI37" s="154">
        <f t="shared" si="7"/>
        <v>0</v>
      </c>
      <c r="AJ37" s="154">
        <v>0</v>
      </c>
      <c r="AK37" s="154">
        <v>0</v>
      </c>
      <c r="AL37" s="154">
        <v>0</v>
      </c>
      <c r="AM37" s="154">
        <v>0</v>
      </c>
      <c r="AN37" s="154">
        <f t="shared" si="18"/>
        <v>0</v>
      </c>
      <c r="AO37" s="154">
        <v>0</v>
      </c>
      <c r="AP37" s="154">
        <f t="shared" si="8"/>
        <v>0</v>
      </c>
      <c r="AQ37" s="154">
        <f t="shared" si="19"/>
        <v>0</v>
      </c>
      <c r="AR37" s="154">
        <f t="shared" si="20"/>
        <v>0</v>
      </c>
      <c r="AS37" s="154">
        <f t="shared" si="21"/>
        <v>0</v>
      </c>
      <c r="AT37" s="154">
        <f t="shared" si="22"/>
        <v>0</v>
      </c>
      <c r="AU37" s="154">
        <f t="shared" si="9"/>
        <v>0</v>
      </c>
      <c r="AV37" s="154">
        <f>AH37</f>
        <v>0</v>
      </c>
      <c r="AW37" s="154">
        <f t="shared" si="10"/>
        <v>0</v>
      </c>
      <c r="AX37" s="25"/>
      <c r="AY37" s="26"/>
      <c r="AZ37" s="28">
        <f t="shared" si="11"/>
        <v>0</v>
      </c>
      <c r="BA37" s="28"/>
      <c r="BB37" s="28">
        <f t="shared" si="12"/>
        <v>0</v>
      </c>
      <c r="BC37" s="28">
        <f t="shared" si="13"/>
        <v>0</v>
      </c>
      <c r="BD37" s="28">
        <f t="shared" si="14"/>
        <v>0</v>
      </c>
      <c r="BE37" s="28">
        <f t="shared" si="15"/>
        <v>0</v>
      </c>
      <c r="BF37" s="28">
        <f t="shared" si="23"/>
        <v>0</v>
      </c>
      <c r="BG37" s="29">
        <f t="shared" si="16"/>
        <v>0</v>
      </c>
      <c r="BH37" s="29">
        <f t="shared" si="24"/>
        <v>0</v>
      </c>
      <c r="BI37" s="30"/>
      <c r="BJ37" s="23" t="s">
        <v>88</v>
      </c>
      <c r="BK37" s="31">
        <v>0</v>
      </c>
      <c r="BL37" s="31">
        <v>0</v>
      </c>
      <c r="BO37" s="31">
        <v>0</v>
      </c>
      <c r="BP37" s="31" t="b">
        <f t="shared" si="17"/>
        <v>1</v>
      </c>
    </row>
    <row r="38" spans="2:68" s="31" customFormat="1" ht="31.5" x14ac:dyDescent="0.25">
      <c r="B38" s="21" t="s">
        <v>89</v>
      </c>
      <c r="C38" s="22" t="s">
        <v>26</v>
      </c>
      <c r="D38" s="23" t="s">
        <v>90</v>
      </c>
      <c r="E38" s="24">
        <v>73.290000000000006</v>
      </c>
      <c r="F38" s="24">
        <v>81</v>
      </c>
      <c r="G38" s="22">
        <v>15</v>
      </c>
      <c r="H38" s="22">
        <v>0</v>
      </c>
      <c r="I38" s="22">
        <v>0</v>
      </c>
      <c r="J38" s="22">
        <v>0</v>
      </c>
      <c r="K38" s="22">
        <v>0</v>
      </c>
      <c r="L38" s="22">
        <f t="shared" si="0"/>
        <v>15</v>
      </c>
      <c r="M38" s="22">
        <v>15</v>
      </c>
      <c r="N38" s="22">
        <f t="shared" si="1"/>
        <v>0</v>
      </c>
      <c r="O38" s="153">
        <v>0</v>
      </c>
      <c r="P38" s="153">
        <v>0</v>
      </c>
      <c r="Q38" s="153">
        <v>0</v>
      </c>
      <c r="R38" s="153">
        <v>0</v>
      </c>
      <c r="S38" s="153">
        <f t="shared" si="2"/>
        <v>15</v>
      </c>
      <c r="T38" s="153">
        <v>15</v>
      </c>
      <c r="U38" s="153">
        <f t="shared" si="3"/>
        <v>0</v>
      </c>
      <c r="V38" s="154">
        <v>0</v>
      </c>
      <c r="W38" s="154">
        <v>0</v>
      </c>
      <c r="X38" s="154">
        <v>0</v>
      </c>
      <c r="Y38" s="154">
        <v>0</v>
      </c>
      <c r="Z38" s="154">
        <f t="shared" si="4"/>
        <v>15</v>
      </c>
      <c r="AA38" s="154">
        <v>15</v>
      </c>
      <c r="AB38" s="154">
        <f t="shared" si="5"/>
        <v>0</v>
      </c>
      <c r="AC38" s="154">
        <v>0</v>
      </c>
      <c r="AD38" s="154">
        <v>0</v>
      </c>
      <c r="AE38" s="154">
        <v>0</v>
      </c>
      <c r="AF38" s="154">
        <v>0</v>
      </c>
      <c r="AG38" s="154">
        <f t="shared" si="6"/>
        <v>15</v>
      </c>
      <c r="AH38" s="154">
        <v>15</v>
      </c>
      <c r="AI38" s="154">
        <f t="shared" si="7"/>
        <v>0</v>
      </c>
      <c r="AJ38" s="154">
        <v>0</v>
      </c>
      <c r="AK38" s="154">
        <v>0</v>
      </c>
      <c r="AL38" s="154">
        <v>0</v>
      </c>
      <c r="AM38" s="154">
        <v>0</v>
      </c>
      <c r="AN38" s="154">
        <f t="shared" si="18"/>
        <v>15</v>
      </c>
      <c r="AO38" s="154">
        <v>15</v>
      </c>
      <c r="AP38" s="154">
        <f t="shared" si="8"/>
        <v>0</v>
      </c>
      <c r="AQ38" s="154">
        <f t="shared" si="19"/>
        <v>0</v>
      </c>
      <c r="AR38" s="154">
        <f t="shared" si="20"/>
        <v>0</v>
      </c>
      <c r="AS38" s="154">
        <f t="shared" si="21"/>
        <v>0</v>
      </c>
      <c r="AT38" s="154">
        <f t="shared" si="22"/>
        <v>0</v>
      </c>
      <c r="AU38" s="154">
        <f t="shared" si="9"/>
        <v>15</v>
      </c>
      <c r="AV38" s="154">
        <v>15</v>
      </c>
      <c r="AW38" s="154">
        <f t="shared" si="10"/>
        <v>0</v>
      </c>
      <c r="AX38" s="25"/>
      <c r="AY38" s="26"/>
      <c r="AZ38" s="28">
        <f t="shared" si="11"/>
        <v>1099.3500000000001</v>
      </c>
      <c r="BA38" s="28">
        <v>4.4800000000000004</v>
      </c>
      <c r="BB38" s="28">
        <f t="shared" si="12"/>
        <v>0</v>
      </c>
      <c r="BC38" s="28">
        <f t="shared" si="13"/>
        <v>0</v>
      </c>
      <c r="BD38" s="28">
        <f t="shared" si="14"/>
        <v>0</v>
      </c>
      <c r="BE38" s="28">
        <f t="shared" si="15"/>
        <v>0</v>
      </c>
      <c r="BF38" s="28">
        <f t="shared" si="23"/>
        <v>1103.8300000000002</v>
      </c>
      <c r="BG38" s="29">
        <f t="shared" si="16"/>
        <v>1215</v>
      </c>
      <c r="BH38" s="29">
        <f t="shared" si="24"/>
        <v>111.16999999999985</v>
      </c>
      <c r="BI38" s="30"/>
      <c r="BJ38" s="23" t="s">
        <v>90</v>
      </c>
      <c r="BK38" s="31">
        <v>0</v>
      </c>
      <c r="BL38" s="31">
        <v>15</v>
      </c>
      <c r="BO38" s="31">
        <v>15</v>
      </c>
      <c r="BP38" s="31" t="b">
        <f t="shared" si="17"/>
        <v>1</v>
      </c>
    </row>
    <row r="39" spans="2:68" s="31" customFormat="1" ht="30" customHeight="1" x14ac:dyDescent="0.25">
      <c r="B39" s="32" t="s">
        <v>91</v>
      </c>
      <c r="C39" s="22" t="s">
        <v>29</v>
      </c>
      <c r="D39" s="23" t="s">
        <v>92</v>
      </c>
      <c r="E39" s="24">
        <v>12.6</v>
      </c>
      <c r="F39" s="24">
        <v>12.6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f t="shared" si="0"/>
        <v>0</v>
      </c>
      <c r="M39" s="22">
        <v>0</v>
      </c>
      <c r="N39" s="22">
        <f t="shared" si="1"/>
        <v>0</v>
      </c>
      <c r="O39" s="153">
        <v>0</v>
      </c>
      <c r="P39" s="153">
        <v>0</v>
      </c>
      <c r="Q39" s="153">
        <v>0</v>
      </c>
      <c r="R39" s="153">
        <v>0</v>
      </c>
      <c r="S39" s="153">
        <f t="shared" si="2"/>
        <v>0</v>
      </c>
      <c r="T39" s="153">
        <v>0</v>
      </c>
      <c r="U39" s="153">
        <f t="shared" si="3"/>
        <v>0</v>
      </c>
      <c r="V39" s="154">
        <v>0</v>
      </c>
      <c r="W39" s="154">
        <v>0</v>
      </c>
      <c r="X39" s="154">
        <v>0</v>
      </c>
      <c r="Y39" s="154">
        <v>0</v>
      </c>
      <c r="Z39" s="154">
        <f t="shared" si="4"/>
        <v>0</v>
      </c>
      <c r="AA39" s="154">
        <v>0</v>
      </c>
      <c r="AB39" s="154">
        <f t="shared" si="5"/>
        <v>0</v>
      </c>
      <c r="AC39" s="154">
        <v>0</v>
      </c>
      <c r="AD39" s="154">
        <v>0</v>
      </c>
      <c r="AE39" s="154">
        <v>0</v>
      </c>
      <c r="AF39" s="154">
        <v>0</v>
      </c>
      <c r="AG39" s="154">
        <f t="shared" si="6"/>
        <v>0</v>
      </c>
      <c r="AH39" s="154">
        <v>0</v>
      </c>
      <c r="AI39" s="154">
        <f t="shared" si="7"/>
        <v>0</v>
      </c>
      <c r="AJ39" s="154">
        <v>0</v>
      </c>
      <c r="AK39" s="154">
        <v>0</v>
      </c>
      <c r="AL39" s="154">
        <v>0</v>
      </c>
      <c r="AM39" s="154">
        <v>0</v>
      </c>
      <c r="AN39" s="154">
        <f t="shared" si="18"/>
        <v>0</v>
      </c>
      <c r="AO39" s="154">
        <v>0</v>
      </c>
      <c r="AP39" s="154">
        <f t="shared" si="8"/>
        <v>0</v>
      </c>
      <c r="AQ39" s="154">
        <f t="shared" si="19"/>
        <v>0</v>
      </c>
      <c r="AR39" s="154">
        <f t="shared" si="20"/>
        <v>0</v>
      </c>
      <c r="AS39" s="154">
        <f t="shared" si="21"/>
        <v>0</v>
      </c>
      <c r="AT39" s="154">
        <f t="shared" si="22"/>
        <v>0</v>
      </c>
      <c r="AU39" s="154">
        <f t="shared" si="9"/>
        <v>0</v>
      </c>
      <c r="AV39" s="154">
        <f t="shared" ref="AV39:AV46" si="25">AH39</f>
        <v>0</v>
      </c>
      <c r="AW39" s="154">
        <f t="shared" si="10"/>
        <v>0</v>
      </c>
      <c r="AX39" s="25"/>
      <c r="AY39" s="26"/>
      <c r="AZ39" s="28">
        <f t="shared" si="11"/>
        <v>0</v>
      </c>
      <c r="BA39" s="28"/>
      <c r="BB39" s="28">
        <f t="shared" si="12"/>
        <v>0</v>
      </c>
      <c r="BC39" s="28">
        <f t="shared" si="13"/>
        <v>0</v>
      </c>
      <c r="BD39" s="28">
        <f t="shared" si="14"/>
        <v>0</v>
      </c>
      <c r="BE39" s="28">
        <f t="shared" si="15"/>
        <v>0</v>
      </c>
      <c r="BF39" s="28">
        <f t="shared" si="23"/>
        <v>0</v>
      </c>
      <c r="BG39" s="29">
        <f t="shared" si="16"/>
        <v>0</v>
      </c>
      <c r="BH39" s="29">
        <f t="shared" si="24"/>
        <v>0</v>
      </c>
      <c r="BI39" s="30"/>
      <c r="BJ39" s="23" t="s">
        <v>92</v>
      </c>
      <c r="BK39" s="31">
        <v>0</v>
      </c>
      <c r="BL39" s="31">
        <v>0</v>
      </c>
      <c r="BO39" s="31">
        <v>0</v>
      </c>
      <c r="BP39" s="31" t="b">
        <f t="shared" si="17"/>
        <v>1</v>
      </c>
    </row>
    <row r="40" spans="2:68" s="31" customFormat="1" ht="30" customHeight="1" x14ac:dyDescent="0.25">
      <c r="B40" s="21" t="s">
        <v>93</v>
      </c>
      <c r="C40" s="22" t="s">
        <v>29</v>
      </c>
      <c r="D40" s="23" t="s">
        <v>94</v>
      </c>
      <c r="E40" s="24">
        <v>14.28</v>
      </c>
      <c r="F40" s="24">
        <v>14.28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f t="shared" si="0"/>
        <v>0</v>
      </c>
      <c r="M40" s="22">
        <v>0</v>
      </c>
      <c r="N40" s="22">
        <f t="shared" si="1"/>
        <v>0</v>
      </c>
      <c r="O40" s="153">
        <v>0</v>
      </c>
      <c r="P40" s="153">
        <v>0</v>
      </c>
      <c r="Q40" s="153">
        <v>0</v>
      </c>
      <c r="R40" s="153">
        <v>0</v>
      </c>
      <c r="S40" s="153">
        <f t="shared" si="2"/>
        <v>0</v>
      </c>
      <c r="T40" s="153">
        <v>0</v>
      </c>
      <c r="U40" s="153">
        <f t="shared" si="3"/>
        <v>0</v>
      </c>
      <c r="V40" s="154">
        <v>0</v>
      </c>
      <c r="W40" s="154">
        <v>0</v>
      </c>
      <c r="X40" s="154">
        <v>0</v>
      </c>
      <c r="Y40" s="154">
        <v>0</v>
      </c>
      <c r="Z40" s="154">
        <f t="shared" si="4"/>
        <v>0</v>
      </c>
      <c r="AA40" s="154">
        <v>0</v>
      </c>
      <c r="AB40" s="154">
        <f t="shared" si="5"/>
        <v>0</v>
      </c>
      <c r="AC40" s="154">
        <v>0</v>
      </c>
      <c r="AD40" s="154">
        <v>0</v>
      </c>
      <c r="AE40" s="154">
        <v>0</v>
      </c>
      <c r="AF40" s="154">
        <v>0</v>
      </c>
      <c r="AG40" s="154">
        <f t="shared" si="6"/>
        <v>0</v>
      </c>
      <c r="AH40" s="154">
        <v>0</v>
      </c>
      <c r="AI40" s="154">
        <f t="shared" si="7"/>
        <v>0</v>
      </c>
      <c r="AJ40" s="154">
        <v>0</v>
      </c>
      <c r="AK40" s="154">
        <v>0</v>
      </c>
      <c r="AL40" s="154">
        <v>0</v>
      </c>
      <c r="AM40" s="154">
        <v>0</v>
      </c>
      <c r="AN40" s="154">
        <f t="shared" si="18"/>
        <v>0</v>
      </c>
      <c r="AO40" s="154">
        <v>0</v>
      </c>
      <c r="AP40" s="154">
        <f t="shared" si="8"/>
        <v>0</v>
      </c>
      <c r="AQ40" s="154">
        <f t="shared" si="19"/>
        <v>0</v>
      </c>
      <c r="AR40" s="154">
        <f t="shared" si="20"/>
        <v>0</v>
      </c>
      <c r="AS40" s="154">
        <f t="shared" si="21"/>
        <v>0</v>
      </c>
      <c r="AT40" s="154">
        <f t="shared" si="22"/>
        <v>0</v>
      </c>
      <c r="AU40" s="154">
        <f t="shared" ref="AU40:AU71" si="26">G40+AQ40+AR40-AS40-AT40</f>
        <v>0</v>
      </c>
      <c r="AV40" s="154">
        <f t="shared" si="25"/>
        <v>0</v>
      </c>
      <c r="AW40" s="154">
        <f t="shared" si="10"/>
        <v>0</v>
      </c>
      <c r="AX40" s="25"/>
      <c r="AY40" s="26"/>
      <c r="AZ40" s="28">
        <f t="shared" ref="AZ40:AZ71" si="27">E40*G40</f>
        <v>0</v>
      </c>
      <c r="BA40" s="28"/>
      <c r="BB40" s="28">
        <f t="shared" ref="BB40:BB71" si="28">F40*H40</f>
        <v>0</v>
      </c>
      <c r="BC40" s="28">
        <f t="shared" ref="BC40:BC71" si="29">F40*I40</f>
        <v>0</v>
      </c>
      <c r="BD40" s="28">
        <f t="shared" ref="BD40:BD71" si="30">F40*J40</f>
        <v>0</v>
      </c>
      <c r="BE40" s="28">
        <f t="shared" ref="BE40:BE71" si="31">F40*K40</f>
        <v>0</v>
      </c>
      <c r="BF40" s="28">
        <f t="shared" si="23"/>
        <v>0</v>
      </c>
      <c r="BG40" s="29">
        <f t="shared" ref="BG40:BG71" si="32">F40*L40</f>
        <v>0</v>
      </c>
      <c r="BH40" s="29">
        <f t="shared" si="24"/>
        <v>0</v>
      </c>
      <c r="BI40" s="30"/>
      <c r="BJ40" s="23" t="s">
        <v>94</v>
      </c>
      <c r="BK40" s="31">
        <v>0</v>
      </c>
      <c r="BL40" s="31">
        <v>0</v>
      </c>
      <c r="BO40" s="31">
        <v>0</v>
      </c>
      <c r="BP40" s="31" t="b">
        <f t="shared" ref="BP40:BP71" si="33">D40=BJ40</f>
        <v>1</v>
      </c>
    </row>
    <row r="41" spans="2:68" s="31" customFormat="1" x14ac:dyDescent="0.25">
      <c r="B41" s="32" t="s">
        <v>95</v>
      </c>
      <c r="C41" s="22" t="s">
        <v>29</v>
      </c>
      <c r="D41" s="23" t="s">
        <v>96</v>
      </c>
      <c r="E41" s="24">
        <v>16.8</v>
      </c>
      <c r="F41" s="24">
        <v>16.8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f t="shared" si="0"/>
        <v>0</v>
      </c>
      <c r="M41" s="22">
        <v>0</v>
      </c>
      <c r="N41" s="22">
        <f t="shared" si="1"/>
        <v>0</v>
      </c>
      <c r="O41" s="153">
        <v>0</v>
      </c>
      <c r="P41" s="153">
        <v>0</v>
      </c>
      <c r="Q41" s="153">
        <v>0</v>
      </c>
      <c r="R41" s="153">
        <v>0</v>
      </c>
      <c r="S41" s="153">
        <f t="shared" si="2"/>
        <v>0</v>
      </c>
      <c r="T41" s="153">
        <v>0</v>
      </c>
      <c r="U41" s="153">
        <f t="shared" si="3"/>
        <v>0</v>
      </c>
      <c r="V41" s="154">
        <v>0</v>
      </c>
      <c r="W41" s="154">
        <v>0</v>
      </c>
      <c r="X41" s="154">
        <v>0</v>
      </c>
      <c r="Y41" s="154">
        <v>0</v>
      </c>
      <c r="Z41" s="154">
        <f t="shared" si="4"/>
        <v>0</v>
      </c>
      <c r="AA41" s="154">
        <v>0</v>
      </c>
      <c r="AB41" s="154">
        <f t="shared" si="5"/>
        <v>0</v>
      </c>
      <c r="AC41" s="154">
        <v>0</v>
      </c>
      <c r="AD41" s="154">
        <v>0</v>
      </c>
      <c r="AE41" s="154">
        <v>0</v>
      </c>
      <c r="AF41" s="154">
        <v>0</v>
      </c>
      <c r="AG41" s="154">
        <f t="shared" si="6"/>
        <v>0</v>
      </c>
      <c r="AH41" s="154">
        <v>0</v>
      </c>
      <c r="AI41" s="154">
        <f t="shared" si="7"/>
        <v>0</v>
      </c>
      <c r="AJ41" s="154">
        <v>0</v>
      </c>
      <c r="AK41" s="154">
        <v>0</v>
      </c>
      <c r="AL41" s="154">
        <v>0</v>
      </c>
      <c r="AM41" s="154">
        <v>0</v>
      </c>
      <c r="AN41" s="154">
        <f t="shared" si="18"/>
        <v>0</v>
      </c>
      <c r="AO41" s="154">
        <v>0</v>
      </c>
      <c r="AP41" s="154">
        <f t="shared" si="8"/>
        <v>0</v>
      </c>
      <c r="AQ41" s="154">
        <f t="shared" ref="AQ41:AQ72" si="34">H41+O41+V41+AC41+AJ41</f>
        <v>0</v>
      </c>
      <c r="AR41" s="154">
        <f t="shared" ref="AR41:AR72" si="35">I41+P41+W41+AD41+AK41</f>
        <v>0</v>
      </c>
      <c r="AS41" s="154">
        <f t="shared" si="21"/>
        <v>0</v>
      </c>
      <c r="AT41" s="154">
        <f t="shared" ref="AT41:AT72" si="36">K41+R41+Y41+AF41+AM41</f>
        <v>0</v>
      </c>
      <c r="AU41" s="154">
        <f t="shared" si="26"/>
        <v>0</v>
      </c>
      <c r="AV41" s="154">
        <f t="shared" si="25"/>
        <v>0</v>
      </c>
      <c r="AW41" s="154">
        <f t="shared" si="10"/>
        <v>0</v>
      </c>
      <c r="AX41" s="25"/>
      <c r="AY41" s="26"/>
      <c r="AZ41" s="28">
        <f t="shared" si="27"/>
        <v>0</v>
      </c>
      <c r="BA41" s="28"/>
      <c r="BB41" s="28">
        <f t="shared" si="28"/>
        <v>0</v>
      </c>
      <c r="BC41" s="28">
        <f t="shared" si="29"/>
        <v>0</v>
      </c>
      <c r="BD41" s="28">
        <f t="shared" si="30"/>
        <v>0</v>
      </c>
      <c r="BE41" s="28">
        <f t="shared" si="31"/>
        <v>0</v>
      </c>
      <c r="BF41" s="28">
        <f t="shared" si="23"/>
        <v>0</v>
      </c>
      <c r="BG41" s="29">
        <f t="shared" si="32"/>
        <v>0</v>
      </c>
      <c r="BH41" s="29">
        <f t="shared" si="24"/>
        <v>0</v>
      </c>
      <c r="BI41" s="30"/>
      <c r="BJ41" s="23" t="s">
        <v>96</v>
      </c>
      <c r="BK41" s="31">
        <v>0</v>
      </c>
      <c r="BL41" s="31">
        <v>0</v>
      </c>
      <c r="BO41" s="31">
        <v>0</v>
      </c>
      <c r="BP41" s="31" t="b">
        <f t="shared" si="33"/>
        <v>1</v>
      </c>
    </row>
    <row r="42" spans="2:68" s="31" customFormat="1" ht="30" customHeight="1" x14ac:dyDescent="0.25">
      <c r="B42" s="21" t="s">
        <v>97</v>
      </c>
      <c r="C42" s="22" t="s">
        <v>29</v>
      </c>
      <c r="D42" s="23" t="s">
        <v>98</v>
      </c>
      <c r="E42" s="24">
        <v>16.8</v>
      </c>
      <c r="F42" s="24">
        <v>16.8</v>
      </c>
      <c r="G42" s="22">
        <v>0</v>
      </c>
      <c r="H42" s="22">
        <v>0</v>
      </c>
      <c r="I42" s="22">
        <v>0</v>
      </c>
      <c r="J42" s="22"/>
      <c r="K42" s="22">
        <v>0</v>
      </c>
      <c r="L42" s="33">
        <f t="shared" si="0"/>
        <v>0</v>
      </c>
      <c r="M42" s="34">
        <v>0</v>
      </c>
      <c r="N42" s="34">
        <f>L42-M42</f>
        <v>0</v>
      </c>
      <c r="O42" s="153">
        <v>0</v>
      </c>
      <c r="P42" s="153">
        <v>0</v>
      </c>
      <c r="Q42" s="153">
        <v>0</v>
      </c>
      <c r="R42" s="153">
        <v>0</v>
      </c>
      <c r="S42" s="153">
        <f t="shared" si="2"/>
        <v>0</v>
      </c>
      <c r="T42" s="153">
        <v>0</v>
      </c>
      <c r="U42" s="153">
        <f t="shared" si="3"/>
        <v>0</v>
      </c>
      <c r="V42" s="154">
        <v>0</v>
      </c>
      <c r="W42" s="154">
        <v>0</v>
      </c>
      <c r="X42" s="154">
        <v>0</v>
      </c>
      <c r="Y42" s="154">
        <v>0</v>
      </c>
      <c r="Z42" s="154">
        <f t="shared" si="4"/>
        <v>0</v>
      </c>
      <c r="AA42" s="154">
        <v>0</v>
      </c>
      <c r="AB42" s="154">
        <f t="shared" si="5"/>
        <v>0</v>
      </c>
      <c r="AC42" s="154">
        <v>0</v>
      </c>
      <c r="AD42" s="154">
        <v>0</v>
      </c>
      <c r="AE42" s="154">
        <v>0</v>
      </c>
      <c r="AF42" s="154">
        <v>0</v>
      </c>
      <c r="AG42" s="154">
        <f t="shared" si="6"/>
        <v>0</v>
      </c>
      <c r="AH42" s="154">
        <v>0</v>
      </c>
      <c r="AI42" s="154">
        <f t="shared" si="7"/>
        <v>0</v>
      </c>
      <c r="AJ42" s="154">
        <v>0</v>
      </c>
      <c r="AK42" s="154">
        <v>0</v>
      </c>
      <c r="AL42" s="154">
        <v>0</v>
      </c>
      <c r="AM42" s="154">
        <v>0</v>
      </c>
      <c r="AN42" s="154">
        <f t="shared" si="18"/>
        <v>0</v>
      </c>
      <c r="AO42" s="154">
        <v>0</v>
      </c>
      <c r="AP42" s="154">
        <f t="shared" si="8"/>
        <v>0</v>
      </c>
      <c r="AQ42" s="154">
        <f t="shared" si="34"/>
        <v>0</v>
      </c>
      <c r="AR42" s="154">
        <f t="shared" si="35"/>
        <v>0</v>
      </c>
      <c r="AS42" s="154">
        <f t="shared" si="21"/>
        <v>0</v>
      </c>
      <c r="AT42" s="154">
        <f t="shared" si="36"/>
        <v>0</v>
      </c>
      <c r="AU42" s="154">
        <f t="shared" si="26"/>
        <v>0</v>
      </c>
      <c r="AV42" s="154">
        <f t="shared" si="25"/>
        <v>0</v>
      </c>
      <c r="AW42" s="154">
        <f t="shared" si="10"/>
        <v>0</v>
      </c>
      <c r="AX42" s="25"/>
      <c r="AY42" s="26"/>
      <c r="AZ42" s="28">
        <f t="shared" si="27"/>
        <v>0</v>
      </c>
      <c r="BA42" s="28"/>
      <c r="BB42" s="28">
        <f t="shared" si="28"/>
        <v>0</v>
      </c>
      <c r="BC42" s="28">
        <f t="shared" si="29"/>
        <v>0</v>
      </c>
      <c r="BD42" s="28">
        <f t="shared" si="30"/>
        <v>0</v>
      </c>
      <c r="BE42" s="28">
        <f t="shared" si="31"/>
        <v>0</v>
      </c>
      <c r="BF42" s="28">
        <f t="shared" si="23"/>
        <v>0</v>
      </c>
      <c r="BG42" s="29">
        <f t="shared" si="32"/>
        <v>0</v>
      </c>
      <c r="BH42" s="29">
        <f t="shared" si="24"/>
        <v>0</v>
      </c>
      <c r="BI42" s="30"/>
      <c r="BJ42" s="23" t="s">
        <v>98</v>
      </c>
      <c r="BK42" s="31">
        <v>0</v>
      </c>
      <c r="BL42" s="31">
        <v>0</v>
      </c>
      <c r="BO42" s="31">
        <v>0</v>
      </c>
      <c r="BP42" s="31" t="b">
        <f t="shared" si="33"/>
        <v>1</v>
      </c>
    </row>
    <row r="43" spans="2:68" s="31" customFormat="1" x14ac:dyDescent="0.25">
      <c r="B43" s="21" t="s">
        <v>99</v>
      </c>
      <c r="C43" s="22" t="s">
        <v>29</v>
      </c>
      <c r="D43" s="23" t="s">
        <v>100</v>
      </c>
      <c r="E43" s="24">
        <v>16.8</v>
      </c>
      <c r="F43" s="24">
        <v>16.8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f t="shared" si="0"/>
        <v>0</v>
      </c>
      <c r="M43" s="22">
        <v>0</v>
      </c>
      <c r="N43" s="22">
        <f t="shared" ref="N43:N60" si="37">M43-L43</f>
        <v>0</v>
      </c>
      <c r="O43" s="153">
        <v>0</v>
      </c>
      <c r="P43" s="153">
        <v>0</v>
      </c>
      <c r="Q43" s="153">
        <v>0</v>
      </c>
      <c r="R43" s="153">
        <v>0</v>
      </c>
      <c r="S43" s="153">
        <f t="shared" si="2"/>
        <v>0</v>
      </c>
      <c r="T43" s="153">
        <v>0</v>
      </c>
      <c r="U43" s="153">
        <f t="shared" si="3"/>
        <v>0</v>
      </c>
      <c r="V43" s="154">
        <v>0</v>
      </c>
      <c r="W43" s="154">
        <v>0</v>
      </c>
      <c r="X43" s="154">
        <v>0</v>
      </c>
      <c r="Y43" s="154">
        <v>0</v>
      </c>
      <c r="Z43" s="154">
        <f t="shared" si="4"/>
        <v>0</v>
      </c>
      <c r="AA43" s="154">
        <v>0</v>
      </c>
      <c r="AB43" s="154">
        <f t="shared" si="5"/>
        <v>0</v>
      </c>
      <c r="AC43" s="154">
        <v>0</v>
      </c>
      <c r="AD43" s="154">
        <v>0</v>
      </c>
      <c r="AE43" s="154">
        <v>0</v>
      </c>
      <c r="AF43" s="154">
        <v>0</v>
      </c>
      <c r="AG43" s="154">
        <f t="shared" si="6"/>
        <v>0</v>
      </c>
      <c r="AH43" s="154">
        <v>0</v>
      </c>
      <c r="AI43" s="154">
        <f t="shared" si="7"/>
        <v>0</v>
      </c>
      <c r="AJ43" s="154">
        <v>0</v>
      </c>
      <c r="AK43" s="154">
        <v>0</v>
      </c>
      <c r="AL43" s="154">
        <v>0</v>
      </c>
      <c r="AM43" s="154">
        <v>0</v>
      </c>
      <c r="AN43" s="154">
        <f t="shared" si="18"/>
        <v>0</v>
      </c>
      <c r="AO43" s="154">
        <v>0</v>
      </c>
      <c r="AP43" s="154">
        <f t="shared" si="8"/>
        <v>0</v>
      </c>
      <c r="AQ43" s="154">
        <f t="shared" si="34"/>
        <v>0</v>
      </c>
      <c r="AR43" s="154">
        <f t="shared" si="35"/>
        <v>0</v>
      </c>
      <c r="AS43" s="154">
        <f t="shared" si="21"/>
        <v>0</v>
      </c>
      <c r="AT43" s="154">
        <f t="shared" si="36"/>
        <v>0</v>
      </c>
      <c r="AU43" s="154">
        <f t="shared" si="26"/>
        <v>0</v>
      </c>
      <c r="AV43" s="154">
        <f t="shared" si="25"/>
        <v>0</v>
      </c>
      <c r="AW43" s="154">
        <f t="shared" si="10"/>
        <v>0</v>
      </c>
      <c r="AX43" s="25"/>
      <c r="AY43" s="26"/>
      <c r="AZ43" s="28">
        <f t="shared" si="27"/>
        <v>0</v>
      </c>
      <c r="BA43" s="28"/>
      <c r="BB43" s="28">
        <f t="shared" si="28"/>
        <v>0</v>
      </c>
      <c r="BC43" s="28">
        <f t="shared" si="29"/>
        <v>0</v>
      </c>
      <c r="BD43" s="28">
        <f t="shared" si="30"/>
        <v>0</v>
      </c>
      <c r="BE43" s="28">
        <f t="shared" si="31"/>
        <v>0</v>
      </c>
      <c r="BF43" s="28">
        <f t="shared" si="23"/>
        <v>0</v>
      </c>
      <c r="BG43" s="29">
        <f t="shared" si="32"/>
        <v>0</v>
      </c>
      <c r="BH43" s="29">
        <f t="shared" si="24"/>
        <v>0</v>
      </c>
      <c r="BI43" s="30"/>
      <c r="BJ43" s="23" t="s">
        <v>100</v>
      </c>
      <c r="BK43" s="31">
        <v>0</v>
      </c>
      <c r="BL43" s="31">
        <v>0</v>
      </c>
      <c r="BO43" s="31">
        <v>0</v>
      </c>
      <c r="BP43" s="31" t="b">
        <f t="shared" si="33"/>
        <v>1</v>
      </c>
    </row>
    <row r="44" spans="2:68" s="31" customFormat="1" x14ac:dyDescent="0.25">
      <c r="B44" s="32" t="s">
        <v>101</v>
      </c>
      <c r="C44" s="22" t="s">
        <v>29</v>
      </c>
      <c r="D44" s="23" t="s">
        <v>102</v>
      </c>
      <c r="E44" s="24">
        <v>16.8</v>
      </c>
      <c r="F44" s="24">
        <v>16.8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f t="shared" si="0"/>
        <v>0</v>
      </c>
      <c r="M44" s="22">
        <v>0</v>
      </c>
      <c r="N44" s="22">
        <f t="shared" si="37"/>
        <v>0</v>
      </c>
      <c r="O44" s="153">
        <v>0</v>
      </c>
      <c r="P44" s="153">
        <v>0</v>
      </c>
      <c r="Q44" s="153">
        <v>0</v>
      </c>
      <c r="R44" s="153">
        <v>0</v>
      </c>
      <c r="S44" s="153">
        <f t="shared" si="2"/>
        <v>0</v>
      </c>
      <c r="T44" s="153">
        <v>0</v>
      </c>
      <c r="U44" s="153">
        <f t="shared" si="3"/>
        <v>0</v>
      </c>
      <c r="V44" s="154">
        <v>0</v>
      </c>
      <c r="W44" s="154">
        <v>0</v>
      </c>
      <c r="X44" s="154">
        <v>0</v>
      </c>
      <c r="Y44" s="154"/>
      <c r="Z44" s="154">
        <f t="shared" si="4"/>
        <v>0</v>
      </c>
      <c r="AA44" s="154">
        <v>0</v>
      </c>
      <c r="AB44" s="154">
        <f t="shared" si="5"/>
        <v>0</v>
      </c>
      <c r="AC44" s="154">
        <v>0</v>
      </c>
      <c r="AD44" s="154">
        <v>0</v>
      </c>
      <c r="AE44" s="154">
        <v>0</v>
      </c>
      <c r="AF44" s="154">
        <v>0</v>
      </c>
      <c r="AG44" s="154">
        <f t="shared" si="6"/>
        <v>0</v>
      </c>
      <c r="AH44" s="154">
        <v>0</v>
      </c>
      <c r="AI44" s="154">
        <f t="shared" si="7"/>
        <v>0</v>
      </c>
      <c r="AJ44" s="154">
        <v>0</v>
      </c>
      <c r="AK44" s="154">
        <v>0</v>
      </c>
      <c r="AL44" s="154">
        <v>0</v>
      </c>
      <c r="AM44" s="154">
        <v>0</v>
      </c>
      <c r="AN44" s="154">
        <f t="shared" si="18"/>
        <v>0</v>
      </c>
      <c r="AO44" s="154">
        <v>0</v>
      </c>
      <c r="AP44" s="154">
        <f t="shared" si="8"/>
        <v>0</v>
      </c>
      <c r="AQ44" s="154">
        <f t="shared" si="34"/>
        <v>0</v>
      </c>
      <c r="AR44" s="154">
        <f t="shared" si="35"/>
        <v>0</v>
      </c>
      <c r="AS44" s="154">
        <f t="shared" si="21"/>
        <v>0</v>
      </c>
      <c r="AT44" s="154">
        <f t="shared" si="36"/>
        <v>0</v>
      </c>
      <c r="AU44" s="154">
        <f t="shared" si="26"/>
        <v>0</v>
      </c>
      <c r="AV44" s="154">
        <f t="shared" si="25"/>
        <v>0</v>
      </c>
      <c r="AW44" s="154">
        <f t="shared" si="10"/>
        <v>0</v>
      </c>
      <c r="AX44" s="25"/>
      <c r="AY44" s="26"/>
      <c r="AZ44" s="28">
        <f t="shared" si="27"/>
        <v>0</v>
      </c>
      <c r="BA44" s="28"/>
      <c r="BB44" s="28">
        <f t="shared" si="28"/>
        <v>0</v>
      </c>
      <c r="BC44" s="28">
        <f t="shared" si="29"/>
        <v>0</v>
      </c>
      <c r="BD44" s="28">
        <f t="shared" si="30"/>
        <v>0</v>
      </c>
      <c r="BE44" s="28">
        <f t="shared" si="31"/>
        <v>0</v>
      </c>
      <c r="BF44" s="28">
        <f t="shared" si="23"/>
        <v>0</v>
      </c>
      <c r="BG44" s="29">
        <f t="shared" si="32"/>
        <v>0</v>
      </c>
      <c r="BH44" s="29">
        <f t="shared" si="24"/>
        <v>0</v>
      </c>
      <c r="BI44" s="30"/>
      <c r="BJ44" s="23" t="s">
        <v>102</v>
      </c>
      <c r="BK44" s="31">
        <v>0</v>
      </c>
      <c r="BL44" s="31">
        <v>0</v>
      </c>
      <c r="BO44" s="31">
        <v>0</v>
      </c>
      <c r="BP44" s="31" t="b">
        <f t="shared" si="33"/>
        <v>1</v>
      </c>
    </row>
    <row r="45" spans="2:68" s="31" customFormat="1" ht="30" customHeight="1" x14ac:dyDescent="0.25">
      <c r="B45" s="21" t="s">
        <v>103</v>
      </c>
      <c r="C45" s="22" t="s">
        <v>29</v>
      </c>
      <c r="D45" s="23" t="s">
        <v>104</v>
      </c>
      <c r="E45" s="24">
        <v>17.22</v>
      </c>
      <c r="F45" s="24">
        <v>17.22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f t="shared" si="0"/>
        <v>0</v>
      </c>
      <c r="M45" s="22">
        <v>0</v>
      </c>
      <c r="N45" s="22">
        <f t="shared" si="37"/>
        <v>0</v>
      </c>
      <c r="O45" s="153">
        <v>0</v>
      </c>
      <c r="P45" s="153">
        <v>0</v>
      </c>
      <c r="Q45" s="153">
        <v>0</v>
      </c>
      <c r="R45" s="153">
        <v>0</v>
      </c>
      <c r="S45" s="153">
        <f t="shared" si="2"/>
        <v>0</v>
      </c>
      <c r="T45" s="153">
        <v>0</v>
      </c>
      <c r="U45" s="153">
        <f t="shared" si="3"/>
        <v>0</v>
      </c>
      <c r="V45" s="154">
        <v>0</v>
      </c>
      <c r="W45" s="154">
        <v>0</v>
      </c>
      <c r="X45" s="154">
        <v>0</v>
      </c>
      <c r="Y45" s="154">
        <v>0</v>
      </c>
      <c r="Z45" s="154">
        <f t="shared" si="4"/>
        <v>0</v>
      </c>
      <c r="AA45" s="154">
        <v>0</v>
      </c>
      <c r="AB45" s="154">
        <f t="shared" si="5"/>
        <v>0</v>
      </c>
      <c r="AC45" s="154">
        <v>0</v>
      </c>
      <c r="AD45" s="154">
        <v>0</v>
      </c>
      <c r="AE45" s="154">
        <v>0</v>
      </c>
      <c r="AF45" s="154">
        <v>0</v>
      </c>
      <c r="AG45" s="154">
        <f t="shared" si="6"/>
        <v>0</v>
      </c>
      <c r="AH45" s="154">
        <v>0</v>
      </c>
      <c r="AI45" s="154">
        <f t="shared" si="7"/>
        <v>0</v>
      </c>
      <c r="AJ45" s="154">
        <v>0</v>
      </c>
      <c r="AK45" s="154">
        <v>0</v>
      </c>
      <c r="AL45" s="154">
        <v>0</v>
      </c>
      <c r="AM45" s="154">
        <v>0</v>
      </c>
      <c r="AN45" s="154">
        <f t="shared" si="18"/>
        <v>0</v>
      </c>
      <c r="AO45" s="154">
        <v>0</v>
      </c>
      <c r="AP45" s="154">
        <f t="shared" si="8"/>
        <v>0</v>
      </c>
      <c r="AQ45" s="154">
        <f t="shared" si="34"/>
        <v>0</v>
      </c>
      <c r="AR45" s="154">
        <f t="shared" si="35"/>
        <v>0</v>
      </c>
      <c r="AS45" s="154">
        <f t="shared" si="21"/>
        <v>0</v>
      </c>
      <c r="AT45" s="154">
        <f t="shared" si="36"/>
        <v>0</v>
      </c>
      <c r="AU45" s="154">
        <f t="shared" si="26"/>
        <v>0</v>
      </c>
      <c r="AV45" s="154">
        <f t="shared" si="25"/>
        <v>0</v>
      </c>
      <c r="AW45" s="154">
        <f t="shared" si="10"/>
        <v>0</v>
      </c>
      <c r="AX45" s="25"/>
      <c r="AY45" s="26"/>
      <c r="AZ45" s="28">
        <f t="shared" si="27"/>
        <v>0</v>
      </c>
      <c r="BA45" s="28"/>
      <c r="BB45" s="28">
        <f t="shared" si="28"/>
        <v>0</v>
      </c>
      <c r="BC45" s="28">
        <f t="shared" si="29"/>
        <v>0</v>
      </c>
      <c r="BD45" s="28">
        <f t="shared" si="30"/>
        <v>0</v>
      </c>
      <c r="BE45" s="28">
        <f t="shared" si="31"/>
        <v>0</v>
      </c>
      <c r="BF45" s="28">
        <f t="shared" si="23"/>
        <v>0</v>
      </c>
      <c r="BG45" s="29">
        <f t="shared" si="32"/>
        <v>0</v>
      </c>
      <c r="BH45" s="29">
        <f t="shared" si="24"/>
        <v>0</v>
      </c>
      <c r="BI45" s="30"/>
      <c r="BJ45" s="23" t="s">
        <v>104</v>
      </c>
      <c r="BK45" s="31">
        <v>0</v>
      </c>
      <c r="BL45" s="31">
        <v>0</v>
      </c>
      <c r="BO45" s="31">
        <v>0</v>
      </c>
      <c r="BP45" s="31" t="b">
        <f t="shared" si="33"/>
        <v>1</v>
      </c>
    </row>
    <row r="46" spans="2:68" s="31" customFormat="1" x14ac:dyDescent="0.25">
      <c r="B46" s="21" t="s">
        <v>105</v>
      </c>
      <c r="C46" s="22" t="s">
        <v>29</v>
      </c>
      <c r="D46" s="23" t="s">
        <v>106</v>
      </c>
      <c r="E46" s="24">
        <v>11.99</v>
      </c>
      <c r="F46" s="24">
        <v>11.99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f t="shared" si="0"/>
        <v>0</v>
      </c>
      <c r="M46" s="22">
        <v>0</v>
      </c>
      <c r="N46" s="22">
        <f t="shared" si="37"/>
        <v>0</v>
      </c>
      <c r="O46" s="153">
        <v>0</v>
      </c>
      <c r="P46" s="153">
        <v>0</v>
      </c>
      <c r="Q46" s="153">
        <v>0</v>
      </c>
      <c r="R46" s="153">
        <v>0</v>
      </c>
      <c r="S46" s="153">
        <f t="shared" si="2"/>
        <v>0</v>
      </c>
      <c r="T46" s="153">
        <v>0</v>
      </c>
      <c r="U46" s="153">
        <f t="shared" si="3"/>
        <v>0</v>
      </c>
      <c r="V46" s="154">
        <v>0</v>
      </c>
      <c r="W46" s="154">
        <v>0</v>
      </c>
      <c r="X46" s="154">
        <v>0</v>
      </c>
      <c r="Y46" s="154">
        <v>0</v>
      </c>
      <c r="Z46" s="154">
        <f t="shared" si="4"/>
        <v>0</v>
      </c>
      <c r="AA46" s="154">
        <v>0</v>
      </c>
      <c r="AB46" s="154">
        <f t="shared" si="5"/>
        <v>0</v>
      </c>
      <c r="AC46" s="154">
        <v>0</v>
      </c>
      <c r="AD46" s="154">
        <v>0</v>
      </c>
      <c r="AE46" s="154">
        <v>0</v>
      </c>
      <c r="AF46" s="154">
        <v>0</v>
      </c>
      <c r="AG46" s="154">
        <f t="shared" si="6"/>
        <v>0</v>
      </c>
      <c r="AH46" s="154">
        <v>0</v>
      </c>
      <c r="AI46" s="154">
        <f t="shared" si="7"/>
        <v>0</v>
      </c>
      <c r="AJ46" s="154">
        <v>0</v>
      </c>
      <c r="AK46" s="154">
        <v>0</v>
      </c>
      <c r="AL46" s="154">
        <v>0</v>
      </c>
      <c r="AM46" s="154">
        <v>0</v>
      </c>
      <c r="AN46" s="154">
        <f t="shared" si="18"/>
        <v>0</v>
      </c>
      <c r="AO46" s="154">
        <v>0</v>
      </c>
      <c r="AP46" s="154">
        <f t="shared" si="8"/>
        <v>0</v>
      </c>
      <c r="AQ46" s="154">
        <f t="shared" si="34"/>
        <v>0</v>
      </c>
      <c r="AR46" s="154">
        <f t="shared" si="35"/>
        <v>0</v>
      </c>
      <c r="AS46" s="154">
        <f t="shared" si="21"/>
        <v>0</v>
      </c>
      <c r="AT46" s="154">
        <f t="shared" si="36"/>
        <v>0</v>
      </c>
      <c r="AU46" s="154">
        <f t="shared" si="26"/>
        <v>0</v>
      </c>
      <c r="AV46" s="154">
        <f t="shared" si="25"/>
        <v>0</v>
      </c>
      <c r="AW46" s="154">
        <f t="shared" si="10"/>
        <v>0</v>
      </c>
      <c r="AX46" s="25"/>
      <c r="AY46" s="26"/>
      <c r="AZ46" s="28">
        <f t="shared" si="27"/>
        <v>0</v>
      </c>
      <c r="BA46" s="28"/>
      <c r="BB46" s="28">
        <f t="shared" si="28"/>
        <v>0</v>
      </c>
      <c r="BC46" s="28">
        <f t="shared" si="29"/>
        <v>0</v>
      </c>
      <c r="BD46" s="28">
        <f t="shared" si="30"/>
        <v>0</v>
      </c>
      <c r="BE46" s="28">
        <f t="shared" si="31"/>
        <v>0</v>
      </c>
      <c r="BF46" s="28">
        <f t="shared" si="23"/>
        <v>0</v>
      </c>
      <c r="BG46" s="29">
        <f t="shared" si="32"/>
        <v>0</v>
      </c>
      <c r="BH46" s="29">
        <f t="shared" si="24"/>
        <v>0</v>
      </c>
      <c r="BI46" s="30"/>
      <c r="BJ46" s="23" t="s">
        <v>106</v>
      </c>
      <c r="BK46" s="31">
        <v>0</v>
      </c>
      <c r="BL46" s="31">
        <v>0</v>
      </c>
      <c r="BO46" s="31">
        <v>0</v>
      </c>
      <c r="BP46" s="31" t="b">
        <f t="shared" si="33"/>
        <v>1</v>
      </c>
    </row>
    <row r="47" spans="2:68" s="31" customFormat="1" ht="20.25" customHeight="1" x14ac:dyDescent="0.25">
      <c r="B47" s="21" t="s">
        <v>107</v>
      </c>
      <c r="C47" s="22" t="s">
        <v>29</v>
      </c>
      <c r="D47" s="35" t="s">
        <v>108</v>
      </c>
      <c r="E47" s="36">
        <v>16.239999999999998</v>
      </c>
      <c r="F47" s="36">
        <v>16.239999999999998</v>
      </c>
      <c r="G47" s="22">
        <v>1</v>
      </c>
      <c r="H47" s="22">
        <v>0</v>
      </c>
      <c r="I47" s="22">
        <v>0</v>
      </c>
      <c r="J47" s="22">
        <v>0</v>
      </c>
      <c r="K47" s="22">
        <v>0</v>
      </c>
      <c r="L47" s="22">
        <f t="shared" si="0"/>
        <v>1</v>
      </c>
      <c r="M47" s="22">
        <v>1</v>
      </c>
      <c r="N47" s="22">
        <f t="shared" si="37"/>
        <v>0</v>
      </c>
      <c r="O47" s="153">
        <v>0</v>
      </c>
      <c r="P47" s="153">
        <v>0</v>
      </c>
      <c r="Q47" s="153">
        <v>0</v>
      </c>
      <c r="R47" s="153">
        <v>0</v>
      </c>
      <c r="S47" s="153">
        <f t="shared" si="2"/>
        <v>1</v>
      </c>
      <c r="T47" s="153">
        <v>1</v>
      </c>
      <c r="U47" s="153">
        <f t="shared" si="3"/>
        <v>0</v>
      </c>
      <c r="V47" s="154">
        <v>0</v>
      </c>
      <c r="W47" s="154">
        <v>0</v>
      </c>
      <c r="X47" s="154">
        <v>0</v>
      </c>
      <c r="Y47" s="154">
        <v>0</v>
      </c>
      <c r="Z47" s="154">
        <f t="shared" si="4"/>
        <v>1</v>
      </c>
      <c r="AA47" s="154">
        <v>1</v>
      </c>
      <c r="AB47" s="154">
        <f t="shared" si="5"/>
        <v>0</v>
      </c>
      <c r="AC47" s="154">
        <v>0</v>
      </c>
      <c r="AD47" s="154">
        <v>0</v>
      </c>
      <c r="AE47" s="154">
        <v>0</v>
      </c>
      <c r="AF47" s="154">
        <v>0</v>
      </c>
      <c r="AG47" s="154">
        <f t="shared" si="6"/>
        <v>1</v>
      </c>
      <c r="AH47" s="154">
        <v>1</v>
      </c>
      <c r="AI47" s="154">
        <f t="shared" si="7"/>
        <v>0</v>
      </c>
      <c r="AJ47" s="154">
        <v>0</v>
      </c>
      <c r="AK47" s="154">
        <v>0</v>
      </c>
      <c r="AL47" s="154">
        <v>0</v>
      </c>
      <c r="AM47" s="154">
        <v>0</v>
      </c>
      <c r="AN47" s="154">
        <f t="shared" si="18"/>
        <v>1</v>
      </c>
      <c r="AO47" s="154">
        <v>1</v>
      </c>
      <c r="AP47" s="154">
        <f t="shared" si="8"/>
        <v>0</v>
      </c>
      <c r="AQ47" s="154">
        <f t="shared" si="34"/>
        <v>0</v>
      </c>
      <c r="AR47" s="154">
        <f t="shared" si="35"/>
        <v>0</v>
      </c>
      <c r="AS47" s="154">
        <f t="shared" si="21"/>
        <v>0</v>
      </c>
      <c r="AT47" s="154">
        <f t="shared" si="36"/>
        <v>0</v>
      </c>
      <c r="AU47" s="154">
        <f t="shared" si="26"/>
        <v>1</v>
      </c>
      <c r="AV47" s="154">
        <v>1</v>
      </c>
      <c r="AW47" s="154">
        <f t="shared" si="10"/>
        <v>0</v>
      </c>
      <c r="AX47" s="25"/>
      <c r="AY47" s="26"/>
      <c r="AZ47" s="28">
        <f t="shared" si="27"/>
        <v>16.239999999999998</v>
      </c>
      <c r="BA47" s="28"/>
      <c r="BB47" s="28">
        <f t="shared" si="28"/>
        <v>0</v>
      </c>
      <c r="BC47" s="28">
        <f t="shared" si="29"/>
        <v>0</v>
      </c>
      <c r="BD47" s="28">
        <f t="shared" si="30"/>
        <v>0</v>
      </c>
      <c r="BE47" s="28">
        <f t="shared" si="31"/>
        <v>0</v>
      </c>
      <c r="BF47" s="28">
        <f t="shared" si="23"/>
        <v>16.239999999999998</v>
      </c>
      <c r="BG47" s="29">
        <f t="shared" si="32"/>
        <v>16.239999999999998</v>
      </c>
      <c r="BH47" s="29">
        <f t="shared" si="24"/>
        <v>0</v>
      </c>
      <c r="BI47" s="30"/>
      <c r="BJ47" s="23" t="s">
        <v>108</v>
      </c>
      <c r="BK47" s="31">
        <v>7</v>
      </c>
      <c r="BL47" s="31">
        <v>11</v>
      </c>
      <c r="BN47" s="31">
        <v>10</v>
      </c>
      <c r="BO47" s="31">
        <v>1</v>
      </c>
      <c r="BP47" s="31" t="b">
        <f t="shared" si="33"/>
        <v>1</v>
      </c>
    </row>
    <row r="48" spans="2:68" s="31" customFormat="1" ht="31.5" x14ac:dyDescent="0.25">
      <c r="B48" s="21" t="s">
        <v>109</v>
      </c>
      <c r="C48" s="22" t="s">
        <v>29</v>
      </c>
      <c r="D48" s="35" t="s">
        <v>110</v>
      </c>
      <c r="E48" s="36">
        <v>16.239999999999998</v>
      </c>
      <c r="F48" s="36">
        <v>16.239999999999998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f t="shared" si="0"/>
        <v>0</v>
      </c>
      <c r="M48" s="22">
        <v>0</v>
      </c>
      <c r="N48" s="22">
        <f t="shared" si="37"/>
        <v>0</v>
      </c>
      <c r="O48" s="153">
        <v>0</v>
      </c>
      <c r="P48" s="153">
        <v>0</v>
      </c>
      <c r="Q48" s="153">
        <v>0</v>
      </c>
      <c r="R48" s="153">
        <v>0</v>
      </c>
      <c r="S48" s="153">
        <f t="shared" si="2"/>
        <v>0</v>
      </c>
      <c r="T48" s="153">
        <v>0</v>
      </c>
      <c r="U48" s="153">
        <f t="shared" si="3"/>
        <v>0</v>
      </c>
      <c r="V48" s="154">
        <v>0</v>
      </c>
      <c r="W48" s="154">
        <v>0</v>
      </c>
      <c r="X48" s="154">
        <v>0</v>
      </c>
      <c r="Y48" s="154">
        <v>0</v>
      </c>
      <c r="Z48" s="154">
        <f t="shared" si="4"/>
        <v>0</v>
      </c>
      <c r="AA48" s="154">
        <v>0</v>
      </c>
      <c r="AB48" s="154">
        <f t="shared" si="5"/>
        <v>0</v>
      </c>
      <c r="AC48" s="154">
        <v>0</v>
      </c>
      <c r="AD48" s="154">
        <v>0</v>
      </c>
      <c r="AE48" s="154">
        <v>0</v>
      </c>
      <c r="AF48" s="154">
        <v>0</v>
      </c>
      <c r="AG48" s="154">
        <f t="shared" si="6"/>
        <v>0</v>
      </c>
      <c r="AH48" s="154">
        <v>0</v>
      </c>
      <c r="AI48" s="154">
        <f t="shared" si="7"/>
        <v>0</v>
      </c>
      <c r="AJ48" s="154">
        <v>0</v>
      </c>
      <c r="AK48" s="154">
        <v>0</v>
      </c>
      <c r="AL48" s="154">
        <v>0</v>
      </c>
      <c r="AM48" s="154">
        <v>0</v>
      </c>
      <c r="AN48" s="154">
        <f t="shared" si="18"/>
        <v>0</v>
      </c>
      <c r="AO48" s="154">
        <v>0</v>
      </c>
      <c r="AP48" s="154">
        <f t="shared" si="8"/>
        <v>0</v>
      </c>
      <c r="AQ48" s="154">
        <f t="shared" si="34"/>
        <v>0</v>
      </c>
      <c r="AR48" s="154">
        <f t="shared" si="35"/>
        <v>0</v>
      </c>
      <c r="AS48" s="154">
        <f t="shared" si="21"/>
        <v>0</v>
      </c>
      <c r="AT48" s="154">
        <f t="shared" si="36"/>
        <v>0</v>
      </c>
      <c r="AU48" s="154">
        <f t="shared" si="26"/>
        <v>0</v>
      </c>
      <c r="AV48" s="154">
        <f>AH48</f>
        <v>0</v>
      </c>
      <c r="AW48" s="154">
        <f t="shared" si="10"/>
        <v>0</v>
      </c>
      <c r="AX48" s="25"/>
      <c r="AY48" s="26"/>
      <c r="AZ48" s="28">
        <f t="shared" si="27"/>
        <v>0</v>
      </c>
      <c r="BA48" s="28"/>
      <c r="BB48" s="28">
        <f t="shared" si="28"/>
        <v>0</v>
      </c>
      <c r="BC48" s="28">
        <f t="shared" si="29"/>
        <v>0</v>
      </c>
      <c r="BD48" s="28">
        <f t="shared" si="30"/>
        <v>0</v>
      </c>
      <c r="BE48" s="28">
        <f t="shared" si="31"/>
        <v>0</v>
      </c>
      <c r="BF48" s="28">
        <f t="shared" si="23"/>
        <v>0</v>
      </c>
      <c r="BG48" s="29">
        <f t="shared" si="32"/>
        <v>0</v>
      </c>
      <c r="BH48" s="29">
        <f t="shared" si="24"/>
        <v>0</v>
      </c>
      <c r="BI48" s="30"/>
      <c r="BJ48" s="23" t="s">
        <v>110</v>
      </c>
      <c r="BK48" s="31">
        <v>0</v>
      </c>
      <c r="BL48" s="31">
        <v>0</v>
      </c>
      <c r="BO48" s="31">
        <v>0</v>
      </c>
      <c r="BP48" s="31" t="b">
        <f t="shared" si="33"/>
        <v>1</v>
      </c>
    </row>
    <row r="49" spans="2:68" s="31" customFormat="1" ht="31.5" x14ac:dyDescent="0.25">
      <c r="B49" s="21" t="s">
        <v>111</v>
      </c>
      <c r="C49" s="22" t="s">
        <v>29</v>
      </c>
      <c r="D49" s="35" t="s">
        <v>112</v>
      </c>
      <c r="E49" s="36">
        <v>15.88</v>
      </c>
      <c r="F49" s="36">
        <v>15.88</v>
      </c>
      <c r="G49" s="22">
        <v>35</v>
      </c>
      <c r="H49" s="22">
        <v>0</v>
      </c>
      <c r="I49" s="22">
        <v>0</v>
      </c>
      <c r="J49" s="22">
        <v>17</v>
      </c>
      <c r="K49" s="22">
        <v>0</v>
      </c>
      <c r="L49" s="22">
        <f t="shared" si="0"/>
        <v>18</v>
      </c>
      <c r="M49" s="22">
        <v>18</v>
      </c>
      <c r="N49" s="22">
        <f t="shared" si="37"/>
        <v>0</v>
      </c>
      <c r="O49" s="153">
        <v>0</v>
      </c>
      <c r="P49" s="153">
        <v>0</v>
      </c>
      <c r="Q49" s="153">
        <v>5</v>
      </c>
      <c r="R49" s="153">
        <v>0</v>
      </c>
      <c r="S49" s="153">
        <f t="shared" si="2"/>
        <v>13</v>
      </c>
      <c r="T49" s="153">
        <v>13</v>
      </c>
      <c r="U49" s="153">
        <f t="shared" si="3"/>
        <v>0</v>
      </c>
      <c r="V49" s="154">
        <v>0</v>
      </c>
      <c r="W49" s="154">
        <v>0</v>
      </c>
      <c r="X49" s="154">
        <v>7</v>
      </c>
      <c r="Y49" s="154">
        <v>0</v>
      </c>
      <c r="Z49" s="154">
        <f t="shared" si="4"/>
        <v>6</v>
      </c>
      <c r="AA49" s="154">
        <v>6</v>
      </c>
      <c r="AB49" s="154">
        <f t="shared" si="5"/>
        <v>0</v>
      </c>
      <c r="AC49" s="154">
        <v>0</v>
      </c>
      <c r="AD49" s="154">
        <v>0</v>
      </c>
      <c r="AE49" s="154">
        <v>0</v>
      </c>
      <c r="AF49" s="154">
        <v>0</v>
      </c>
      <c r="AG49" s="154">
        <f t="shared" si="6"/>
        <v>6</v>
      </c>
      <c r="AH49" s="154">
        <v>6</v>
      </c>
      <c r="AI49" s="154">
        <f t="shared" si="7"/>
        <v>0</v>
      </c>
      <c r="AJ49" s="154">
        <v>0</v>
      </c>
      <c r="AK49" s="154">
        <v>0</v>
      </c>
      <c r="AL49" s="154">
        <v>0</v>
      </c>
      <c r="AM49" s="154">
        <v>0</v>
      </c>
      <c r="AN49" s="154">
        <f t="shared" si="18"/>
        <v>6</v>
      </c>
      <c r="AO49" s="154">
        <v>6</v>
      </c>
      <c r="AP49" s="154">
        <f t="shared" si="8"/>
        <v>0</v>
      </c>
      <c r="AQ49" s="154">
        <f t="shared" si="34"/>
        <v>0</v>
      </c>
      <c r="AR49" s="154">
        <f t="shared" si="35"/>
        <v>0</v>
      </c>
      <c r="AS49" s="154">
        <f t="shared" si="21"/>
        <v>29</v>
      </c>
      <c r="AT49" s="154">
        <f t="shared" si="36"/>
        <v>0</v>
      </c>
      <c r="AU49" s="154">
        <f t="shared" si="26"/>
        <v>6</v>
      </c>
      <c r="AV49" s="154">
        <v>6</v>
      </c>
      <c r="AW49" s="154">
        <f t="shared" si="10"/>
        <v>0</v>
      </c>
      <c r="AX49" s="25"/>
      <c r="AY49" s="26"/>
      <c r="AZ49" s="28">
        <f t="shared" si="27"/>
        <v>555.80000000000007</v>
      </c>
      <c r="BA49" s="28"/>
      <c r="BB49" s="28">
        <f t="shared" si="28"/>
        <v>0</v>
      </c>
      <c r="BC49" s="28">
        <f t="shared" si="29"/>
        <v>0</v>
      </c>
      <c r="BD49" s="28">
        <f t="shared" si="30"/>
        <v>269.96000000000004</v>
      </c>
      <c r="BE49" s="28">
        <f t="shared" si="31"/>
        <v>0</v>
      </c>
      <c r="BF49" s="28">
        <f t="shared" si="23"/>
        <v>285.84000000000003</v>
      </c>
      <c r="BG49" s="29">
        <f t="shared" si="32"/>
        <v>285.84000000000003</v>
      </c>
      <c r="BH49" s="29">
        <f t="shared" si="24"/>
        <v>0</v>
      </c>
      <c r="BI49" s="30"/>
      <c r="BJ49" s="23" t="s">
        <v>112</v>
      </c>
      <c r="BK49" s="31">
        <v>6</v>
      </c>
      <c r="BL49" s="31">
        <v>74</v>
      </c>
      <c r="BN49" s="31">
        <v>22</v>
      </c>
      <c r="BO49" s="31">
        <v>52</v>
      </c>
      <c r="BP49" s="31" t="b">
        <f t="shared" si="33"/>
        <v>1</v>
      </c>
    </row>
    <row r="50" spans="2:68" s="31" customFormat="1" ht="15" customHeight="1" x14ac:dyDescent="0.25">
      <c r="B50" s="21" t="s">
        <v>113</v>
      </c>
      <c r="C50" s="22" t="s">
        <v>29</v>
      </c>
      <c r="D50" s="35" t="s">
        <v>114</v>
      </c>
      <c r="E50" s="36">
        <v>16.239999999999998</v>
      </c>
      <c r="F50" s="36">
        <v>16.239999999999998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f t="shared" si="0"/>
        <v>0</v>
      </c>
      <c r="M50" s="22">
        <v>0</v>
      </c>
      <c r="N50" s="22">
        <f t="shared" si="37"/>
        <v>0</v>
      </c>
      <c r="O50" s="153">
        <v>0</v>
      </c>
      <c r="P50" s="153">
        <v>0</v>
      </c>
      <c r="Q50" s="153">
        <v>0</v>
      </c>
      <c r="R50" s="153">
        <v>0</v>
      </c>
      <c r="S50" s="153">
        <f t="shared" si="2"/>
        <v>0</v>
      </c>
      <c r="T50" s="153">
        <v>0</v>
      </c>
      <c r="U50" s="153">
        <f t="shared" si="3"/>
        <v>0</v>
      </c>
      <c r="V50" s="154">
        <v>0</v>
      </c>
      <c r="W50" s="154">
        <v>0</v>
      </c>
      <c r="X50" s="154">
        <v>0</v>
      </c>
      <c r="Y50" s="154">
        <v>0</v>
      </c>
      <c r="Z50" s="154">
        <f t="shared" si="4"/>
        <v>0</v>
      </c>
      <c r="AA50" s="154">
        <v>0</v>
      </c>
      <c r="AB50" s="154">
        <f t="shared" si="5"/>
        <v>0</v>
      </c>
      <c r="AC50" s="154">
        <v>0</v>
      </c>
      <c r="AD50" s="154">
        <v>0</v>
      </c>
      <c r="AE50" s="154">
        <v>0</v>
      </c>
      <c r="AF50" s="154">
        <v>0</v>
      </c>
      <c r="AG50" s="154">
        <f t="shared" si="6"/>
        <v>0</v>
      </c>
      <c r="AH50" s="154">
        <v>0</v>
      </c>
      <c r="AI50" s="154">
        <f t="shared" si="7"/>
        <v>0</v>
      </c>
      <c r="AJ50" s="154">
        <v>0</v>
      </c>
      <c r="AK50" s="154">
        <v>0</v>
      </c>
      <c r="AL50" s="154">
        <v>0</v>
      </c>
      <c r="AM50" s="154">
        <v>0</v>
      </c>
      <c r="AN50" s="154">
        <f t="shared" si="18"/>
        <v>0</v>
      </c>
      <c r="AO50" s="154">
        <v>0</v>
      </c>
      <c r="AP50" s="154">
        <f t="shared" si="8"/>
        <v>0</v>
      </c>
      <c r="AQ50" s="154">
        <f t="shared" si="34"/>
        <v>0</v>
      </c>
      <c r="AR50" s="154">
        <f t="shared" si="35"/>
        <v>0</v>
      </c>
      <c r="AS50" s="154">
        <f t="shared" si="21"/>
        <v>0</v>
      </c>
      <c r="AT50" s="154">
        <f t="shared" si="36"/>
        <v>0</v>
      </c>
      <c r="AU50" s="154">
        <f t="shared" si="26"/>
        <v>0</v>
      </c>
      <c r="AV50" s="154">
        <f t="shared" ref="AV50:AV57" si="38">AH50</f>
        <v>0</v>
      </c>
      <c r="AW50" s="154">
        <f t="shared" si="10"/>
        <v>0</v>
      </c>
      <c r="AX50" s="25"/>
      <c r="AY50" s="26"/>
      <c r="AZ50" s="28">
        <f t="shared" si="27"/>
        <v>0</v>
      </c>
      <c r="BA50" s="28"/>
      <c r="BB50" s="28">
        <f t="shared" si="28"/>
        <v>0</v>
      </c>
      <c r="BC50" s="28">
        <f t="shared" si="29"/>
        <v>0</v>
      </c>
      <c r="BD50" s="28">
        <f t="shared" si="30"/>
        <v>0</v>
      </c>
      <c r="BE50" s="28">
        <f t="shared" si="31"/>
        <v>0</v>
      </c>
      <c r="BF50" s="28">
        <f t="shared" si="23"/>
        <v>0</v>
      </c>
      <c r="BG50" s="29">
        <f t="shared" si="32"/>
        <v>0</v>
      </c>
      <c r="BH50" s="29">
        <f t="shared" si="24"/>
        <v>0</v>
      </c>
      <c r="BI50" s="30"/>
      <c r="BJ50" s="23" t="s">
        <v>114</v>
      </c>
      <c r="BK50" s="31">
        <v>1</v>
      </c>
      <c r="BL50" s="31">
        <v>24</v>
      </c>
      <c r="BN50" s="31">
        <v>11</v>
      </c>
      <c r="BO50" s="31">
        <v>13</v>
      </c>
      <c r="BP50" s="31" t="b">
        <f t="shared" si="33"/>
        <v>1</v>
      </c>
    </row>
    <row r="51" spans="2:68" s="31" customFormat="1" ht="30" customHeight="1" x14ac:dyDescent="0.25">
      <c r="B51" s="21" t="s">
        <v>115</v>
      </c>
      <c r="C51" s="22" t="s">
        <v>26</v>
      </c>
      <c r="D51" s="23" t="s">
        <v>116</v>
      </c>
      <c r="E51" s="24">
        <v>2.16</v>
      </c>
      <c r="F51" s="24">
        <v>2.16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f t="shared" si="0"/>
        <v>0</v>
      </c>
      <c r="M51" s="22">
        <v>0</v>
      </c>
      <c r="N51" s="22">
        <f t="shared" si="37"/>
        <v>0</v>
      </c>
      <c r="O51" s="153">
        <v>0</v>
      </c>
      <c r="P51" s="153">
        <v>0</v>
      </c>
      <c r="Q51" s="153">
        <v>0</v>
      </c>
      <c r="R51" s="153">
        <v>0</v>
      </c>
      <c r="S51" s="153">
        <f t="shared" si="2"/>
        <v>0</v>
      </c>
      <c r="T51" s="153">
        <v>0</v>
      </c>
      <c r="U51" s="153">
        <f t="shared" si="3"/>
        <v>0</v>
      </c>
      <c r="V51" s="154">
        <v>0</v>
      </c>
      <c r="W51" s="154">
        <v>0</v>
      </c>
      <c r="X51" s="154">
        <v>0</v>
      </c>
      <c r="Y51" s="154">
        <v>0</v>
      </c>
      <c r="Z51" s="154">
        <f t="shared" si="4"/>
        <v>0</v>
      </c>
      <c r="AA51" s="154">
        <v>0</v>
      </c>
      <c r="AB51" s="154">
        <f t="shared" si="5"/>
        <v>0</v>
      </c>
      <c r="AC51" s="154">
        <v>0</v>
      </c>
      <c r="AD51" s="154">
        <v>0</v>
      </c>
      <c r="AE51" s="154">
        <v>0</v>
      </c>
      <c r="AF51" s="154">
        <v>0</v>
      </c>
      <c r="AG51" s="154">
        <f t="shared" si="6"/>
        <v>0</v>
      </c>
      <c r="AH51" s="154">
        <v>0</v>
      </c>
      <c r="AI51" s="154">
        <f t="shared" si="7"/>
        <v>0</v>
      </c>
      <c r="AJ51" s="154">
        <v>0</v>
      </c>
      <c r="AK51" s="154">
        <v>0</v>
      </c>
      <c r="AL51" s="154">
        <v>0</v>
      </c>
      <c r="AM51" s="154">
        <v>0</v>
      </c>
      <c r="AN51" s="154">
        <f t="shared" si="18"/>
        <v>0</v>
      </c>
      <c r="AO51" s="154">
        <v>0</v>
      </c>
      <c r="AP51" s="154">
        <f t="shared" si="8"/>
        <v>0</v>
      </c>
      <c r="AQ51" s="154">
        <f t="shared" si="34"/>
        <v>0</v>
      </c>
      <c r="AR51" s="154">
        <f t="shared" si="35"/>
        <v>0</v>
      </c>
      <c r="AS51" s="154">
        <f t="shared" si="21"/>
        <v>0</v>
      </c>
      <c r="AT51" s="154">
        <f t="shared" si="36"/>
        <v>0</v>
      </c>
      <c r="AU51" s="154">
        <f t="shared" si="26"/>
        <v>0</v>
      </c>
      <c r="AV51" s="154">
        <f t="shared" si="38"/>
        <v>0</v>
      </c>
      <c r="AW51" s="154">
        <f t="shared" si="10"/>
        <v>0</v>
      </c>
      <c r="AX51" s="25"/>
      <c r="AY51" s="26"/>
      <c r="AZ51" s="28">
        <f t="shared" si="27"/>
        <v>0</v>
      </c>
      <c r="BA51" s="28"/>
      <c r="BB51" s="28">
        <f t="shared" si="28"/>
        <v>0</v>
      </c>
      <c r="BC51" s="28">
        <f t="shared" si="29"/>
        <v>0</v>
      </c>
      <c r="BD51" s="28">
        <f t="shared" si="30"/>
        <v>0</v>
      </c>
      <c r="BE51" s="28">
        <f t="shared" si="31"/>
        <v>0</v>
      </c>
      <c r="BF51" s="28">
        <f t="shared" si="23"/>
        <v>0</v>
      </c>
      <c r="BG51" s="29">
        <f t="shared" si="32"/>
        <v>0</v>
      </c>
      <c r="BH51" s="29">
        <f t="shared" si="24"/>
        <v>0</v>
      </c>
      <c r="BI51" s="30"/>
      <c r="BJ51" s="23" t="s">
        <v>116</v>
      </c>
      <c r="BK51" s="31">
        <v>0</v>
      </c>
      <c r="BL51" s="31">
        <v>0</v>
      </c>
      <c r="BO51" s="31">
        <v>0</v>
      </c>
      <c r="BP51" s="31" t="b">
        <f t="shared" si="33"/>
        <v>1</v>
      </c>
    </row>
    <row r="52" spans="2:68" s="31" customFormat="1" ht="31.5" x14ac:dyDescent="0.25">
      <c r="B52" s="21" t="s">
        <v>117</v>
      </c>
      <c r="C52" s="22" t="s">
        <v>26</v>
      </c>
      <c r="D52" s="23" t="s">
        <v>118</v>
      </c>
      <c r="E52" s="24">
        <v>0</v>
      </c>
      <c r="F52" s="24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f t="shared" si="0"/>
        <v>0</v>
      </c>
      <c r="M52" s="22">
        <v>0</v>
      </c>
      <c r="N52" s="22">
        <f t="shared" si="37"/>
        <v>0</v>
      </c>
      <c r="O52" s="153">
        <v>0</v>
      </c>
      <c r="P52" s="153">
        <v>0</v>
      </c>
      <c r="Q52" s="153">
        <v>0</v>
      </c>
      <c r="R52" s="153">
        <v>0</v>
      </c>
      <c r="S52" s="153">
        <f t="shared" si="2"/>
        <v>0</v>
      </c>
      <c r="T52" s="153">
        <v>0</v>
      </c>
      <c r="U52" s="153">
        <f t="shared" si="3"/>
        <v>0</v>
      </c>
      <c r="V52" s="154">
        <v>0</v>
      </c>
      <c r="W52" s="154">
        <v>0</v>
      </c>
      <c r="X52" s="154">
        <v>0</v>
      </c>
      <c r="Y52" s="154">
        <v>0</v>
      </c>
      <c r="Z52" s="154">
        <f t="shared" si="4"/>
        <v>0</v>
      </c>
      <c r="AA52" s="154">
        <v>0</v>
      </c>
      <c r="AB52" s="154">
        <f t="shared" si="5"/>
        <v>0</v>
      </c>
      <c r="AC52" s="154">
        <v>0</v>
      </c>
      <c r="AD52" s="154">
        <v>0</v>
      </c>
      <c r="AE52" s="154">
        <v>0</v>
      </c>
      <c r="AF52" s="154">
        <v>0</v>
      </c>
      <c r="AG52" s="154">
        <f t="shared" si="6"/>
        <v>0</v>
      </c>
      <c r="AH52" s="154">
        <v>0</v>
      </c>
      <c r="AI52" s="154">
        <f t="shared" si="7"/>
        <v>0</v>
      </c>
      <c r="AJ52" s="154">
        <v>0</v>
      </c>
      <c r="AK52" s="154">
        <v>0</v>
      </c>
      <c r="AL52" s="154">
        <v>0</v>
      </c>
      <c r="AM52" s="154">
        <v>0</v>
      </c>
      <c r="AN52" s="154">
        <f t="shared" si="18"/>
        <v>0</v>
      </c>
      <c r="AO52" s="154">
        <v>0</v>
      </c>
      <c r="AP52" s="154">
        <f t="shared" si="8"/>
        <v>0</v>
      </c>
      <c r="AQ52" s="154">
        <f t="shared" si="34"/>
        <v>0</v>
      </c>
      <c r="AR52" s="154">
        <f t="shared" si="35"/>
        <v>0</v>
      </c>
      <c r="AS52" s="154">
        <f t="shared" si="21"/>
        <v>0</v>
      </c>
      <c r="AT52" s="154">
        <f t="shared" si="36"/>
        <v>0</v>
      </c>
      <c r="AU52" s="154">
        <f t="shared" si="26"/>
        <v>0</v>
      </c>
      <c r="AV52" s="154">
        <f t="shared" si="38"/>
        <v>0</v>
      </c>
      <c r="AW52" s="154">
        <f t="shared" si="10"/>
        <v>0</v>
      </c>
      <c r="AX52" s="25"/>
      <c r="AY52" s="26"/>
      <c r="AZ52" s="28">
        <f t="shared" si="27"/>
        <v>0</v>
      </c>
      <c r="BA52" s="28"/>
      <c r="BB52" s="28">
        <f t="shared" si="28"/>
        <v>0</v>
      </c>
      <c r="BC52" s="28">
        <f t="shared" si="29"/>
        <v>0</v>
      </c>
      <c r="BD52" s="28">
        <f t="shared" si="30"/>
        <v>0</v>
      </c>
      <c r="BE52" s="28">
        <f t="shared" si="31"/>
        <v>0</v>
      </c>
      <c r="BF52" s="28">
        <f t="shared" si="23"/>
        <v>0</v>
      </c>
      <c r="BG52" s="29">
        <f t="shared" si="32"/>
        <v>0</v>
      </c>
      <c r="BH52" s="29">
        <f t="shared" si="24"/>
        <v>0</v>
      </c>
      <c r="BI52" s="30"/>
      <c r="BJ52" s="23" t="s">
        <v>118</v>
      </c>
      <c r="BK52" s="31">
        <v>0</v>
      </c>
      <c r="BL52" s="31">
        <v>0</v>
      </c>
      <c r="BO52" s="31">
        <v>0</v>
      </c>
      <c r="BP52" s="31" t="b">
        <f t="shared" si="33"/>
        <v>1</v>
      </c>
    </row>
    <row r="53" spans="2:68" s="31" customFormat="1" ht="15" customHeight="1" x14ac:dyDescent="0.25">
      <c r="B53" s="21" t="s">
        <v>119</v>
      </c>
      <c r="C53" s="22" t="s">
        <v>26</v>
      </c>
      <c r="D53" s="23" t="s">
        <v>120</v>
      </c>
      <c r="E53" s="24">
        <v>0</v>
      </c>
      <c r="F53" s="24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f t="shared" si="0"/>
        <v>0</v>
      </c>
      <c r="M53" s="22">
        <v>0</v>
      </c>
      <c r="N53" s="22">
        <f t="shared" si="37"/>
        <v>0</v>
      </c>
      <c r="O53" s="153">
        <v>0</v>
      </c>
      <c r="P53" s="153">
        <v>0</v>
      </c>
      <c r="Q53" s="153">
        <v>0</v>
      </c>
      <c r="R53" s="153">
        <v>0</v>
      </c>
      <c r="S53" s="153">
        <f t="shared" si="2"/>
        <v>0</v>
      </c>
      <c r="T53" s="153">
        <v>0</v>
      </c>
      <c r="U53" s="153">
        <f t="shared" si="3"/>
        <v>0</v>
      </c>
      <c r="V53" s="154">
        <v>0</v>
      </c>
      <c r="W53" s="154">
        <v>0</v>
      </c>
      <c r="X53" s="154">
        <v>0</v>
      </c>
      <c r="Y53" s="154">
        <v>0</v>
      </c>
      <c r="Z53" s="154">
        <f t="shared" si="4"/>
        <v>0</v>
      </c>
      <c r="AA53" s="154">
        <v>0</v>
      </c>
      <c r="AB53" s="154">
        <f t="shared" si="5"/>
        <v>0</v>
      </c>
      <c r="AC53" s="154">
        <v>0</v>
      </c>
      <c r="AD53" s="154">
        <v>0</v>
      </c>
      <c r="AE53" s="154">
        <v>0</v>
      </c>
      <c r="AF53" s="154">
        <v>0</v>
      </c>
      <c r="AG53" s="154">
        <f t="shared" si="6"/>
        <v>0</v>
      </c>
      <c r="AH53" s="154">
        <v>0</v>
      </c>
      <c r="AI53" s="154">
        <f t="shared" si="7"/>
        <v>0</v>
      </c>
      <c r="AJ53" s="154">
        <v>0</v>
      </c>
      <c r="AK53" s="154">
        <v>0</v>
      </c>
      <c r="AL53" s="154">
        <v>0</v>
      </c>
      <c r="AM53" s="154">
        <v>0</v>
      </c>
      <c r="AN53" s="154">
        <f t="shared" si="18"/>
        <v>0</v>
      </c>
      <c r="AO53" s="154">
        <v>0</v>
      </c>
      <c r="AP53" s="154">
        <f t="shared" si="8"/>
        <v>0</v>
      </c>
      <c r="AQ53" s="154">
        <f t="shared" si="34"/>
        <v>0</v>
      </c>
      <c r="AR53" s="154">
        <f t="shared" si="35"/>
        <v>0</v>
      </c>
      <c r="AS53" s="154">
        <f t="shared" si="21"/>
        <v>0</v>
      </c>
      <c r="AT53" s="154">
        <f t="shared" si="36"/>
        <v>0</v>
      </c>
      <c r="AU53" s="154">
        <f t="shared" si="26"/>
        <v>0</v>
      </c>
      <c r="AV53" s="154">
        <f t="shared" si="38"/>
        <v>0</v>
      </c>
      <c r="AW53" s="154">
        <f t="shared" si="10"/>
        <v>0</v>
      </c>
      <c r="AX53" s="25"/>
      <c r="AY53" s="26"/>
      <c r="AZ53" s="28">
        <f t="shared" si="27"/>
        <v>0</v>
      </c>
      <c r="BA53" s="28"/>
      <c r="BB53" s="28">
        <f t="shared" si="28"/>
        <v>0</v>
      </c>
      <c r="BC53" s="28">
        <f t="shared" si="29"/>
        <v>0</v>
      </c>
      <c r="BD53" s="28">
        <f t="shared" si="30"/>
        <v>0</v>
      </c>
      <c r="BE53" s="28">
        <f t="shared" si="31"/>
        <v>0</v>
      </c>
      <c r="BF53" s="28">
        <f t="shared" si="23"/>
        <v>0</v>
      </c>
      <c r="BG53" s="29">
        <f t="shared" si="32"/>
        <v>0</v>
      </c>
      <c r="BH53" s="29">
        <f t="shared" si="24"/>
        <v>0</v>
      </c>
      <c r="BI53" s="30"/>
      <c r="BJ53" s="23" t="s">
        <v>120</v>
      </c>
      <c r="BK53" s="31">
        <v>0</v>
      </c>
      <c r="BL53" s="31">
        <v>0</v>
      </c>
      <c r="BO53" s="31">
        <v>0</v>
      </c>
      <c r="BP53" s="31" t="b">
        <f t="shared" si="33"/>
        <v>1</v>
      </c>
    </row>
    <row r="54" spans="2:68" s="31" customFormat="1" ht="15" customHeight="1" x14ac:dyDescent="0.25">
      <c r="B54" s="21" t="s">
        <v>121</v>
      </c>
      <c r="C54" s="22" t="s">
        <v>26</v>
      </c>
      <c r="D54" s="23" t="s">
        <v>122</v>
      </c>
      <c r="E54" s="24">
        <v>0</v>
      </c>
      <c r="F54" s="24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f t="shared" si="0"/>
        <v>0</v>
      </c>
      <c r="M54" s="22">
        <v>0</v>
      </c>
      <c r="N54" s="22">
        <f t="shared" si="37"/>
        <v>0</v>
      </c>
      <c r="O54" s="153">
        <v>0</v>
      </c>
      <c r="P54" s="153">
        <v>0</v>
      </c>
      <c r="Q54" s="153">
        <v>0</v>
      </c>
      <c r="R54" s="153">
        <v>0</v>
      </c>
      <c r="S54" s="153">
        <f t="shared" si="2"/>
        <v>0</v>
      </c>
      <c r="T54" s="153">
        <v>0</v>
      </c>
      <c r="U54" s="153">
        <f t="shared" si="3"/>
        <v>0</v>
      </c>
      <c r="V54" s="154">
        <v>0</v>
      </c>
      <c r="W54" s="154">
        <v>0</v>
      </c>
      <c r="X54" s="154">
        <v>0</v>
      </c>
      <c r="Y54" s="154">
        <v>0</v>
      </c>
      <c r="Z54" s="154">
        <f t="shared" si="4"/>
        <v>0</v>
      </c>
      <c r="AA54" s="154">
        <v>0</v>
      </c>
      <c r="AB54" s="154">
        <f t="shared" si="5"/>
        <v>0</v>
      </c>
      <c r="AC54" s="154">
        <v>0</v>
      </c>
      <c r="AD54" s="154">
        <v>0</v>
      </c>
      <c r="AE54" s="154">
        <v>0</v>
      </c>
      <c r="AF54" s="154">
        <v>0</v>
      </c>
      <c r="AG54" s="154">
        <f t="shared" si="6"/>
        <v>0</v>
      </c>
      <c r="AH54" s="154">
        <v>0</v>
      </c>
      <c r="AI54" s="154">
        <f t="shared" si="7"/>
        <v>0</v>
      </c>
      <c r="AJ54" s="154">
        <v>0</v>
      </c>
      <c r="AK54" s="154">
        <v>0</v>
      </c>
      <c r="AL54" s="154">
        <v>0</v>
      </c>
      <c r="AM54" s="154">
        <v>0</v>
      </c>
      <c r="AN54" s="154">
        <f t="shared" si="18"/>
        <v>0</v>
      </c>
      <c r="AO54" s="154">
        <v>0</v>
      </c>
      <c r="AP54" s="154">
        <f t="shared" si="8"/>
        <v>0</v>
      </c>
      <c r="AQ54" s="154">
        <f t="shared" si="34"/>
        <v>0</v>
      </c>
      <c r="AR54" s="154">
        <f t="shared" si="35"/>
        <v>0</v>
      </c>
      <c r="AS54" s="154">
        <f t="shared" si="21"/>
        <v>0</v>
      </c>
      <c r="AT54" s="154">
        <f t="shared" si="36"/>
        <v>0</v>
      </c>
      <c r="AU54" s="154">
        <f t="shared" si="26"/>
        <v>0</v>
      </c>
      <c r="AV54" s="154">
        <f t="shared" si="38"/>
        <v>0</v>
      </c>
      <c r="AW54" s="154">
        <f t="shared" si="10"/>
        <v>0</v>
      </c>
      <c r="AX54" s="25"/>
      <c r="AY54" s="26"/>
      <c r="AZ54" s="28">
        <f t="shared" si="27"/>
        <v>0</v>
      </c>
      <c r="BA54" s="28"/>
      <c r="BB54" s="28">
        <f t="shared" si="28"/>
        <v>0</v>
      </c>
      <c r="BC54" s="28">
        <f t="shared" si="29"/>
        <v>0</v>
      </c>
      <c r="BD54" s="28">
        <f t="shared" si="30"/>
        <v>0</v>
      </c>
      <c r="BE54" s="28">
        <f t="shared" si="31"/>
        <v>0</v>
      </c>
      <c r="BF54" s="28">
        <f t="shared" si="23"/>
        <v>0</v>
      </c>
      <c r="BG54" s="29">
        <f t="shared" si="32"/>
        <v>0</v>
      </c>
      <c r="BH54" s="29">
        <f t="shared" si="24"/>
        <v>0</v>
      </c>
      <c r="BI54" s="30"/>
      <c r="BJ54" s="23" t="s">
        <v>122</v>
      </c>
      <c r="BK54" s="31">
        <v>0</v>
      </c>
      <c r="BL54" s="31">
        <v>0</v>
      </c>
      <c r="BO54" s="31">
        <v>0</v>
      </c>
      <c r="BP54" s="31" t="b">
        <f t="shared" si="33"/>
        <v>1</v>
      </c>
    </row>
    <row r="55" spans="2:68" s="31" customFormat="1" x14ac:dyDescent="0.25">
      <c r="B55" s="21" t="s">
        <v>123</v>
      </c>
      <c r="C55" s="22" t="s">
        <v>58</v>
      </c>
      <c r="D55" s="23" t="s">
        <v>124</v>
      </c>
      <c r="E55" s="24">
        <v>61.9</v>
      </c>
      <c r="F55" s="24">
        <v>61.9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f t="shared" si="0"/>
        <v>0</v>
      </c>
      <c r="M55" s="22">
        <v>0</v>
      </c>
      <c r="N55" s="22">
        <f t="shared" si="37"/>
        <v>0</v>
      </c>
      <c r="O55" s="153">
        <v>0</v>
      </c>
      <c r="P55" s="153">
        <v>0</v>
      </c>
      <c r="Q55" s="153">
        <v>0</v>
      </c>
      <c r="R55" s="153">
        <v>0</v>
      </c>
      <c r="S55" s="153">
        <f t="shared" si="2"/>
        <v>0</v>
      </c>
      <c r="T55" s="153">
        <v>0</v>
      </c>
      <c r="U55" s="153">
        <f t="shared" si="3"/>
        <v>0</v>
      </c>
      <c r="V55" s="154">
        <v>0</v>
      </c>
      <c r="W55" s="154">
        <v>0</v>
      </c>
      <c r="X55" s="154">
        <v>0</v>
      </c>
      <c r="Y55" s="154">
        <v>0</v>
      </c>
      <c r="Z55" s="154">
        <f t="shared" si="4"/>
        <v>0</v>
      </c>
      <c r="AA55" s="154">
        <v>0</v>
      </c>
      <c r="AB55" s="154">
        <f t="shared" si="5"/>
        <v>0</v>
      </c>
      <c r="AC55" s="154">
        <v>0</v>
      </c>
      <c r="AD55" s="154">
        <v>0</v>
      </c>
      <c r="AE55" s="154">
        <v>0</v>
      </c>
      <c r="AF55" s="154">
        <v>0</v>
      </c>
      <c r="AG55" s="154">
        <f t="shared" si="6"/>
        <v>0</v>
      </c>
      <c r="AH55" s="154">
        <v>0</v>
      </c>
      <c r="AI55" s="154">
        <f t="shared" si="7"/>
        <v>0</v>
      </c>
      <c r="AJ55" s="154">
        <v>0</v>
      </c>
      <c r="AK55" s="154">
        <v>0</v>
      </c>
      <c r="AL55" s="154">
        <v>0</v>
      </c>
      <c r="AM55" s="154">
        <v>0</v>
      </c>
      <c r="AN55" s="154">
        <f t="shared" si="18"/>
        <v>0</v>
      </c>
      <c r="AO55" s="154">
        <v>0</v>
      </c>
      <c r="AP55" s="154">
        <f t="shared" si="8"/>
        <v>0</v>
      </c>
      <c r="AQ55" s="154">
        <f t="shared" si="34"/>
        <v>0</v>
      </c>
      <c r="AR55" s="154">
        <f t="shared" si="35"/>
        <v>0</v>
      </c>
      <c r="AS55" s="154">
        <f t="shared" si="21"/>
        <v>0</v>
      </c>
      <c r="AT55" s="154">
        <f t="shared" si="36"/>
        <v>0</v>
      </c>
      <c r="AU55" s="154">
        <f t="shared" si="26"/>
        <v>0</v>
      </c>
      <c r="AV55" s="154">
        <f t="shared" si="38"/>
        <v>0</v>
      </c>
      <c r="AW55" s="154">
        <f t="shared" si="10"/>
        <v>0</v>
      </c>
      <c r="AX55" s="25"/>
      <c r="AY55" s="26"/>
      <c r="AZ55" s="28">
        <f t="shared" si="27"/>
        <v>0</v>
      </c>
      <c r="BA55" s="28"/>
      <c r="BB55" s="28">
        <f t="shared" si="28"/>
        <v>0</v>
      </c>
      <c r="BC55" s="28">
        <f t="shared" si="29"/>
        <v>0</v>
      </c>
      <c r="BD55" s="28">
        <f t="shared" si="30"/>
        <v>0</v>
      </c>
      <c r="BE55" s="28">
        <f t="shared" si="31"/>
        <v>0</v>
      </c>
      <c r="BF55" s="28">
        <f t="shared" si="23"/>
        <v>0</v>
      </c>
      <c r="BG55" s="29">
        <f t="shared" si="32"/>
        <v>0</v>
      </c>
      <c r="BH55" s="29">
        <f t="shared" si="24"/>
        <v>0</v>
      </c>
      <c r="BI55" s="30"/>
      <c r="BJ55" s="23" t="s">
        <v>124</v>
      </c>
      <c r="BK55" s="31">
        <v>0</v>
      </c>
      <c r="BL55" s="31">
        <v>0</v>
      </c>
      <c r="BO55" s="31">
        <v>0</v>
      </c>
      <c r="BP55" s="31" t="b">
        <f t="shared" si="33"/>
        <v>1</v>
      </c>
    </row>
    <row r="56" spans="2:68" s="31" customFormat="1" ht="15" customHeight="1" x14ac:dyDescent="0.25">
      <c r="B56" s="21" t="s">
        <v>125</v>
      </c>
      <c r="C56" s="22" t="s">
        <v>26</v>
      </c>
      <c r="D56" s="23" t="s">
        <v>126</v>
      </c>
      <c r="E56" s="24">
        <v>30.9</v>
      </c>
      <c r="F56" s="24">
        <v>30.9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f t="shared" si="0"/>
        <v>0</v>
      </c>
      <c r="M56" s="22">
        <v>0</v>
      </c>
      <c r="N56" s="22">
        <f t="shared" si="37"/>
        <v>0</v>
      </c>
      <c r="O56" s="153">
        <v>0</v>
      </c>
      <c r="P56" s="153">
        <v>0</v>
      </c>
      <c r="Q56" s="153">
        <v>0</v>
      </c>
      <c r="R56" s="153">
        <v>0</v>
      </c>
      <c r="S56" s="153">
        <f t="shared" si="2"/>
        <v>0</v>
      </c>
      <c r="T56" s="153">
        <v>0</v>
      </c>
      <c r="U56" s="153">
        <f t="shared" si="3"/>
        <v>0</v>
      </c>
      <c r="V56" s="154">
        <v>0</v>
      </c>
      <c r="W56" s="154">
        <v>0</v>
      </c>
      <c r="X56" s="154">
        <v>0</v>
      </c>
      <c r="Y56" s="154">
        <v>0</v>
      </c>
      <c r="Z56" s="154">
        <f t="shared" si="4"/>
        <v>0</v>
      </c>
      <c r="AA56" s="154">
        <v>0</v>
      </c>
      <c r="AB56" s="154">
        <f t="shared" si="5"/>
        <v>0</v>
      </c>
      <c r="AC56" s="154">
        <v>0</v>
      </c>
      <c r="AD56" s="154">
        <v>0</v>
      </c>
      <c r="AE56" s="154">
        <v>0</v>
      </c>
      <c r="AF56" s="154">
        <v>0</v>
      </c>
      <c r="AG56" s="154">
        <f t="shared" si="6"/>
        <v>0</v>
      </c>
      <c r="AH56" s="154">
        <v>0</v>
      </c>
      <c r="AI56" s="154">
        <f t="shared" si="7"/>
        <v>0</v>
      </c>
      <c r="AJ56" s="154">
        <v>0</v>
      </c>
      <c r="AK56" s="154">
        <v>0</v>
      </c>
      <c r="AL56" s="154">
        <v>0</v>
      </c>
      <c r="AM56" s="154">
        <v>0</v>
      </c>
      <c r="AN56" s="154">
        <f t="shared" si="18"/>
        <v>0</v>
      </c>
      <c r="AO56" s="154">
        <v>0</v>
      </c>
      <c r="AP56" s="154">
        <f t="shared" si="8"/>
        <v>0</v>
      </c>
      <c r="AQ56" s="154">
        <f t="shared" si="34"/>
        <v>0</v>
      </c>
      <c r="AR56" s="154">
        <f t="shared" si="35"/>
        <v>0</v>
      </c>
      <c r="AS56" s="154">
        <f t="shared" si="21"/>
        <v>0</v>
      </c>
      <c r="AT56" s="154">
        <f t="shared" si="36"/>
        <v>0</v>
      </c>
      <c r="AU56" s="154">
        <f t="shared" si="26"/>
        <v>0</v>
      </c>
      <c r="AV56" s="154">
        <f t="shared" si="38"/>
        <v>0</v>
      </c>
      <c r="AW56" s="154">
        <f t="shared" si="10"/>
        <v>0</v>
      </c>
      <c r="AX56" s="25"/>
      <c r="AY56" s="26"/>
      <c r="AZ56" s="28">
        <f t="shared" si="27"/>
        <v>0</v>
      </c>
      <c r="BA56" s="28"/>
      <c r="BB56" s="28">
        <f t="shared" si="28"/>
        <v>0</v>
      </c>
      <c r="BC56" s="28">
        <f t="shared" si="29"/>
        <v>0</v>
      </c>
      <c r="BD56" s="28">
        <f t="shared" si="30"/>
        <v>0</v>
      </c>
      <c r="BE56" s="28">
        <f t="shared" si="31"/>
        <v>0</v>
      </c>
      <c r="BF56" s="28">
        <f t="shared" si="23"/>
        <v>0</v>
      </c>
      <c r="BG56" s="29">
        <f t="shared" si="32"/>
        <v>0</v>
      </c>
      <c r="BH56" s="29">
        <f t="shared" si="24"/>
        <v>0</v>
      </c>
      <c r="BI56" s="30"/>
      <c r="BJ56" s="23" t="s">
        <v>126</v>
      </c>
      <c r="BK56" s="31">
        <v>0</v>
      </c>
      <c r="BL56" s="31">
        <v>0</v>
      </c>
      <c r="BO56" s="31">
        <v>0</v>
      </c>
      <c r="BP56" s="31" t="b">
        <f t="shared" si="33"/>
        <v>1</v>
      </c>
    </row>
    <row r="57" spans="2:68" s="31" customFormat="1" x14ac:dyDescent="0.25">
      <c r="B57" s="21" t="s">
        <v>127</v>
      </c>
      <c r="C57" s="22" t="s">
        <v>29</v>
      </c>
      <c r="D57" s="23" t="s">
        <v>128</v>
      </c>
      <c r="E57" s="24">
        <v>12.84</v>
      </c>
      <c r="F57" s="24">
        <v>12.84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f t="shared" si="0"/>
        <v>0</v>
      </c>
      <c r="M57" s="22">
        <v>0</v>
      </c>
      <c r="N57" s="22">
        <f t="shared" si="37"/>
        <v>0</v>
      </c>
      <c r="O57" s="153">
        <v>0</v>
      </c>
      <c r="P57" s="153">
        <v>0</v>
      </c>
      <c r="Q57" s="153">
        <v>0</v>
      </c>
      <c r="R57" s="153">
        <v>0</v>
      </c>
      <c r="S57" s="153">
        <f t="shared" si="2"/>
        <v>0</v>
      </c>
      <c r="T57" s="153">
        <v>0</v>
      </c>
      <c r="U57" s="153">
        <f t="shared" si="3"/>
        <v>0</v>
      </c>
      <c r="V57" s="154">
        <v>0</v>
      </c>
      <c r="W57" s="154">
        <v>0</v>
      </c>
      <c r="X57" s="154">
        <v>0</v>
      </c>
      <c r="Y57" s="154">
        <v>0</v>
      </c>
      <c r="Z57" s="154">
        <f t="shared" si="4"/>
        <v>0</v>
      </c>
      <c r="AA57" s="154">
        <v>0</v>
      </c>
      <c r="AB57" s="154">
        <f t="shared" si="5"/>
        <v>0</v>
      </c>
      <c r="AC57" s="154">
        <v>0</v>
      </c>
      <c r="AD57" s="154">
        <v>0</v>
      </c>
      <c r="AE57" s="154">
        <v>0</v>
      </c>
      <c r="AF57" s="154">
        <v>0</v>
      </c>
      <c r="AG57" s="154">
        <f t="shared" si="6"/>
        <v>0</v>
      </c>
      <c r="AH57" s="154">
        <v>0</v>
      </c>
      <c r="AI57" s="154">
        <f t="shared" si="7"/>
        <v>0</v>
      </c>
      <c r="AJ57" s="154">
        <v>0</v>
      </c>
      <c r="AK57" s="154">
        <v>0</v>
      </c>
      <c r="AL57" s="154">
        <v>0</v>
      </c>
      <c r="AM57" s="154">
        <v>0</v>
      </c>
      <c r="AN57" s="154">
        <f t="shared" si="18"/>
        <v>0</v>
      </c>
      <c r="AO57" s="154">
        <v>0</v>
      </c>
      <c r="AP57" s="154">
        <f t="shared" si="8"/>
        <v>0</v>
      </c>
      <c r="AQ57" s="154">
        <f t="shared" si="34"/>
        <v>0</v>
      </c>
      <c r="AR57" s="154">
        <f t="shared" si="35"/>
        <v>0</v>
      </c>
      <c r="AS57" s="154">
        <f t="shared" si="21"/>
        <v>0</v>
      </c>
      <c r="AT57" s="154">
        <f t="shared" si="36"/>
        <v>0</v>
      </c>
      <c r="AU57" s="154">
        <f t="shared" si="26"/>
        <v>0</v>
      </c>
      <c r="AV57" s="154">
        <f t="shared" si="38"/>
        <v>0</v>
      </c>
      <c r="AW57" s="154">
        <f t="shared" si="10"/>
        <v>0</v>
      </c>
      <c r="AX57" s="25"/>
      <c r="AY57" s="26"/>
      <c r="AZ57" s="28">
        <f t="shared" si="27"/>
        <v>0</v>
      </c>
      <c r="BA57" s="28"/>
      <c r="BB57" s="28">
        <f t="shared" si="28"/>
        <v>0</v>
      </c>
      <c r="BC57" s="28">
        <f t="shared" si="29"/>
        <v>0</v>
      </c>
      <c r="BD57" s="28">
        <f t="shared" si="30"/>
        <v>0</v>
      </c>
      <c r="BE57" s="28">
        <f t="shared" si="31"/>
        <v>0</v>
      </c>
      <c r="BF57" s="28">
        <f t="shared" si="23"/>
        <v>0</v>
      </c>
      <c r="BG57" s="29">
        <f t="shared" si="32"/>
        <v>0</v>
      </c>
      <c r="BH57" s="29">
        <f t="shared" si="24"/>
        <v>0</v>
      </c>
      <c r="BI57" s="30"/>
      <c r="BJ57" s="23" t="s">
        <v>128</v>
      </c>
      <c r="BK57" s="31">
        <v>0</v>
      </c>
      <c r="BL57" s="31">
        <v>0</v>
      </c>
      <c r="BO57" s="31">
        <v>0</v>
      </c>
      <c r="BP57" s="31" t="b">
        <f t="shared" si="33"/>
        <v>1</v>
      </c>
    </row>
    <row r="58" spans="2:68" s="31" customFormat="1" x14ac:dyDescent="0.25">
      <c r="B58" s="21" t="s">
        <v>129</v>
      </c>
      <c r="C58" s="22" t="s">
        <v>26</v>
      </c>
      <c r="D58" s="23" t="s">
        <v>130</v>
      </c>
      <c r="E58" s="24">
        <v>3.74</v>
      </c>
      <c r="F58" s="24">
        <v>3.74</v>
      </c>
      <c r="G58" s="22">
        <v>20</v>
      </c>
      <c r="H58" s="22">
        <v>0</v>
      </c>
      <c r="I58" s="22">
        <v>0</v>
      </c>
      <c r="J58" s="22">
        <v>0</v>
      </c>
      <c r="K58" s="22">
        <v>0</v>
      </c>
      <c r="L58" s="22">
        <f t="shared" si="0"/>
        <v>20</v>
      </c>
      <c r="M58" s="22">
        <v>20</v>
      </c>
      <c r="N58" s="22">
        <f t="shared" si="37"/>
        <v>0</v>
      </c>
      <c r="O58" s="153">
        <v>0</v>
      </c>
      <c r="P58" s="153">
        <v>0</v>
      </c>
      <c r="Q58" s="153">
        <v>0</v>
      </c>
      <c r="R58" s="153">
        <v>0</v>
      </c>
      <c r="S58" s="153">
        <f t="shared" si="2"/>
        <v>20</v>
      </c>
      <c r="T58" s="153">
        <v>20</v>
      </c>
      <c r="U58" s="153">
        <f t="shared" si="3"/>
        <v>0</v>
      </c>
      <c r="V58" s="154">
        <v>0</v>
      </c>
      <c r="W58" s="154">
        <v>0</v>
      </c>
      <c r="X58" s="154">
        <v>0</v>
      </c>
      <c r="Y58" s="154">
        <v>0</v>
      </c>
      <c r="Z58" s="154">
        <f t="shared" si="4"/>
        <v>20</v>
      </c>
      <c r="AA58" s="154">
        <v>20</v>
      </c>
      <c r="AB58" s="154">
        <f t="shared" si="5"/>
        <v>0</v>
      </c>
      <c r="AC58" s="154">
        <v>0</v>
      </c>
      <c r="AD58" s="154">
        <v>0</v>
      </c>
      <c r="AE58" s="154">
        <v>0</v>
      </c>
      <c r="AF58" s="154">
        <v>0</v>
      </c>
      <c r="AG58" s="154">
        <f t="shared" si="6"/>
        <v>20</v>
      </c>
      <c r="AH58" s="154">
        <v>20</v>
      </c>
      <c r="AI58" s="154">
        <f t="shared" si="7"/>
        <v>0</v>
      </c>
      <c r="AJ58" s="154">
        <v>0</v>
      </c>
      <c r="AK58" s="154">
        <v>0</v>
      </c>
      <c r="AL58" s="154">
        <v>0</v>
      </c>
      <c r="AM58" s="154">
        <v>0</v>
      </c>
      <c r="AN58" s="154">
        <f t="shared" si="18"/>
        <v>20</v>
      </c>
      <c r="AO58" s="154">
        <v>20</v>
      </c>
      <c r="AP58" s="154">
        <f t="shared" si="8"/>
        <v>0</v>
      </c>
      <c r="AQ58" s="154">
        <f t="shared" si="34"/>
        <v>0</v>
      </c>
      <c r="AR58" s="154">
        <f t="shared" si="35"/>
        <v>0</v>
      </c>
      <c r="AS58" s="154">
        <f t="shared" si="21"/>
        <v>0</v>
      </c>
      <c r="AT58" s="154">
        <f t="shared" si="36"/>
        <v>0</v>
      </c>
      <c r="AU58" s="154">
        <f t="shared" si="26"/>
        <v>20</v>
      </c>
      <c r="AV58" s="154">
        <v>20</v>
      </c>
      <c r="AW58" s="154">
        <f t="shared" si="10"/>
        <v>0</v>
      </c>
      <c r="AX58" s="25"/>
      <c r="AY58" s="26"/>
      <c r="AZ58" s="28">
        <f t="shared" si="27"/>
        <v>74.800000000000011</v>
      </c>
      <c r="BA58" s="28"/>
      <c r="BB58" s="28">
        <f t="shared" si="28"/>
        <v>0</v>
      </c>
      <c r="BC58" s="28">
        <f t="shared" si="29"/>
        <v>0</v>
      </c>
      <c r="BD58" s="28">
        <f t="shared" si="30"/>
        <v>0</v>
      </c>
      <c r="BE58" s="28">
        <f t="shared" si="31"/>
        <v>0</v>
      </c>
      <c r="BF58" s="28">
        <f t="shared" si="23"/>
        <v>74.800000000000011</v>
      </c>
      <c r="BG58" s="29">
        <f t="shared" si="32"/>
        <v>74.800000000000011</v>
      </c>
      <c r="BH58" s="29">
        <f t="shared" si="24"/>
        <v>0</v>
      </c>
      <c r="BI58" s="30"/>
      <c r="BJ58" s="23" t="s">
        <v>130</v>
      </c>
      <c r="BK58" s="31">
        <v>0</v>
      </c>
      <c r="BL58" s="31">
        <v>20</v>
      </c>
      <c r="BO58" s="31">
        <v>20</v>
      </c>
      <c r="BP58" s="31" t="b">
        <f t="shared" si="33"/>
        <v>1</v>
      </c>
    </row>
    <row r="59" spans="2:68" s="31" customFormat="1" ht="30" customHeight="1" x14ac:dyDescent="0.25">
      <c r="B59" s="21" t="s">
        <v>131</v>
      </c>
      <c r="C59" s="22" t="s">
        <v>29</v>
      </c>
      <c r="D59" s="23" t="s">
        <v>132</v>
      </c>
      <c r="E59" s="24">
        <v>0</v>
      </c>
      <c r="F59" s="24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f t="shared" si="0"/>
        <v>0</v>
      </c>
      <c r="M59" s="22">
        <v>0</v>
      </c>
      <c r="N59" s="22">
        <f t="shared" si="37"/>
        <v>0</v>
      </c>
      <c r="O59" s="153">
        <v>0</v>
      </c>
      <c r="P59" s="153">
        <v>0</v>
      </c>
      <c r="Q59" s="153">
        <v>0</v>
      </c>
      <c r="R59" s="153">
        <v>0</v>
      </c>
      <c r="S59" s="153">
        <f t="shared" si="2"/>
        <v>0</v>
      </c>
      <c r="T59" s="153">
        <v>0</v>
      </c>
      <c r="U59" s="153">
        <f t="shared" si="3"/>
        <v>0</v>
      </c>
      <c r="V59" s="154">
        <v>0</v>
      </c>
      <c r="W59" s="154">
        <v>0</v>
      </c>
      <c r="X59" s="154">
        <v>0</v>
      </c>
      <c r="Y59" s="154">
        <v>0</v>
      </c>
      <c r="Z59" s="154">
        <f t="shared" si="4"/>
        <v>0</v>
      </c>
      <c r="AA59" s="154">
        <v>0</v>
      </c>
      <c r="AB59" s="154">
        <f t="shared" si="5"/>
        <v>0</v>
      </c>
      <c r="AC59" s="154">
        <v>0</v>
      </c>
      <c r="AD59" s="154">
        <v>0</v>
      </c>
      <c r="AE59" s="154">
        <v>0</v>
      </c>
      <c r="AF59" s="154">
        <v>0</v>
      </c>
      <c r="AG59" s="154">
        <f t="shared" si="6"/>
        <v>0</v>
      </c>
      <c r="AH59" s="154">
        <v>0</v>
      </c>
      <c r="AI59" s="154">
        <f t="shared" si="7"/>
        <v>0</v>
      </c>
      <c r="AJ59" s="154">
        <v>0</v>
      </c>
      <c r="AK59" s="154">
        <v>0</v>
      </c>
      <c r="AL59" s="154">
        <v>0</v>
      </c>
      <c r="AM59" s="154">
        <v>0</v>
      </c>
      <c r="AN59" s="154">
        <f t="shared" si="18"/>
        <v>0</v>
      </c>
      <c r="AO59" s="154">
        <v>0</v>
      </c>
      <c r="AP59" s="154">
        <f t="shared" si="8"/>
        <v>0</v>
      </c>
      <c r="AQ59" s="154">
        <f t="shared" si="34"/>
        <v>0</v>
      </c>
      <c r="AR59" s="154">
        <f t="shared" si="35"/>
        <v>0</v>
      </c>
      <c r="AS59" s="154">
        <f t="shared" si="21"/>
        <v>0</v>
      </c>
      <c r="AT59" s="154">
        <f t="shared" si="36"/>
        <v>0</v>
      </c>
      <c r="AU59" s="154">
        <f t="shared" si="26"/>
        <v>0</v>
      </c>
      <c r="AV59" s="154">
        <f t="shared" ref="AV59:AV69" si="39">AH59</f>
        <v>0</v>
      </c>
      <c r="AW59" s="154">
        <f t="shared" si="10"/>
        <v>0</v>
      </c>
      <c r="AX59" s="25"/>
      <c r="AY59" s="26"/>
      <c r="AZ59" s="28">
        <f t="shared" si="27"/>
        <v>0</v>
      </c>
      <c r="BA59" s="28"/>
      <c r="BB59" s="28">
        <f t="shared" si="28"/>
        <v>0</v>
      </c>
      <c r="BC59" s="28">
        <f t="shared" si="29"/>
        <v>0</v>
      </c>
      <c r="BD59" s="28">
        <f t="shared" si="30"/>
        <v>0</v>
      </c>
      <c r="BE59" s="28">
        <f t="shared" si="31"/>
        <v>0</v>
      </c>
      <c r="BF59" s="28">
        <f t="shared" si="23"/>
        <v>0</v>
      </c>
      <c r="BG59" s="29">
        <f t="shared" si="32"/>
        <v>0</v>
      </c>
      <c r="BH59" s="29">
        <f t="shared" si="24"/>
        <v>0</v>
      </c>
      <c r="BI59" s="30"/>
      <c r="BJ59" s="23" t="s">
        <v>132</v>
      </c>
      <c r="BK59" s="31">
        <v>0</v>
      </c>
      <c r="BL59" s="31">
        <v>0</v>
      </c>
      <c r="BO59" s="31">
        <v>0</v>
      </c>
      <c r="BP59" s="31" t="b">
        <f t="shared" si="33"/>
        <v>1</v>
      </c>
    </row>
    <row r="60" spans="2:68" s="31" customFormat="1" x14ac:dyDescent="0.25">
      <c r="B60" s="32" t="s">
        <v>133</v>
      </c>
      <c r="C60" s="22" t="s">
        <v>29</v>
      </c>
      <c r="D60" s="23" t="s">
        <v>134</v>
      </c>
      <c r="E60" s="24">
        <v>18.04</v>
      </c>
      <c r="F60" s="24">
        <v>18.04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f t="shared" si="0"/>
        <v>0</v>
      </c>
      <c r="M60" s="22">
        <v>0</v>
      </c>
      <c r="N60" s="22">
        <f t="shared" si="37"/>
        <v>0</v>
      </c>
      <c r="O60" s="153">
        <v>0</v>
      </c>
      <c r="P60" s="153">
        <v>0</v>
      </c>
      <c r="Q60" s="153">
        <v>0</v>
      </c>
      <c r="R60" s="153">
        <v>0</v>
      </c>
      <c r="S60" s="153">
        <f t="shared" si="2"/>
        <v>0</v>
      </c>
      <c r="T60" s="153">
        <v>0</v>
      </c>
      <c r="U60" s="153">
        <f t="shared" si="3"/>
        <v>0</v>
      </c>
      <c r="V60" s="154">
        <v>0</v>
      </c>
      <c r="W60" s="154">
        <v>0</v>
      </c>
      <c r="X60" s="154">
        <v>0</v>
      </c>
      <c r="Y60" s="154">
        <v>0</v>
      </c>
      <c r="Z60" s="154">
        <f t="shared" si="4"/>
        <v>0</v>
      </c>
      <c r="AA60" s="154">
        <v>0</v>
      </c>
      <c r="AB60" s="154">
        <f t="shared" si="5"/>
        <v>0</v>
      </c>
      <c r="AC60" s="154">
        <v>0</v>
      </c>
      <c r="AD60" s="154">
        <v>0</v>
      </c>
      <c r="AE60" s="154">
        <v>0</v>
      </c>
      <c r="AF60" s="154">
        <v>0</v>
      </c>
      <c r="AG60" s="154">
        <f t="shared" si="6"/>
        <v>0</v>
      </c>
      <c r="AH60" s="154">
        <v>0</v>
      </c>
      <c r="AI60" s="154">
        <f t="shared" si="7"/>
        <v>0</v>
      </c>
      <c r="AJ60" s="154">
        <v>0</v>
      </c>
      <c r="AK60" s="154">
        <v>0</v>
      </c>
      <c r="AL60" s="154">
        <v>0</v>
      </c>
      <c r="AM60" s="154">
        <v>0</v>
      </c>
      <c r="AN60" s="154">
        <f t="shared" si="18"/>
        <v>0</v>
      </c>
      <c r="AO60" s="154">
        <v>0</v>
      </c>
      <c r="AP60" s="154">
        <f t="shared" si="8"/>
        <v>0</v>
      </c>
      <c r="AQ60" s="154">
        <f t="shared" si="34"/>
        <v>0</v>
      </c>
      <c r="AR60" s="154">
        <f t="shared" si="35"/>
        <v>0</v>
      </c>
      <c r="AS60" s="154">
        <f t="shared" si="21"/>
        <v>0</v>
      </c>
      <c r="AT60" s="154">
        <f t="shared" si="36"/>
        <v>0</v>
      </c>
      <c r="AU60" s="154">
        <f t="shared" si="26"/>
        <v>0</v>
      </c>
      <c r="AV60" s="154">
        <f t="shared" si="39"/>
        <v>0</v>
      </c>
      <c r="AW60" s="154">
        <f t="shared" si="10"/>
        <v>0</v>
      </c>
      <c r="AX60" s="25"/>
      <c r="AY60" s="26"/>
      <c r="AZ60" s="28">
        <f t="shared" si="27"/>
        <v>0</v>
      </c>
      <c r="BA60" s="28"/>
      <c r="BB60" s="28">
        <f t="shared" si="28"/>
        <v>0</v>
      </c>
      <c r="BC60" s="28">
        <f t="shared" si="29"/>
        <v>0</v>
      </c>
      <c r="BD60" s="28">
        <f t="shared" si="30"/>
        <v>0</v>
      </c>
      <c r="BE60" s="28">
        <f t="shared" si="31"/>
        <v>0</v>
      </c>
      <c r="BF60" s="28">
        <f t="shared" si="23"/>
        <v>0</v>
      </c>
      <c r="BG60" s="29">
        <f t="shared" si="32"/>
        <v>0</v>
      </c>
      <c r="BH60" s="29">
        <f t="shared" si="24"/>
        <v>0</v>
      </c>
      <c r="BI60" s="30"/>
      <c r="BJ60" s="23" t="s">
        <v>134</v>
      </c>
      <c r="BK60" s="31">
        <v>0</v>
      </c>
      <c r="BL60" s="31">
        <v>0</v>
      </c>
      <c r="BO60" s="31">
        <v>0</v>
      </c>
      <c r="BP60" s="31" t="b">
        <f t="shared" si="33"/>
        <v>1</v>
      </c>
    </row>
    <row r="61" spans="2:68" s="31" customFormat="1" x14ac:dyDescent="0.25">
      <c r="B61" s="21" t="s">
        <v>135</v>
      </c>
      <c r="C61" s="22" t="s">
        <v>29</v>
      </c>
      <c r="D61" s="23" t="s">
        <v>136</v>
      </c>
      <c r="E61" s="24">
        <v>15.41</v>
      </c>
      <c r="F61" s="24">
        <v>15.41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33">
        <f t="shared" si="0"/>
        <v>0</v>
      </c>
      <c r="M61" s="34">
        <v>0</v>
      </c>
      <c r="N61" s="34">
        <f>L61-M61</f>
        <v>0</v>
      </c>
      <c r="O61" s="153">
        <v>0</v>
      </c>
      <c r="P61" s="153">
        <v>0</v>
      </c>
      <c r="Q61" s="153">
        <v>0</v>
      </c>
      <c r="R61" s="153">
        <v>0</v>
      </c>
      <c r="S61" s="153">
        <f t="shared" si="2"/>
        <v>0</v>
      </c>
      <c r="T61" s="153">
        <v>0</v>
      </c>
      <c r="U61" s="153">
        <f t="shared" si="3"/>
        <v>0</v>
      </c>
      <c r="V61" s="154">
        <v>0</v>
      </c>
      <c r="W61" s="154">
        <v>0</v>
      </c>
      <c r="X61" s="154">
        <v>0</v>
      </c>
      <c r="Y61" s="154">
        <v>0</v>
      </c>
      <c r="Z61" s="154">
        <f t="shared" si="4"/>
        <v>0</v>
      </c>
      <c r="AA61" s="154">
        <v>0</v>
      </c>
      <c r="AB61" s="154">
        <f t="shared" si="5"/>
        <v>0</v>
      </c>
      <c r="AC61" s="154">
        <v>0</v>
      </c>
      <c r="AD61" s="154">
        <v>0</v>
      </c>
      <c r="AE61" s="154">
        <v>0</v>
      </c>
      <c r="AF61" s="154">
        <v>0</v>
      </c>
      <c r="AG61" s="154">
        <f t="shared" si="6"/>
        <v>0</v>
      </c>
      <c r="AH61" s="154">
        <v>0</v>
      </c>
      <c r="AI61" s="154">
        <f t="shared" si="7"/>
        <v>0</v>
      </c>
      <c r="AJ61" s="154">
        <v>0</v>
      </c>
      <c r="AK61" s="154">
        <v>0</v>
      </c>
      <c r="AL61" s="154">
        <v>0</v>
      </c>
      <c r="AM61" s="154">
        <v>0</v>
      </c>
      <c r="AN61" s="154">
        <f t="shared" si="18"/>
        <v>0</v>
      </c>
      <c r="AO61" s="154">
        <v>0</v>
      </c>
      <c r="AP61" s="154">
        <f t="shared" si="8"/>
        <v>0</v>
      </c>
      <c r="AQ61" s="154">
        <f t="shared" si="34"/>
        <v>0</v>
      </c>
      <c r="AR61" s="154">
        <f t="shared" si="35"/>
        <v>0</v>
      </c>
      <c r="AS61" s="154">
        <f t="shared" si="21"/>
        <v>0</v>
      </c>
      <c r="AT61" s="154">
        <f t="shared" si="36"/>
        <v>0</v>
      </c>
      <c r="AU61" s="154">
        <f t="shared" si="26"/>
        <v>0</v>
      </c>
      <c r="AV61" s="154">
        <f t="shared" si="39"/>
        <v>0</v>
      </c>
      <c r="AW61" s="154">
        <f t="shared" si="10"/>
        <v>0</v>
      </c>
      <c r="AX61" s="25"/>
      <c r="AY61" s="26"/>
      <c r="AZ61" s="28">
        <f t="shared" si="27"/>
        <v>0</v>
      </c>
      <c r="BA61" s="28"/>
      <c r="BB61" s="28">
        <f t="shared" si="28"/>
        <v>0</v>
      </c>
      <c r="BC61" s="28">
        <f t="shared" si="29"/>
        <v>0</v>
      </c>
      <c r="BD61" s="28">
        <f t="shared" si="30"/>
        <v>0</v>
      </c>
      <c r="BE61" s="28">
        <f t="shared" si="31"/>
        <v>0</v>
      </c>
      <c r="BF61" s="28">
        <f t="shared" si="23"/>
        <v>0</v>
      </c>
      <c r="BG61" s="29">
        <f t="shared" si="32"/>
        <v>0</v>
      </c>
      <c r="BH61" s="29">
        <f t="shared" si="24"/>
        <v>0</v>
      </c>
      <c r="BI61" s="30"/>
      <c r="BJ61" s="23" t="s">
        <v>136</v>
      </c>
      <c r="BK61" s="31">
        <v>0</v>
      </c>
      <c r="BL61" s="31">
        <v>0</v>
      </c>
      <c r="BO61" s="31">
        <v>0</v>
      </c>
      <c r="BP61" s="31" t="b">
        <f t="shared" si="33"/>
        <v>1</v>
      </c>
    </row>
    <row r="62" spans="2:68" s="31" customFormat="1" ht="31.5" x14ac:dyDescent="0.25">
      <c r="B62" s="21" t="s">
        <v>137</v>
      </c>
      <c r="C62" s="22" t="s">
        <v>29</v>
      </c>
      <c r="D62" s="23" t="s">
        <v>138</v>
      </c>
      <c r="E62" s="24">
        <v>15.41</v>
      </c>
      <c r="F62" s="24">
        <v>15.41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33">
        <f t="shared" si="0"/>
        <v>0</v>
      </c>
      <c r="M62" s="34">
        <v>0</v>
      </c>
      <c r="N62" s="34">
        <f t="shared" ref="N62:N125" si="40">M62-L62</f>
        <v>0</v>
      </c>
      <c r="O62" s="153">
        <v>0</v>
      </c>
      <c r="P62" s="153">
        <v>0</v>
      </c>
      <c r="Q62" s="153">
        <v>0</v>
      </c>
      <c r="R62" s="153">
        <v>0</v>
      </c>
      <c r="S62" s="153">
        <f t="shared" si="2"/>
        <v>0</v>
      </c>
      <c r="T62" s="153">
        <v>0</v>
      </c>
      <c r="U62" s="153">
        <f t="shared" si="3"/>
        <v>0</v>
      </c>
      <c r="V62" s="153">
        <v>0</v>
      </c>
      <c r="W62" s="153">
        <v>0</v>
      </c>
      <c r="X62" s="153">
        <v>0</v>
      </c>
      <c r="Y62" s="153">
        <v>0</v>
      </c>
      <c r="Z62" s="153">
        <f t="shared" si="4"/>
        <v>0</v>
      </c>
      <c r="AA62" s="153">
        <v>0</v>
      </c>
      <c r="AB62" s="153">
        <f t="shared" si="5"/>
        <v>0</v>
      </c>
      <c r="AC62" s="155">
        <v>0</v>
      </c>
      <c r="AD62" s="154">
        <v>0</v>
      </c>
      <c r="AE62" s="154">
        <v>0</v>
      </c>
      <c r="AF62" s="154">
        <v>0</v>
      </c>
      <c r="AG62" s="154">
        <f t="shared" si="6"/>
        <v>0</v>
      </c>
      <c r="AH62" s="154">
        <v>0</v>
      </c>
      <c r="AI62" s="154">
        <f t="shared" si="7"/>
        <v>0</v>
      </c>
      <c r="AJ62" s="154">
        <v>0</v>
      </c>
      <c r="AK62" s="154">
        <v>0</v>
      </c>
      <c r="AL62" s="154">
        <v>0</v>
      </c>
      <c r="AM62" s="154">
        <v>0</v>
      </c>
      <c r="AN62" s="154">
        <f t="shared" si="18"/>
        <v>0</v>
      </c>
      <c r="AO62" s="154">
        <v>0</v>
      </c>
      <c r="AP62" s="154">
        <f t="shared" si="8"/>
        <v>0</v>
      </c>
      <c r="AQ62" s="154">
        <f t="shared" si="34"/>
        <v>0</v>
      </c>
      <c r="AR62" s="154">
        <f t="shared" si="35"/>
        <v>0</v>
      </c>
      <c r="AS62" s="154">
        <f t="shared" si="21"/>
        <v>0</v>
      </c>
      <c r="AT62" s="154">
        <f t="shared" si="36"/>
        <v>0</v>
      </c>
      <c r="AU62" s="154">
        <f t="shared" si="26"/>
        <v>0</v>
      </c>
      <c r="AV62" s="154">
        <f t="shared" si="39"/>
        <v>0</v>
      </c>
      <c r="AW62" s="154">
        <f t="shared" si="10"/>
        <v>0</v>
      </c>
      <c r="AX62" s="37"/>
      <c r="AY62" s="26"/>
      <c r="AZ62" s="28">
        <f t="shared" si="27"/>
        <v>0</v>
      </c>
      <c r="BA62" s="28"/>
      <c r="BB62" s="28">
        <f t="shared" si="28"/>
        <v>0</v>
      </c>
      <c r="BC62" s="28">
        <f t="shared" si="29"/>
        <v>0</v>
      </c>
      <c r="BD62" s="28">
        <f t="shared" si="30"/>
        <v>0</v>
      </c>
      <c r="BE62" s="28">
        <f t="shared" si="31"/>
        <v>0</v>
      </c>
      <c r="BF62" s="28">
        <f t="shared" si="23"/>
        <v>0</v>
      </c>
      <c r="BG62" s="29">
        <f t="shared" si="32"/>
        <v>0</v>
      </c>
      <c r="BH62" s="29">
        <f t="shared" si="24"/>
        <v>0</v>
      </c>
      <c r="BI62" s="30"/>
      <c r="BJ62" s="23" t="s">
        <v>138</v>
      </c>
      <c r="BK62" s="31">
        <v>0</v>
      </c>
      <c r="BL62" s="31">
        <v>0</v>
      </c>
      <c r="BO62" s="31">
        <v>0</v>
      </c>
      <c r="BP62" s="31" t="b">
        <f t="shared" si="33"/>
        <v>1</v>
      </c>
    </row>
    <row r="63" spans="2:68" s="31" customFormat="1" x14ac:dyDescent="0.25">
      <c r="B63" s="21" t="s">
        <v>139</v>
      </c>
      <c r="C63" s="22" t="s">
        <v>29</v>
      </c>
      <c r="D63" s="38" t="s">
        <v>140</v>
      </c>
      <c r="E63" s="24">
        <v>15.41</v>
      </c>
      <c r="F63" s="24">
        <v>15.41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33">
        <f t="shared" si="0"/>
        <v>0</v>
      </c>
      <c r="M63" s="34">
        <v>0</v>
      </c>
      <c r="N63" s="34">
        <f t="shared" si="40"/>
        <v>0</v>
      </c>
      <c r="O63" s="153">
        <v>0</v>
      </c>
      <c r="P63" s="153">
        <v>0</v>
      </c>
      <c r="Q63" s="153">
        <v>0</v>
      </c>
      <c r="R63" s="153">
        <v>0</v>
      </c>
      <c r="S63" s="153">
        <f t="shared" si="2"/>
        <v>0</v>
      </c>
      <c r="T63" s="153">
        <v>0</v>
      </c>
      <c r="U63" s="153">
        <f t="shared" si="3"/>
        <v>0</v>
      </c>
      <c r="V63" s="153">
        <v>0</v>
      </c>
      <c r="W63" s="153">
        <v>0</v>
      </c>
      <c r="X63" s="153">
        <v>0</v>
      </c>
      <c r="Y63" s="153">
        <v>0</v>
      </c>
      <c r="Z63" s="153">
        <f t="shared" si="4"/>
        <v>0</v>
      </c>
      <c r="AA63" s="153">
        <v>0</v>
      </c>
      <c r="AB63" s="153">
        <f t="shared" si="5"/>
        <v>0</v>
      </c>
      <c r="AC63" s="155">
        <v>0</v>
      </c>
      <c r="AD63" s="154">
        <v>0</v>
      </c>
      <c r="AE63" s="154">
        <v>0</v>
      </c>
      <c r="AF63" s="154">
        <v>0</v>
      </c>
      <c r="AG63" s="154">
        <f t="shared" si="6"/>
        <v>0</v>
      </c>
      <c r="AH63" s="154">
        <v>0</v>
      </c>
      <c r="AI63" s="154">
        <f t="shared" si="7"/>
        <v>0</v>
      </c>
      <c r="AJ63" s="154">
        <v>0</v>
      </c>
      <c r="AK63" s="154">
        <v>0</v>
      </c>
      <c r="AL63" s="154">
        <v>0</v>
      </c>
      <c r="AM63" s="154">
        <v>0</v>
      </c>
      <c r="AN63" s="154">
        <f t="shared" si="18"/>
        <v>0</v>
      </c>
      <c r="AO63" s="154">
        <v>0</v>
      </c>
      <c r="AP63" s="154">
        <f t="shared" si="8"/>
        <v>0</v>
      </c>
      <c r="AQ63" s="154">
        <f t="shared" si="34"/>
        <v>0</v>
      </c>
      <c r="AR63" s="154">
        <f t="shared" si="35"/>
        <v>0</v>
      </c>
      <c r="AS63" s="154">
        <f t="shared" si="21"/>
        <v>0</v>
      </c>
      <c r="AT63" s="154">
        <f t="shared" si="36"/>
        <v>0</v>
      </c>
      <c r="AU63" s="154">
        <f t="shared" si="26"/>
        <v>0</v>
      </c>
      <c r="AV63" s="154">
        <f t="shared" si="39"/>
        <v>0</v>
      </c>
      <c r="AW63" s="154">
        <f t="shared" si="10"/>
        <v>0</v>
      </c>
      <c r="AX63" s="37"/>
      <c r="AY63" s="26"/>
      <c r="AZ63" s="28">
        <f t="shared" si="27"/>
        <v>0</v>
      </c>
      <c r="BA63" s="28"/>
      <c r="BB63" s="28">
        <f t="shared" si="28"/>
        <v>0</v>
      </c>
      <c r="BC63" s="28">
        <f t="shared" si="29"/>
        <v>0</v>
      </c>
      <c r="BD63" s="28">
        <f t="shared" si="30"/>
        <v>0</v>
      </c>
      <c r="BE63" s="28">
        <f t="shared" si="31"/>
        <v>0</v>
      </c>
      <c r="BF63" s="28">
        <f t="shared" si="23"/>
        <v>0</v>
      </c>
      <c r="BG63" s="29">
        <f t="shared" si="32"/>
        <v>0</v>
      </c>
      <c r="BH63" s="29">
        <f t="shared" si="24"/>
        <v>0</v>
      </c>
      <c r="BI63" s="30"/>
      <c r="BJ63" s="23" t="s">
        <v>140</v>
      </c>
      <c r="BK63" s="31">
        <v>0</v>
      </c>
      <c r="BL63" s="31">
        <v>0</v>
      </c>
      <c r="BO63" s="31">
        <v>0</v>
      </c>
      <c r="BP63" s="31" t="b">
        <f t="shared" si="33"/>
        <v>1</v>
      </c>
    </row>
    <row r="64" spans="2:68" s="31" customFormat="1" ht="15" customHeight="1" x14ac:dyDescent="0.25">
      <c r="B64" s="21" t="s">
        <v>141</v>
      </c>
      <c r="C64" s="22" t="s">
        <v>29</v>
      </c>
      <c r="D64" s="23" t="s">
        <v>142</v>
      </c>
      <c r="E64" s="24">
        <v>15.41</v>
      </c>
      <c r="F64" s="24">
        <v>15.41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f t="shared" si="0"/>
        <v>0</v>
      </c>
      <c r="M64" s="22">
        <v>0</v>
      </c>
      <c r="N64" s="22">
        <f t="shared" si="40"/>
        <v>0</v>
      </c>
      <c r="O64" s="153">
        <v>0</v>
      </c>
      <c r="P64" s="153">
        <v>0</v>
      </c>
      <c r="Q64" s="153">
        <v>0</v>
      </c>
      <c r="R64" s="153">
        <v>0</v>
      </c>
      <c r="S64" s="153">
        <f t="shared" si="2"/>
        <v>0</v>
      </c>
      <c r="T64" s="153">
        <v>0</v>
      </c>
      <c r="U64" s="153">
        <f t="shared" si="3"/>
        <v>0</v>
      </c>
      <c r="V64" s="154">
        <v>0</v>
      </c>
      <c r="W64" s="154">
        <v>0</v>
      </c>
      <c r="X64" s="154">
        <v>0</v>
      </c>
      <c r="Y64" s="154">
        <v>0</v>
      </c>
      <c r="Z64" s="154">
        <f t="shared" si="4"/>
        <v>0</v>
      </c>
      <c r="AA64" s="154">
        <v>0</v>
      </c>
      <c r="AB64" s="154">
        <f t="shared" si="5"/>
        <v>0</v>
      </c>
      <c r="AC64" s="154">
        <v>0</v>
      </c>
      <c r="AD64" s="154">
        <v>0</v>
      </c>
      <c r="AE64" s="154">
        <v>0</v>
      </c>
      <c r="AF64" s="154">
        <v>0</v>
      </c>
      <c r="AG64" s="154">
        <f t="shared" si="6"/>
        <v>0</v>
      </c>
      <c r="AH64" s="154">
        <v>0</v>
      </c>
      <c r="AI64" s="154">
        <f t="shared" si="7"/>
        <v>0</v>
      </c>
      <c r="AJ64" s="154">
        <v>0</v>
      </c>
      <c r="AK64" s="154">
        <v>0</v>
      </c>
      <c r="AL64" s="154">
        <v>0</v>
      </c>
      <c r="AM64" s="154">
        <v>0</v>
      </c>
      <c r="AN64" s="154">
        <f t="shared" si="18"/>
        <v>0</v>
      </c>
      <c r="AO64" s="154">
        <v>0</v>
      </c>
      <c r="AP64" s="154">
        <f t="shared" si="8"/>
        <v>0</v>
      </c>
      <c r="AQ64" s="154">
        <f t="shared" si="34"/>
        <v>0</v>
      </c>
      <c r="AR64" s="154">
        <f t="shared" si="35"/>
        <v>0</v>
      </c>
      <c r="AS64" s="154">
        <f t="shared" si="21"/>
        <v>0</v>
      </c>
      <c r="AT64" s="154">
        <f t="shared" si="36"/>
        <v>0</v>
      </c>
      <c r="AU64" s="154">
        <f t="shared" si="26"/>
        <v>0</v>
      </c>
      <c r="AV64" s="154">
        <f t="shared" si="39"/>
        <v>0</v>
      </c>
      <c r="AW64" s="154">
        <f t="shared" si="10"/>
        <v>0</v>
      </c>
      <c r="AX64" s="25"/>
      <c r="AY64" s="26"/>
      <c r="AZ64" s="28">
        <f t="shared" si="27"/>
        <v>0</v>
      </c>
      <c r="BA64" s="28"/>
      <c r="BB64" s="28">
        <f t="shared" si="28"/>
        <v>0</v>
      </c>
      <c r="BC64" s="28">
        <f t="shared" si="29"/>
        <v>0</v>
      </c>
      <c r="BD64" s="28">
        <f t="shared" si="30"/>
        <v>0</v>
      </c>
      <c r="BE64" s="28">
        <f t="shared" si="31"/>
        <v>0</v>
      </c>
      <c r="BF64" s="28">
        <f t="shared" si="23"/>
        <v>0</v>
      </c>
      <c r="BG64" s="29">
        <f t="shared" si="32"/>
        <v>0</v>
      </c>
      <c r="BH64" s="29">
        <f t="shared" si="24"/>
        <v>0</v>
      </c>
      <c r="BI64" s="30"/>
      <c r="BJ64" s="23" t="s">
        <v>143</v>
      </c>
      <c r="BK64" s="31">
        <v>0</v>
      </c>
      <c r="BL64" s="31">
        <v>0</v>
      </c>
      <c r="BO64" s="31">
        <v>0</v>
      </c>
      <c r="BP64" s="31" t="b">
        <f t="shared" si="33"/>
        <v>0</v>
      </c>
    </row>
    <row r="65" spans="2:68" s="31" customFormat="1" x14ac:dyDescent="0.25">
      <c r="B65" s="21" t="s">
        <v>144</v>
      </c>
      <c r="C65" s="22" t="s">
        <v>29</v>
      </c>
      <c r="D65" s="23" t="s">
        <v>145</v>
      </c>
      <c r="E65" s="24">
        <v>15.41</v>
      </c>
      <c r="F65" s="24">
        <v>15.41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f t="shared" si="0"/>
        <v>0</v>
      </c>
      <c r="M65" s="22">
        <v>0</v>
      </c>
      <c r="N65" s="22">
        <f t="shared" si="40"/>
        <v>0</v>
      </c>
      <c r="O65" s="153">
        <v>0</v>
      </c>
      <c r="P65" s="153">
        <v>0</v>
      </c>
      <c r="Q65" s="153">
        <v>0</v>
      </c>
      <c r="R65" s="153">
        <v>0</v>
      </c>
      <c r="S65" s="153">
        <f t="shared" si="2"/>
        <v>0</v>
      </c>
      <c r="T65" s="153">
        <v>0</v>
      </c>
      <c r="U65" s="153">
        <f t="shared" si="3"/>
        <v>0</v>
      </c>
      <c r="V65" s="154">
        <v>0</v>
      </c>
      <c r="W65" s="154">
        <v>0</v>
      </c>
      <c r="X65" s="154">
        <v>0</v>
      </c>
      <c r="Y65" s="154">
        <v>0</v>
      </c>
      <c r="Z65" s="154">
        <f t="shared" si="4"/>
        <v>0</v>
      </c>
      <c r="AA65" s="154">
        <v>0</v>
      </c>
      <c r="AB65" s="154">
        <f t="shared" si="5"/>
        <v>0</v>
      </c>
      <c r="AC65" s="154">
        <v>0</v>
      </c>
      <c r="AD65" s="154">
        <v>0</v>
      </c>
      <c r="AE65" s="154">
        <v>0</v>
      </c>
      <c r="AF65" s="154">
        <v>0</v>
      </c>
      <c r="AG65" s="154">
        <f t="shared" si="6"/>
        <v>0</v>
      </c>
      <c r="AH65" s="154">
        <v>0</v>
      </c>
      <c r="AI65" s="154">
        <f t="shared" si="7"/>
        <v>0</v>
      </c>
      <c r="AJ65" s="154">
        <v>0</v>
      </c>
      <c r="AK65" s="154">
        <v>0</v>
      </c>
      <c r="AL65" s="154">
        <v>0</v>
      </c>
      <c r="AM65" s="154">
        <v>0</v>
      </c>
      <c r="AN65" s="154">
        <f t="shared" si="18"/>
        <v>0</v>
      </c>
      <c r="AO65" s="154">
        <v>0</v>
      </c>
      <c r="AP65" s="154">
        <f t="shared" si="8"/>
        <v>0</v>
      </c>
      <c r="AQ65" s="154">
        <f t="shared" si="34"/>
        <v>0</v>
      </c>
      <c r="AR65" s="154">
        <f t="shared" si="35"/>
        <v>0</v>
      </c>
      <c r="AS65" s="154">
        <f t="shared" si="21"/>
        <v>0</v>
      </c>
      <c r="AT65" s="154">
        <f t="shared" si="36"/>
        <v>0</v>
      </c>
      <c r="AU65" s="154">
        <f t="shared" si="26"/>
        <v>0</v>
      </c>
      <c r="AV65" s="154">
        <f t="shared" si="39"/>
        <v>0</v>
      </c>
      <c r="AW65" s="154">
        <f t="shared" si="10"/>
        <v>0</v>
      </c>
      <c r="AX65" s="25"/>
      <c r="AY65" s="26"/>
      <c r="AZ65" s="28">
        <f t="shared" si="27"/>
        <v>0</v>
      </c>
      <c r="BA65" s="28"/>
      <c r="BB65" s="28">
        <f t="shared" si="28"/>
        <v>0</v>
      </c>
      <c r="BC65" s="28">
        <f t="shared" si="29"/>
        <v>0</v>
      </c>
      <c r="BD65" s="28">
        <f t="shared" si="30"/>
        <v>0</v>
      </c>
      <c r="BE65" s="28">
        <f t="shared" si="31"/>
        <v>0</v>
      </c>
      <c r="BF65" s="28">
        <f t="shared" si="23"/>
        <v>0</v>
      </c>
      <c r="BG65" s="29">
        <f t="shared" si="32"/>
        <v>0</v>
      </c>
      <c r="BH65" s="29">
        <f t="shared" si="24"/>
        <v>0</v>
      </c>
      <c r="BI65" s="30"/>
      <c r="BJ65" s="23" t="s">
        <v>145</v>
      </c>
      <c r="BK65" s="31">
        <v>0</v>
      </c>
      <c r="BL65" s="31">
        <v>0</v>
      </c>
      <c r="BO65" s="31">
        <v>0</v>
      </c>
      <c r="BP65" s="31" t="b">
        <f t="shared" si="33"/>
        <v>1</v>
      </c>
    </row>
    <row r="66" spans="2:68" s="31" customFormat="1" x14ac:dyDescent="0.25">
      <c r="B66" s="21" t="s">
        <v>146</v>
      </c>
      <c r="C66" s="22" t="s">
        <v>147</v>
      </c>
      <c r="D66" s="23" t="s">
        <v>148</v>
      </c>
      <c r="E66" s="24">
        <v>18.53</v>
      </c>
      <c r="F66" s="24">
        <v>18.53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f t="shared" si="0"/>
        <v>0</v>
      </c>
      <c r="M66" s="22">
        <v>0</v>
      </c>
      <c r="N66" s="22">
        <f t="shared" si="40"/>
        <v>0</v>
      </c>
      <c r="O66" s="153">
        <v>0</v>
      </c>
      <c r="P66" s="153">
        <v>0</v>
      </c>
      <c r="Q66" s="153">
        <v>0</v>
      </c>
      <c r="R66" s="153">
        <v>0</v>
      </c>
      <c r="S66" s="153">
        <f t="shared" si="2"/>
        <v>0</v>
      </c>
      <c r="T66" s="153">
        <v>0</v>
      </c>
      <c r="U66" s="153">
        <f t="shared" si="3"/>
        <v>0</v>
      </c>
      <c r="V66" s="154">
        <v>0</v>
      </c>
      <c r="W66" s="154">
        <v>0</v>
      </c>
      <c r="X66" s="154">
        <v>0</v>
      </c>
      <c r="Y66" s="154">
        <v>0</v>
      </c>
      <c r="Z66" s="154">
        <f t="shared" si="4"/>
        <v>0</v>
      </c>
      <c r="AA66" s="154">
        <v>0</v>
      </c>
      <c r="AB66" s="154">
        <f t="shared" si="5"/>
        <v>0</v>
      </c>
      <c r="AC66" s="154">
        <v>0</v>
      </c>
      <c r="AD66" s="154">
        <v>0</v>
      </c>
      <c r="AE66" s="154">
        <v>0</v>
      </c>
      <c r="AF66" s="154">
        <v>0</v>
      </c>
      <c r="AG66" s="154">
        <f t="shared" si="6"/>
        <v>0</v>
      </c>
      <c r="AH66" s="154">
        <v>0</v>
      </c>
      <c r="AI66" s="154">
        <f t="shared" si="7"/>
        <v>0</v>
      </c>
      <c r="AJ66" s="154">
        <v>0</v>
      </c>
      <c r="AK66" s="154">
        <v>0</v>
      </c>
      <c r="AL66" s="154">
        <v>0</v>
      </c>
      <c r="AM66" s="154">
        <v>0</v>
      </c>
      <c r="AN66" s="154">
        <f t="shared" si="18"/>
        <v>0</v>
      </c>
      <c r="AO66" s="154">
        <v>0</v>
      </c>
      <c r="AP66" s="154">
        <f t="shared" si="8"/>
        <v>0</v>
      </c>
      <c r="AQ66" s="154">
        <f t="shared" si="34"/>
        <v>0</v>
      </c>
      <c r="AR66" s="154">
        <f t="shared" si="35"/>
        <v>0</v>
      </c>
      <c r="AS66" s="154">
        <f t="shared" si="21"/>
        <v>0</v>
      </c>
      <c r="AT66" s="154">
        <f t="shared" si="36"/>
        <v>0</v>
      </c>
      <c r="AU66" s="154">
        <f t="shared" si="26"/>
        <v>0</v>
      </c>
      <c r="AV66" s="154">
        <f t="shared" si="39"/>
        <v>0</v>
      </c>
      <c r="AW66" s="154">
        <f t="shared" si="10"/>
        <v>0</v>
      </c>
      <c r="AX66" s="25"/>
      <c r="AY66" s="26"/>
      <c r="AZ66" s="28">
        <f t="shared" si="27"/>
        <v>0</v>
      </c>
      <c r="BA66" s="28"/>
      <c r="BB66" s="28">
        <f t="shared" si="28"/>
        <v>0</v>
      </c>
      <c r="BC66" s="28">
        <f t="shared" si="29"/>
        <v>0</v>
      </c>
      <c r="BD66" s="28">
        <f t="shared" si="30"/>
        <v>0</v>
      </c>
      <c r="BE66" s="28">
        <f t="shared" si="31"/>
        <v>0</v>
      </c>
      <c r="BF66" s="28">
        <f t="shared" si="23"/>
        <v>0</v>
      </c>
      <c r="BG66" s="29">
        <f t="shared" si="32"/>
        <v>0</v>
      </c>
      <c r="BH66" s="29">
        <f t="shared" si="24"/>
        <v>0</v>
      </c>
      <c r="BI66" s="30"/>
      <c r="BJ66" s="23" t="s">
        <v>148</v>
      </c>
      <c r="BK66" s="31">
        <v>0</v>
      </c>
      <c r="BL66" s="31">
        <v>0</v>
      </c>
      <c r="BO66" s="31">
        <v>0</v>
      </c>
      <c r="BP66" s="31" t="b">
        <f t="shared" si="33"/>
        <v>1</v>
      </c>
    </row>
    <row r="67" spans="2:68" s="31" customFormat="1" x14ac:dyDescent="0.25">
      <c r="B67" s="21" t="s">
        <v>149</v>
      </c>
      <c r="C67" s="22" t="s">
        <v>147</v>
      </c>
      <c r="D67" s="23" t="s">
        <v>150</v>
      </c>
      <c r="E67" s="24">
        <v>17.07</v>
      </c>
      <c r="F67" s="24">
        <v>17.07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f t="shared" si="0"/>
        <v>0</v>
      </c>
      <c r="M67" s="22">
        <v>0</v>
      </c>
      <c r="N67" s="22">
        <f t="shared" si="40"/>
        <v>0</v>
      </c>
      <c r="O67" s="153">
        <v>0</v>
      </c>
      <c r="P67" s="153">
        <v>0</v>
      </c>
      <c r="Q67" s="153">
        <v>0</v>
      </c>
      <c r="R67" s="153">
        <v>0</v>
      </c>
      <c r="S67" s="153">
        <f t="shared" si="2"/>
        <v>0</v>
      </c>
      <c r="T67" s="153">
        <v>0</v>
      </c>
      <c r="U67" s="153">
        <f t="shared" si="3"/>
        <v>0</v>
      </c>
      <c r="V67" s="154">
        <v>0</v>
      </c>
      <c r="W67" s="154">
        <v>0</v>
      </c>
      <c r="X67" s="154">
        <v>0</v>
      </c>
      <c r="Y67" s="154">
        <v>0</v>
      </c>
      <c r="Z67" s="154">
        <f t="shared" si="4"/>
        <v>0</v>
      </c>
      <c r="AA67" s="154">
        <v>0</v>
      </c>
      <c r="AB67" s="154">
        <f t="shared" si="5"/>
        <v>0</v>
      </c>
      <c r="AC67" s="154">
        <v>0</v>
      </c>
      <c r="AD67" s="154">
        <v>0</v>
      </c>
      <c r="AE67" s="154">
        <v>0</v>
      </c>
      <c r="AF67" s="154">
        <v>0</v>
      </c>
      <c r="AG67" s="154">
        <f t="shared" si="6"/>
        <v>0</v>
      </c>
      <c r="AH67" s="154">
        <v>0</v>
      </c>
      <c r="AI67" s="154">
        <f t="shared" si="7"/>
        <v>0</v>
      </c>
      <c r="AJ67" s="154">
        <v>0</v>
      </c>
      <c r="AK67" s="154">
        <v>0</v>
      </c>
      <c r="AL67" s="154">
        <v>0</v>
      </c>
      <c r="AM67" s="154">
        <v>0</v>
      </c>
      <c r="AN67" s="154">
        <f t="shared" si="18"/>
        <v>0</v>
      </c>
      <c r="AO67" s="154">
        <v>0</v>
      </c>
      <c r="AP67" s="154">
        <f t="shared" si="8"/>
        <v>0</v>
      </c>
      <c r="AQ67" s="154">
        <f t="shared" si="34"/>
        <v>0</v>
      </c>
      <c r="AR67" s="154">
        <f t="shared" si="35"/>
        <v>0</v>
      </c>
      <c r="AS67" s="154">
        <f t="shared" si="21"/>
        <v>0</v>
      </c>
      <c r="AT67" s="154">
        <f t="shared" si="36"/>
        <v>0</v>
      </c>
      <c r="AU67" s="154">
        <f t="shared" si="26"/>
        <v>0</v>
      </c>
      <c r="AV67" s="154">
        <f t="shared" si="39"/>
        <v>0</v>
      </c>
      <c r="AW67" s="154">
        <f t="shared" si="10"/>
        <v>0</v>
      </c>
      <c r="AX67" s="25"/>
      <c r="AY67" s="26"/>
      <c r="AZ67" s="28">
        <f t="shared" si="27"/>
        <v>0</v>
      </c>
      <c r="BA67" s="28"/>
      <c r="BB67" s="28">
        <f t="shared" si="28"/>
        <v>0</v>
      </c>
      <c r="BC67" s="28">
        <f t="shared" si="29"/>
        <v>0</v>
      </c>
      <c r="BD67" s="28">
        <f t="shared" si="30"/>
        <v>0</v>
      </c>
      <c r="BE67" s="28">
        <f t="shared" si="31"/>
        <v>0</v>
      </c>
      <c r="BF67" s="28">
        <f t="shared" si="23"/>
        <v>0</v>
      </c>
      <c r="BG67" s="29">
        <f t="shared" si="32"/>
        <v>0</v>
      </c>
      <c r="BH67" s="29">
        <f t="shared" si="24"/>
        <v>0</v>
      </c>
      <c r="BI67" s="30"/>
      <c r="BJ67" s="23" t="s">
        <v>150</v>
      </c>
      <c r="BK67" s="31">
        <v>0</v>
      </c>
      <c r="BL67" s="31">
        <v>0</v>
      </c>
      <c r="BO67" s="31">
        <v>0</v>
      </c>
      <c r="BP67" s="31" t="b">
        <f t="shared" si="33"/>
        <v>1</v>
      </c>
    </row>
    <row r="68" spans="2:68" s="31" customFormat="1" x14ac:dyDescent="0.25">
      <c r="B68" s="21" t="s">
        <v>151</v>
      </c>
      <c r="C68" s="22" t="s">
        <v>29</v>
      </c>
      <c r="D68" s="23" t="s">
        <v>152</v>
      </c>
      <c r="E68" s="24">
        <v>0</v>
      </c>
      <c r="F68" s="24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f t="shared" si="0"/>
        <v>0</v>
      </c>
      <c r="M68" s="22">
        <v>0</v>
      </c>
      <c r="N68" s="22">
        <f t="shared" si="40"/>
        <v>0</v>
      </c>
      <c r="O68" s="153">
        <v>0</v>
      </c>
      <c r="P68" s="153">
        <v>0</v>
      </c>
      <c r="Q68" s="153">
        <v>0</v>
      </c>
      <c r="R68" s="153">
        <v>0</v>
      </c>
      <c r="S68" s="153">
        <f t="shared" si="2"/>
        <v>0</v>
      </c>
      <c r="T68" s="153">
        <v>0</v>
      </c>
      <c r="U68" s="153">
        <f t="shared" si="3"/>
        <v>0</v>
      </c>
      <c r="V68" s="154">
        <v>0</v>
      </c>
      <c r="W68" s="154">
        <v>0</v>
      </c>
      <c r="X68" s="154">
        <v>0</v>
      </c>
      <c r="Y68" s="154">
        <v>0</v>
      </c>
      <c r="Z68" s="154">
        <f t="shared" si="4"/>
        <v>0</v>
      </c>
      <c r="AA68" s="154">
        <v>0</v>
      </c>
      <c r="AB68" s="154">
        <f t="shared" si="5"/>
        <v>0</v>
      </c>
      <c r="AC68" s="154">
        <v>0</v>
      </c>
      <c r="AD68" s="154">
        <v>0</v>
      </c>
      <c r="AE68" s="154">
        <v>0</v>
      </c>
      <c r="AF68" s="154">
        <v>0</v>
      </c>
      <c r="AG68" s="154">
        <f t="shared" si="6"/>
        <v>0</v>
      </c>
      <c r="AH68" s="154">
        <v>0</v>
      </c>
      <c r="AI68" s="154">
        <f t="shared" si="7"/>
        <v>0</v>
      </c>
      <c r="AJ68" s="154">
        <v>0</v>
      </c>
      <c r="AK68" s="154">
        <v>0</v>
      </c>
      <c r="AL68" s="154">
        <v>0</v>
      </c>
      <c r="AM68" s="154">
        <v>0</v>
      </c>
      <c r="AN68" s="154">
        <f t="shared" si="18"/>
        <v>0</v>
      </c>
      <c r="AO68" s="154">
        <v>0</v>
      </c>
      <c r="AP68" s="154">
        <f t="shared" si="8"/>
        <v>0</v>
      </c>
      <c r="AQ68" s="154">
        <f t="shared" si="34"/>
        <v>0</v>
      </c>
      <c r="AR68" s="154">
        <f t="shared" si="35"/>
        <v>0</v>
      </c>
      <c r="AS68" s="154">
        <f t="shared" si="21"/>
        <v>0</v>
      </c>
      <c r="AT68" s="154">
        <f t="shared" si="36"/>
        <v>0</v>
      </c>
      <c r="AU68" s="154">
        <f t="shared" si="26"/>
        <v>0</v>
      </c>
      <c r="AV68" s="154">
        <f t="shared" si="39"/>
        <v>0</v>
      </c>
      <c r="AW68" s="154">
        <f t="shared" si="10"/>
        <v>0</v>
      </c>
      <c r="AX68" s="25"/>
      <c r="AY68" s="26"/>
      <c r="AZ68" s="28">
        <f t="shared" si="27"/>
        <v>0</v>
      </c>
      <c r="BA68" s="28"/>
      <c r="BB68" s="28">
        <f t="shared" si="28"/>
        <v>0</v>
      </c>
      <c r="BC68" s="28">
        <f t="shared" si="29"/>
        <v>0</v>
      </c>
      <c r="BD68" s="28">
        <f t="shared" si="30"/>
        <v>0</v>
      </c>
      <c r="BE68" s="28">
        <f t="shared" si="31"/>
        <v>0</v>
      </c>
      <c r="BF68" s="28">
        <f t="shared" si="23"/>
        <v>0</v>
      </c>
      <c r="BG68" s="29">
        <f t="shared" si="32"/>
        <v>0</v>
      </c>
      <c r="BH68" s="29">
        <f t="shared" si="24"/>
        <v>0</v>
      </c>
      <c r="BI68" s="30"/>
      <c r="BJ68" s="23" t="s">
        <v>152</v>
      </c>
      <c r="BK68" s="31">
        <v>0</v>
      </c>
      <c r="BL68" s="31">
        <v>0</v>
      </c>
      <c r="BO68" s="31">
        <v>0</v>
      </c>
      <c r="BP68" s="31" t="b">
        <f t="shared" si="33"/>
        <v>1</v>
      </c>
    </row>
    <row r="69" spans="2:68" s="31" customFormat="1" ht="15" customHeight="1" x14ac:dyDescent="0.25">
      <c r="B69" s="21" t="s">
        <v>153</v>
      </c>
      <c r="C69" s="22" t="s">
        <v>58</v>
      </c>
      <c r="D69" s="23" t="s">
        <v>154</v>
      </c>
      <c r="E69" s="24">
        <v>5.58</v>
      </c>
      <c r="F69" s="24">
        <v>5.58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f t="shared" si="0"/>
        <v>0</v>
      </c>
      <c r="M69" s="22">
        <v>0</v>
      </c>
      <c r="N69" s="22">
        <f t="shared" si="40"/>
        <v>0</v>
      </c>
      <c r="O69" s="153">
        <v>0</v>
      </c>
      <c r="P69" s="153">
        <v>0</v>
      </c>
      <c r="Q69" s="153">
        <v>0</v>
      </c>
      <c r="R69" s="153">
        <v>0</v>
      </c>
      <c r="S69" s="153">
        <f t="shared" si="2"/>
        <v>0</v>
      </c>
      <c r="T69" s="153">
        <v>0</v>
      </c>
      <c r="U69" s="153">
        <f t="shared" si="3"/>
        <v>0</v>
      </c>
      <c r="V69" s="154">
        <v>0</v>
      </c>
      <c r="W69" s="154">
        <v>0</v>
      </c>
      <c r="X69" s="154">
        <v>0</v>
      </c>
      <c r="Y69" s="154">
        <v>0</v>
      </c>
      <c r="Z69" s="154">
        <f t="shared" si="4"/>
        <v>0</v>
      </c>
      <c r="AA69" s="154">
        <v>0</v>
      </c>
      <c r="AB69" s="154">
        <f t="shared" si="5"/>
        <v>0</v>
      </c>
      <c r="AC69" s="154">
        <v>0</v>
      </c>
      <c r="AD69" s="154">
        <v>0</v>
      </c>
      <c r="AE69" s="154">
        <v>0</v>
      </c>
      <c r="AF69" s="154">
        <v>0</v>
      </c>
      <c r="AG69" s="154">
        <f t="shared" si="6"/>
        <v>0</v>
      </c>
      <c r="AH69" s="154">
        <v>0</v>
      </c>
      <c r="AI69" s="154">
        <f t="shared" si="7"/>
        <v>0</v>
      </c>
      <c r="AJ69" s="154">
        <v>0</v>
      </c>
      <c r="AK69" s="154">
        <v>0</v>
      </c>
      <c r="AL69" s="154">
        <v>0</v>
      </c>
      <c r="AM69" s="154">
        <v>0</v>
      </c>
      <c r="AN69" s="154">
        <f t="shared" si="18"/>
        <v>0</v>
      </c>
      <c r="AO69" s="154">
        <v>0</v>
      </c>
      <c r="AP69" s="154">
        <f t="shared" si="8"/>
        <v>0</v>
      </c>
      <c r="AQ69" s="154">
        <f t="shared" si="34"/>
        <v>0</v>
      </c>
      <c r="AR69" s="154">
        <f t="shared" si="35"/>
        <v>0</v>
      </c>
      <c r="AS69" s="154">
        <f t="shared" si="21"/>
        <v>0</v>
      </c>
      <c r="AT69" s="154">
        <f t="shared" si="36"/>
        <v>0</v>
      </c>
      <c r="AU69" s="154">
        <f t="shared" si="26"/>
        <v>0</v>
      </c>
      <c r="AV69" s="154">
        <f t="shared" si="39"/>
        <v>0</v>
      </c>
      <c r="AW69" s="154">
        <f t="shared" si="10"/>
        <v>0</v>
      </c>
      <c r="AX69" s="25"/>
      <c r="AY69" s="26"/>
      <c r="AZ69" s="28">
        <f t="shared" si="27"/>
        <v>0</v>
      </c>
      <c r="BA69" s="28"/>
      <c r="BB69" s="28">
        <f t="shared" si="28"/>
        <v>0</v>
      </c>
      <c r="BC69" s="28">
        <f t="shared" si="29"/>
        <v>0</v>
      </c>
      <c r="BD69" s="28">
        <f t="shared" si="30"/>
        <v>0</v>
      </c>
      <c r="BE69" s="28">
        <f t="shared" si="31"/>
        <v>0</v>
      </c>
      <c r="BF69" s="28">
        <f t="shared" si="23"/>
        <v>0</v>
      </c>
      <c r="BG69" s="29">
        <f t="shared" si="32"/>
        <v>0</v>
      </c>
      <c r="BH69" s="29">
        <f t="shared" si="24"/>
        <v>0</v>
      </c>
      <c r="BI69" s="30"/>
      <c r="BJ69" s="23" t="s">
        <v>154</v>
      </c>
      <c r="BK69" s="31">
        <v>0</v>
      </c>
      <c r="BL69" s="31">
        <v>0</v>
      </c>
      <c r="BO69" s="31">
        <v>0</v>
      </c>
      <c r="BP69" s="31" t="b">
        <f t="shared" si="33"/>
        <v>1</v>
      </c>
    </row>
    <row r="70" spans="2:68" s="31" customFormat="1" ht="15" customHeight="1" x14ac:dyDescent="0.25">
      <c r="B70" s="21" t="s">
        <v>155</v>
      </c>
      <c r="C70" s="22" t="s">
        <v>58</v>
      </c>
      <c r="D70" s="23" t="s">
        <v>156</v>
      </c>
      <c r="E70" s="24">
        <v>5.21</v>
      </c>
      <c r="F70" s="24">
        <v>5.21</v>
      </c>
      <c r="G70" s="22">
        <v>3</v>
      </c>
      <c r="H70" s="22">
        <v>0</v>
      </c>
      <c r="I70" s="22">
        <v>0</v>
      </c>
      <c r="J70" s="22">
        <v>0</v>
      </c>
      <c r="K70" s="22">
        <v>0</v>
      </c>
      <c r="L70" s="22">
        <f t="shared" si="0"/>
        <v>3</v>
      </c>
      <c r="M70" s="22">
        <v>3</v>
      </c>
      <c r="N70" s="22">
        <f t="shared" si="40"/>
        <v>0</v>
      </c>
      <c r="O70" s="153">
        <v>0</v>
      </c>
      <c r="P70" s="153">
        <v>0</v>
      </c>
      <c r="Q70" s="153">
        <v>0</v>
      </c>
      <c r="R70" s="153">
        <v>0</v>
      </c>
      <c r="S70" s="153">
        <f t="shared" si="2"/>
        <v>3</v>
      </c>
      <c r="T70" s="153">
        <v>3</v>
      </c>
      <c r="U70" s="153">
        <f t="shared" si="3"/>
        <v>0</v>
      </c>
      <c r="V70" s="154">
        <v>0</v>
      </c>
      <c r="W70" s="154">
        <v>0</v>
      </c>
      <c r="X70" s="154">
        <v>0</v>
      </c>
      <c r="Y70" s="154">
        <v>0</v>
      </c>
      <c r="Z70" s="154">
        <f t="shared" si="4"/>
        <v>3</v>
      </c>
      <c r="AA70" s="154">
        <v>3</v>
      </c>
      <c r="AB70" s="154">
        <f t="shared" si="5"/>
        <v>0</v>
      </c>
      <c r="AC70" s="154">
        <v>0</v>
      </c>
      <c r="AD70" s="154">
        <v>0</v>
      </c>
      <c r="AE70" s="154">
        <v>0</v>
      </c>
      <c r="AF70" s="154">
        <v>0</v>
      </c>
      <c r="AG70" s="154">
        <f t="shared" si="6"/>
        <v>3</v>
      </c>
      <c r="AH70" s="154">
        <v>3</v>
      </c>
      <c r="AI70" s="154">
        <f t="shared" si="7"/>
        <v>0</v>
      </c>
      <c r="AJ70" s="154">
        <v>0</v>
      </c>
      <c r="AK70" s="154">
        <v>0</v>
      </c>
      <c r="AL70" s="154">
        <v>0</v>
      </c>
      <c r="AM70" s="154">
        <v>0</v>
      </c>
      <c r="AN70" s="154">
        <f t="shared" si="18"/>
        <v>3</v>
      </c>
      <c r="AO70" s="154">
        <v>3</v>
      </c>
      <c r="AP70" s="154">
        <f t="shared" si="8"/>
        <v>0</v>
      </c>
      <c r="AQ70" s="154">
        <f t="shared" si="34"/>
        <v>0</v>
      </c>
      <c r="AR70" s="154">
        <f t="shared" si="35"/>
        <v>0</v>
      </c>
      <c r="AS70" s="154">
        <f t="shared" si="21"/>
        <v>0</v>
      </c>
      <c r="AT70" s="154">
        <f t="shared" si="36"/>
        <v>0</v>
      </c>
      <c r="AU70" s="154">
        <f t="shared" si="26"/>
        <v>3</v>
      </c>
      <c r="AV70" s="154">
        <v>3</v>
      </c>
      <c r="AW70" s="154">
        <f t="shared" si="10"/>
        <v>0</v>
      </c>
      <c r="AX70" s="25"/>
      <c r="AY70" s="26"/>
      <c r="AZ70" s="28">
        <f t="shared" si="27"/>
        <v>15.629999999999999</v>
      </c>
      <c r="BA70" s="28"/>
      <c r="BB70" s="28">
        <f t="shared" si="28"/>
        <v>0</v>
      </c>
      <c r="BC70" s="28">
        <f t="shared" si="29"/>
        <v>0</v>
      </c>
      <c r="BD70" s="28">
        <f t="shared" si="30"/>
        <v>0</v>
      </c>
      <c r="BE70" s="28">
        <f t="shared" si="31"/>
        <v>0</v>
      </c>
      <c r="BF70" s="28">
        <f t="shared" si="23"/>
        <v>15.629999999999999</v>
      </c>
      <c r="BG70" s="29">
        <f t="shared" si="32"/>
        <v>15.629999999999999</v>
      </c>
      <c r="BH70" s="29">
        <f t="shared" si="24"/>
        <v>0</v>
      </c>
      <c r="BI70" s="30"/>
      <c r="BJ70" s="23" t="s">
        <v>156</v>
      </c>
      <c r="BK70" s="31">
        <v>0</v>
      </c>
      <c r="BL70" s="31">
        <v>3</v>
      </c>
      <c r="BO70" s="31">
        <v>3</v>
      </c>
      <c r="BP70" s="31" t="b">
        <f t="shared" si="33"/>
        <v>1</v>
      </c>
    </row>
    <row r="71" spans="2:68" s="31" customFormat="1" x14ac:dyDescent="0.25">
      <c r="B71" s="21" t="s">
        <v>157</v>
      </c>
      <c r="C71" s="22" t="s">
        <v>26</v>
      </c>
      <c r="D71" s="23" t="s">
        <v>158</v>
      </c>
      <c r="E71" s="24">
        <v>31.9</v>
      </c>
      <c r="F71" s="24">
        <v>31.9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f t="shared" si="0"/>
        <v>0</v>
      </c>
      <c r="M71" s="22">
        <v>0</v>
      </c>
      <c r="N71" s="22">
        <f t="shared" si="40"/>
        <v>0</v>
      </c>
      <c r="O71" s="153">
        <v>0</v>
      </c>
      <c r="P71" s="153">
        <v>0</v>
      </c>
      <c r="Q71" s="153">
        <v>0</v>
      </c>
      <c r="R71" s="153">
        <v>0</v>
      </c>
      <c r="S71" s="153">
        <f t="shared" si="2"/>
        <v>0</v>
      </c>
      <c r="T71" s="153">
        <v>0</v>
      </c>
      <c r="U71" s="153">
        <f t="shared" si="3"/>
        <v>0</v>
      </c>
      <c r="V71" s="154">
        <v>0</v>
      </c>
      <c r="W71" s="154">
        <v>0</v>
      </c>
      <c r="X71" s="154">
        <v>0</v>
      </c>
      <c r="Y71" s="154">
        <v>0</v>
      </c>
      <c r="Z71" s="154">
        <f t="shared" si="4"/>
        <v>0</v>
      </c>
      <c r="AA71" s="154">
        <v>0</v>
      </c>
      <c r="AB71" s="154">
        <f t="shared" si="5"/>
        <v>0</v>
      </c>
      <c r="AC71" s="154">
        <v>0</v>
      </c>
      <c r="AD71" s="154">
        <v>0</v>
      </c>
      <c r="AE71" s="154">
        <v>0</v>
      </c>
      <c r="AF71" s="154">
        <v>0</v>
      </c>
      <c r="AG71" s="154">
        <f t="shared" si="6"/>
        <v>0</v>
      </c>
      <c r="AH71" s="154">
        <v>0</v>
      </c>
      <c r="AI71" s="154">
        <f t="shared" si="7"/>
        <v>0</v>
      </c>
      <c r="AJ71" s="154">
        <v>0</v>
      </c>
      <c r="AK71" s="154">
        <v>0</v>
      </c>
      <c r="AL71" s="154">
        <v>0</v>
      </c>
      <c r="AM71" s="154">
        <v>0</v>
      </c>
      <c r="AN71" s="154">
        <f t="shared" si="18"/>
        <v>0</v>
      </c>
      <c r="AO71" s="154">
        <v>0</v>
      </c>
      <c r="AP71" s="154">
        <f t="shared" si="8"/>
        <v>0</v>
      </c>
      <c r="AQ71" s="154">
        <f t="shared" si="34"/>
        <v>0</v>
      </c>
      <c r="AR71" s="154">
        <f t="shared" si="35"/>
        <v>0</v>
      </c>
      <c r="AS71" s="154">
        <f t="shared" si="21"/>
        <v>0</v>
      </c>
      <c r="AT71" s="154">
        <f t="shared" si="36"/>
        <v>0</v>
      </c>
      <c r="AU71" s="154">
        <f t="shared" si="26"/>
        <v>0</v>
      </c>
      <c r="AV71" s="154">
        <f>AH71</f>
        <v>0</v>
      </c>
      <c r="AW71" s="154">
        <f t="shared" si="10"/>
        <v>0</v>
      </c>
      <c r="AX71" s="25"/>
      <c r="AY71" s="26"/>
      <c r="AZ71" s="28">
        <f t="shared" si="27"/>
        <v>0</v>
      </c>
      <c r="BA71" s="28"/>
      <c r="BB71" s="28">
        <f t="shared" si="28"/>
        <v>0</v>
      </c>
      <c r="BC71" s="28">
        <f t="shared" si="29"/>
        <v>0</v>
      </c>
      <c r="BD71" s="28">
        <f t="shared" si="30"/>
        <v>0</v>
      </c>
      <c r="BE71" s="28">
        <f t="shared" si="31"/>
        <v>0</v>
      </c>
      <c r="BF71" s="28">
        <f t="shared" si="23"/>
        <v>0</v>
      </c>
      <c r="BG71" s="29">
        <f t="shared" si="32"/>
        <v>0</v>
      </c>
      <c r="BH71" s="29">
        <f t="shared" si="24"/>
        <v>0</v>
      </c>
      <c r="BI71" s="30"/>
      <c r="BJ71" s="23" t="s">
        <v>158</v>
      </c>
      <c r="BK71" s="31">
        <v>0</v>
      </c>
      <c r="BL71" s="31">
        <v>0</v>
      </c>
      <c r="BO71" s="31">
        <v>0</v>
      </c>
      <c r="BP71" s="31" t="b">
        <f t="shared" si="33"/>
        <v>1</v>
      </c>
    </row>
    <row r="72" spans="2:68" s="31" customFormat="1" x14ac:dyDescent="0.25">
      <c r="B72" s="21" t="s">
        <v>159</v>
      </c>
      <c r="C72" s="22" t="s">
        <v>29</v>
      </c>
      <c r="D72" s="23" t="s">
        <v>160</v>
      </c>
      <c r="E72" s="24">
        <v>12.84</v>
      </c>
      <c r="F72" s="24">
        <v>12.84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f t="shared" ref="L72:L135" si="41">G72+H72+I72-J72-K72</f>
        <v>0</v>
      </c>
      <c r="M72" s="22">
        <v>0</v>
      </c>
      <c r="N72" s="22">
        <f t="shared" si="40"/>
        <v>0</v>
      </c>
      <c r="O72" s="153">
        <v>0</v>
      </c>
      <c r="P72" s="153">
        <v>0</v>
      </c>
      <c r="Q72" s="153">
        <v>0</v>
      </c>
      <c r="R72" s="153">
        <v>0</v>
      </c>
      <c r="S72" s="153">
        <f t="shared" ref="S72:S135" si="42">L72+O72+P72-Q72-R72</f>
        <v>0</v>
      </c>
      <c r="T72" s="153">
        <v>0</v>
      </c>
      <c r="U72" s="153">
        <f t="shared" ref="U72:U135" si="43">T72-S72</f>
        <v>0</v>
      </c>
      <c r="V72" s="154">
        <v>0</v>
      </c>
      <c r="W72" s="154">
        <v>0</v>
      </c>
      <c r="X72" s="154">
        <v>0</v>
      </c>
      <c r="Y72" s="154">
        <v>0</v>
      </c>
      <c r="Z72" s="154">
        <f t="shared" ref="Z72:Z135" si="44">S72+V72+W72-X72-Y72</f>
        <v>0</v>
      </c>
      <c r="AA72" s="154">
        <v>0</v>
      </c>
      <c r="AB72" s="154">
        <f t="shared" ref="AB72:AB135" si="45">AA72-Z72</f>
        <v>0</v>
      </c>
      <c r="AC72" s="154">
        <v>0</v>
      </c>
      <c r="AD72" s="154">
        <v>0</v>
      </c>
      <c r="AE72" s="154">
        <v>0</v>
      </c>
      <c r="AF72" s="154">
        <v>0</v>
      </c>
      <c r="AG72" s="154">
        <f t="shared" ref="AG72:AG135" si="46">Z72+AC72+AD72-AE72-AF72</f>
        <v>0</v>
      </c>
      <c r="AH72" s="154">
        <v>0</v>
      </c>
      <c r="AI72" s="154">
        <f t="shared" ref="AI72:AI135" si="47">AH72-AG72</f>
        <v>0</v>
      </c>
      <c r="AJ72" s="154">
        <v>0</v>
      </c>
      <c r="AK72" s="154">
        <v>0</v>
      </c>
      <c r="AL72" s="154">
        <v>0</v>
      </c>
      <c r="AM72" s="154">
        <v>0</v>
      </c>
      <c r="AN72" s="154">
        <f t="shared" si="18"/>
        <v>0</v>
      </c>
      <c r="AO72" s="154">
        <v>0</v>
      </c>
      <c r="AP72" s="154">
        <f t="shared" ref="AP72:AP135" si="48">AO72-AN72</f>
        <v>0</v>
      </c>
      <c r="AQ72" s="154">
        <f t="shared" si="34"/>
        <v>0</v>
      </c>
      <c r="AR72" s="154">
        <f t="shared" si="35"/>
        <v>0</v>
      </c>
      <c r="AS72" s="154">
        <f t="shared" si="21"/>
        <v>0</v>
      </c>
      <c r="AT72" s="154">
        <f t="shared" si="36"/>
        <v>0</v>
      </c>
      <c r="AU72" s="154">
        <f t="shared" ref="AU72:AU103" si="49">G72+AQ72+AR72-AS72-AT72</f>
        <v>0</v>
      </c>
      <c r="AV72" s="154">
        <f>AH72</f>
        <v>0</v>
      </c>
      <c r="AW72" s="154">
        <f t="shared" ref="AW72:AW135" si="50">AV72-AU72</f>
        <v>0</v>
      </c>
      <c r="AX72" s="25"/>
      <c r="AY72" s="26"/>
      <c r="AZ72" s="28">
        <f t="shared" ref="AZ72:AZ100" si="51">E72*G72</f>
        <v>0</v>
      </c>
      <c r="BA72" s="28"/>
      <c r="BB72" s="28">
        <f t="shared" ref="BB72:BB100" si="52">F72*H72</f>
        <v>0</v>
      </c>
      <c r="BC72" s="28">
        <f t="shared" ref="BC72:BC103" si="53">F72*I72</f>
        <v>0</v>
      </c>
      <c r="BD72" s="28">
        <f t="shared" ref="BD72:BD100" si="54">F72*J72</f>
        <v>0</v>
      </c>
      <c r="BE72" s="28">
        <f t="shared" ref="BE72:BE103" si="55">F72*K72</f>
        <v>0</v>
      </c>
      <c r="BF72" s="28">
        <f t="shared" si="23"/>
        <v>0</v>
      </c>
      <c r="BG72" s="29">
        <f t="shared" ref="BG72:BG100" si="56">F72*L72</f>
        <v>0</v>
      </c>
      <c r="BH72" s="29">
        <f t="shared" si="24"/>
        <v>0</v>
      </c>
      <c r="BI72" s="30"/>
      <c r="BJ72" s="23" t="s">
        <v>160</v>
      </c>
      <c r="BK72" s="31">
        <v>0</v>
      </c>
      <c r="BL72" s="31">
        <v>0</v>
      </c>
      <c r="BO72" s="31">
        <v>0</v>
      </c>
      <c r="BP72" s="31" t="b">
        <f t="shared" ref="BP72:BP103" si="57">D72=BJ72</f>
        <v>1</v>
      </c>
    </row>
    <row r="73" spans="2:68" s="31" customFormat="1" x14ac:dyDescent="0.25">
      <c r="B73" s="21" t="s">
        <v>161</v>
      </c>
      <c r="C73" s="22" t="s">
        <v>29</v>
      </c>
      <c r="D73" s="23" t="s">
        <v>162</v>
      </c>
      <c r="E73" s="24">
        <v>7.17</v>
      </c>
      <c r="F73" s="24">
        <v>7.17</v>
      </c>
      <c r="G73" s="22">
        <v>98</v>
      </c>
      <c r="H73" s="22">
        <v>0</v>
      </c>
      <c r="I73" s="22">
        <v>0</v>
      </c>
      <c r="J73" s="22">
        <v>33</v>
      </c>
      <c r="K73" s="22">
        <v>0</v>
      </c>
      <c r="L73" s="22">
        <f t="shared" si="41"/>
        <v>65</v>
      </c>
      <c r="M73" s="22">
        <v>65</v>
      </c>
      <c r="N73" s="22">
        <f t="shared" si="40"/>
        <v>0</v>
      </c>
      <c r="O73" s="153">
        <v>0</v>
      </c>
      <c r="P73" s="153">
        <v>0</v>
      </c>
      <c r="Q73" s="153">
        <v>19</v>
      </c>
      <c r="R73" s="153">
        <v>0</v>
      </c>
      <c r="S73" s="153">
        <f t="shared" si="42"/>
        <v>46</v>
      </c>
      <c r="T73" s="153">
        <v>46</v>
      </c>
      <c r="U73" s="153">
        <f t="shared" si="43"/>
        <v>0</v>
      </c>
      <c r="V73" s="154">
        <v>0</v>
      </c>
      <c r="W73" s="154">
        <v>0</v>
      </c>
      <c r="X73" s="154">
        <v>18</v>
      </c>
      <c r="Y73" s="154">
        <v>0</v>
      </c>
      <c r="Z73" s="154">
        <f t="shared" si="44"/>
        <v>28</v>
      </c>
      <c r="AA73" s="154">
        <v>28</v>
      </c>
      <c r="AB73" s="154">
        <f t="shared" si="45"/>
        <v>0</v>
      </c>
      <c r="AC73" s="154">
        <v>0</v>
      </c>
      <c r="AD73" s="154">
        <v>0</v>
      </c>
      <c r="AE73" s="154">
        <v>26</v>
      </c>
      <c r="AF73" s="154">
        <v>0</v>
      </c>
      <c r="AG73" s="154">
        <f t="shared" si="46"/>
        <v>2</v>
      </c>
      <c r="AH73" s="154">
        <v>2</v>
      </c>
      <c r="AI73" s="154">
        <f t="shared" si="47"/>
        <v>0</v>
      </c>
      <c r="AJ73" s="154">
        <v>0</v>
      </c>
      <c r="AK73" s="154">
        <v>0</v>
      </c>
      <c r="AL73" s="154">
        <v>0</v>
      </c>
      <c r="AM73" s="154">
        <v>0</v>
      </c>
      <c r="AN73" s="154">
        <f t="shared" ref="AN73:AN136" si="58">AG73+AJ73+AK73-AL73-AM73</f>
        <v>2</v>
      </c>
      <c r="AO73" s="154">
        <v>2</v>
      </c>
      <c r="AP73" s="154">
        <f t="shared" si="48"/>
        <v>0</v>
      </c>
      <c r="AQ73" s="154">
        <f t="shared" ref="AQ73:AQ104" si="59">H73+O73+V73+AC73+AJ73</f>
        <v>0</v>
      </c>
      <c r="AR73" s="154">
        <f t="shared" ref="AR73:AR104" si="60">I73+P73+W73+AD73+AK73</f>
        <v>0</v>
      </c>
      <c r="AS73" s="154">
        <f t="shared" ref="AS73:AS136" si="61">J73+Q73+X73+AE73+AL73</f>
        <v>96</v>
      </c>
      <c r="AT73" s="154">
        <f t="shared" ref="AT73:AT104" si="62">K73+R73+Y73+AF73+AM73</f>
        <v>0</v>
      </c>
      <c r="AU73" s="154">
        <f t="shared" si="49"/>
        <v>2</v>
      </c>
      <c r="AV73" s="154">
        <v>2</v>
      </c>
      <c r="AW73" s="154">
        <f t="shared" si="50"/>
        <v>0</v>
      </c>
      <c r="AX73" s="25"/>
      <c r="AY73" s="26"/>
      <c r="AZ73" s="28">
        <f t="shared" si="51"/>
        <v>702.66</v>
      </c>
      <c r="BA73" s="28"/>
      <c r="BB73" s="28">
        <f t="shared" si="52"/>
        <v>0</v>
      </c>
      <c r="BC73" s="28">
        <f t="shared" si="53"/>
        <v>0</v>
      </c>
      <c r="BD73" s="28">
        <f t="shared" si="54"/>
        <v>236.60999999999999</v>
      </c>
      <c r="BE73" s="28">
        <f t="shared" si="55"/>
        <v>0</v>
      </c>
      <c r="BF73" s="28">
        <f t="shared" si="23"/>
        <v>466.04999999999995</v>
      </c>
      <c r="BG73" s="29">
        <f t="shared" si="56"/>
        <v>466.05</v>
      </c>
      <c r="BH73" s="29">
        <f t="shared" si="24"/>
        <v>0</v>
      </c>
      <c r="BI73" s="30"/>
      <c r="BJ73" s="23" t="s">
        <v>162</v>
      </c>
      <c r="BK73" s="31">
        <v>1</v>
      </c>
      <c r="BL73" s="31">
        <v>128</v>
      </c>
      <c r="BN73" s="31">
        <v>9</v>
      </c>
      <c r="BO73" s="31">
        <v>119</v>
      </c>
      <c r="BP73" s="31" t="b">
        <f t="shared" si="57"/>
        <v>1</v>
      </c>
    </row>
    <row r="74" spans="2:68" s="31" customFormat="1" ht="30" customHeight="1" x14ac:dyDescent="0.25">
      <c r="B74" s="21" t="s">
        <v>163</v>
      </c>
      <c r="C74" s="22" t="s">
        <v>29</v>
      </c>
      <c r="D74" s="23" t="s">
        <v>164</v>
      </c>
      <c r="E74" s="24">
        <v>13.25</v>
      </c>
      <c r="F74" s="24">
        <v>13.25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f t="shared" si="41"/>
        <v>0</v>
      </c>
      <c r="M74" s="22">
        <v>0</v>
      </c>
      <c r="N74" s="22">
        <f t="shared" si="40"/>
        <v>0</v>
      </c>
      <c r="O74" s="153">
        <v>0</v>
      </c>
      <c r="P74" s="153">
        <v>0</v>
      </c>
      <c r="Q74" s="153">
        <v>0</v>
      </c>
      <c r="R74" s="153">
        <v>0</v>
      </c>
      <c r="S74" s="153">
        <f t="shared" si="42"/>
        <v>0</v>
      </c>
      <c r="T74" s="153">
        <v>0</v>
      </c>
      <c r="U74" s="153">
        <f t="shared" si="43"/>
        <v>0</v>
      </c>
      <c r="V74" s="154">
        <v>0</v>
      </c>
      <c r="W74" s="154">
        <v>0</v>
      </c>
      <c r="X74" s="154">
        <v>0</v>
      </c>
      <c r="Y74" s="154">
        <v>0</v>
      </c>
      <c r="Z74" s="154">
        <f t="shared" si="44"/>
        <v>0</v>
      </c>
      <c r="AA74" s="154">
        <v>0</v>
      </c>
      <c r="AB74" s="154">
        <f t="shared" si="45"/>
        <v>0</v>
      </c>
      <c r="AC74" s="154">
        <v>0</v>
      </c>
      <c r="AD74" s="154">
        <v>0</v>
      </c>
      <c r="AE74" s="154">
        <v>0</v>
      </c>
      <c r="AF74" s="154">
        <v>0</v>
      </c>
      <c r="AG74" s="154">
        <f t="shared" si="46"/>
        <v>0</v>
      </c>
      <c r="AH74" s="154">
        <v>0</v>
      </c>
      <c r="AI74" s="154">
        <f t="shared" si="47"/>
        <v>0</v>
      </c>
      <c r="AJ74" s="154">
        <v>0</v>
      </c>
      <c r="AK74" s="154">
        <v>0</v>
      </c>
      <c r="AL74" s="154">
        <v>0</v>
      </c>
      <c r="AM74" s="154">
        <v>0</v>
      </c>
      <c r="AN74" s="154">
        <f t="shared" si="58"/>
        <v>0</v>
      </c>
      <c r="AO74" s="154">
        <v>0</v>
      </c>
      <c r="AP74" s="154">
        <f t="shared" si="48"/>
        <v>0</v>
      </c>
      <c r="AQ74" s="154">
        <f t="shared" si="59"/>
        <v>0</v>
      </c>
      <c r="AR74" s="154">
        <f t="shared" si="60"/>
        <v>0</v>
      </c>
      <c r="AS74" s="154">
        <f t="shared" si="61"/>
        <v>0</v>
      </c>
      <c r="AT74" s="154">
        <f t="shared" si="62"/>
        <v>0</v>
      </c>
      <c r="AU74" s="154">
        <f t="shared" si="49"/>
        <v>0</v>
      </c>
      <c r="AV74" s="154">
        <f t="shared" ref="AV74:AV79" si="63">AH74</f>
        <v>0</v>
      </c>
      <c r="AW74" s="154">
        <f t="shared" si="50"/>
        <v>0</v>
      </c>
      <c r="AX74" s="25"/>
      <c r="AY74" s="26"/>
      <c r="AZ74" s="28">
        <f t="shared" si="51"/>
        <v>0</v>
      </c>
      <c r="BA74" s="28"/>
      <c r="BB74" s="28">
        <f t="shared" si="52"/>
        <v>0</v>
      </c>
      <c r="BC74" s="28">
        <f t="shared" si="53"/>
        <v>0</v>
      </c>
      <c r="BD74" s="28">
        <f t="shared" si="54"/>
        <v>0</v>
      </c>
      <c r="BE74" s="28">
        <f t="shared" si="55"/>
        <v>0</v>
      </c>
      <c r="BF74" s="28">
        <f t="shared" ref="BF74:BF139" si="64">AZ74+BA74+BB74+BC74-BD74-BE74</f>
        <v>0</v>
      </c>
      <c r="BG74" s="29">
        <f t="shared" si="56"/>
        <v>0</v>
      </c>
      <c r="BH74" s="29">
        <f t="shared" ref="BH74:BH139" si="65">BG74-BF74</f>
        <v>0</v>
      </c>
      <c r="BI74" s="30"/>
      <c r="BJ74" s="23" t="s">
        <v>164</v>
      </c>
      <c r="BK74" s="31">
        <v>0</v>
      </c>
      <c r="BL74" s="31">
        <v>0</v>
      </c>
      <c r="BO74" s="31">
        <v>0</v>
      </c>
      <c r="BP74" s="31" t="b">
        <f t="shared" si="57"/>
        <v>1</v>
      </c>
    </row>
    <row r="75" spans="2:68" s="31" customFormat="1" ht="30" customHeight="1" x14ac:dyDescent="0.25">
      <c r="B75" s="21" t="s">
        <v>165</v>
      </c>
      <c r="C75" s="22" t="s">
        <v>58</v>
      </c>
      <c r="D75" s="23" t="s">
        <v>166</v>
      </c>
      <c r="E75" s="24">
        <v>1.03</v>
      </c>
      <c r="F75" s="24">
        <v>1.03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f t="shared" si="41"/>
        <v>0</v>
      </c>
      <c r="M75" s="22">
        <v>0</v>
      </c>
      <c r="N75" s="22">
        <f t="shared" si="40"/>
        <v>0</v>
      </c>
      <c r="O75" s="153">
        <v>0</v>
      </c>
      <c r="P75" s="153">
        <v>0</v>
      </c>
      <c r="Q75" s="153">
        <v>0</v>
      </c>
      <c r="R75" s="153">
        <v>0</v>
      </c>
      <c r="S75" s="153">
        <f t="shared" si="42"/>
        <v>0</v>
      </c>
      <c r="T75" s="153">
        <v>0</v>
      </c>
      <c r="U75" s="153">
        <f t="shared" si="43"/>
        <v>0</v>
      </c>
      <c r="V75" s="154">
        <v>0</v>
      </c>
      <c r="W75" s="154">
        <v>0</v>
      </c>
      <c r="X75" s="154">
        <v>0</v>
      </c>
      <c r="Y75" s="154">
        <v>0</v>
      </c>
      <c r="Z75" s="154">
        <f t="shared" si="44"/>
        <v>0</v>
      </c>
      <c r="AA75" s="154">
        <v>0</v>
      </c>
      <c r="AB75" s="154">
        <f t="shared" si="45"/>
        <v>0</v>
      </c>
      <c r="AC75" s="154">
        <v>0</v>
      </c>
      <c r="AD75" s="154">
        <v>0</v>
      </c>
      <c r="AE75" s="154">
        <v>0</v>
      </c>
      <c r="AF75" s="154">
        <v>0</v>
      </c>
      <c r="AG75" s="154">
        <f t="shared" si="46"/>
        <v>0</v>
      </c>
      <c r="AH75" s="154">
        <v>0</v>
      </c>
      <c r="AI75" s="154">
        <f t="shared" si="47"/>
        <v>0</v>
      </c>
      <c r="AJ75" s="154">
        <v>0</v>
      </c>
      <c r="AK75" s="154">
        <v>0</v>
      </c>
      <c r="AL75" s="154">
        <v>0</v>
      </c>
      <c r="AM75" s="154">
        <v>0</v>
      </c>
      <c r="AN75" s="154">
        <f t="shared" si="58"/>
        <v>0</v>
      </c>
      <c r="AO75" s="154">
        <v>0</v>
      </c>
      <c r="AP75" s="154">
        <f t="shared" si="48"/>
        <v>0</v>
      </c>
      <c r="AQ75" s="154">
        <f t="shared" si="59"/>
        <v>0</v>
      </c>
      <c r="AR75" s="154">
        <f t="shared" si="60"/>
        <v>0</v>
      </c>
      <c r="AS75" s="154">
        <f t="shared" si="61"/>
        <v>0</v>
      </c>
      <c r="AT75" s="154">
        <f t="shared" si="62"/>
        <v>0</v>
      </c>
      <c r="AU75" s="154">
        <f t="shared" si="49"/>
        <v>0</v>
      </c>
      <c r="AV75" s="154">
        <f t="shared" si="63"/>
        <v>0</v>
      </c>
      <c r="AW75" s="154">
        <f t="shared" si="50"/>
        <v>0</v>
      </c>
      <c r="AX75" s="25"/>
      <c r="AY75" s="26"/>
      <c r="AZ75" s="28">
        <f t="shared" si="51"/>
        <v>0</v>
      </c>
      <c r="BA75" s="28"/>
      <c r="BB75" s="28">
        <f t="shared" si="52"/>
        <v>0</v>
      </c>
      <c r="BC75" s="28">
        <f t="shared" si="53"/>
        <v>0</v>
      </c>
      <c r="BD75" s="28">
        <f t="shared" si="54"/>
        <v>0</v>
      </c>
      <c r="BE75" s="28">
        <f t="shared" si="55"/>
        <v>0</v>
      </c>
      <c r="BF75" s="28">
        <f t="shared" si="64"/>
        <v>0</v>
      </c>
      <c r="BG75" s="29">
        <f t="shared" si="56"/>
        <v>0</v>
      </c>
      <c r="BH75" s="29">
        <f t="shared" si="65"/>
        <v>0</v>
      </c>
      <c r="BI75" s="30"/>
      <c r="BJ75" s="23" t="s">
        <v>166</v>
      </c>
      <c r="BK75" s="31">
        <v>0</v>
      </c>
      <c r="BL75" s="31">
        <v>0</v>
      </c>
      <c r="BO75" s="31">
        <v>0</v>
      </c>
      <c r="BP75" s="31" t="b">
        <f t="shared" si="57"/>
        <v>1</v>
      </c>
    </row>
    <row r="76" spans="2:68" s="31" customFormat="1" x14ac:dyDescent="0.25">
      <c r="B76" s="32" t="s">
        <v>167</v>
      </c>
      <c r="C76" s="22" t="s">
        <v>29</v>
      </c>
      <c r="D76" s="23" t="s">
        <v>168</v>
      </c>
      <c r="E76" s="24">
        <v>12.45</v>
      </c>
      <c r="F76" s="24">
        <v>12.45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f t="shared" si="41"/>
        <v>0</v>
      </c>
      <c r="M76" s="22">
        <v>0</v>
      </c>
      <c r="N76" s="22">
        <f t="shared" si="40"/>
        <v>0</v>
      </c>
      <c r="O76" s="153">
        <v>0</v>
      </c>
      <c r="P76" s="153">
        <v>0</v>
      </c>
      <c r="Q76" s="153">
        <v>0</v>
      </c>
      <c r="R76" s="153">
        <v>0</v>
      </c>
      <c r="S76" s="153">
        <f t="shared" si="42"/>
        <v>0</v>
      </c>
      <c r="T76" s="153">
        <v>0</v>
      </c>
      <c r="U76" s="153">
        <f t="shared" si="43"/>
        <v>0</v>
      </c>
      <c r="V76" s="154">
        <v>0</v>
      </c>
      <c r="W76" s="154">
        <v>0</v>
      </c>
      <c r="X76" s="154">
        <v>0</v>
      </c>
      <c r="Y76" s="154">
        <v>0</v>
      </c>
      <c r="Z76" s="154">
        <f t="shared" si="44"/>
        <v>0</v>
      </c>
      <c r="AA76" s="154">
        <v>0</v>
      </c>
      <c r="AB76" s="154">
        <f t="shared" si="45"/>
        <v>0</v>
      </c>
      <c r="AC76" s="154">
        <v>0</v>
      </c>
      <c r="AD76" s="154">
        <v>0</v>
      </c>
      <c r="AE76" s="154">
        <v>0</v>
      </c>
      <c r="AF76" s="154">
        <v>0</v>
      </c>
      <c r="AG76" s="154">
        <f t="shared" si="46"/>
        <v>0</v>
      </c>
      <c r="AH76" s="154">
        <v>0</v>
      </c>
      <c r="AI76" s="154">
        <f t="shared" si="47"/>
        <v>0</v>
      </c>
      <c r="AJ76" s="154">
        <v>0</v>
      </c>
      <c r="AK76" s="154">
        <v>0</v>
      </c>
      <c r="AL76" s="154">
        <v>0</v>
      </c>
      <c r="AM76" s="154">
        <v>0</v>
      </c>
      <c r="AN76" s="154">
        <f t="shared" si="58"/>
        <v>0</v>
      </c>
      <c r="AO76" s="154">
        <v>0</v>
      </c>
      <c r="AP76" s="154">
        <f t="shared" si="48"/>
        <v>0</v>
      </c>
      <c r="AQ76" s="154">
        <f t="shared" si="59"/>
        <v>0</v>
      </c>
      <c r="AR76" s="154">
        <f t="shared" si="60"/>
        <v>0</v>
      </c>
      <c r="AS76" s="154">
        <f t="shared" si="61"/>
        <v>0</v>
      </c>
      <c r="AT76" s="154">
        <f t="shared" si="62"/>
        <v>0</v>
      </c>
      <c r="AU76" s="154">
        <f t="shared" si="49"/>
        <v>0</v>
      </c>
      <c r="AV76" s="154">
        <f t="shared" si="63"/>
        <v>0</v>
      </c>
      <c r="AW76" s="154">
        <f t="shared" si="50"/>
        <v>0</v>
      </c>
      <c r="AX76" s="25"/>
      <c r="AY76" s="26"/>
      <c r="AZ76" s="28">
        <f t="shared" si="51"/>
        <v>0</v>
      </c>
      <c r="BA76" s="28"/>
      <c r="BB76" s="28">
        <f t="shared" si="52"/>
        <v>0</v>
      </c>
      <c r="BC76" s="28">
        <f t="shared" si="53"/>
        <v>0</v>
      </c>
      <c r="BD76" s="28">
        <f t="shared" si="54"/>
        <v>0</v>
      </c>
      <c r="BE76" s="28">
        <f t="shared" si="55"/>
        <v>0</v>
      </c>
      <c r="BF76" s="28">
        <f t="shared" si="64"/>
        <v>0</v>
      </c>
      <c r="BG76" s="29">
        <f t="shared" si="56"/>
        <v>0</v>
      </c>
      <c r="BH76" s="29">
        <f t="shared" si="65"/>
        <v>0</v>
      </c>
      <c r="BI76" s="30"/>
      <c r="BJ76" s="23" t="s">
        <v>168</v>
      </c>
      <c r="BK76" s="31">
        <v>0</v>
      </c>
      <c r="BL76" s="31">
        <v>0</v>
      </c>
      <c r="BO76" s="31">
        <v>0</v>
      </c>
      <c r="BP76" s="31" t="b">
        <f t="shared" si="57"/>
        <v>1</v>
      </c>
    </row>
    <row r="77" spans="2:68" s="31" customFormat="1" ht="30" customHeight="1" x14ac:dyDescent="0.25">
      <c r="B77" s="21" t="s">
        <v>169</v>
      </c>
      <c r="C77" s="22" t="s">
        <v>26</v>
      </c>
      <c r="D77" s="23" t="s">
        <v>170</v>
      </c>
      <c r="E77" s="24">
        <v>26.24</v>
      </c>
      <c r="F77" s="24">
        <v>26.24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f t="shared" si="41"/>
        <v>0</v>
      </c>
      <c r="M77" s="22">
        <v>0</v>
      </c>
      <c r="N77" s="22">
        <f t="shared" si="40"/>
        <v>0</v>
      </c>
      <c r="O77" s="153">
        <v>0</v>
      </c>
      <c r="P77" s="153">
        <v>0</v>
      </c>
      <c r="Q77" s="153">
        <v>0</v>
      </c>
      <c r="R77" s="153">
        <v>0</v>
      </c>
      <c r="S77" s="153">
        <f t="shared" si="42"/>
        <v>0</v>
      </c>
      <c r="T77" s="153">
        <v>0</v>
      </c>
      <c r="U77" s="153">
        <f t="shared" si="43"/>
        <v>0</v>
      </c>
      <c r="V77" s="154">
        <v>0</v>
      </c>
      <c r="W77" s="154">
        <v>0</v>
      </c>
      <c r="X77" s="154">
        <v>0</v>
      </c>
      <c r="Y77" s="154">
        <v>0</v>
      </c>
      <c r="Z77" s="154">
        <f t="shared" si="44"/>
        <v>0</v>
      </c>
      <c r="AA77" s="154">
        <v>0</v>
      </c>
      <c r="AB77" s="154">
        <f t="shared" si="45"/>
        <v>0</v>
      </c>
      <c r="AC77" s="154">
        <v>0</v>
      </c>
      <c r="AD77" s="154">
        <v>0</v>
      </c>
      <c r="AE77" s="154">
        <v>0</v>
      </c>
      <c r="AF77" s="154">
        <v>0</v>
      </c>
      <c r="AG77" s="154">
        <f t="shared" si="46"/>
        <v>0</v>
      </c>
      <c r="AH77" s="154">
        <v>0</v>
      </c>
      <c r="AI77" s="154">
        <f t="shared" si="47"/>
        <v>0</v>
      </c>
      <c r="AJ77" s="154">
        <v>0</v>
      </c>
      <c r="AK77" s="154">
        <v>0</v>
      </c>
      <c r="AL77" s="154">
        <v>0</v>
      </c>
      <c r="AM77" s="154">
        <v>0</v>
      </c>
      <c r="AN77" s="154">
        <f t="shared" si="58"/>
        <v>0</v>
      </c>
      <c r="AO77" s="154">
        <v>0</v>
      </c>
      <c r="AP77" s="154">
        <f t="shared" si="48"/>
        <v>0</v>
      </c>
      <c r="AQ77" s="154">
        <f t="shared" si="59"/>
        <v>0</v>
      </c>
      <c r="AR77" s="154">
        <f t="shared" si="60"/>
        <v>0</v>
      </c>
      <c r="AS77" s="154">
        <f t="shared" si="61"/>
        <v>0</v>
      </c>
      <c r="AT77" s="154">
        <f t="shared" si="62"/>
        <v>0</v>
      </c>
      <c r="AU77" s="154">
        <f t="shared" si="49"/>
        <v>0</v>
      </c>
      <c r="AV77" s="154">
        <f t="shared" si="63"/>
        <v>0</v>
      </c>
      <c r="AW77" s="154">
        <f t="shared" si="50"/>
        <v>0</v>
      </c>
      <c r="AX77" s="25"/>
      <c r="AY77" s="26"/>
      <c r="AZ77" s="28">
        <f t="shared" si="51"/>
        <v>0</v>
      </c>
      <c r="BA77" s="28"/>
      <c r="BB77" s="28">
        <f t="shared" si="52"/>
        <v>0</v>
      </c>
      <c r="BC77" s="28">
        <f t="shared" si="53"/>
        <v>0</v>
      </c>
      <c r="BD77" s="28">
        <f t="shared" si="54"/>
        <v>0</v>
      </c>
      <c r="BE77" s="28">
        <f t="shared" si="55"/>
        <v>0</v>
      </c>
      <c r="BF77" s="28">
        <f t="shared" si="64"/>
        <v>0</v>
      </c>
      <c r="BG77" s="29">
        <f t="shared" si="56"/>
        <v>0</v>
      </c>
      <c r="BH77" s="29">
        <f t="shared" si="65"/>
        <v>0</v>
      </c>
      <c r="BI77" s="30"/>
      <c r="BJ77" s="23" t="s">
        <v>170</v>
      </c>
      <c r="BK77" s="31">
        <v>0</v>
      </c>
      <c r="BL77" s="31">
        <v>0</v>
      </c>
      <c r="BO77" s="31">
        <v>0</v>
      </c>
      <c r="BP77" s="31" t="b">
        <f t="shared" si="57"/>
        <v>1</v>
      </c>
    </row>
    <row r="78" spans="2:68" s="31" customFormat="1" x14ac:dyDescent="0.25">
      <c r="B78" s="21" t="s">
        <v>171</v>
      </c>
      <c r="C78" s="22" t="s">
        <v>29</v>
      </c>
      <c r="D78" s="23" t="s">
        <v>172</v>
      </c>
      <c r="E78" s="24">
        <v>13.44</v>
      </c>
      <c r="F78" s="24">
        <v>13.44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f t="shared" si="41"/>
        <v>0</v>
      </c>
      <c r="M78" s="22">
        <v>0</v>
      </c>
      <c r="N78" s="22">
        <f t="shared" si="40"/>
        <v>0</v>
      </c>
      <c r="O78" s="153">
        <v>0</v>
      </c>
      <c r="P78" s="153">
        <v>0</v>
      </c>
      <c r="Q78" s="153">
        <v>0</v>
      </c>
      <c r="R78" s="153">
        <v>0</v>
      </c>
      <c r="S78" s="153">
        <f t="shared" si="42"/>
        <v>0</v>
      </c>
      <c r="T78" s="153">
        <v>0</v>
      </c>
      <c r="U78" s="153">
        <f t="shared" si="43"/>
        <v>0</v>
      </c>
      <c r="V78" s="153">
        <v>0</v>
      </c>
      <c r="W78" s="153">
        <v>0</v>
      </c>
      <c r="X78" s="153">
        <v>0</v>
      </c>
      <c r="Y78" s="153">
        <v>0</v>
      </c>
      <c r="Z78" s="153">
        <f t="shared" si="44"/>
        <v>0</v>
      </c>
      <c r="AA78" s="153">
        <v>0</v>
      </c>
      <c r="AB78" s="153">
        <f t="shared" si="45"/>
        <v>0</v>
      </c>
      <c r="AC78" s="155">
        <v>0</v>
      </c>
      <c r="AD78" s="154">
        <v>0</v>
      </c>
      <c r="AE78" s="154">
        <v>0</v>
      </c>
      <c r="AF78" s="154">
        <v>0</v>
      </c>
      <c r="AG78" s="154">
        <f t="shared" si="46"/>
        <v>0</v>
      </c>
      <c r="AH78" s="154">
        <v>0</v>
      </c>
      <c r="AI78" s="154">
        <f t="shared" si="47"/>
        <v>0</v>
      </c>
      <c r="AJ78" s="154">
        <v>0</v>
      </c>
      <c r="AK78" s="154">
        <v>0</v>
      </c>
      <c r="AL78" s="154">
        <v>0</v>
      </c>
      <c r="AM78" s="154">
        <v>0</v>
      </c>
      <c r="AN78" s="154">
        <f t="shared" si="58"/>
        <v>0</v>
      </c>
      <c r="AO78" s="154">
        <v>0</v>
      </c>
      <c r="AP78" s="154">
        <f t="shared" si="48"/>
        <v>0</v>
      </c>
      <c r="AQ78" s="154">
        <f t="shared" si="59"/>
        <v>0</v>
      </c>
      <c r="AR78" s="154">
        <f t="shared" si="60"/>
        <v>0</v>
      </c>
      <c r="AS78" s="154">
        <f t="shared" si="61"/>
        <v>0</v>
      </c>
      <c r="AT78" s="154">
        <f t="shared" si="62"/>
        <v>0</v>
      </c>
      <c r="AU78" s="154">
        <f t="shared" si="49"/>
        <v>0</v>
      </c>
      <c r="AV78" s="154">
        <f t="shared" si="63"/>
        <v>0</v>
      </c>
      <c r="AW78" s="154">
        <f t="shared" si="50"/>
        <v>0</v>
      </c>
      <c r="AX78" s="37"/>
      <c r="AY78" s="26"/>
      <c r="AZ78" s="28">
        <f t="shared" si="51"/>
        <v>0</v>
      </c>
      <c r="BA78" s="28"/>
      <c r="BB78" s="28">
        <f t="shared" si="52"/>
        <v>0</v>
      </c>
      <c r="BC78" s="28">
        <f t="shared" si="53"/>
        <v>0</v>
      </c>
      <c r="BD78" s="28">
        <f t="shared" si="54"/>
        <v>0</v>
      </c>
      <c r="BE78" s="28">
        <f t="shared" si="55"/>
        <v>0</v>
      </c>
      <c r="BF78" s="28">
        <f t="shared" si="64"/>
        <v>0</v>
      </c>
      <c r="BG78" s="29">
        <f t="shared" si="56"/>
        <v>0</v>
      </c>
      <c r="BH78" s="29">
        <f t="shared" si="65"/>
        <v>0</v>
      </c>
      <c r="BI78" s="30"/>
      <c r="BJ78" s="23" t="s">
        <v>172</v>
      </c>
      <c r="BK78" s="31">
        <v>0</v>
      </c>
      <c r="BL78" s="31">
        <v>0</v>
      </c>
      <c r="BO78" s="31">
        <v>0</v>
      </c>
      <c r="BP78" s="31" t="b">
        <f t="shared" si="57"/>
        <v>1</v>
      </c>
    </row>
    <row r="79" spans="2:68" s="31" customFormat="1" ht="15" customHeight="1" x14ac:dyDescent="0.25">
      <c r="B79" s="21" t="s">
        <v>173</v>
      </c>
      <c r="C79" s="22" t="s">
        <v>58</v>
      </c>
      <c r="D79" s="23" t="s">
        <v>174</v>
      </c>
      <c r="E79" s="24">
        <v>4.38</v>
      </c>
      <c r="F79" s="24">
        <v>4.38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f t="shared" si="41"/>
        <v>0</v>
      </c>
      <c r="M79" s="22">
        <v>0</v>
      </c>
      <c r="N79" s="22">
        <f t="shared" si="40"/>
        <v>0</v>
      </c>
      <c r="O79" s="153">
        <v>0</v>
      </c>
      <c r="P79" s="153">
        <v>0</v>
      </c>
      <c r="Q79" s="153">
        <v>0</v>
      </c>
      <c r="R79" s="153">
        <v>0</v>
      </c>
      <c r="S79" s="153">
        <f t="shared" si="42"/>
        <v>0</v>
      </c>
      <c r="T79" s="153">
        <v>0</v>
      </c>
      <c r="U79" s="153">
        <f t="shared" si="43"/>
        <v>0</v>
      </c>
      <c r="V79" s="154">
        <v>0</v>
      </c>
      <c r="W79" s="154">
        <v>0</v>
      </c>
      <c r="X79" s="154">
        <v>0</v>
      </c>
      <c r="Y79" s="154">
        <v>0</v>
      </c>
      <c r="Z79" s="154">
        <f t="shared" si="44"/>
        <v>0</v>
      </c>
      <c r="AA79" s="154">
        <v>0</v>
      </c>
      <c r="AB79" s="154">
        <f t="shared" si="45"/>
        <v>0</v>
      </c>
      <c r="AC79" s="154">
        <v>0</v>
      </c>
      <c r="AD79" s="154">
        <v>0</v>
      </c>
      <c r="AE79" s="154">
        <v>0</v>
      </c>
      <c r="AF79" s="154">
        <v>0</v>
      </c>
      <c r="AG79" s="154">
        <f t="shared" si="46"/>
        <v>0</v>
      </c>
      <c r="AH79" s="154">
        <v>0</v>
      </c>
      <c r="AI79" s="154">
        <f t="shared" si="47"/>
        <v>0</v>
      </c>
      <c r="AJ79" s="154">
        <v>0</v>
      </c>
      <c r="AK79" s="154">
        <v>0</v>
      </c>
      <c r="AL79" s="154">
        <v>0</v>
      </c>
      <c r="AM79" s="154">
        <v>0</v>
      </c>
      <c r="AN79" s="154">
        <f t="shared" si="58"/>
        <v>0</v>
      </c>
      <c r="AO79" s="154">
        <v>0</v>
      </c>
      <c r="AP79" s="154">
        <f t="shared" si="48"/>
        <v>0</v>
      </c>
      <c r="AQ79" s="154">
        <f t="shared" si="59"/>
        <v>0</v>
      </c>
      <c r="AR79" s="154">
        <f t="shared" si="60"/>
        <v>0</v>
      </c>
      <c r="AS79" s="154">
        <f t="shared" si="61"/>
        <v>0</v>
      </c>
      <c r="AT79" s="154">
        <f t="shared" si="62"/>
        <v>0</v>
      </c>
      <c r="AU79" s="154">
        <f t="shared" si="49"/>
        <v>0</v>
      </c>
      <c r="AV79" s="154">
        <f t="shared" si="63"/>
        <v>0</v>
      </c>
      <c r="AW79" s="154">
        <f t="shared" si="50"/>
        <v>0</v>
      </c>
      <c r="AX79" s="25"/>
      <c r="AY79" s="26"/>
      <c r="AZ79" s="28">
        <f t="shared" si="51"/>
        <v>0</v>
      </c>
      <c r="BA79" s="28"/>
      <c r="BB79" s="28">
        <f t="shared" si="52"/>
        <v>0</v>
      </c>
      <c r="BC79" s="28">
        <f t="shared" si="53"/>
        <v>0</v>
      </c>
      <c r="BD79" s="28">
        <f t="shared" si="54"/>
        <v>0</v>
      </c>
      <c r="BE79" s="28">
        <f t="shared" si="55"/>
        <v>0</v>
      </c>
      <c r="BF79" s="28">
        <f t="shared" si="64"/>
        <v>0</v>
      </c>
      <c r="BG79" s="29">
        <f t="shared" si="56"/>
        <v>0</v>
      </c>
      <c r="BH79" s="29">
        <f t="shared" si="65"/>
        <v>0</v>
      </c>
      <c r="BI79" s="30"/>
      <c r="BJ79" s="23" t="s">
        <v>174</v>
      </c>
      <c r="BK79" s="31">
        <v>0</v>
      </c>
      <c r="BL79" s="31">
        <v>0</v>
      </c>
      <c r="BO79" s="31">
        <v>0</v>
      </c>
      <c r="BP79" s="31" t="b">
        <f t="shared" si="57"/>
        <v>1</v>
      </c>
    </row>
    <row r="80" spans="2:68" s="31" customFormat="1" x14ac:dyDescent="0.25">
      <c r="B80" s="21" t="s">
        <v>175</v>
      </c>
      <c r="C80" s="22" t="s">
        <v>29</v>
      </c>
      <c r="D80" s="23" t="s">
        <v>176</v>
      </c>
      <c r="E80" s="24">
        <v>18.420000000000002</v>
      </c>
      <c r="F80" s="24">
        <v>18.420000000000002</v>
      </c>
      <c r="G80" s="22">
        <v>28</v>
      </c>
      <c r="H80" s="22">
        <v>0</v>
      </c>
      <c r="I80" s="22">
        <v>0</v>
      </c>
      <c r="J80" s="22">
        <v>8</v>
      </c>
      <c r="K80" s="22">
        <v>0</v>
      </c>
      <c r="L80" s="22">
        <f t="shared" si="41"/>
        <v>20</v>
      </c>
      <c r="M80" s="22">
        <v>20</v>
      </c>
      <c r="N80" s="22">
        <f t="shared" si="40"/>
        <v>0</v>
      </c>
      <c r="O80" s="153">
        <v>0</v>
      </c>
      <c r="P80" s="153">
        <v>0</v>
      </c>
      <c r="Q80" s="153">
        <v>9</v>
      </c>
      <c r="R80" s="153">
        <v>0</v>
      </c>
      <c r="S80" s="153">
        <f t="shared" si="42"/>
        <v>11</v>
      </c>
      <c r="T80" s="153">
        <v>11</v>
      </c>
      <c r="U80" s="153">
        <f t="shared" si="43"/>
        <v>0</v>
      </c>
      <c r="V80" s="154">
        <v>0</v>
      </c>
      <c r="W80" s="154">
        <v>0</v>
      </c>
      <c r="X80" s="154">
        <v>6</v>
      </c>
      <c r="Y80" s="154">
        <v>0</v>
      </c>
      <c r="Z80" s="154">
        <f t="shared" si="44"/>
        <v>5</v>
      </c>
      <c r="AA80" s="154">
        <v>5</v>
      </c>
      <c r="AB80" s="154">
        <f t="shared" si="45"/>
        <v>0</v>
      </c>
      <c r="AC80" s="154">
        <v>0</v>
      </c>
      <c r="AD80" s="154">
        <v>0</v>
      </c>
      <c r="AE80" s="154">
        <v>5</v>
      </c>
      <c r="AF80" s="154">
        <v>0</v>
      </c>
      <c r="AG80" s="154">
        <f t="shared" si="46"/>
        <v>0</v>
      </c>
      <c r="AH80" s="154">
        <v>0</v>
      </c>
      <c r="AI80" s="154">
        <f t="shared" si="47"/>
        <v>0</v>
      </c>
      <c r="AJ80" s="154">
        <v>0</v>
      </c>
      <c r="AK80" s="154">
        <v>0</v>
      </c>
      <c r="AL80" s="154">
        <v>0</v>
      </c>
      <c r="AM80" s="154">
        <v>0</v>
      </c>
      <c r="AN80" s="154">
        <f t="shared" si="58"/>
        <v>0</v>
      </c>
      <c r="AO80" s="154">
        <v>0</v>
      </c>
      <c r="AP80" s="154">
        <f t="shared" si="48"/>
        <v>0</v>
      </c>
      <c r="AQ80" s="154">
        <f t="shared" si="59"/>
        <v>0</v>
      </c>
      <c r="AR80" s="154">
        <f t="shared" si="60"/>
        <v>0</v>
      </c>
      <c r="AS80" s="154">
        <f t="shared" si="61"/>
        <v>28</v>
      </c>
      <c r="AT80" s="154">
        <f t="shared" si="62"/>
        <v>0</v>
      </c>
      <c r="AU80" s="154">
        <f t="shared" si="49"/>
        <v>0</v>
      </c>
      <c r="AV80" s="154">
        <v>0</v>
      </c>
      <c r="AW80" s="154">
        <f t="shared" si="50"/>
        <v>0</v>
      </c>
      <c r="AX80" s="25"/>
      <c r="AY80" s="26"/>
      <c r="AZ80" s="28">
        <f t="shared" si="51"/>
        <v>515.76</v>
      </c>
      <c r="BA80" s="28"/>
      <c r="BB80" s="28">
        <f t="shared" si="52"/>
        <v>0</v>
      </c>
      <c r="BC80" s="28">
        <f t="shared" si="53"/>
        <v>0</v>
      </c>
      <c r="BD80" s="28">
        <f t="shared" si="54"/>
        <v>147.36000000000001</v>
      </c>
      <c r="BE80" s="28">
        <f t="shared" si="55"/>
        <v>0</v>
      </c>
      <c r="BF80" s="28">
        <f t="shared" si="64"/>
        <v>368.4</v>
      </c>
      <c r="BG80" s="29">
        <f t="shared" si="56"/>
        <v>368.40000000000003</v>
      </c>
      <c r="BH80" s="29">
        <f t="shared" si="65"/>
        <v>0</v>
      </c>
      <c r="BI80" s="30"/>
      <c r="BJ80" s="23" t="s">
        <v>176</v>
      </c>
      <c r="BK80" s="31">
        <v>3</v>
      </c>
      <c r="BL80" s="31">
        <v>64</v>
      </c>
      <c r="BN80" s="31">
        <v>14</v>
      </c>
      <c r="BO80" s="31">
        <v>50</v>
      </c>
      <c r="BP80" s="31" t="b">
        <f t="shared" si="57"/>
        <v>1</v>
      </c>
    </row>
    <row r="81" spans="2:68" s="31" customFormat="1" x14ac:dyDescent="0.25">
      <c r="B81" s="21" t="s">
        <v>177</v>
      </c>
      <c r="C81" s="22" t="s">
        <v>29</v>
      </c>
      <c r="D81" s="23" t="s">
        <v>178</v>
      </c>
      <c r="E81" s="24">
        <v>16.670000000000002</v>
      </c>
      <c r="F81" s="24">
        <v>16.670000000000002</v>
      </c>
      <c r="G81" s="22">
        <v>64</v>
      </c>
      <c r="H81" s="22">
        <v>0</v>
      </c>
      <c r="I81" s="22">
        <v>0</v>
      </c>
      <c r="J81" s="22">
        <v>47</v>
      </c>
      <c r="K81" s="22">
        <v>0</v>
      </c>
      <c r="L81" s="22">
        <f t="shared" si="41"/>
        <v>17</v>
      </c>
      <c r="M81" s="22">
        <v>17</v>
      </c>
      <c r="N81" s="22">
        <f t="shared" si="40"/>
        <v>0</v>
      </c>
      <c r="O81" s="153">
        <v>0</v>
      </c>
      <c r="P81" s="153">
        <v>0</v>
      </c>
      <c r="Q81" s="153">
        <v>9</v>
      </c>
      <c r="R81" s="153">
        <v>0</v>
      </c>
      <c r="S81" s="153">
        <f t="shared" si="42"/>
        <v>8</v>
      </c>
      <c r="T81" s="153">
        <v>8</v>
      </c>
      <c r="U81" s="153">
        <f t="shared" si="43"/>
        <v>0</v>
      </c>
      <c r="V81" s="154">
        <v>0</v>
      </c>
      <c r="W81" s="154">
        <v>0</v>
      </c>
      <c r="X81" s="154">
        <v>7</v>
      </c>
      <c r="Y81" s="154">
        <v>0</v>
      </c>
      <c r="Z81" s="154">
        <f t="shared" si="44"/>
        <v>1</v>
      </c>
      <c r="AA81" s="154">
        <v>1</v>
      </c>
      <c r="AB81" s="154">
        <f t="shared" si="45"/>
        <v>0</v>
      </c>
      <c r="AC81" s="154">
        <v>0</v>
      </c>
      <c r="AD81" s="154">
        <v>0</v>
      </c>
      <c r="AE81" s="154">
        <v>1</v>
      </c>
      <c r="AF81" s="154">
        <v>0</v>
      </c>
      <c r="AG81" s="154">
        <f t="shared" si="46"/>
        <v>0</v>
      </c>
      <c r="AH81" s="154">
        <v>0</v>
      </c>
      <c r="AI81" s="154">
        <f t="shared" si="47"/>
        <v>0</v>
      </c>
      <c r="AJ81" s="154">
        <v>0</v>
      </c>
      <c r="AK81" s="154">
        <v>0</v>
      </c>
      <c r="AL81" s="154">
        <v>0</v>
      </c>
      <c r="AM81" s="154">
        <v>0</v>
      </c>
      <c r="AN81" s="154">
        <f t="shared" si="58"/>
        <v>0</v>
      </c>
      <c r="AO81" s="154">
        <v>0</v>
      </c>
      <c r="AP81" s="154">
        <f t="shared" si="48"/>
        <v>0</v>
      </c>
      <c r="AQ81" s="154">
        <f t="shared" si="59"/>
        <v>0</v>
      </c>
      <c r="AR81" s="154">
        <f t="shared" si="60"/>
        <v>0</v>
      </c>
      <c r="AS81" s="154">
        <f t="shared" si="61"/>
        <v>64</v>
      </c>
      <c r="AT81" s="154">
        <f t="shared" si="62"/>
        <v>0</v>
      </c>
      <c r="AU81" s="154">
        <f t="shared" si="49"/>
        <v>0</v>
      </c>
      <c r="AV81" s="154">
        <v>0</v>
      </c>
      <c r="AW81" s="154">
        <f t="shared" si="50"/>
        <v>0</v>
      </c>
      <c r="AX81" s="25"/>
      <c r="AY81" s="26"/>
      <c r="AZ81" s="28">
        <f t="shared" si="51"/>
        <v>1066.8800000000001</v>
      </c>
      <c r="BA81" s="28"/>
      <c r="BB81" s="28">
        <f t="shared" si="52"/>
        <v>0</v>
      </c>
      <c r="BC81" s="28">
        <f t="shared" si="53"/>
        <v>0</v>
      </c>
      <c r="BD81" s="28">
        <f t="shared" si="54"/>
        <v>783.49000000000012</v>
      </c>
      <c r="BE81" s="28">
        <f t="shared" si="55"/>
        <v>0</v>
      </c>
      <c r="BF81" s="28">
        <f t="shared" si="64"/>
        <v>283.39</v>
      </c>
      <c r="BG81" s="29">
        <f t="shared" si="56"/>
        <v>283.39000000000004</v>
      </c>
      <c r="BH81" s="29">
        <f t="shared" si="65"/>
        <v>0</v>
      </c>
      <c r="BI81" s="30"/>
      <c r="BJ81" s="23" t="s">
        <v>178</v>
      </c>
      <c r="BK81" s="31">
        <v>5</v>
      </c>
      <c r="BL81" s="31">
        <v>88</v>
      </c>
      <c r="BN81" s="31">
        <v>5</v>
      </c>
      <c r="BO81" s="31">
        <v>83</v>
      </c>
      <c r="BP81" s="31" t="b">
        <f t="shared" si="57"/>
        <v>1</v>
      </c>
    </row>
    <row r="82" spans="2:68" s="31" customFormat="1" ht="30" customHeight="1" x14ac:dyDescent="0.25">
      <c r="B82" s="21" t="s">
        <v>179</v>
      </c>
      <c r="C82" s="22" t="s">
        <v>29</v>
      </c>
      <c r="D82" s="23" t="s">
        <v>180</v>
      </c>
      <c r="E82" s="24">
        <v>8.4</v>
      </c>
      <c r="F82" s="24">
        <v>8.4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f t="shared" si="41"/>
        <v>0</v>
      </c>
      <c r="M82" s="22">
        <v>0</v>
      </c>
      <c r="N82" s="22">
        <f t="shared" si="40"/>
        <v>0</v>
      </c>
      <c r="O82" s="153">
        <v>0</v>
      </c>
      <c r="P82" s="153">
        <v>0</v>
      </c>
      <c r="Q82" s="153">
        <v>0</v>
      </c>
      <c r="R82" s="153">
        <v>0</v>
      </c>
      <c r="S82" s="153">
        <f t="shared" si="42"/>
        <v>0</v>
      </c>
      <c r="T82" s="153">
        <v>0</v>
      </c>
      <c r="U82" s="153">
        <f t="shared" si="43"/>
        <v>0</v>
      </c>
      <c r="V82" s="154">
        <v>0</v>
      </c>
      <c r="W82" s="154">
        <v>0</v>
      </c>
      <c r="X82" s="154">
        <v>0</v>
      </c>
      <c r="Y82" s="154">
        <v>0</v>
      </c>
      <c r="Z82" s="154">
        <f t="shared" si="44"/>
        <v>0</v>
      </c>
      <c r="AA82" s="154">
        <v>0</v>
      </c>
      <c r="AB82" s="154">
        <f t="shared" si="45"/>
        <v>0</v>
      </c>
      <c r="AC82" s="154">
        <v>0</v>
      </c>
      <c r="AD82" s="154">
        <v>0</v>
      </c>
      <c r="AE82" s="154">
        <v>0</v>
      </c>
      <c r="AF82" s="154">
        <v>0</v>
      </c>
      <c r="AG82" s="154">
        <f t="shared" si="46"/>
        <v>0</v>
      </c>
      <c r="AH82" s="154">
        <v>0</v>
      </c>
      <c r="AI82" s="154">
        <f t="shared" si="47"/>
        <v>0</v>
      </c>
      <c r="AJ82" s="154">
        <v>0</v>
      </c>
      <c r="AK82" s="154">
        <v>0</v>
      </c>
      <c r="AL82" s="154">
        <v>0</v>
      </c>
      <c r="AM82" s="154">
        <v>0</v>
      </c>
      <c r="AN82" s="154">
        <f t="shared" si="58"/>
        <v>0</v>
      </c>
      <c r="AO82" s="154">
        <v>0</v>
      </c>
      <c r="AP82" s="154">
        <f t="shared" si="48"/>
        <v>0</v>
      </c>
      <c r="AQ82" s="154">
        <f t="shared" si="59"/>
        <v>0</v>
      </c>
      <c r="AR82" s="154">
        <f t="shared" si="60"/>
        <v>0</v>
      </c>
      <c r="AS82" s="154">
        <f t="shared" si="61"/>
        <v>0</v>
      </c>
      <c r="AT82" s="154">
        <f t="shared" si="62"/>
        <v>0</v>
      </c>
      <c r="AU82" s="154">
        <f t="shared" si="49"/>
        <v>0</v>
      </c>
      <c r="AV82" s="154">
        <f t="shared" ref="AV82:AV89" si="66">AH82</f>
        <v>0</v>
      </c>
      <c r="AW82" s="154">
        <f t="shared" si="50"/>
        <v>0</v>
      </c>
      <c r="AX82" s="25"/>
      <c r="AY82" s="26"/>
      <c r="AZ82" s="28">
        <f t="shared" si="51"/>
        <v>0</v>
      </c>
      <c r="BA82" s="28"/>
      <c r="BB82" s="28">
        <f t="shared" si="52"/>
        <v>0</v>
      </c>
      <c r="BC82" s="28">
        <f t="shared" si="53"/>
        <v>0</v>
      </c>
      <c r="BD82" s="28">
        <f t="shared" si="54"/>
        <v>0</v>
      </c>
      <c r="BE82" s="28">
        <f t="shared" si="55"/>
        <v>0</v>
      </c>
      <c r="BF82" s="28">
        <f t="shared" si="64"/>
        <v>0</v>
      </c>
      <c r="BG82" s="29">
        <f t="shared" si="56"/>
        <v>0</v>
      </c>
      <c r="BH82" s="29">
        <f t="shared" si="65"/>
        <v>0</v>
      </c>
      <c r="BI82" s="30"/>
      <c r="BJ82" s="23" t="s">
        <v>180</v>
      </c>
      <c r="BK82" s="31">
        <v>0</v>
      </c>
      <c r="BL82" s="31">
        <v>0</v>
      </c>
      <c r="BO82" s="31">
        <v>0</v>
      </c>
      <c r="BP82" s="31" t="b">
        <f t="shared" si="57"/>
        <v>1</v>
      </c>
    </row>
    <row r="83" spans="2:68" s="31" customFormat="1" x14ac:dyDescent="0.25">
      <c r="B83" s="21" t="s">
        <v>181</v>
      </c>
      <c r="C83" s="22" t="s">
        <v>26</v>
      </c>
      <c r="D83" s="23" t="s">
        <v>182</v>
      </c>
      <c r="E83" s="24">
        <v>10.9</v>
      </c>
      <c r="F83" s="24">
        <v>10.9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f t="shared" si="41"/>
        <v>0</v>
      </c>
      <c r="M83" s="22">
        <v>0</v>
      </c>
      <c r="N83" s="22">
        <f t="shared" si="40"/>
        <v>0</v>
      </c>
      <c r="O83" s="153">
        <v>0</v>
      </c>
      <c r="P83" s="153">
        <v>0</v>
      </c>
      <c r="Q83" s="153">
        <v>0</v>
      </c>
      <c r="R83" s="153">
        <v>0</v>
      </c>
      <c r="S83" s="153">
        <f t="shared" si="42"/>
        <v>0</v>
      </c>
      <c r="T83" s="153">
        <v>0</v>
      </c>
      <c r="U83" s="153">
        <f t="shared" si="43"/>
        <v>0</v>
      </c>
      <c r="V83" s="154">
        <v>0</v>
      </c>
      <c r="W83" s="154">
        <v>0</v>
      </c>
      <c r="X83" s="154">
        <v>0</v>
      </c>
      <c r="Y83" s="154">
        <v>0</v>
      </c>
      <c r="Z83" s="154">
        <f t="shared" si="44"/>
        <v>0</v>
      </c>
      <c r="AA83" s="154">
        <v>0</v>
      </c>
      <c r="AB83" s="154">
        <f t="shared" si="45"/>
        <v>0</v>
      </c>
      <c r="AC83" s="154">
        <v>0</v>
      </c>
      <c r="AD83" s="154">
        <v>0</v>
      </c>
      <c r="AE83" s="154">
        <v>0</v>
      </c>
      <c r="AF83" s="154">
        <v>0</v>
      </c>
      <c r="AG83" s="154">
        <f t="shared" si="46"/>
        <v>0</v>
      </c>
      <c r="AH83" s="154">
        <v>0</v>
      </c>
      <c r="AI83" s="154">
        <f t="shared" si="47"/>
        <v>0</v>
      </c>
      <c r="AJ83" s="154">
        <v>0</v>
      </c>
      <c r="AK83" s="154">
        <v>0</v>
      </c>
      <c r="AL83" s="154">
        <v>0</v>
      </c>
      <c r="AM83" s="154">
        <v>0</v>
      </c>
      <c r="AN83" s="154">
        <f t="shared" si="58"/>
        <v>0</v>
      </c>
      <c r="AO83" s="154">
        <v>0</v>
      </c>
      <c r="AP83" s="154">
        <f t="shared" si="48"/>
        <v>0</v>
      </c>
      <c r="AQ83" s="154">
        <f t="shared" si="59"/>
        <v>0</v>
      </c>
      <c r="AR83" s="154">
        <f t="shared" si="60"/>
        <v>0</v>
      </c>
      <c r="AS83" s="154">
        <f t="shared" si="61"/>
        <v>0</v>
      </c>
      <c r="AT83" s="154">
        <f t="shared" si="62"/>
        <v>0</v>
      </c>
      <c r="AU83" s="154">
        <f t="shared" si="49"/>
        <v>0</v>
      </c>
      <c r="AV83" s="154">
        <f t="shared" si="66"/>
        <v>0</v>
      </c>
      <c r="AW83" s="154">
        <f t="shared" si="50"/>
        <v>0</v>
      </c>
      <c r="AX83" s="25"/>
      <c r="AY83" s="26"/>
      <c r="AZ83" s="28">
        <f t="shared" si="51"/>
        <v>0</v>
      </c>
      <c r="BA83" s="28"/>
      <c r="BB83" s="28">
        <f t="shared" si="52"/>
        <v>0</v>
      </c>
      <c r="BC83" s="28">
        <f t="shared" si="53"/>
        <v>0</v>
      </c>
      <c r="BD83" s="28">
        <f t="shared" si="54"/>
        <v>0</v>
      </c>
      <c r="BE83" s="28">
        <f t="shared" si="55"/>
        <v>0</v>
      </c>
      <c r="BF83" s="28">
        <f t="shared" si="64"/>
        <v>0</v>
      </c>
      <c r="BG83" s="29">
        <f t="shared" si="56"/>
        <v>0</v>
      </c>
      <c r="BH83" s="29">
        <f t="shared" si="65"/>
        <v>0</v>
      </c>
      <c r="BI83" s="30"/>
      <c r="BJ83" s="23" t="s">
        <v>182</v>
      </c>
      <c r="BK83" s="31">
        <v>0</v>
      </c>
      <c r="BL83" s="31">
        <v>0</v>
      </c>
      <c r="BO83" s="31">
        <v>0</v>
      </c>
      <c r="BP83" s="31" t="b">
        <f t="shared" si="57"/>
        <v>1</v>
      </c>
    </row>
    <row r="84" spans="2:68" s="31" customFormat="1" x14ac:dyDescent="0.25">
      <c r="B84" s="21" t="s">
        <v>183</v>
      </c>
      <c r="C84" s="22" t="s">
        <v>26</v>
      </c>
      <c r="D84" s="23" t="s">
        <v>184</v>
      </c>
      <c r="E84" s="24">
        <v>30.9</v>
      </c>
      <c r="F84" s="24">
        <v>30.9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f t="shared" si="41"/>
        <v>0</v>
      </c>
      <c r="M84" s="22">
        <v>0</v>
      </c>
      <c r="N84" s="22">
        <f t="shared" si="40"/>
        <v>0</v>
      </c>
      <c r="O84" s="153">
        <v>0</v>
      </c>
      <c r="P84" s="153">
        <v>0</v>
      </c>
      <c r="Q84" s="153">
        <v>0</v>
      </c>
      <c r="R84" s="153">
        <v>0</v>
      </c>
      <c r="S84" s="153">
        <f t="shared" si="42"/>
        <v>0</v>
      </c>
      <c r="T84" s="153">
        <v>0</v>
      </c>
      <c r="U84" s="153">
        <f t="shared" si="43"/>
        <v>0</v>
      </c>
      <c r="V84" s="154">
        <v>0</v>
      </c>
      <c r="W84" s="154">
        <v>0</v>
      </c>
      <c r="X84" s="154">
        <v>0</v>
      </c>
      <c r="Y84" s="154">
        <v>0</v>
      </c>
      <c r="Z84" s="154">
        <f t="shared" si="44"/>
        <v>0</v>
      </c>
      <c r="AA84" s="154">
        <v>0</v>
      </c>
      <c r="AB84" s="154">
        <f t="shared" si="45"/>
        <v>0</v>
      </c>
      <c r="AC84" s="154">
        <v>0</v>
      </c>
      <c r="AD84" s="154">
        <v>0</v>
      </c>
      <c r="AE84" s="154">
        <v>0</v>
      </c>
      <c r="AF84" s="154">
        <v>0</v>
      </c>
      <c r="AG84" s="154">
        <f t="shared" si="46"/>
        <v>0</v>
      </c>
      <c r="AH84" s="154">
        <v>0</v>
      </c>
      <c r="AI84" s="154">
        <f t="shared" si="47"/>
        <v>0</v>
      </c>
      <c r="AJ84" s="154">
        <v>0</v>
      </c>
      <c r="AK84" s="154">
        <v>0</v>
      </c>
      <c r="AL84" s="154">
        <v>0</v>
      </c>
      <c r="AM84" s="154">
        <v>0</v>
      </c>
      <c r="AN84" s="154">
        <f t="shared" si="58"/>
        <v>0</v>
      </c>
      <c r="AO84" s="154">
        <v>0</v>
      </c>
      <c r="AP84" s="154">
        <f t="shared" si="48"/>
        <v>0</v>
      </c>
      <c r="AQ84" s="154">
        <f t="shared" si="59"/>
        <v>0</v>
      </c>
      <c r="AR84" s="154">
        <f t="shared" si="60"/>
        <v>0</v>
      </c>
      <c r="AS84" s="154">
        <f t="shared" si="61"/>
        <v>0</v>
      </c>
      <c r="AT84" s="154">
        <f t="shared" si="62"/>
        <v>0</v>
      </c>
      <c r="AU84" s="154">
        <f t="shared" si="49"/>
        <v>0</v>
      </c>
      <c r="AV84" s="154">
        <f t="shared" si="66"/>
        <v>0</v>
      </c>
      <c r="AW84" s="154">
        <f t="shared" si="50"/>
        <v>0</v>
      </c>
      <c r="AX84" s="25"/>
      <c r="AY84" s="26"/>
      <c r="AZ84" s="28">
        <f t="shared" si="51"/>
        <v>0</v>
      </c>
      <c r="BA84" s="28"/>
      <c r="BB84" s="28">
        <f t="shared" si="52"/>
        <v>0</v>
      </c>
      <c r="BC84" s="28">
        <f t="shared" si="53"/>
        <v>0</v>
      </c>
      <c r="BD84" s="28">
        <f t="shared" si="54"/>
        <v>0</v>
      </c>
      <c r="BE84" s="28">
        <f t="shared" si="55"/>
        <v>0</v>
      </c>
      <c r="BF84" s="28">
        <f t="shared" si="64"/>
        <v>0</v>
      </c>
      <c r="BG84" s="29">
        <f t="shared" si="56"/>
        <v>0</v>
      </c>
      <c r="BH84" s="29">
        <f t="shared" si="65"/>
        <v>0</v>
      </c>
      <c r="BI84" s="30"/>
      <c r="BJ84" s="23" t="s">
        <v>184</v>
      </c>
      <c r="BK84" s="31">
        <v>0</v>
      </c>
      <c r="BL84" s="31">
        <v>0</v>
      </c>
      <c r="BO84" s="31">
        <v>0</v>
      </c>
      <c r="BP84" s="31" t="b">
        <f t="shared" si="57"/>
        <v>1</v>
      </c>
    </row>
    <row r="85" spans="2:68" s="31" customFormat="1" ht="45" customHeight="1" x14ac:dyDescent="0.25">
      <c r="B85" s="21" t="s">
        <v>185</v>
      </c>
      <c r="C85" s="22" t="s">
        <v>26</v>
      </c>
      <c r="D85" s="23" t="s">
        <v>186</v>
      </c>
      <c r="E85" s="24">
        <v>1.26</v>
      </c>
      <c r="F85" s="24">
        <v>1.26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f t="shared" si="41"/>
        <v>0</v>
      </c>
      <c r="M85" s="22">
        <v>0</v>
      </c>
      <c r="N85" s="22">
        <f t="shared" si="40"/>
        <v>0</v>
      </c>
      <c r="O85" s="153">
        <v>0</v>
      </c>
      <c r="P85" s="153">
        <v>0</v>
      </c>
      <c r="Q85" s="153">
        <v>0</v>
      </c>
      <c r="R85" s="153">
        <v>0</v>
      </c>
      <c r="S85" s="153">
        <f t="shared" si="42"/>
        <v>0</v>
      </c>
      <c r="T85" s="153">
        <v>0</v>
      </c>
      <c r="U85" s="153">
        <f t="shared" si="43"/>
        <v>0</v>
      </c>
      <c r="V85" s="154">
        <v>0</v>
      </c>
      <c r="W85" s="154">
        <v>0</v>
      </c>
      <c r="X85" s="154">
        <v>0</v>
      </c>
      <c r="Y85" s="154">
        <v>0</v>
      </c>
      <c r="Z85" s="154">
        <f t="shared" si="44"/>
        <v>0</v>
      </c>
      <c r="AA85" s="154">
        <v>0</v>
      </c>
      <c r="AB85" s="154">
        <f t="shared" si="45"/>
        <v>0</v>
      </c>
      <c r="AC85" s="154">
        <v>0</v>
      </c>
      <c r="AD85" s="154">
        <v>0</v>
      </c>
      <c r="AE85" s="154">
        <v>0</v>
      </c>
      <c r="AF85" s="154">
        <v>0</v>
      </c>
      <c r="AG85" s="154">
        <f t="shared" si="46"/>
        <v>0</v>
      </c>
      <c r="AH85" s="154">
        <v>0</v>
      </c>
      <c r="AI85" s="154">
        <f t="shared" si="47"/>
        <v>0</v>
      </c>
      <c r="AJ85" s="154">
        <v>0</v>
      </c>
      <c r="AK85" s="154">
        <v>0</v>
      </c>
      <c r="AL85" s="154">
        <v>0</v>
      </c>
      <c r="AM85" s="154">
        <v>0</v>
      </c>
      <c r="AN85" s="154">
        <f t="shared" si="58"/>
        <v>0</v>
      </c>
      <c r="AO85" s="154">
        <v>0</v>
      </c>
      <c r="AP85" s="154">
        <f t="shared" si="48"/>
        <v>0</v>
      </c>
      <c r="AQ85" s="154">
        <f t="shared" si="59"/>
        <v>0</v>
      </c>
      <c r="AR85" s="154">
        <f t="shared" si="60"/>
        <v>0</v>
      </c>
      <c r="AS85" s="154">
        <f t="shared" si="61"/>
        <v>0</v>
      </c>
      <c r="AT85" s="154">
        <f t="shared" si="62"/>
        <v>0</v>
      </c>
      <c r="AU85" s="154">
        <f t="shared" si="49"/>
        <v>0</v>
      </c>
      <c r="AV85" s="154">
        <f t="shared" si="66"/>
        <v>0</v>
      </c>
      <c r="AW85" s="154">
        <f t="shared" si="50"/>
        <v>0</v>
      </c>
      <c r="AX85" s="25"/>
      <c r="AY85" s="26"/>
      <c r="AZ85" s="28">
        <f t="shared" si="51"/>
        <v>0</v>
      </c>
      <c r="BA85" s="28"/>
      <c r="BB85" s="28">
        <f t="shared" si="52"/>
        <v>0</v>
      </c>
      <c r="BC85" s="28">
        <f t="shared" si="53"/>
        <v>0</v>
      </c>
      <c r="BD85" s="28">
        <f t="shared" si="54"/>
        <v>0</v>
      </c>
      <c r="BE85" s="28">
        <f t="shared" si="55"/>
        <v>0</v>
      </c>
      <c r="BF85" s="28">
        <f t="shared" si="64"/>
        <v>0</v>
      </c>
      <c r="BG85" s="29">
        <f t="shared" si="56"/>
        <v>0</v>
      </c>
      <c r="BH85" s="29">
        <f t="shared" si="65"/>
        <v>0</v>
      </c>
      <c r="BI85" s="30"/>
      <c r="BJ85" s="23" t="s">
        <v>186</v>
      </c>
      <c r="BK85" s="31">
        <v>0</v>
      </c>
      <c r="BL85" s="31">
        <v>0</v>
      </c>
      <c r="BO85" s="31">
        <v>0</v>
      </c>
      <c r="BP85" s="31" t="b">
        <f t="shared" si="57"/>
        <v>1</v>
      </c>
    </row>
    <row r="86" spans="2:68" s="31" customFormat="1" ht="30" customHeight="1" x14ac:dyDescent="0.25">
      <c r="B86" s="21" t="s">
        <v>187</v>
      </c>
      <c r="C86" s="22" t="s">
        <v>26</v>
      </c>
      <c r="D86" s="23" t="s">
        <v>188</v>
      </c>
      <c r="E86" s="24">
        <v>69.900000000000006</v>
      </c>
      <c r="F86" s="24">
        <v>69.900000000000006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f t="shared" si="41"/>
        <v>0</v>
      </c>
      <c r="M86" s="22">
        <v>0</v>
      </c>
      <c r="N86" s="22">
        <f t="shared" si="40"/>
        <v>0</v>
      </c>
      <c r="O86" s="153">
        <v>0</v>
      </c>
      <c r="P86" s="153">
        <v>0</v>
      </c>
      <c r="Q86" s="153">
        <v>0</v>
      </c>
      <c r="R86" s="153">
        <v>0</v>
      </c>
      <c r="S86" s="153">
        <f t="shared" si="42"/>
        <v>0</v>
      </c>
      <c r="T86" s="153">
        <v>0</v>
      </c>
      <c r="U86" s="153">
        <f t="shared" si="43"/>
        <v>0</v>
      </c>
      <c r="V86" s="154">
        <v>0</v>
      </c>
      <c r="W86" s="154">
        <v>0</v>
      </c>
      <c r="X86" s="154">
        <v>0</v>
      </c>
      <c r="Y86" s="154">
        <v>0</v>
      </c>
      <c r="Z86" s="154">
        <f t="shared" si="44"/>
        <v>0</v>
      </c>
      <c r="AA86" s="154">
        <v>0</v>
      </c>
      <c r="AB86" s="154">
        <f t="shared" si="45"/>
        <v>0</v>
      </c>
      <c r="AC86" s="154">
        <v>0</v>
      </c>
      <c r="AD86" s="154">
        <v>0</v>
      </c>
      <c r="AE86" s="154">
        <v>0</v>
      </c>
      <c r="AF86" s="154">
        <v>0</v>
      </c>
      <c r="AG86" s="154">
        <f t="shared" si="46"/>
        <v>0</v>
      </c>
      <c r="AH86" s="154">
        <v>0</v>
      </c>
      <c r="AI86" s="154">
        <f t="shared" si="47"/>
        <v>0</v>
      </c>
      <c r="AJ86" s="154">
        <v>0</v>
      </c>
      <c r="AK86" s="154">
        <v>0</v>
      </c>
      <c r="AL86" s="154">
        <v>0</v>
      </c>
      <c r="AM86" s="154">
        <v>0</v>
      </c>
      <c r="AN86" s="154">
        <f t="shared" si="58"/>
        <v>0</v>
      </c>
      <c r="AO86" s="154">
        <v>0</v>
      </c>
      <c r="AP86" s="154">
        <f t="shared" si="48"/>
        <v>0</v>
      </c>
      <c r="AQ86" s="154">
        <f t="shared" si="59"/>
        <v>0</v>
      </c>
      <c r="AR86" s="154">
        <f t="shared" si="60"/>
        <v>0</v>
      </c>
      <c r="AS86" s="154">
        <f t="shared" si="61"/>
        <v>0</v>
      </c>
      <c r="AT86" s="154">
        <f t="shared" si="62"/>
        <v>0</v>
      </c>
      <c r="AU86" s="154">
        <f t="shared" si="49"/>
        <v>0</v>
      </c>
      <c r="AV86" s="154">
        <f t="shared" si="66"/>
        <v>0</v>
      </c>
      <c r="AW86" s="154">
        <f t="shared" si="50"/>
        <v>0</v>
      </c>
      <c r="AX86" s="25"/>
      <c r="AY86" s="26"/>
      <c r="AZ86" s="28">
        <f t="shared" si="51"/>
        <v>0</v>
      </c>
      <c r="BA86" s="28"/>
      <c r="BB86" s="28">
        <f t="shared" si="52"/>
        <v>0</v>
      </c>
      <c r="BC86" s="28">
        <f t="shared" si="53"/>
        <v>0</v>
      </c>
      <c r="BD86" s="28">
        <f t="shared" si="54"/>
        <v>0</v>
      </c>
      <c r="BE86" s="28">
        <f t="shared" si="55"/>
        <v>0</v>
      </c>
      <c r="BF86" s="28">
        <f t="shared" si="64"/>
        <v>0</v>
      </c>
      <c r="BG86" s="29">
        <f t="shared" si="56"/>
        <v>0</v>
      </c>
      <c r="BH86" s="29">
        <f t="shared" si="65"/>
        <v>0</v>
      </c>
      <c r="BI86" s="30"/>
      <c r="BJ86" s="23" t="s">
        <v>188</v>
      </c>
      <c r="BK86" s="31">
        <v>0</v>
      </c>
      <c r="BL86" s="31">
        <v>0</v>
      </c>
      <c r="BO86" s="31">
        <v>0</v>
      </c>
      <c r="BP86" s="31" t="b">
        <f t="shared" si="57"/>
        <v>1</v>
      </c>
    </row>
    <row r="87" spans="2:68" s="31" customFormat="1" x14ac:dyDescent="0.25">
      <c r="B87" s="21" t="s">
        <v>189</v>
      </c>
      <c r="C87" s="22" t="s">
        <v>26</v>
      </c>
      <c r="D87" s="23" t="s">
        <v>190</v>
      </c>
      <c r="E87" s="24">
        <v>219</v>
      </c>
      <c r="F87" s="24">
        <v>219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f t="shared" si="41"/>
        <v>0</v>
      </c>
      <c r="M87" s="22">
        <v>0</v>
      </c>
      <c r="N87" s="22">
        <f t="shared" si="40"/>
        <v>0</v>
      </c>
      <c r="O87" s="153">
        <v>0</v>
      </c>
      <c r="P87" s="153">
        <v>0</v>
      </c>
      <c r="Q87" s="153">
        <v>0</v>
      </c>
      <c r="R87" s="153">
        <v>0</v>
      </c>
      <c r="S87" s="153">
        <f t="shared" si="42"/>
        <v>0</v>
      </c>
      <c r="T87" s="153">
        <v>0</v>
      </c>
      <c r="U87" s="153">
        <f t="shared" si="43"/>
        <v>0</v>
      </c>
      <c r="V87" s="154">
        <v>0</v>
      </c>
      <c r="W87" s="154">
        <v>0</v>
      </c>
      <c r="X87" s="154">
        <v>0</v>
      </c>
      <c r="Y87" s="154">
        <v>0</v>
      </c>
      <c r="Z87" s="154">
        <f t="shared" si="44"/>
        <v>0</v>
      </c>
      <c r="AA87" s="154">
        <v>0</v>
      </c>
      <c r="AB87" s="154">
        <f t="shared" si="45"/>
        <v>0</v>
      </c>
      <c r="AC87" s="154">
        <v>0</v>
      </c>
      <c r="AD87" s="154">
        <v>0</v>
      </c>
      <c r="AE87" s="154">
        <v>0</v>
      </c>
      <c r="AF87" s="154">
        <v>0</v>
      </c>
      <c r="AG87" s="154">
        <f t="shared" si="46"/>
        <v>0</v>
      </c>
      <c r="AH87" s="154">
        <v>0</v>
      </c>
      <c r="AI87" s="154">
        <f t="shared" si="47"/>
        <v>0</v>
      </c>
      <c r="AJ87" s="154">
        <v>0</v>
      </c>
      <c r="AK87" s="154">
        <v>0</v>
      </c>
      <c r="AL87" s="154">
        <v>0</v>
      </c>
      <c r="AM87" s="154">
        <v>0</v>
      </c>
      <c r="AN87" s="154">
        <f t="shared" si="58"/>
        <v>0</v>
      </c>
      <c r="AO87" s="154">
        <v>0</v>
      </c>
      <c r="AP87" s="154">
        <f t="shared" si="48"/>
        <v>0</v>
      </c>
      <c r="AQ87" s="154">
        <f t="shared" si="59"/>
        <v>0</v>
      </c>
      <c r="AR87" s="154">
        <f t="shared" si="60"/>
        <v>0</v>
      </c>
      <c r="AS87" s="154">
        <f t="shared" si="61"/>
        <v>0</v>
      </c>
      <c r="AT87" s="154">
        <f t="shared" si="62"/>
        <v>0</v>
      </c>
      <c r="AU87" s="154">
        <f t="shared" si="49"/>
        <v>0</v>
      </c>
      <c r="AV87" s="154">
        <f t="shared" si="66"/>
        <v>0</v>
      </c>
      <c r="AW87" s="154">
        <f t="shared" si="50"/>
        <v>0</v>
      </c>
      <c r="AX87" s="25"/>
      <c r="AY87" s="26"/>
      <c r="AZ87" s="28">
        <f t="shared" si="51"/>
        <v>0</v>
      </c>
      <c r="BA87" s="28"/>
      <c r="BB87" s="28">
        <f t="shared" si="52"/>
        <v>0</v>
      </c>
      <c r="BC87" s="28">
        <f t="shared" si="53"/>
        <v>0</v>
      </c>
      <c r="BD87" s="28">
        <f t="shared" si="54"/>
        <v>0</v>
      </c>
      <c r="BE87" s="28">
        <f t="shared" si="55"/>
        <v>0</v>
      </c>
      <c r="BF87" s="28">
        <f t="shared" si="64"/>
        <v>0</v>
      </c>
      <c r="BG87" s="29">
        <f t="shared" si="56"/>
        <v>0</v>
      </c>
      <c r="BH87" s="29">
        <f t="shared" si="65"/>
        <v>0</v>
      </c>
      <c r="BI87" s="30"/>
      <c r="BJ87" s="23" t="s">
        <v>191</v>
      </c>
      <c r="BK87" s="31">
        <v>0</v>
      </c>
      <c r="BL87" s="31">
        <v>0</v>
      </c>
      <c r="BO87" s="31">
        <v>0</v>
      </c>
      <c r="BP87" s="31" t="b">
        <f t="shared" si="57"/>
        <v>0</v>
      </c>
    </row>
    <row r="88" spans="2:68" s="31" customFormat="1" x14ac:dyDescent="0.25">
      <c r="B88" s="21" t="s">
        <v>192</v>
      </c>
      <c r="C88" s="22" t="s">
        <v>26</v>
      </c>
      <c r="D88" s="23" t="s">
        <v>193</v>
      </c>
      <c r="E88" s="24">
        <v>262</v>
      </c>
      <c r="F88" s="24">
        <v>262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f t="shared" si="41"/>
        <v>0</v>
      </c>
      <c r="M88" s="22">
        <v>0</v>
      </c>
      <c r="N88" s="22">
        <f t="shared" si="40"/>
        <v>0</v>
      </c>
      <c r="O88" s="153">
        <v>0</v>
      </c>
      <c r="P88" s="153">
        <v>0</v>
      </c>
      <c r="Q88" s="153">
        <v>0</v>
      </c>
      <c r="R88" s="153">
        <v>0</v>
      </c>
      <c r="S88" s="153">
        <f t="shared" si="42"/>
        <v>0</v>
      </c>
      <c r="T88" s="153">
        <v>0</v>
      </c>
      <c r="U88" s="153">
        <f t="shared" si="43"/>
        <v>0</v>
      </c>
      <c r="V88" s="154">
        <v>0</v>
      </c>
      <c r="W88" s="154">
        <v>0</v>
      </c>
      <c r="X88" s="154">
        <v>0</v>
      </c>
      <c r="Y88" s="154">
        <v>0</v>
      </c>
      <c r="Z88" s="154">
        <f t="shared" si="44"/>
        <v>0</v>
      </c>
      <c r="AA88" s="154">
        <v>0</v>
      </c>
      <c r="AB88" s="154">
        <f t="shared" si="45"/>
        <v>0</v>
      </c>
      <c r="AC88" s="154">
        <v>0</v>
      </c>
      <c r="AD88" s="154">
        <v>0</v>
      </c>
      <c r="AE88" s="154">
        <v>0</v>
      </c>
      <c r="AF88" s="154">
        <v>0</v>
      </c>
      <c r="AG88" s="154">
        <f t="shared" si="46"/>
        <v>0</v>
      </c>
      <c r="AH88" s="154">
        <v>0</v>
      </c>
      <c r="AI88" s="154">
        <f t="shared" si="47"/>
        <v>0</v>
      </c>
      <c r="AJ88" s="154">
        <v>0</v>
      </c>
      <c r="AK88" s="154">
        <v>0</v>
      </c>
      <c r="AL88" s="154">
        <v>0</v>
      </c>
      <c r="AM88" s="154">
        <v>0</v>
      </c>
      <c r="AN88" s="154">
        <f t="shared" si="58"/>
        <v>0</v>
      </c>
      <c r="AO88" s="154">
        <v>0</v>
      </c>
      <c r="AP88" s="154">
        <f t="shared" si="48"/>
        <v>0</v>
      </c>
      <c r="AQ88" s="154">
        <f t="shared" si="59"/>
        <v>0</v>
      </c>
      <c r="AR88" s="154">
        <f t="shared" si="60"/>
        <v>0</v>
      </c>
      <c r="AS88" s="154">
        <f t="shared" si="61"/>
        <v>0</v>
      </c>
      <c r="AT88" s="154">
        <f t="shared" si="62"/>
        <v>0</v>
      </c>
      <c r="AU88" s="154">
        <f t="shared" si="49"/>
        <v>0</v>
      </c>
      <c r="AV88" s="154">
        <f t="shared" si="66"/>
        <v>0</v>
      </c>
      <c r="AW88" s="154">
        <f t="shared" si="50"/>
        <v>0</v>
      </c>
      <c r="AX88" s="25"/>
      <c r="AY88" s="26"/>
      <c r="AZ88" s="28">
        <f t="shared" si="51"/>
        <v>0</v>
      </c>
      <c r="BA88" s="28"/>
      <c r="BB88" s="28">
        <f t="shared" si="52"/>
        <v>0</v>
      </c>
      <c r="BC88" s="28">
        <f t="shared" si="53"/>
        <v>0</v>
      </c>
      <c r="BD88" s="28">
        <f t="shared" si="54"/>
        <v>0</v>
      </c>
      <c r="BE88" s="28">
        <f t="shared" si="55"/>
        <v>0</v>
      </c>
      <c r="BF88" s="28">
        <f t="shared" si="64"/>
        <v>0</v>
      </c>
      <c r="BG88" s="29">
        <f t="shared" si="56"/>
        <v>0</v>
      </c>
      <c r="BH88" s="29">
        <f t="shared" si="65"/>
        <v>0</v>
      </c>
      <c r="BI88" s="30"/>
      <c r="BJ88" s="23" t="s">
        <v>190</v>
      </c>
      <c r="BK88" s="31">
        <v>0</v>
      </c>
      <c r="BL88" s="31">
        <v>0</v>
      </c>
      <c r="BO88" s="31">
        <v>0</v>
      </c>
      <c r="BP88" s="31" t="b">
        <f t="shared" si="57"/>
        <v>0</v>
      </c>
    </row>
    <row r="89" spans="2:68" s="31" customFormat="1" ht="15" customHeight="1" x14ac:dyDescent="0.25">
      <c r="B89" s="21" t="s">
        <v>194</v>
      </c>
      <c r="C89" s="22" t="s">
        <v>26</v>
      </c>
      <c r="D89" s="23" t="s">
        <v>195</v>
      </c>
      <c r="E89" s="24">
        <v>147.05000000000001</v>
      </c>
      <c r="F89" s="24">
        <v>147.05000000000001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f t="shared" si="41"/>
        <v>0</v>
      </c>
      <c r="M89" s="22">
        <v>0</v>
      </c>
      <c r="N89" s="22">
        <f t="shared" si="40"/>
        <v>0</v>
      </c>
      <c r="O89" s="153">
        <v>0</v>
      </c>
      <c r="P89" s="153">
        <v>0</v>
      </c>
      <c r="Q89" s="153">
        <v>0</v>
      </c>
      <c r="R89" s="153">
        <v>0</v>
      </c>
      <c r="S89" s="153">
        <f t="shared" si="42"/>
        <v>0</v>
      </c>
      <c r="T89" s="153">
        <v>0</v>
      </c>
      <c r="U89" s="153">
        <f t="shared" si="43"/>
        <v>0</v>
      </c>
      <c r="V89" s="154">
        <v>0</v>
      </c>
      <c r="W89" s="154">
        <v>0</v>
      </c>
      <c r="X89" s="154">
        <v>0</v>
      </c>
      <c r="Y89" s="154">
        <v>0</v>
      </c>
      <c r="Z89" s="154">
        <f t="shared" si="44"/>
        <v>0</v>
      </c>
      <c r="AA89" s="154">
        <v>0</v>
      </c>
      <c r="AB89" s="154">
        <f t="shared" si="45"/>
        <v>0</v>
      </c>
      <c r="AC89" s="154">
        <v>0</v>
      </c>
      <c r="AD89" s="154">
        <v>0</v>
      </c>
      <c r="AE89" s="154">
        <v>0</v>
      </c>
      <c r="AF89" s="154">
        <v>0</v>
      </c>
      <c r="AG89" s="154">
        <f t="shared" si="46"/>
        <v>0</v>
      </c>
      <c r="AH89" s="154">
        <v>0</v>
      </c>
      <c r="AI89" s="154">
        <f t="shared" si="47"/>
        <v>0</v>
      </c>
      <c r="AJ89" s="154">
        <v>0</v>
      </c>
      <c r="AK89" s="154">
        <v>0</v>
      </c>
      <c r="AL89" s="154">
        <v>0</v>
      </c>
      <c r="AM89" s="154">
        <v>0</v>
      </c>
      <c r="AN89" s="154">
        <f t="shared" si="58"/>
        <v>0</v>
      </c>
      <c r="AO89" s="154">
        <v>0</v>
      </c>
      <c r="AP89" s="154">
        <f t="shared" si="48"/>
        <v>0</v>
      </c>
      <c r="AQ89" s="154">
        <f t="shared" si="59"/>
        <v>0</v>
      </c>
      <c r="AR89" s="154">
        <f t="shared" si="60"/>
        <v>0</v>
      </c>
      <c r="AS89" s="154">
        <f t="shared" si="61"/>
        <v>0</v>
      </c>
      <c r="AT89" s="154">
        <f t="shared" si="62"/>
        <v>0</v>
      </c>
      <c r="AU89" s="154">
        <f t="shared" si="49"/>
        <v>0</v>
      </c>
      <c r="AV89" s="154">
        <f t="shared" si="66"/>
        <v>0</v>
      </c>
      <c r="AW89" s="154">
        <f t="shared" si="50"/>
        <v>0</v>
      </c>
      <c r="AX89" s="25"/>
      <c r="AY89" s="26"/>
      <c r="AZ89" s="28">
        <f t="shared" si="51"/>
        <v>0</v>
      </c>
      <c r="BA89" s="28"/>
      <c r="BB89" s="28">
        <f t="shared" si="52"/>
        <v>0</v>
      </c>
      <c r="BC89" s="28">
        <f t="shared" si="53"/>
        <v>0</v>
      </c>
      <c r="BD89" s="28">
        <f t="shared" si="54"/>
        <v>0</v>
      </c>
      <c r="BE89" s="28">
        <f t="shared" si="55"/>
        <v>0</v>
      </c>
      <c r="BF89" s="28">
        <f t="shared" si="64"/>
        <v>0</v>
      </c>
      <c r="BG89" s="29">
        <f t="shared" si="56"/>
        <v>0</v>
      </c>
      <c r="BH89" s="29">
        <f t="shared" si="65"/>
        <v>0</v>
      </c>
      <c r="BI89" s="30"/>
      <c r="BJ89" s="23" t="s">
        <v>195</v>
      </c>
      <c r="BK89" s="31">
        <v>0</v>
      </c>
      <c r="BL89" s="31">
        <v>0</v>
      </c>
      <c r="BO89" s="31">
        <v>0</v>
      </c>
      <c r="BP89" s="31" t="b">
        <f t="shared" si="57"/>
        <v>1</v>
      </c>
    </row>
    <row r="90" spans="2:68" s="31" customFormat="1" ht="30" customHeight="1" x14ac:dyDescent="0.25">
      <c r="B90" s="21" t="s">
        <v>196</v>
      </c>
      <c r="C90" s="22" t="s">
        <v>26</v>
      </c>
      <c r="D90" s="23" t="s">
        <v>197</v>
      </c>
      <c r="E90" s="24">
        <v>109.01</v>
      </c>
      <c r="F90" s="24">
        <v>109.01</v>
      </c>
      <c r="G90" s="22">
        <v>1</v>
      </c>
      <c r="H90" s="22">
        <v>0</v>
      </c>
      <c r="I90" s="22">
        <v>0</v>
      </c>
      <c r="J90" s="22">
        <v>0</v>
      </c>
      <c r="K90" s="22">
        <v>0</v>
      </c>
      <c r="L90" s="22">
        <f t="shared" si="41"/>
        <v>1</v>
      </c>
      <c r="M90" s="22">
        <v>1</v>
      </c>
      <c r="N90" s="22">
        <f t="shared" si="40"/>
        <v>0</v>
      </c>
      <c r="O90" s="153">
        <v>0</v>
      </c>
      <c r="P90" s="153">
        <v>0</v>
      </c>
      <c r="Q90" s="153">
        <v>0</v>
      </c>
      <c r="R90" s="153">
        <v>0</v>
      </c>
      <c r="S90" s="153">
        <f t="shared" si="42"/>
        <v>1</v>
      </c>
      <c r="T90" s="153">
        <v>1</v>
      </c>
      <c r="U90" s="153">
        <f t="shared" si="43"/>
        <v>0</v>
      </c>
      <c r="V90" s="154">
        <v>0</v>
      </c>
      <c r="W90" s="154">
        <v>0</v>
      </c>
      <c r="X90" s="154">
        <v>0</v>
      </c>
      <c r="Y90" s="154">
        <v>0</v>
      </c>
      <c r="Z90" s="154">
        <f t="shared" si="44"/>
        <v>1</v>
      </c>
      <c r="AA90" s="154">
        <v>1</v>
      </c>
      <c r="AB90" s="154">
        <f t="shared" si="45"/>
        <v>0</v>
      </c>
      <c r="AC90" s="154">
        <v>0</v>
      </c>
      <c r="AD90" s="154">
        <v>0</v>
      </c>
      <c r="AE90" s="154">
        <v>0</v>
      </c>
      <c r="AF90" s="154">
        <v>0</v>
      </c>
      <c r="AG90" s="154">
        <f t="shared" si="46"/>
        <v>1</v>
      </c>
      <c r="AH90" s="154">
        <v>1</v>
      </c>
      <c r="AI90" s="154">
        <f t="shared" si="47"/>
        <v>0</v>
      </c>
      <c r="AJ90" s="154">
        <v>0</v>
      </c>
      <c r="AK90" s="154">
        <v>0</v>
      </c>
      <c r="AL90" s="154">
        <v>0</v>
      </c>
      <c r="AM90" s="154">
        <v>0</v>
      </c>
      <c r="AN90" s="154">
        <f t="shared" si="58"/>
        <v>1</v>
      </c>
      <c r="AO90" s="154">
        <v>1</v>
      </c>
      <c r="AP90" s="154">
        <f t="shared" si="48"/>
        <v>0</v>
      </c>
      <c r="AQ90" s="154">
        <f t="shared" si="59"/>
        <v>0</v>
      </c>
      <c r="AR90" s="154">
        <f t="shared" si="60"/>
        <v>0</v>
      </c>
      <c r="AS90" s="154">
        <f t="shared" si="61"/>
        <v>0</v>
      </c>
      <c r="AT90" s="154">
        <f t="shared" si="62"/>
        <v>0</v>
      </c>
      <c r="AU90" s="154">
        <f t="shared" si="49"/>
        <v>1</v>
      </c>
      <c r="AV90" s="154">
        <v>1</v>
      </c>
      <c r="AW90" s="154">
        <f t="shared" si="50"/>
        <v>0</v>
      </c>
      <c r="AX90" s="25"/>
      <c r="AY90" s="26"/>
      <c r="AZ90" s="28">
        <f t="shared" si="51"/>
        <v>109.01</v>
      </c>
      <c r="BA90" s="28"/>
      <c r="BB90" s="28">
        <f t="shared" si="52"/>
        <v>0</v>
      </c>
      <c r="BC90" s="28">
        <f t="shared" si="53"/>
        <v>0</v>
      </c>
      <c r="BD90" s="28">
        <f t="shared" si="54"/>
        <v>0</v>
      </c>
      <c r="BE90" s="28">
        <f t="shared" si="55"/>
        <v>0</v>
      </c>
      <c r="BF90" s="28">
        <f t="shared" si="64"/>
        <v>109.01</v>
      </c>
      <c r="BG90" s="29">
        <f t="shared" si="56"/>
        <v>109.01</v>
      </c>
      <c r="BH90" s="29">
        <f t="shared" si="65"/>
        <v>0</v>
      </c>
      <c r="BI90" s="30"/>
      <c r="BJ90" s="23" t="s">
        <v>197</v>
      </c>
      <c r="BK90" s="31">
        <v>0</v>
      </c>
      <c r="BL90" s="31">
        <v>1</v>
      </c>
      <c r="BO90" s="31">
        <v>1</v>
      </c>
      <c r="BP90" s="31" t="b">
        <f t="shared" si="57"/>
        <v>1</v>
      </c>
    </row>
    <row r="91" spans="2:68" s="31" customFormat="1" x14ac:dyDescent="0.25">
      <c r="B91" s="32" t="s">
        <v>198</v>
      </c>
      <c r="C91" s="22" t="s">
        <v>29</v>
      </c>
      <c r="D91" s="23" t="s">
        <v>199</v>
      </c>
      <c r="E91" s="24">
        <v>20.5</v>
      </c>
      <c r="F91" s="24">
        <v>20.5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f t="shared" si="41"/>
        <v>0</v>
      </c>
      <c r="M91" s="22">
        <v>0</v>
      </c>
      <c r="N91" s="22">
        <f t="shared" si="40"/>
        <v>0</v>
      </c>
      <c r="O91" s="153">
        <v>0</v>
      </c>
      <c r="P91" s="153">
        <v>0</v>
      </c>
      <c r="Q91" s="153">
        <v>0</v>
      </c>
      <c r="R91" s="153">
        <v>0</v>
      </c>
      <c r="S91" s="153">
        <f t="shared" si="42"/>
        <v>0</v>
      </c>
      <c r="T91" s="153">
        <v>0</v>
      </c>
      <c r="U91" s="153">
        <f t="shared" si="43"/>
        <v>0</v>
      </c>
      <c r="V91" s="154">
        <v>0</v>
      </c>
      <c r="W91" s="154">
        <v>0</v>
      </c>
      <c r="X91" s="154">
        <v>0</v>
      </c>
      <c r="Y91" s="154">
        <v>0</v>
      </c>
      <c r="Z91" s="154">
        <f t="shared" si="44"/>
        <v>0</v>
      </c>
      <c r="AA91" s="154">
        <v>0</v>
      </c>
      <c r="AB91" s="154">
        <f t="shared" si="45"/>
        <v>0</v>
      </c>
      <c r="AC91" s="154">
        <v>0</v>
      </c>
      <c r="AD91" s="154">
        <v>0</v>
      </c>
      <c r="AE91" s="154">
        <v>0</v>
      </c>
      <c r="AF91" s="154">
        <v>0</v>
      </c>
      <c r="AG91" s="154">
        <f t="shared" si="46"/>
        <v>0</v>
      </c>
      <c r="AH91" s="154">
        <v>0</v>
      </c>
      <c r="AI91" s="154">
        <f t="shared" si="47"/>
        <v>0</v>
      </c>
      <c r="AJ91" s="154">
        <v>0</v>
      </c>
      <c r="AK91" s="154">
        <v>0</v>
      </c>
      <c r="AL91" s="154">
        <v>0</v>
      </c>
      <c r="AM91" s="154">
        <v>0</v>
      </c>
      <c r="AN91" s="154">
        <f t="shared" si="58"/>
        <v>0</v>
      </c>
      <c r="AO91" s="154">
        <v>0</v>
      </c>
      <c r="AP91" s="154">
        <f t="shared" si="48"/>
        <v>0</v>
      </c>
      <c r="AQ91" s="154">
        <f t="shared" si="59"/>
        <v>0</v>
      </c>
      <c r="AR91" s="154">
        <f t="shared" si="60"/>
        <v>0</v>
      </c>
      <c r="AS91" s="154">
        <f t="shared" si="61"/>
        <v>0</v>
      </c>
      <c r="AT91" s="154">
        <f t="shared" si="62"/>
        <v>0</v>
      </c>
      <c r="AU91" s="154">
        <f t="shared" si="49"/>
        <v>0</v>
      </c>
      <c r="AV91" s="154">
        <f t="shared" ref="AV91:AV99" si="67">AH91</f>
        <v>0</v>
      </c>
      <c r="AW91" s="154">
        <f t="shared" si="50"/>
        <v>0</v>
      </c>
      <c r="AX91" s="25"/>
      <c r="AY91" s="26"/>
      <c r="AZ91" s="28">
        <f t="shared" si="51"/>
        <v>0</v>
      </c>
      <c r="BA91" s="28"/>
      <c r="BB91" s="28">
        <f t="shared" si="52"/>
        <v>0</v>
      </c>
      <c r="BC91" s="28">
        <f t="shared" si="53"/>
        <v>0</v>
      </c>
      <c r="BD91" s="28">
        <f t="shared" si="54"/>
        <v>0</v>
      </c>
      <c r="BE91" s="28">
        <f t="shared" si="55"/>
        <v>0</v>
      </c>
      <c r="BF91" s="28">
        <f t="shared" si="64"/>
        <v>0</v>
      </c>
      <c r="BG91" s="29">
        <f t="shared" si="56"/>
        <v>0</v>
      </c>
      <c r="BH91" s="29">
        <f t="shared" si="65"/>
        <v>0</v>
      </c>
      <c r="BI91" s="30"/>
      <c r="BJ91" s="23" t="s">
        <v>199</v>
      </c>
      <c r="BK91" s="31">
        <v>0</v>
      </c>
      <c r="BL91" s="31">
        <v>0</v>
      </c>
      <c r="BO91" s="31">
        <v>0</v>
      </c>
      <c r="BP91" s="31" t="b">
        <f t="shared" si="57"/>
        <v>1</v>
      </c>
    </row>
    <row r="92" spans="2:68" s="31" customFormat="1" x14ac:dyDescent="0.25">
      <c r="B92" s="21" t="s">
        <v>200</v>
      </c>
      <c r="C92" s="22" t="s">
        <v>29</v>
      </c>
      <c r="D92" s="23" t="s">
        <v>201</v>
      </c>
      <c r="E92" s="24">
        <v>17.5</v>
      </c>
      <c r="F92" s="24">
        <v>17.5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f t="shared" si="41"/>
        <v>0</v>
      </c>
      <c r="M92" s="22">
        <v>0</v>
      </c>
      <c r="N92" s="22">
        <f t="shared" si="40"/>
        <v>0</v>
      </c>
      <c r="O92" s="153">
        <v>0</v>
      </c>
      <c r="P92" s="153">
        <v>0</v>
      </c>
      <c r="Q92" s="153">
        <v>0</v>
      </c>
      <c r="R92" s="153">
        <v>0</v>
      </c>
      <c r="S92" s="153">
        <f t="shared" si="42"/>
        <v>0</v>
      </c>
      <c r="T92" s="153">
        <v>0</v>
      </c>
      <c r="U92" s="153">
        <f t="shared" si="43"/>
        <v>0</v>
      </c>
      <c r="V92" s="154">
        <v>0</v>
      </c>
      <c r="W92" s="154">
        <v>0</v>
      </c>
      <c r="X92" s="154">
        <v>0</v>
      </c>
      <c r="Y92" s="154">
        <v>0</v>
      </c>
      <c r="Z92" s="154">
        <f t="shared" si="44"/>
        <v>0</v>
      </c>
      <c r="AA92" s="154">
        <v>0</v>
      </c>
      <c r="AB92" s="154">
        <f t="shared" si="45"/>
        <v>0</v>
      </c>
      <c r="AC92" s="154">
        <v>0</v>
      </c>
      <c r="AD92" s="154">
        <v>0</v>
      </c>
      <c r="AE92" s="154">
        <v>0</v>
      </c>
      <c r="AF92" s="154">
        <v>0</v>
      </c>
      <c r="AG92" s="154">
        <f t="shared" si="46"/>
        <v>0</v>
      </c>
      <c r="AH92" s="154">
        <v>0</v>
      </c>
      <c r="AI92" s="154">
        <f t="shared" si="47"/>
        <v>0</v>
      </c>
      <c r="AJ92" s="154">
        <v>0</v>
      </c>
      <c r="AK92" s="154">
        <v>0</v>
      </c>
      <c r="AL92" s="154">
        <v>0</v>
      </c>
      <c r="AM92" s="154">
        <v>0</v>
      </c>
      <c r="AN92" s="154">
        <f t="shared" si="58"/>
        <v>0</v>
      </c>
      <c r="AO92" s="154">
        <v>0</v>
      </c>
      <c r="AP92" s="154">
        <f t="shared" si="48"/>
        <v>0</v>
      </c>
      <c r="AQ92" s="154">
        <f t="shared" si="59"/>
        <v>0</v>
      </c>
      <c r="AR92" s="154">
        <f t="shared" si="60"/>
        <v>0</v>
      </c>
      <c r="AS92" s="154">
        <f t="shared" si="61"/>
        <v>0</v>
      </c>
      <c r="AT92" s="154">
        <f t="shared" si="62"/>
        <v>0</v>
      </c>
      <c r="AU92" s="154">
        <f t="shared" si="49"/>
        <v>0</v>
      </c>
      <c r="AV92" s="154">
        <f t="shared" si="67"/>
        <v>0</v>
      </c>
      <c r="AW92" s="154">
        <f t="shared" si="50"/>
        <v>0</v>
      </c>
      <c r="AX92" s="25"/>
      <c r="AY92" s="26"/>
      <c r="AZ92" s="28">
        <f t="shared" si="51"/>
        <v>0</v>
      </c>
      <c r="BA92" s="28"/>
      <c r="BB92" s="28">
        <f t="shared" si="52"/>
        <v>0</v>
      </c>
      <c r="BC92" s="28">
        <f t="shared" si="53"/>
        <v>0</v>
      </c>
      <c r="BD92" s="28">
        <f t="shared" si="54"/>
        <v>0</v>
      </c>
      <c r="BE92" s="28">
        <f t="shared" si="55"/>
        <v>0</v>
      </c>
      <c r="BF92" s="28">
        <f t="shared" si="64"/>
        <v>0</v>
      </c>
      <c r="BG92" s="29">
        <f t="shared" si="56"/>
        <v>0</v>
      </c>
      <c r="BH92" s="29">
        <f t="shared" si="65"/>
        <v>0</v>
      </c>
      <c r="BI92" s="30"/>
      <c r="BJ92" s="23" t="s">
        <v>201</v>
      </c>
      <c r="BK92" s="31">
        <v>0</v>
      </c>
      <c r="BL92" s="31">
        <v>0</v>
      </c>
      <c r="BO92" s="31">
        <v>0</v>
      </c>
      <c r="BP92" s="31" t="b">
        <f t="shared" si="57"/>
        <v>1</v>
      </c>
    </row>
    <row r="93" spans="2:68" s="31" customFormat="1" x14ac:dyDescent="0.25">
      <c r="B93" s="21" t="s">
        <v>202</v>
      </c>
      <c r="C93" s="22" t="s">
        <v>29</v>
      </c>
      <c r="D93" s="23" t="s">
        <v>203</v>
      </c>
      <c r="E93" s="24">
        <v>12.45</v>
      </c>
      <c r="F93" s="24">
        <v>12.45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f t="shared" si="41"/>
        <v>0</v>
      </c>
      <c r="M93" s="22">
        <v>0</v>
      </c>
      <c r="N93" s="22">
        <f t="shared" si="40"/>
        <v>0</v>
      </c>
      <c r="O93" s="153">
        <v>0</v>
      </c>
      <c r="P93" s="153">
        <v>0</v>
      </c>
      <c r="Q93" s="153">
        <v>0</v>
      </c>
      <c r="R93" s="153">
        <v>0</v>
      </c>
      <c r="S93" s="153">
        <f t="shared" si="42"/>
        <v>0</v>
      </c>
      <c r="T93" s="153">
        <v>0</v>
      </c>
      <c r="U93" s="153">
        <f t="shared" si="43"/>
        <v>0</v>
      </c>
      <c r="V93" s="154">
        <v>0</v>
      </c>
      <c r="W93" s="154">
        <v>0</v>
      </c>
      <c r="X93" s="154">
        <v>0</v>
      </c>
      <c r="Y93" s="154">
        <v>0</v>
      </c>
      <c r="Z93" s="154">
        <f t="shared" si="44"/>
        <v>0</v>
      </c>
      <c r="AA93" s="154">
        <v>0</v>
      </c>
      <c r="AB93" s="154">
        <f t="shared" si="45"/>
        <v>0</v>
      </c>
      <c r="AC93" s="154">
        <v>0</v>
      </c>
      <c r="AD93" s="154">
        <v>0</v>
      </c>
      <c r="AE93" s="154">
        <v>0</v>
      </c>
      <c r="AF93" s="154">
        <v>0</v>
      </c>
      <c r="AG93" s="154">
        <f t="shared" si="46"/>
        <v>0</v>
      </c>
      <c r="AH93" s="154">
        <v>0</v>
      </c>
      <c r="AI93" s="154">
        <f t="shared" si="47"/>
        <v>0</v>
      </c>
      <c r="AJ93" s="154">
        <v>0</v>
      </c>
      <c r="AK93" s="154">
        <v>0</v>
      </c>
      <c r="AL93" s="154">
        <v>0</v>
      </c>
      <c r="AM93" s="154">
        <v>0</v>
      </c>
      <c r="AN93" s="154">
        <f t="shared" si="58"/>
        <v>0</v>
      </c>
      <c r="AO93" s="154">
        <v>0</v>
      </c>
      <c r="AP93" s="154">
        <f t="shared" si="48"/>
        <v>0</v>
      </c>
      <c r="AQ93" s="154">
        <f t="shared" si="59"/>
        <v>0</v>
      </c>
      <c r="AR93" s="154">
        <f t="shared" si="60"/>
        <v>0</v>
      </c>
      <c r="AS93" s="154">
        <f t="shared" si="61"/>
        <v>0</v>
      </c>
      <c r="AT93" s="154">
        <f t="shared" si="62"/>
        <v>0</v>
      </c>
      <c r="AU93" s="154">
        <f t="shared" si="49"/>
        <v>0</v>
      </c>
      <c r="AV93" s="154">
        <f t="shared" si="67"/>
        <v>0</v>
      </c>
      <c r="AW93" s="154">
        <f t="shared" si="50"/>
        <v>0</v>
      </c>
      <c r="AX93" s="25"/>
      <c r="AY93" s="26"/>
      <c r="AZ93" s="28">
        <f t="shared" si="51"/>
        <v>0</v>
      </c>
      <c r="BA93" s="28"/>
      <c r="BB93" s="28">
        <f t="shared" si="52"/>
        <v>0</v>
      </c>
      <c r="BC93" s="28">
        <f t="shared" si="53"/>
        <v>0</v>
      </c>
      <c r="BD93" s="28">
        <f t="shared" si="54"/>
        <v>0</v>
      </c>
      <c r="BE93" s="28">
        <f t="shared" si="55"/>
        <v>0</v>
      </c>
      <c r="BF93" s="28">
        <f t="shared" si="64"/>
        <v>0</v>
      </c>
      <c r="BG93" s="29">
        <f t="shared" si="56"/>
        <v>0</v>
      </c>
      <c r="BH93" s="29">
        <f t="shared" si="65"/>
        <v>0</v>
      </c>
      <c r="BI93" s="30"/>
      <c r="BJ93" s="23" t="s">
        <v>203</v>
      </c>
      <c r="BK93" s="31">
        <v>0</v>
      </c>
      <c r="BL93" s="31">
        <v>0</v>
      </c>
      <c r="BO93" s="31">
        <v>0</v>
      </c>
      <c r="BP93" s="31" t="b">
        <f t="shared" si="57"/>
        <v>1</v>
      </c>
    </row>
    <row r="94" spans="2:68" s="31" customFormat="1" x14ac:dyDescent="0.25">
      <c r="B94" s="21" t="s">
        <v>204</v>
      </c>
      <c r="C94" s="22" t="s">
        <v>58</v>
      </c>
      <c r="D94" s="23" t="s">
        <v>205</v>
      </c>
      <c r="E94" s="24">
        <v>1.93</v>
      </c>
      <c r="F94" s="24">
        <v>2.0699999999999998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f t="shared" si="41"/>
        <v>0</v>
      </c>
      <c r="M94" s="22">
        <v>0</v>
      </c>
      <c r="N94" s="22">
        <f t="shared" si="40"/>
        <v>0</v>
      </c>
      <c r="O94" s="153">
        <v>0</v>
      </c>
      <c r="P94" s="153">
        <v>0</v>
      </c>
      <c r="Q94" s="153">
        <v>0</v>
      </c>
      <c r="R94" s="153">
        <v>0</v>
      </c>
      <c r="S94" s="153">
        <f t="shared" si="42"/>
        <v>0</v>
      </c>
      <c r="T94" s="153">
        <v>0</v>
      </c>
      <c r="U94" s="153">
        <f t="shared" si="43"/>
        <v>0</v>
      </c>
      <c r="V94" s="154">
        <v>0</v>
      </c>
      <c r="W94" s="154">
        <v>0</v>
      </c>
      <c r="X94" s="154">
        <v>0</v>
      </c>
      <c r="Y94" s="154">
        <v>0</v>
      </c>
      <c r="Z94" s="154">
        <f t="shared" si="44"/>
        <v>0</v>
      </c>
      <c r="AA94" s="154">
        <v>0</v>
      </c>
      <c r="AB94" s="154">
        <f t="shared" si="45"/>
        <v>0</v>
      </c>
      <c r="AC94" s="154">
        <v>0</v>
      </c>
      <c r="AD94" s="154">
        <v>0</v>
      </c>
      <c r="AE94" s="154">
        <v>0</v>
      </c>
      <c r="AF94" s="154">
        <v>0</v>
      </c>
      <c r="AG94" s="154">
        <f t="shared" si="46"/>
        <v>0</v>
      </c>
      <c r="AH94" s="154">
        <v>0</v>
      </c>
      <c r="AI94" s="154">
        <f t="shared" si="47"/>
        <v>0</v>
      </c>
      <c r="AJ94" s="154">
        <v>0</v>
      </c>
      <c r="AK94" s="154">
        <v>0</v>
      </c>
      <c r="AL94" s="154">
        <v>0</v>
      </c>
      <c r="AM94" s="154">
        <v>0</v>
      </c>
      <c r="AN94" s="154">
        <f t="shared" si="58"/>
        <v>0</v>
      </c>
      <c r="AO94" s="154">
        <v>0</v>
      </c>
      <c r="AP94" s="154">
        <f t="shared" si="48"/>
        <v>0</v>
      </c>
      <c r="AQ94" s="154">
        <f t="shared" si="59"/>
        <v>0</v>
      </c>
      <c r="AR94" s="154">
        <f t="shared" si="60"/>
        <v>0</v>
      </c>
      <c r="AS94" s="154">
        <f t="shared" si="61"/>
        <v>0</v>
      </c>
      <c r="AT94" s="154">
        <f t="shared" si="62"/>
        <v>0</v>
      </c>
      <c r="AU94" s="154">
        <f t="shared" si="49"/>
        <v>0</v>
      </c>
      <c r="AV94" s="154">
        <f t="shared" si="67"/>
        <v>0</v>
      </c>
      <c r="AW94" s="154">
        <f t="shared" si="50"/>
        <v>0</v>
      </c>
      <c r="AX94" s="25"/>
      <c r="AY94" s="26"/>
      <c r="AZ94" s="28">
        <f t="shared" si="51"/>
        <v>0</v>
      </c>
      <c r="BA94" s="28"/>
      <c r="BB94" s="28">
        <f t="shared" si="52"/>
        <v>0</v>
      </c>
      <c r="BC94" s="28">
        <f t="shared" si="53"/>
        <v>0</v>
      </c>
      <c r="BD94" s="28">
        <f t="shared" si="54"/>
        <v>0</v>
      </c>
      <c r="BE94" s="28">
        <f t="shared" si="55"/>
        <v>0</v>
      </c>
      <c r="BF94" s="28">
        <f t="shared" si="64"/>
        <v>0</v>
      </c>
      <c r="BG94" s="29">
        <f t="shared" si="56"/>
        <v>0</v>
      </c>
      <c r="BH94" s="29">
        <f t="shared" si="65"/>
        <v>0</v>
      </c>
      <c r="BI94" s="30"/>
      <c r="BJ94" s="23" t="s">
        <v>205</v>
      </c>
      <c r="BK94" s="31">
        <v>0</v>
      </c>
      <c r="BL94" s="31">
        <v>0</v>
      </c>
      <c r="BO94" s="31">
        <v>0</v>
      </c>
      <c r="BP94" s="31" t="b">
        <f t="shared" si="57"/>
        <v>1</v>
      </c>
    </row>
    <row r="95" spans="2:68" s="31" customFormat="1" x14ac:dyDescent="0.25">
      <c r="B95" s="21" t="s">
        <v>206</v>
      </c>
      <c r="C95" s="22" t="s">
        <v>29</v>
      </c>
      <c r="D95" s="23" t="s">
        <v>207</v>
      </c>
      <c r="E95" s="24">
        <v>13.06</v>
      </c>
      <c r="F95" s="24">
        <v>12.92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f t="shared" si="41"/>
        <v>0</v>
      </c>
      <c r="M95" s="22">
        <v>0</v>
      </c>
      <c r="N95" s="22">
        <f t="shared" si="40"/>
        <v>0</v>
      </c>
      <c r="O95" s="153">
        <v>0</v>
      </c>
      <c r="P95" s="153">
        <v>0</v>
      </c>
      <c r="Q95" s="153">
        <v>0</v>
      </c>
      <c r="R95" s="153">
        <v>0</v>
      </c>
      <c r="S95" s="153">
        <f t="shared" si="42"/>
        <v>0</v>
      </c>
      <c r="T95" s="153">
        <v>0</v>
      </c>
      <c r="U95" s="153">
        <f t="shared" si="43"/>
        <v>0</v>
      </c>
      <c r="V95" s="154">
        <v>0</v>
      </c>
      <c r="W95" s="154">
        <v>0</v>
      </c>
      <c r="X95" s="154">
        <v>0</v>
      </c>
      <c r="Y95" s="154">
        <v>0</v>
      </c>
      <c r="Z95" s="154">
        <f t="shared" si="44"/>
        <v>0</v>
      </c>
      <c r="AA95" s="154">
        <v>0</v>
      </c>
      <c r="AB95" s="154">
        <f t="shared" si="45"/>
        <v>0</v>
      </c>
      <c r="AC95" s="154">
        <v>0</v>
      </c>
      <c r="AD95" s="154">
        <v>0</v>
      </c>
      <c r="AE95" s="154">
        <v>0</v>
      </c>
      <c r="AF95" s="154">
        <v>0</v>
      </c>
      <c r="AG95" s="154">
        <f t="shared" si="46"/>
        <v>0</v>
      </c>
      <c r="AH95" s="154">
        <v>0</v>
      </c>
      <c r="AI95" s="154">
        <f t="shared" si="47"/>
        <v>0</v>
      </c>
      <c r="AJ95" s="154">
        <v>0</v>
      </c>
      <c r="AK95" s="154">
        <v>0</v>
      </c>
      <c r="AL95" s="154">
        <v>0</v>
      </c>
      <c r="AM95" s="154">
        <v>0</v>
      </c>
      <c r="AN95" s="154">
        <f t="shared" si="58"/>
        <v>0</v>
      </c>
      <c r="AO95" s="154">
        <v>0</v>
      </c>
      <c r="AP95" s="154">
        <f t="shared" si="48"/>
        <v>0</v>
      </c>
      <c r="AQ95" s="154">
        <f t="shared" si="59"/>
        <v>0</v>
      </c>
      <c r="AR95" s="154">
        <f t="shared" si="60"/>
        <v>0</v>
      </c>
      <c r="AS95" s="154">
        <f t="shared" si="61"/>
        <v>0</v>
      </c>
      <c r="AT95" s="154">
        <f t="shared" si="62"/>
        <v>0</v>
      </c>
      <c r="AU95" s="154">
        <f t="shared" si="49"/>
        <v>0</v>
      </c>
      <c r="AV95" s="154">
        <f t="shared" si="67"/>
        <v>0</v>
      </c>
      <c r="AW95" s="154">
        <f t="shared" si="50"/>
        <v>0</v>
      </c>
      <c r="AX95" s="25"/>
      <c r="AY95" s="26"/>
      <c r="AZ95" s="28">
        <f t="shared" si="51"/>
        <v>0</v>
      </c>
      <c r="BA95" s="28">
        <v>6</v>
      </c>
      <c r="BB95" s="28">
        <f t="shared" si="52"/>
        <v>0</v>
      </c>
      <c r="BC95" s="28">
        <f t="shared" si="53"/>
        <v>0</v>
      </c>
      <c r="BD95" s="28">
        <f t="shared" si="54"/>
        <v>0</v>
      </c>
      <c r="BE95" s="28">
        <f t="shared" si="55"/>
        <v>0</v>
      </c>
      <c r="BF95" s="28">
        <f t="shared" si="64"/>
        <v>6</v>
      </c>
      <c r="BG95" s="29">
        <f t="shared" si="56"/>
        <v>0</v>
      </c>
      <c r="BH95" s="29">
        <f t="shared" si="65"/>
        <v>-6</v>
      </c>
      <c r="BI95" s="30"/>
      <c r="BJ95" s="23" t="s">
        <v>207</v>
      </c>
      <c r="BK95" s="31">
        <v>0</v>
      </c>
      <c r="BL95" s="31">
        <v>0</v>
      </c>
      <c r="BO95" s="31">
        <v>0</v>
      </c>
      <c r="BP95" s="31" t="b">
        <f t="shared" si="57"/>
        <v>1</v>
      </c>
    </row>
    <row r="96" spans="2:68" s="31" customFormat="1" ht="15" customHeight="1" x14ac:dyDescent="0.25">
      <c r="B96" s="21" t="s">
        <v>208</v>
      </c>
      <c r="C96" s="22" t="s">
        <v>58</v>
      </c>
      <c r="D96" s="23" t="s">
        <v>209</v>
      </c>
      <c r="E96" s="24">
        <v>6.13</v>
      </c>
      <c r="F96" s="24">
        <v>6.13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f t="shared" si="41"/>
        <v>0</v>
      </c>
      <c r="M96" s="22">
        <v>0</v>
      </c>
      <c r="N96" s="22">
        <f t="shared" si="40"/>
        <v>0</v>
      </c>
      <c r="O96" s="153">
        <v>0</v>
      </c>
      <c r="P96" s="153">
        <v>0</v>
      </c>
      <c r="Q96" s="153">
        <v>0</v>
      </c>
      <c r="R96" s="153">
        <v>0</v>
      </c>
      <c r="S96" s="153">
        <f t="shared" si="42"/>
        <v>0</v>
      </c>
      <c r="T96" s="153">
        <v>0</v>
      </c>
      <c r="U96" s="153">
        <f t="shared" si="43"/>
        <v>0</v>
      </c>
      <c r="V96" s="154">
        <v>0</v>
      </c>
      <c r="W96" s="154">
        <v>0</v>
      </c>
      <c r="X96" s="154">
        <v>0</v>
      </c>
      <c r="Y96" s="154">
        <v>0</v>
      </c>
      <c r="Z96" s="154">
        <f t="shared" si="44"/>
        <v>0</v>
      </c>
      <c r="AA96" s="154">
        <v>0</v>
      </c>
      <c r="AB96" s="154">
        <f t="shared" si="45"/>
        <v>0</v>
      </c>
      <c r="AC96" s="154">
        <v>0</v>
      </c>
      <c r="AD96" s="154">
        <v>0</v>
      </c>
      <c r="AE96" s="154"/>
      <c r="AF96" s="154"/>
      <c r="AG96" s="154">
        <f t="shared" si="46"/>
        <v>0</v>
      </c>
      <c r="AH96" s="154">
        <v>0</v>
      </c>
      <c r="AI96" s="154">
        <f t="shared" si="47"/>
        <v>0</v>
      </c>
      <c r="AJ96" s="154">
        <v>0</v>
      </c>
      <c r="AK96" s="154">
        <v>0</v>
      </c>
      <c r="AL96" s="154">
        <v>0</v>
      </c>
      <c r="AM96" s="154">
        <v>0</v>
      </c>
      <c r="AN96" s="154">
        <f t="shared" si="58"/>
        <v>0</v>
      </c>
      <c r="AO96" s="154">
        <v>0</v>
      </c>
      <c r="AP96" s="154">
        <f t="shared" si="48"/>
        <v>0</v>
      </c>
      <c r="AQ96" s="154">
        <f t="shared" si="59"/>
        <v>0</v>
      </c>
      <c r="AR96" s="154">
        <f t="shared" si="60"/>
        <v>0</v>
      </c>
      <c r="AS96" s="154">
        <f t="shared" si="61"/>
        <v>0</v>
      </c>
      <c r="AT96" s="154">
        <f t="shared" si="62"/>
        <v>0</v>
      </c>
      <c r="AU96" s="154">
        <f t="shared" si="49"/>
        <v>0</v>
      </c>
      <c r="AV96" s="154">
        <f t="shared" si="67"/>
        <v>0</v>
      </c>
      <c r="AW96" s="154">
        <f t="shared" si="50"/>
        <v>0</v>
      </c>
      <c r="AX96" s="25"/>
      <c r="AY96" s="26"/>
      <c r="AZ96" s="28">
        <f t="shared" si="51"/>
        <v>0</v>
      </c>
      <c r="BA96" s="28"/>
      <c r="BB96" s="28">
        <f t="shared" si="52"/>
        <v>0</v>
      </c>
      <c r="BC96" s="28">
        <f t="shared" si="53"/>
        <v>0</v>
      </c>
      <c r="BD96" s="28">
        <f t="shared" si="54"/>
        <v>0</v>
      </c>
      <c r="BE96" s="28">
        <f t="shared" si="55"/>
        <v>0</v>
      </c>
      <c r="BF96" s="28">
        <f t="shared" si="64"/>
        <v>0</v>
      </c>
      <c r="BG96" s="29">
        <f t="shared" si="56"/>
        <v>0</v>
      </c>
      <c r="BH96" s="29">
        <f t="shared" si="65"/>
        <v>0</v>
      </c>
      <c r="BI96" s="30"/>
      <c r="BJ96" s="23" t="s">
        <v>209</v>
      </c>
      <c r="BK96" s="31">
        <v>0</v>
      </c>
      <c r="BL96" s="31">
        <v>0</v>
      </c>
      <c r="BO96" s="31">
        <v>0</v>
      </c>
      <c r="BP96" s="31" t="b">
        <f t="shared" si="57"/>
        <v>1</v>
      </c>
    </row>
    <row r="97" spans="2:68" s="31" customFormat="1" ht="15" customHeight="1" x14ac:dyDescent="0.25">
      <c r="B97" s="21" t="s">
        <v>210</v>
      </c>
      <c r="C97" s="22" t="s">
        <v>58</v>
      </c>
      <c r="D97" s="23" t="s">
        <v>211</v>
      </c>
      <c r="E97" s="24">
        <v>2.83</v>
      </c>
      <c r="F97" s="24">
        <v>2.83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f t="shared" si="41"/>
        <v>0</v>
      </c>
      <c r="M97" s="22">
        <v>0</v>
      </c>
      <c r="N97" s="22">
        <f t="shared" si="40"/>
        <v>0</v>
      </c>
      <c r="O97" s="153">
        <v>0</v>
      </c>
      <c r="P97" s="153">
        <v>0</v>
      </c>
      <c r="Q97" s="153">
        <v>0</v>
      </c>
      <c r="R97" s="153">
        <v>0</v>
      </c>
      <c r="S97" s="153">
        <f t="shared" si="42"/>
        <v>0</v>
      </c>
      <c r="T97" s="153">
        <v>0</v>
      </c>
      <c r="U97" s="153">
        <f t="shared" si="43"/>
        <v>0</v>
      </c>
      <c r="V97" s="154">
        <v>0</v>
      </c>
      <c r="W97" s="154">
        <v>0</v>
      </c>
      <c r="X97" s="154">
        <v>0</v>
      </c>
      <c r="Y97" s="154">
        <v>0</v>
      </c>
      <c r="Z97" s="154">
        <f t="shared" si="44"/>
        <v>0</v>
      </c>
      <c r="AA97" s="154">
        <v>0</v>
      </c>
      <c r="AB97" s="154">
        <f t="shared" si="45"/>
        <v>0</v>
      </c>
      <c r="AC97" s="154">
        <v>0</v>
      </c>
      <c r="AD97" s="154">
        <v>0</v>
      </c>
      <c r="AE97" s="154">
        <v>0</v>
      </c>
      <c r="AF97" s="154">
        <v>0</v>
      </c>
      <c r="AG97" s="154">
        <f t="shared" si="46"/>
        <v>0</v>
      </c>
      <c r="AH97" s="154">
        <v>0</v>
      </c>
      <c r="AI97" s="154">
        <f t="shared" si="47"/>
        <v>0</v>
      </c>
      <c r="AJ97" s="154">
        <v>0</v>
      </c>
      <c r="AK97" s="154">
        <v>0</v>
      </c>
      <c r="AL97" s="154">
        <v>0</v>
      </c>
      <c r="AM97" s="154">
        <v>0</v>
      </c>
      <c r="AN97" s="154">
        <f t="shared" si="58"/>
        <v>0</v>
      </c>
      <c r="AO97" s="154">
        <v>0</v>
      </c>
      <c r="AP97" s="154">
        <f t="shared" si="48"/>
        <v>0</v>
      </c>
      <c r="AQ97" s="154">
        <f t="shared" si="59"/>
        <v>0</v>
      </c>
      <c r="AR97" s="154">
        <f t="shared" si="60"/>
        <v>0</v>
      </c>
      <c r="AS97" s="154">
        <f t="shared" si="61"/>
        <v>0</v>
      </c>
      <c r="AT97" s="154">
        <f t="shared" si="62"/>
        <v>0</v>
      </c>
      <c r="AU97" s="154">
        <f t="shared" si="49"/>
        <v>0</v>
      </c>
      <c r="AV97" s="154">
        <f t="shared" si="67"/>
        <v>0</v>
      </c>
      <c r="AW97" s="154">
        <f t="shared" si="50"/>
        <v>0</v>
      </c>
      <c r="AX97" s="25"/>
      <c r="AY97" s="26"/>
      <c r="AZ97" s="28">
        <f t="shared" si="51"/>
        <v>0</v>
      </c>
      <c r="BA97" s="28"/>
      <c r="BB97" s="28">
        <f t="shared" si="52"/>
        <v>0</v>
      </c>
      <c r="BC97" s="28">
        <f t="shared" si="53"/>
        <v>0</v>
      </c>
      <c r="BD97" s="28">
        <f t="shared" si="54"/>
        <v>0</v>
      </c>
      <c r="BE97" s="28">
        <f t="shared" si="55"/>
        <v>0</v>
      </c>
      <c r="BF97" s="28">
        <f t="shared" si="64"/>
        <v>0</v>
      </c>
      <c r="BG97" s="29">
        <f t="shared" si="56"/>
        <v>0</v>
      </c>
      <c r="BH97" s="29">
        <f t="shared" si="65"/>
        <v>0</v>
      </c>
      <c r="BI97" s="30"/>
      <c r="BJ97" s="23" t="s">
        <v>211</v>
      </c>
      <c r="BK97" s="31">
        <v>0</v>
      </c>
      <c r="BL97" s="31">
        <v>0</v>
      </c>
      <c r="BO97" s="31">
        <v>0</v>
      </c>
      <c r="BP97" s="31" t="b">
        <f t="shared" si="57"/>
        <v>1</v>
      </c>
    </row>
    <row r="98" spans="2:68" s="31" customFormat="1" ht="31.5" x14ac:dyDescent="0.25">
      <c r="B98" s="21" t="s">
        <v>212</v>
      </c>
      <c r="C98" s="22" t="s">
        <v>58</v>
      </c>
      <c r="D98" s="23" t="s">
        <v>213</v>
      </c>
      <c r="E98" s="24">
        <v>3.11</v>
      </c>
      <c r="F98" s="24">
        <v>3.11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f t="shared" si="41"/>
        <v>0</v>
      </c>
      <c r="M98" s="22">
        <v>0</v>
      </c>
      <c r="N98" s="22">
        <f t="shared" si="40"/>
        <v>0</v>
      </c>
      <c r="O98" s="153">
        <v>0</v>
      </c>
      <c r="P98" s="153">
        <v>0</v>
      </c>
      <c r="Q98" s="153">
        <v>0</v>
      </c>
      <c r="R98" s="153">
        <v>0</v>
      </c>
      <c r="S98" s="153">
        <f t="shared" si="42"/>
        <v>0</v>
      </c>
      <c r="T98" s="153">
        <v>0</v>
      </c>
      <c r="U98" s="153">
        <f t="shared" si="43"/>
        <v>0</v>
      </c>
      <c r="V98" s="154">
        <v>0</v>
      </c>
      <c r="W98" s="154">
        <v>0</v>
      </c>
      <c r="X98" s="154">
        <v>0</v>
      </c>
      <c r="Y98" s="154">
        <v>0</v>
      </c>
      <c r="Z98" s="154">
        <f t="shared" si="44"/>
        <v>0</v>
      </c>
      <c r="AA98" s="154">
        <v>0</v>
      </c>
      <c r="AB98" s="154">
        <f t="shared" si="45"/>
        <v>0</v>
      </c>
      <c r="AC98" s="154">
        <v>0</v>
      </c>
      <c r="AD98" s="154">
        <v>0</v>
      </c>
      <c r="AE98" s="154">
        <v>0</v>
      </c>
      <c r="AF98" s="154">
        <v>0</v>
      </c>
      <c r="AG98" s="154">
        <f t="shared" si="46"/>
        <v>0</v>
      </c>
      <c r="AH98" s="154">
        <v>0</v>
      </c>
      <c r="AI98" s="154">
        <f t="shared" si="47"/>
        <v>0</v>
      </c>
      <c r="AJ98" s="154">
        <v>0</v>
      </c>
      <c r="AK98" s="154">
        <v>0</v>
      </c>
      <c r="AL98" s="154">
        <v>0</v>
      </c>
      <c r="AM98" s="154">
        <v>0</v>
      </c>
      <c r="AN98" s="154">
        <f t="shared" si="58"/>
        <v>0</v>
      </c>
      <c r="AO98" s="154">
        <v>0</v>
      </c>
      <c r="AP98" s="154">
        <f t="shared" si="48"/>
        <v>0</v>
      </c>
      <c r="AQ98" s="154">
        <f t="shared" si="59"/>
        <v>0</v>
      </c>
      <c r="AR98" s="154">
        <f t="shared" si="60"/>
        <v>0</v>
      </c>
      <c r="AS98" s="154">
        <f t="shared" si="61"/>
        <v>0</v>
      </c>
      <c r="AT98" s="154">
        <f t="shared" si="62"/>
        <v>0</v>
      </c>
      <c r="AU98" s="154">
        <f t="shared" si="49"/>
        <v>0</v>
      </c>
      <c r="AV98" s="154">
        <f t="shared" si="67"/>
        <v>0</v>
      </c>
      <c r="AW98" s="154">
        <f t="shared" si="50"/>
        <v>0</v>
      </c>
      <c r="AX98" s="25"/>
      <c r="AY98" s="26"/>
      <c r="AZ98" s="28">
        <f t="shared" si="51"/>
        <v>0</v>
      </c>
      <c r="BA98" s="28"/>
      <c r="BB98" s="28">
        <f t="shared" si="52"/>
        <v>0</v>
      </c>
      <c r="BC98" s="28">
        <f t="shared" si="53"/>
        <v>0</v>
      </c>
      <c r="BD98" s="28">
        <f t="shared" si="54"/>
        <v>0</v>
      </c>
      <c r="BE98" s="28">
        <f t="shared" si="55"/>
        <v>0</v>
      </c>
      <c r="BF98" s="28">
        <f t="shared" si="64"/>
        <v>0</v>
      </c>
      <c r="BG98" s="29">
        <f t="shared" si="56"/>
        <v>0</v>
      </c>
      <c r="BH98" s="29">
        <f t="shared" si="65"/>
        <v>0</v>
      </c>
      <c r="BI98" s="30"/>
      <c r="BJ98" s="23" t="s">
        <v>213</v>
      </c>
      <c r="BK98" s="31">
        <v>0</v>
      </c>
      <c r="BL98" s="31">
        <v>0</v>
      </c>
      <c r="BO98" s="31">
        <v>0</v>
      </c>
      <c r="BP98" s="31" t="b">
        <f t="shared" si="57"/>
        <v>1</v>
      </c>
    </row>
    <row r="99" spans="2:68" s="31" customFormat="1" ht="45" customHeight="1" x14ac:dyDescent="0.25">
      <c r="B99" s="21" t="s">
        <v>214</v>
      </c>
      <c r="C99" s="22" t="s">
        <v>29</v>
      </c>
      <c r="D99" s="23" t="s">
        <v>215</v>
      </c>
      <c r="E99" s="24">
        <v>6.52</v>
      </c>
      <c r="F99" s="24">
        <v>6.52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f t="shared" si="41"/>
        <v>0</v>
      </c>
      <c r="M99" s="22">
        <v>0</v>
      </c>
      <c r="N99" s="22">
        <f t="shared" si="40"/>
        <v>0</v>
      </c>
      <c r="O99" s="153">
        <v>0</v>
      </c>
      <c r="P99" s="153">
        <v>0</v>
      </c>
      <c r="Q99" s="153">
        <v>0</v>
      </c>
      <c r="R99" s="153">
        <v>0</v>
      </c>
      <c r="S99" s="153">
        <f t="shared" si="42"/>
        <v>0</v>
      </c>
      <c r="T99" s="153">
        <v>0</v>
      </c>
      <c r="U99" s="153">
        <f t="shared" si="43"/>
        <v>0</v>
      </c>
      <c r="V99" s="154">
        <v>0</v>
      </c>
      <c r="W99" s="154">
        <v>0</v>
      </c>
      <c r="X99" s="154">
        <v>0</v>
      </c>
      <c r="Y99" s="154">
        <v>0</v>
      </c>
      <c r="Z99" s="154">
        <f t="shared" si="44"/>
        <v>0</v>
      </c>
      <c r="AA99" s="154">
        <v>0</v>
      </c>
      <c r="AB99" s="154">
        <f t="shared" si="45"/>
        <v>0</v>
      </c>
      <c r="AC99" s="154">
        <v>0</v>
      </c>
      <c r="AD99" s="154">
        <v>0</v>
      </c>
      <c r="AE99" s="154">
        <v>0</v>
      </c>
      <c r="AF99" s="154">
        <v>0</v>
      </c>
      <c r="AG99" s="154">
        <f t="shared" si="46"/>
        <v>0</v>
      </c>
      <c r="AH99" s="154">
        <v>0</v>
      </c>
      <c r="AI99" s="154">
        <f t="shared" si="47"/>
        <v>0</v>
      </c>
      <c r="AJ99" s="154">
        <v>0</v>
      </c>
      <c r="AK99" s="154">
        <v>0</v>
      </c>
      <c r="AL99" s="154">
        <v>0</v>
      </c>
      <c r="AM99" s="154">
        <v>0</v>
      </c>
      <c r="AN99" s="154">
        <f t="shared" si="58"/>
        <v>0</v>
      </c>
      <c r="AO99" s="154">
        <v>0</v>
      </c>
      <c r="AP99" s="154">
        <f t="shared" si="48"/>
        <v>0</v>
      </c>
      <c r="AQ99" s="154">
        <f t="shared" si="59"/>
        <v>0</v>
      </c>
      <c r="AR99" s="154">
        <f t="shared" si="60"/>
        <v>0</v>
      </c>
      <c r="AS99" s="154">
        <f t="shared" si="61"/>
        <v>0</v>
      </c>
      <c r="AT99" s="154">
        <f t="shared" si="62"/>
        <v>0</v>
      </c>
      <c r="AU99" s="154">
        <f t="shared" si="49"/>
        <v>0</v>
      </c>
      <c r="AV99" s="154">
        <f t="shared" si="67"/>
        <v>0</v>
      </c>
      <c r="AW99" s="154">
        <f t="shared" si="50"/>
        <v>0</v>
      </c>
      <c r="AX99" s="25"/>
      <c r="AY99" s="26"/>
      <c r="AZ99" s="28">
        <f t="shared" si="51"/>
        <v>0</v>
      </c>
      <c r="BA99" s="28"/>
      <c r="BB99" s="28">
        <f t="shared" si="52"/>
        <v>0</v>
      </c>
      <c r="BC99" s="28">
        <f t="shared" si="53"/>
        <v>0</v>
      </c>
      <c r="BD99" s="28">
        <f t="shared" si="54"/>
        <v>0</v>
      </c>
      <c r="BE99" s="28">
        <f t="shared" si="55"/>
        <v>0</v>
      </c>
      <c r="BF99" s="28">
        <f t="shared" si="64"/>
        <v>0</v>
      </c>
      <c r="BG99" s="29">
        <f t="shared" si="56"/>
        <v>0</v>
      </c>
      <c r="BH99" s="29">
        <f t="shared" si="65"/>
        <v>0</v>
      </c>
      <c r="BI99" s="30"/>
      <c r="BJ99" s="23" t="s">
        <v>215</v>
      </c>
      <c r="BK99" s="31">
        <v>0</v>
      </c>
      <c r="BL99" s="31">
        <v>0</v>
      </c>
      <c r="BO99" s="31">
        <v>0</v>
      </c>
      <c r="BP99" s="31" t="b">
        <f t="shared" si="57"/>
        <v>1</v>
      </c>
    </row>
    <row r="100" spans="2:68" s="31" customFormat="1" ht="15" customHeight="1" x14ac:dyDescent="0.25">
      <c r="B100" s="21" t="s">
        <v>216</v>
      </c>
      <c r="C100" s="22" t="s">
        <v>58</v>
      </c>
      <c r="D100" s="23" t="s">
        <v>217</v>
      </c>
      <c r="E100" s="24">
        <v>5.15</v>
      </c>
      <c r="F100" s="24">
        <v>2.58</v>
      </c>
      <c r="G100" s="22">
        <v>12</v>
      </c>
      <c r="H100" s="22">
        <v>0</v>
      </c>
      <c r="I100" s="22">
        <v>0</v>
      </c>
      <c r="J100" s="22">
        <v>0</v>
      </c>
      <c r="K100" s="22">
        <v>0</v>
      </c>
      <c r="L100" s="22">
        <f t="shared" si="41"/>
        <v>12</v>
      </c>
      <c r="M100" s="22">
        <v>12</v>
      </c>
      <c r="N100" s="22">
        <f t="shared" si="40"/>
        <v>0</v>
      </c>
      <c r="O100" s="153">
        <v>0</v>
      </c>
      <c r="P100" s="153">
        <v>0</v>
      </c>
      <c r="Q100" s="153">
        <v>0</v>
      </c>
      <c r="R100" s="153">
        <v>0</v>
      </c>
      <c r="S100" s="153">
        <f t="shared" si="42"/>
        <v>12</v>
      </c>
      <c r="T100" s="153">
        <v>12</v>
      </c>
      <c r="U100" s="153">
        <f t="shared" si="43"/>
        <v>0</v>
      </c>
      <c r="V100" s="154">
        <v>0</v>
      </c>
      <c r="W100" s="154">
        <v>0</v>
      </c>
      <c r="X100" s="154">
        <v>0</v>
      </c>
      <c r="Y100" s="154">
        <v>0</v>
      </c>
      <c r="Z100" s="154">
        <f t="shared" si="44"/>
        <v>12</v>
      </c>
      <c r="AA100" s="154">
        <v>12</v>
      </c>
      <c r="AB100" s="154">
        <f t="shared" si="45"/>
        <v>0</v>
      </c>
      <c r="AC100" s="154">
        <v>0</v>
      </c>
      <c r="AD100" s="154">
        <v>0</v>
      </c>
      <c r="AE100" s="154">
        <v>0</v>
      </c>
      <c r="AF100" s="154">
        <v>0</v>
      </c>
      <c r="AG100" s="154">
        <f t="shared" si="46"/>
        <v>12</v>
      </c>
      <c r="AH100" s="154">
        <v>12</v>
      </c>
      <c r="AI100" s="154">
        <f t="shared" si="47"/>
        <v>0</v>
      </c>
      <c r="AJ100" s="154">
        <v>0</v>
      </c>
      <c r="AK100" s="154">
        <v>0</v>
      </c>
      <c r="AL100" s="154">
        <v>0</v>
      </c>
      <c r="AM100" s="154">
        <v>0</v>
      </c>
      <c r="AN100" s="154">
        <f t="shared" si="58"/>
        <v>12</v>
      </c>
      <c r="AO100" s="154">
        <v>12</v>
      </c>
      <c r="AP100" s="154">
        <f t="shared" si="48"/>
        <v>0</v>
      </c>
      <c r="AQ100" s="154">
        <f t="shared" si="59"/>
        <v>0</v>
      </c>
      <c r="AR100" s="154">
        <f t="shared" si="60"/>
        <v>0</v>
      </c>
      <c r="AS100" s="154">
        <f t="shared" si="61"/>
        <v>0</v>
      </c>
      <c r="AT100" s="154">
        <f t="shared" si="62"/>
        <v>0</v>
      </c>
      <c r="AU100" s="154">
        <f t="shared" si="49"/>
        <v>12</v>
      </c>
      <c r="AV100" s="154">
        <v>12</v>
      </c>
      <c r="AW100" s="154">
        <f t="shared" si="50"/>
        <v>0</v>
      </c>
      <c r="AX100" s="25"/>
      <c r="AY100" s="26"/>
      <c r="AZ100" s="28">
        <f t="shared" si="51"/>
        <v>61.800000000000004</v>
      </c>
      <c r="BA100" s="28"/>
      <c r="BB100" s="28">
        <f t="shared" si="52"/>
        <v>0</v>
      </c>
      <c r="BC100" s="28">
        <f t="shared" si="53"/>
        <v>0</v>
      </c>
      <c r="BD100" s="28">
        <f t="shared" si="54"/>
        <v>0</v>
      </c>
      <c r="BE100" s="28">
        <f t="shared" si="55"/>
        <v>0</v>
      </c>
      <c r="BF100" s="28">
        <f t="shared" si="64"/>
        <v>61.800000000000004</v>
      </c>
      <c r="BG100" s="29">
        <f t="shared" si="56"/>
        <v>30.96</v>
      </c>
      <c r="BH100" s="29">
        <f t="shared" si="65"/>
        <v>-30.840000000000003</v>
      </c>
      <c r="BI100" s="30"/>
      <c r="BJ100" s="23" t="s">
        <v>217</v>
      </c>
      <c r="BK100" s="31">
        <v>0</v>
      </c>
      <c r="BL100" s="31">
        <v>12</v>
      </c>
      <c r="BO100" s="31">
        <v>12</v>
      </c>
      <c r="BP100" s="31" t="b">
        <f t="shared" si="57"/>
        <v>1</v>
      </c>
    </row>
    <row r="101" spans="2:68" s="31" customFormat="1" ht="15" customHeight="1" x14ac:dyDescent="0.25">
      <c r="B101" s="21"/>
      <c r="C101" s="22" t="s">
        <v>29</v>
      </c>
      <c r="D101" s="23" t="s">
        <v>218</v>
      </c>
      <c r="E101" s="24">
        <v>13.44</v>
      </c>
      <c r="F101" s="24">
        <v>13.44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f t="shared" si="41"/>
        <v>0</v>
      </c>
      <c r="M101" s="22">
        <v>0</v>
      </c>
      <c r="N101" s="22">
        <f t="shared" si="40"/>
        <v>0</v>
      </c>
      <c r="O101" s="153">
        <v>0</v>
      </c>
      <c r="P101" s="153">
        <v>0</v>
      </c>
      <c r="Q101" s="153">
        <v>0</v>
      </c>
      <c r="R101" s="153">
        <v>0</v>
      </c>
      <c r="S101" s="153">
        <f t="shared" si="42"/>
        <v>0</v>
      </c>
      <c r="T101" s="153">
        <v>0</v>
      </c>
      <c r="U101" s="153">
        <f t="shared" si="43"/>
        <v>0</v>
      </c>
      <c r="V101" s="154">
        <v>0</v>
      </c>
      <c r="W101" s="154">
        <v>0</v>
      </c>
      <c r="X101" s="154">
        <v>0</v>
      </c>
      <c r="Y101" s="154">
        <v>0</v>
      </c>
      <c r="Z101" s="154">
        <f t="shared" si="44"/>
        <v>0</v>
      </c>
      <c r="AA101" s="154">
        <v>0</v>
      </c>
      <c r="AB101" s="154">
        <f t="shared" si="45"/>
        <v>0</v>
      </c>
      <c r="AC101" s="154">
        <v>0</v>
      </c>
      <c r="AD101" s="154">
        <v>0</v>
      </c>
      <c r="AE101" s="154">
        <v>0</v>
      </c>
      <c r="AF101" s="154">
        <v>0</v>
      </c>
      <c r="AG101" s="154">
        <f t="shared" si="46"/>
        <v>0</v>
      </c>
      <c r="AH101" s="154">
        <v>0</v>
      </c>
      <c r="AI101" s="154">
        <f t="shared" si="47"/>
        <v>0</v>
      </c>
      <c r="AJ101" s="154">
        <v>0</v>
      </c>
      <c r="AK101" s="154">
        <v>0</v>
      </c>
      <c r="AL101" s="154">
        <v>0</v>
      </c>
      <c r="AM101" s="154">
        <v>0</v>
      </c>
      <c r="AN101" s="154">
        <f t="shared" si="58"/>
        <v>0</v>
      </c>
      <c r="AO101" s="154">
        <v>0</v>
      </c>
      <c r="AP101" s="154">
        <f t="shared" si="48"/>
        <v>0</v>
      </c>
      <c r="AQ101" s="154">
        <f t="shared" si="59"/>
        <v>0</v>
      </c>
      <c r="AR101" s="154">
        <f t="shared" si="60"/>
        <v>0</v>
      </c>
      <c r="AS101" s="154">
        <f t="shared" si="61"/>
        <v>0</v>
      </c>
      <c r="AT101" s="154">
        <f t="shared" si="62"/>
        <v>0</v>
      </c>
      <c r="AU101" s="154">
        <f t="shared" si="49"/>
        <v>0</v>
      </c>
      <c r="AV101" s="154">
        <f>AH101</f>
        <v>0</v>
      </c>
      <c r="AW101" s="154">
        <f t="shared" si="50"/>
        <v>0</v>
      </c>
      <c r="AX101" s="25"/>
      <c r="AY101" s="26"/>
      <c r="AZ101" s="28"/>
      <c r="BA101" s="28"/>
      <c r="BB101" s="28"/>
      <c r="BC101" s="28">
        <f t="shared" si="53"/>
        <v>0</v>
      </c>
      <c r="BD101" s="28"/>
      <c r="BE101" s="28">
        <f t="shared" si="55"/>
        <v>0</v>
      </c>
      <c r="BF101" s="28"/>
      <c r="BG101" s="29"/>
      <c r="BH101" s="29"/>
      <c r="BI101" s="30"/>
      <c r="BJ101" s="23" t="s">
        <v>218</v>
      </c>
      <c r="BK101" s="31">
        <v>0</v>
      </c>
      <c r="BL101" s="31">
        <v>0</v>
      </c>
      <c r="BO101" s="31">
        <v>0</v>
      </c>
      <c r="BP101" s="31" t="b">
        <f t="shared" si="57"/>
        <v>1</v>
      </c>
    </row>
    <row r="102" spans="2:68" s="31" customFormat="1" x14ac:dyDescent="0.25">
      <c r="B102" s="21" t="s">
        <v>219</v>
      </c>
      <c r="C102" s="22" t="s">
        <v>29</v>
      </c>
      <c r="D102" s="23" t="s">
        <v>220</v>
      </c>
      <c r="E102" s="24">
        <v>11.76</v>
      </c>
      <c r="F102" s="24">
        <v>11.76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f t="shared" si="41"/>
        <v>0</v>
      </c>
      <c r="M102" s="22">
        <v>0</v>
      </c>
      <c r="N102" s="22">
        <f t="shared" si="40"/>
        <v>0</v>
      </c>
      <c r="O102" s="153">
        <v>0</v>
      </c>
      <c r="P102" s="153">
        <v>0</v>
      </c>
      <c r="Q102" s="153">
        <v>0</v>
      </c>
      <c r="R102" s="153">
        <v>0</v>
      </c>
      <c r="S102" s="153">
        <f t="shared" si="42"/>
        <v>0</v>
      </c>
      <c r="T102" s="153">
        <v>0</v>
      </c>
      <c r="U102" s="153">
        <f t="shared" si="43"/>
        <v>0</v>
      </c>
      <c r="V102" s="154">
        <v>0</v>
      </c>
      <c r="W102" s="154">
        <v>0</v>
      </c>
      <c r="X102" s="154">
        <v>0</v>
      </c>
      <c r="Y102" s="154">
        <v>0</v>
      </c>
      <c r="Z102" s="154">
        <f t="shared" si="44"/>
        <v>0</v>
      </c>
      <c r="AA102" s="154">
        <v>0</v>
      </c>
      <c r="AB102" s="154">
        <f t="shared" si="45"/>
        <v>0</v>
      </c>
      <c r="AC102" s="154">
        <v>0</v>
      </c>
      <c r="AD102" s="154">
        <v>0</v>
      </c>
      <c r="AE102" s="154">
        <v>0</v>
      </c>
      <c r="AF102" s="154">
        <v>0</v>
      </c>
      <c r="AG102" s="154">
        <f t="shared" si="46"/>
        <v>0</v>
      </c>
      <c r="AH102" s="154">
        <v>0</v>
      </c>
      <c r="AI102" s="154">
        <f t="shared" si="47"/>
        <v>0</v>
      </c>
      <c r="AJ102" s="154">
        <v>0</v>
      </c>
      <c r="AK102" s="154">
        <v>0</v>
      </c>
      <c r="AL102" s="154">
        <v>0</v>
      </c>
      <c r="AM102" s="154">
        <v>0</v>
      </c>
      <c r="AN102" s="154">
        <f t="shared" si="58"/>
        <v>0</v>
      </c>
      <c r="AO102" s="154">
        <v>0</v>
      </c>
      <c r="AP102" s="154">
        <f t="shared" si="48"/>
        <v>0</v>
      </c>
      <c r="AQ102" s="154">
        <f t="shared" si="59"/>
        <v>0</v>
      </c>
      <c r="AR102" s="154">
        <f t="shared" si="60"/>
        <v>0</v>
      </c>
      <c r="AS102" s="154">
        <f t="shared" si="61"/>
        <v>0</v>
      </c>
      <c r="AT102" s="154">
        <f t="shared" si="62"/>
        <v>0</v>
      </c>
      <c r="AU102" s="154">
        <f t="shared" si="49"/>
        <v>0</v>
      </c>
      <c r="AV102" s="154">
        <f>AH102</f>
        <v>0</v>
      </c>
      <c r="AW102" s="154">
        <f t="shared" si="50"/>
        <v>0</v>
      </c>
      <c r="AX102" s="25"/>
      <c r="AY102" s="26"/>
      <c r="AZ102" s="28">
        <f t="shared" ref="AZ102:AZ133" si="68">E102*G102</f>
        <v>0</v>
      </c>
      <c r="BA102" s="28"/>
      <c r="BB102" s="28">
        <f>F102*H102</f>
        <v>0</v>
      </c>
      <c r="BC102" s="28">
        <f t="shared" si="53"/>
        <v>0</v>
      </c>
      <c r="BD102" s="28">
        <f>F102*J102</f>
        <v>0</v>
      </c>
      <c r="BE102" s="28">
        <f t="shared" si="55"/>
        <v>0</v>
      </c>
      <c r="BF102" s="28">
        <f t="shared" si="64"/>
        <v>0</v>
      </c>
      <c r="BG102" s="29">
        <f>F102*L102</f>
        <v>0</v>
      </c>
      <c r="BH102" s="29">
        <f t="shared" si="65"/>
        <v>0</v>
      </c>
      <c r="BI102" s="30"/>
      <c r="BJ102" s="23" t="s">
        <v>220</v>
      </c>
      <c r="BK102" s="31">
        <v>0</v>
      </c>
      <c r="BL102" s="31">
        <v>0</v>
      </c>
      <c r="BO102" s="31">
        <v>0</v>
      </c>
      <c r="BP102" s="31" t="b">
        <f t="shared" si="57"/>
        <v>1</v>
      </c>
    </row>
    <row r="103" spans="2:68" s="31" customFormat="1" x14ac:dyDescent="0.25">
      <c r="B103" s="21"/>
      <c r="C103" s="22"/>
      <c r="D103" s="23" t="s">
        <v>221</v>
      </c>
      <c r="E103" s="24">
        <v>0</v>
      </c>
      <c r="F103" s="24">
        <v>13.44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f t="shared" si="41"/>
        <v>0</v>
      </c>
      <c r="M103" s="22">
        <v>0</v>
      </c>
      <c r="N103" s="22">
        <f t="shared" si="40"/>
        <v>0</v>
      </c>
      <c r="O103" s="153">
        <v>0</v>
      </c>
      <c r="P103" s="153">
        <v>0</v>
      </c>
      <c r="Q103" s="153">
        <v>0</v>
      </c>
      <c r="R103" s="153">
        <v>0</v>
      </c>
      <c r="S103" s="153">
        <f t="shared" si="42"/>
        <v>0</v>
      </c>
      <c r="T103" s="153">
        <v>0</v>
      </c>
      <c r="U103" s="153">
        <f t="shared" si="43"/>
        <v>0</v>
      </c>
      <c r="V103" s="154">
        <v>0</v>
      </c>
      <c r="W103" s="154">
        <v>0</v>
      </c>
      <c r="X103" s="154">
        <v>0</v>
      </c>
      <c r="Y103" s="154">
        <v>0</v>
      </c>
      <c r="Z103" s="154">
        <f t="shared" si="44"/>
        <v>0</v>
      </c>
      <c r="AA103" s="154">
        <v>0</v>
      </c>
      <c r="AB103" s="154">
        <f t="shared" si="45"/>
        <v>0</v>
      </c>
      <c r="AC103" s="154">
        <v>0</v>
      </c>
      <c r="AD103" s="154">
        <v>0</v>
      </c>
      <c r="AE103" s="154">
        <v>0</v>
      </c>
      <c r="AF103" s="154">
        <v>0</v>
      </c>
      <c r="AG103" s="154">
        <f t="shared" si="46"/>
        <v>0</v>
      </c>
      <c r="AH103" s="154">
        <v>0</v>
      </c>
      <c r="AI103" s="154">
        <f t="shared" si="47"/>
        <v>0</v>
      </c>
      <c r="AJ103" s="154">
        <v>0</v>
      </c>
      <c r="AK103" s="154">
        <v>0</v>
      </c>
      <c r="AL103" s="154">
        <v>0</v>
      </c>
      <c r="AM103" s="154">
        <v>0</v>
      </c>
      <c r="AN103" s="154">
        <f t="shared" si="58"/>
        <v>0</v>
      </c>
      <c r="AO103" s="154">
        <v>0</v>
      </c>
      <c r="AP103" s="154">
        <f t="shared" si="48"/>
        <v>0</v>
      </c>
      <c r="AQ103" s="154">
        <f t="shared" si="59"/>
        <v>0</v>
      </c>
      <c r="AR103" s="154">
        <f t="shared" si="60"/>
        <v>0</v>
      </c>
      <c r="AS103" s="154">
        <f t="shared" si="61"/>
        <v>0</v>
      </c>
      <c r="AT103" s="154">
        <f t="shared" si="62"/>
        <v>0</v>
      </c>
      <c r="AU103" s="154">
        <f t="shared" si="49"/>
        <v>0</v>
      </c>
      <c r="AV103" s="154">
        <f>AH103</f>
        <v>0</v>
      </c>
      <c r="AW103" s="154">
        <f t="shared" si="50"/>
        <v>0</v>
      </c>
      <c r="AX103" s="25"/>
      <c r="AY103" s="26"/>
      <c r="AZ103" s="28">
        <f t="shared" si="68"/>
        <v>0</v>
      </c>
      <c r="BA103" s="28"/>
      <c r="BB103" s="28"/>
      <c r="BC103" s="28">
        <f t="shared" si="53"/>
        <v>0</v>
      </c>
      <c r="BD103" s="28"/>
      <c r="BE103" s="28">
        <f t="shared" si="55"/>
        <v>0</v>
      </c>
      <c r="BF103" s="28"/>
      <c r="BG103" s="29"/>
      <c r="BH103" s="29"/>
      <c r="BI103" s="30"/>
      <c r="BJ103" s="23" t="s">
        <v>221</v>
      </c>
      <c r="BK103" s="31">
        <v>0</v>
      </c>
      <c r="BL103" s="31">
        <v>0</v>
      </c>
      <c r="BO103" s="31">
        <v>0</v>
      </c>
      <c r="BP103" s="31" t="b">
        <f t="shared" si="57"/>
        <v>1</v>
      </c>
    </row>
    <row r="104" spans="2:68" s="31" customFormat="1" x14ac:dyDescent="0.25">
      <c r="B104" s="21" t="s">
        <v>222</v>
      </c>
      <c r="C104" s="22" t="s">
        <v>26</v>
      </c>
      <c r="D104" s="23" t="s">
        <v>223</v>
      </c>
      <c r="E104" s="24">
        <v>0.63</v>
      </c>
      <c r="F104" s="24">
        <v>0.63</v>
      </c>
      <c r="G104" s="22">
        <v>3800</v>
      </c>
      <c r="H104" s="22">
        <v>0</v>
      </c>
      <c r="I104" s="22">
        <v>0</v>
      </c>
      <c r="J104" s="22">
        <v>0</v>
      </c>
      <c r="K104" s="22">
        <v>0</v>
      </c>
      <c r="L104" s="22">
        <f t="shared" si="41"/>
        <v>3800</v>
      </c>
      <c r="M104" s="22">
        <v>3800</v>
      </c>
      <c r="N104" s="22">
        <f t="shared" si="40"/>
        <v>0</v>
      </c>
      <c r="O104" s="153">
        <v>0</v>
      </c>
      <c r="P104" s="153">
        <v>0</v>
      </c>
      <c r="Q104" s="153">
        <v>0</v>
      </c>
      <c r="R104" s="153">
        <v>0</v>
      </c>
      <c r="S104" s="153">
        <f t="shared" si="42"/>
        <v>3800</v>
      </c>
      <c r="T104" s="153">
        <v>3800</v>
      </c>
      <c r="U104" s="153">
        <f t="shared" si="43"/>
        <v>0</v>
      </c>
      <c r="V104" s="154">
        <v>0</v>
      </c>
      <c r="W104" s="154">
        <v>0</v>
      </c>
      <c r="X104" s="154">
        <v>0</v>
      </c>
      <c r="Y104" s="154">
        <v>0</v>
      </c>
      <c r="Z104" s="154">
        <f t="shared" si="44"/>
        <v>3800</v>
      </c>
      <c r="AA104" s="154">
        <v>3800</v>
      </c>
      <c r="AB104" s="154">
        <f t="shared" si="45"/>
        <v>0</v>
      </c>
      <c r="AC104" s="154">
        <v>0</v>
      </c>
      <c r="AD104" s="154">
        <v>0</v>
      </c>
      <c r="AE104" s="154">
        <v>0</v>
      </c>
      <c r="AF104" s="154">
        <v>0</v>
      </c>
      <c r="AG104" s="154">
        <f t="shared" si="46"/>
        <v>3800</v>
      </c>
      <c r="AH104" s="154">
        <v>3800</v>
      </c>
      <c r="AI104" s="154">
        <f t="shared" si="47"/>
        <v>0</v>
      </c>
      <c r="AJ104" s="154">
        <v>0</v>
      </c>
      <c r="AK104" s="154">
        <v>0</v>
      </c>
      <c r="AL104" s="154">
        <v>0</v>
      </c>
      <c r="AM104" s="154">
        <v>0</v>
      </c>
      <c r="AN104" s="154">
        <f t="shared" si="58"/>
        <v>3800</v>
      </c>
      <c r="AO104" s="154">
        <v>3800</v>
      </c>
      <c r="AP104" s="154">
        <f t="shared" si="48"/>
        <v>0</v>
      </c>
      <c r="AQ104" s="154">
        <f t="shared" si="59"/>
        <v>0</v>
      </c>
      <c r="AR104" s="154">
        <f t="shared" si="60"/>
        <v>0</v>
      </c>
      <c r="AS104" s="154">
        <f t="shared" si="61"/>
        <v>0</v>
      </c>
      <c r="AT104" s="154">
        <f t="shared" si="62"/>
        <v>0</v>
      </c>
      <c r="AU104" s="154">
        <f t="shared" ref="AU104:AU135" si="69">G104+AQ104+AR104-AS104-AT104</f>
        <v>3800</v>
      </c>
      <c r="AV104" s="154">
        <v>3800</v>
      </c>
      <c r="AW104" s="154">
        <f t="shared" si="50"/>
        <v>0</v>
      </c>
      <c r="AX104" s="25"/>
      <c r="AY104" s="26"/>
      <c r="AZ104" s="28">
        <f t="shared" si="68"/>
        <v>2394</v>
      </c>
      <c r="BA104" s="28"/>
      <c r="BB104" s="28">
        <f t="shared" ref="BB104:BB135" si="70">F104*H104</f>
        <v>0</v>
      </c>
      <c r="BC104" s="28">
        <f t="shared" ref="BC104:BC135" si="71">F104*I104</f>
        <v>0</v>
      </c>
      <c r="BD104" s="28">
        <f t="shared" ref="BD104:BD135" si="72">F104*J104</f>
        <v>0</v>
      </c>
      <c r="BE104" s="28">
        <f t="shared" ref="BE104:BE135" si="73">F104*K104</f>
        <v>0</v>
      </c>
      <c r="BF104" s="28">
        <f t="shared" si="64"/>
        <v>2394</v>
      </c>
      <c r="BG104" s="29">
        <f t="shared" ref="BG104:BG135" si="74">F104*L104</f>
        <v>2394</v>
      </c>
      <c r="BH104" s="29">
        <f t="shared" si="65"/>
        <v>0</v>
      </c>
      <c r="BI104" s="30"/>
      <c r="BJ104" s="23" t="s">
        <v>223</v>
      </c>
      <c r="BK104" s="31">
        <v>0</v>
      </c>
      <c r="BL104" s="31">
        <v>3800</v>
      </c>
      <c r="BO104" s="31">
        <v>3800</v>
      </c>
      <c r="BP104" s="31" t="b">
        <f t="shared" ref="BP104:BP135" si="75">D104=BJ104</f>
        <v>1</v>
      </c>
    </row>
    <row r="105" spans="2:68" s="31" customFormat="1" ht="30" customHeight="1" x14ac:dyDescent="0.25">
      <c r="B105" s="21" t="s">
        <v>224</v>
      </c>
      <c r="C105" s="22" t="s">
        <v>29</v>
      </c>
      <c r="D105" s="23" t="s">
        <v>225</v>
      </c>
      <c r="E105" s="24">
        <v>20.5</v>
      </c>
      <c r="F105" s="24">
        <v>20.5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f t="shared" si="41"/>
        <v>0</v>
      </c>
      <c r="M105" s="22">
        <v>0</v>
      </c>
      <c r="N105" s="22">
        <f t="shared" si="40"/>
        <v>0</v>
      </c>
      <c r="O105" s="153">
        <v>0</v>
      </c>
      <c r="P105" s="153">
        <v>0</v>
      </c>
      <c r="Q105" s="153">
        <v>0</v>
      </c>
      <c r="R105" s="153">
        <v>0</v>
      </c>
      <c r="S105" s="153">
        <f t="shared" si="42"/>
        <v>0</v>
      </c>
      <c r="T105" s="153">
        <v>0</v>
      </c>
      <c r="U105" s="153">
        <f t="shared" si="43"/>
        <v>0</v>
      </c>
      <c r="V105" s="154">
        <v>0</v>
      </c>
      <c r="W105" s="154">
        <v>0</v>
      </c>
      <c r="X105" s="154">
        <v>0</v>
      </c>
      <c r="Y105" s="154">
        <v>0</v>
      </c>
      <c r="Z105" s="154">
        <f t="shared" si="44"/>
        <v>0</v>
      </c>
      <c r="AA105" s="154">
        <v>0</v>
      </c>
      <c r="AB105" s="154">
        <f t="shared" si="45"/>
        <v>0</v>
      </c>
      <c r="AC105" s="154">
        <v>0</v>
      </c>
      <c r="AD105" s="154">
        <v>0</v>
      </c>
      <c r="AE105" s="154">
        <v>0</v>
      </c>
      <c r="AF105" s="154">
        <v>0</v>
      </c>
      <c r="AG105" s="154">
        <f t="shared" si="46"/>
        <v>0</v>
      </c>
      <c r="AH105" s="154">
        <v>0</v>
      </c>
      <c r="AI105" s="154">
        <f t="shared" si="47"/>
        <v>0</v>
      </c>
      <c r="AJ105" s="154">
        <v>0</v>
      </c>
      <c r="AK105" s="154">
        <v>0</v>
      </c>
      <c r="AL105" s="154">
        <v>0</v>
      </c>
      <c r="AM105" s="154">
        <v>0</v>
      </c>
      <c r="AN105" s="154">
        <f t="shared" si="58"/>
        <v>0</v>
      </c>
      <c r="AO105" s="154">
        <v>0</v>
      </c>
      <c r="AP105" s="154">
        <f t="shared" si="48"/>
        <v>0</v>
      </c>
      <c r="AQ105" s="154">
        <f t="shared" ref="AQ105:AQ136" si="76">H105+O105+V105+AC105+AJ105</f>
        <v>0</v>
      </c>
      <c r="AR105" s="154">
        <f t="shared" ref="AR105:AR136" si="77">I105+P105+W105+AD105+AK105</f>
        <v>0</v>
      </c>
      <c r="AS105" s="154">
        <f t="shared" si="61"/>
        <v>0</v>
      </c>
      <c r="AT105" s="154">
        <f t="shared" ref="AT105:AT136" si="78">K105+R105+Y105+AF105+AM105</f>
        <v>0</v>
      </c>
      <c r="AU105" s="154">
        <f t="shared" si="69"/>
        <v>0</v>
      </c>
      <c r="AV105" s="154">
        <f>AH105</f>
        <v>0</v>
      </c>
      <c r="AW105" s="154">
        <f t="shared" si="50"/>
        <v>0</v>
      </c>
      <c r="AX105" s="25"/>
      <c r="AY105" s="26"/>
      <c r="AZ105" s="28">
        <f t="shared" si="68"/>
        <v>0</v>
      </c>
      <c r="BA105" s="28"/>
      <c r="BB105" s="28">
        <f t="shared" si="70"/>
        <v>0</v>
      </c>
      <c r="BC105" s="28">
        <f t="shared" si="71"/>
        <v>0</v>
      </c>
      <c r="BD105" s="28">
        <f t="shared" si="72"/>
        <v>0</v>
      </c>
      <c r="BE105" s="28">
        <f t="shared" si="73"/>
        <v>0</v>
      </c>
      <c r="BF105" s="28">
        <f t="shared" si="64"/>
        <v>0</v>
      </c>
      <c r="BG105" s="29">
        <f t="shared" si="74"/>
        <v>0</v>
      </c>
      <c r="BH105" s="29">
        <f t="shared" si="65"/>
        <v>0</v>
      </c>
      <c r="BI105" s="30"/>
      <c r="BJ105" s="23" t="s">
        <v>225</v>
      </c>
      <c r="BK105" s="31">
        <v>0</v>
      </c>
      <c r="BL105" s="31">
        <v>0</v>
      </c>
      <c r="BO105" s="31">
        <v>0</v>
      </c>
      <c r="BP105" s="31" t="b">
        <f t="shared" si="75"/>
        <v>1</v>
      </c>
    </row>
    <row r="106" spans="2:68" s="31" customFormat="1" ht="30" customHeight="1" x14ac:dyDescent="0.25">
      <c r="B106" s="21" t="s">
        <v>226</v>
      </c>
      <c r="C106" s="22" t="s">
        <v>58</v>
      </c>
      <c r="D106" s="23" t="s">
        <v>227</v>
      </c>
      <c r="E106" s="24">
        <v>8.57</v>
      </c>
      <c r="F106" s="24">
        <v>8.57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f t="shared" si="41"/>
        <v>0</v>
      </c>
      <c r="M106" s="22">
        <v>0</v>
      </c>
      <c r="N106" s="22">
        <f t="shared" si="40"/>
        <v>0</v>
      </c>
      <c r="O106" s="153">
        <v>0</v>
      </c>
      <c r="P106" s="153">
        <v>0</v>
      </c>
      <c r="Q106" s="153">
        <v>0</v>
      </c>
      <c r="R106" s="153">
        <v>0</v>
      </c>
      <c r="S106" s="153">
        <f t="shared" si="42"/>
        <v>0</v>
      </c>
      <c r="T106" s="153">
        <v>0</v>
      </c>
      <c r="U106" s="153">
        <f t="shared" si="43"/>
        <v>0</v>
      </c>
      <c r="V106" s="154">
        <v>0</v>
      </c>
      <c r="W106" s="154">
        <v>0</v>
      </c>
      <c r="X106" s="154">
        <v>0</v>
      </c>
      <c r="Y106" s="154">
        <v>0</v>
      </c>
      <c r="Z106" s="154">
        <f t="shared" si="44"/>
        <v>0</v>
      </c>
      <c r="AA106" s="154">
        <v>0</v>
      </c>
      <c r="AB106" s="154">
        <f t="shared" si="45"/>
        <v>0</v>
      </c>
      <c r="AC106" s="154">
        <v>0</v>
      </c>
      <c r="AD106" s="154">
        <v>0</v>
      </c>
      <c r="AE106" s="154">
        <v>0</v>
      </c>
      <c r="AF106" s="154">
        <v>0</v>
      </c>
      <c r="AG106" s="154">
        <f t="shared" si="46"/>
        <v>0</v>
      </c>
      <c r="AH106" s="154">
        <v>0</v>
      </c>
      <c r="AI106" s="154">
        <f t="shared" si="47"/>
        <v>0</v>
      </c>
      <c r="AJ106" s="154">
        <v>0</v>
      </c>
      <c r="AK106" s="154">
        <v>0</v>
      </c>
      <c r="AL106" s="154">
        <v>0</v>
      </c>
      <c r="AM106" s="154">
        <v>0</v>
      </c>
      <c r="AN106" s="154">
        <f t="shared" si="58"/>
        <v>0</v>
      </c>
      <c r="AO106" s="154">
        <v>0</v>
      </c>
      <c r="AP106" s="154">
        <f t="shared" si="48"/>
        <v>0</v>
      </c>
      <c r="AQ106" s="154">
        <f t="shared" si="76"/>
        <v>0</v>
      </c>
      <c r="AR106" s="154">
        <f t="shared" si="77"/>
        <v>0</v>
      </c>
      <c r="AS106" s="154">
        <f t="shared" si="61"/>
        <v>0</v>
      </c>
      <c r="AT106" s="154">
        <f t="shared" si="78"/>
        <v>0</v>
      </c>
      <c r="AU106" s="154">
        <f t="shared" si="69"/>
        <v>0</v>
      </c>
      <c r="AV106" s="154">
        <f>AH106</f>
        <v>0</v>
      </c>
      <c r="AW106" s="154">
        <f t="shared" si="50"/>
        <v>0</v>
      </c>
      <c r="AX106" s="25"/>
      <c r="AY106" s="26"/>
      <c r="AZ106" s="28">
        <f t="shared" si="68"/>
        <v>0</v>
      </c>
      <c r="BA106" s="28"/>
      <c r="BB106" s="28">
        <f t="shared" si="70"/>
        <v>0</v>
      </c>
      <c r="BC106" s="28">
        <f t="shared" si="71"/>
        <v>0</v>
      </c>
      <c r="BD106" s="28">
        <f t="shared" si="72"/>
        <v>0</v>
      </c>
      <c r="BE106" s="28">
        <f t="shared" si="73"/>
        <v>0</v>
      </c>
      <c r="BF106" s="28">
        <f t="shared" si="64"/>
        <v>0</v>
      </c>
      <c r="BG106" s="29">
        <f t="shared" si="74"/>
        <v>0</v>
      </c>
      <c r="BH106" s="29">
        <f t="shared" si="65"/>
        <v>0</v>
      </c>
      <c r="BI106" s="30"/>
      <c r="BJ106" s="23" t="s">
        <v>227</v>
      </c>
      <c r="BK106" s="31">
        <v>0</v>
      </c>
      <c r="BL106" s="31">
        <v>0</v>
      </c>
      <c r="BO106" s="31">
        <v>0</v>
      </c>
      <c r="BP106" s="31" t="b">
        <f t="shared" si="75"/>
        <v>1</v>
      </c>
    </row>
    <row r="107" spans="2:68" s="31" customFormat="1" ht="15" customHeight="1" x14ac:dyDescent="0.25">
      <c r="B107" s="21" t="s">
        <v>228</v>
      </c>
      <c r="C107" s="22" t="s">
        <v>58</v>
      </c>
      <c r="D107" s="23" t="s">
        <v>229</v>
      </c>
      <c r="E107" s="24">
        <v>16.510000000000002</v>
      </c>
      <c r="F107" s="24">
        <v>16.510000000000002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f t="shared" si="41"/>
        <v>0</v>
      </c>
      <c r="M107" s="22">
        <v>0</v>
      </c>
      <c r="N107" s="22">
        <f t="shared" si="40"/>
        <v>0</v>
      </c>
      <c r="O107" s="153">
        <v>0</v>
      </c>
      <c r="P107" s="153">
        <v>0</v>
      </c>
      <c r="Q107" s="153">
        <v>0</v>
      </c>
      <c r="R107" s="153">
        <v>0</v>
      </c>
      <c r="S107" s="153">
        <f t="shared" si="42"/>
        <v>0</v>
      </c>
      <c r="T107" s="153">
        <v>0</v>
      </c>
      <c r="U107" s="153">
        <f t="shared" si="43"/>
        <v>0</v>
      </c>
      <c r="V107" s="154">
        <v>0</v>
      </c>
      <c r="W107" s="154">
        <v>0</v>
      </c>
      <c r="X107" s="154">
        <v>0</v>
      </c>
      <c r="Y107" s="154">
        <v>0</v>
      </c>
      <c r="Z107" s="154">
        <f t="shared" si="44"/>
        <v>0</v>
      </c>
      <c r="AA107" s="154">
        <v>0</v>
      </c>
      <c r="AB107" s="154">
        <f t="shared" si="45"/>
        <v>0</v>
      </c>
      <c r="AC107" s="154">
        <v>0</v>
      </c>
      <c r="AD107" s="154">
        <v>0</v>
      </c>
      <c r="AE107" s="154">
        <v>0</v>
      </c>
      <c r="AF107" s="154">
        <v>0</v>
      </c>
      <c r="AG107" s="154">
        <f t="shared" si="46"/>
        <v>0</v>
      </c>
      <c r="AH107" s="154">
        <v>0</v>
      </c>
      <c r="AI107" s="154">
        <f t="shared" si="47"/>
        <v>0</v>
      </c>
      <c r="AJ107" s="154">
        <v>0</v>
      </c>
      <c r="AK107" s="154">
        <v>0</v>
      </c>
      <c r="AL107" s="154">
        <v>0</v>
      </c>
      <c r="AM107" s="154">
        <v>0</v>
      </c>
      <c r="AN107" s="154">
        <f t="shared" si="58"/>
        <v>0</v>
      </c>
      <c r="AO107" s="154">
        <v>0</v>
      </c>
      <c r="AP107" s="154">
        <f t="shared" si="48"/>
        <v>0</v>
      </c>
      <c r="AQ107" s="154">
        <f t="shared" si="76"/>
        <v>0</v>
      </c>
      <c r="AR107" s="154">
        <f t="shared" si="77"/>
        <v>0</v>
      </c>
      <c r="AS107" s="154">
        <f t="shared" si="61"/>
        <v>0</v>
      </c>
      <c r="AT107" s="154">
        <f t="shared" si="78"/>
        <v>0</v>
      </c>
      <c r="AU107" s="154">
        <f t="shared" si="69"/>
        <v>0</v>
      </c>
      <c r="AV107" s="154">
        <f>AH107</f>
        <v>0</v>
      </c>
      <c r="AW107" s="154">
        <f t="shared" si="50"/>
        <v>0</v>
      </c>
      <c r="AX107" s="25"/>
      <c r="AY107" s="26"/>
      <c r="AZ107" s="28">
        <f t="shared" si="68"/>
        <v>0</v>
      </c>
      <c r="BA107" s="28"/>
      <c r="BB107" s="28">
        <f t="shared" si="70"/>
        <v>0</v>
      </c>
      <c r="BC107" s="28">
        <f t="shared" si="71"/>
        <v>0</v>
      </c>
      <c r="BD107" s="28">
        <f t="shared" si="72"/>
        <v>0</v>
      </c>
      <c r="BE107" s="28">
        <f t="shared" si="73"/>
        <v>0</v>
      </c>
      <c r="BF107" s="28">
        <f t="shared" si="64"/>
        <v>0</v>
      </c>
      <c r="BG107" s="29">
        <f t="shared" si="74"/>
        <v>0</v>
      </c>
      <c r="BH107" s="29">
        <f t="shared" si="65"/>
        <v>0</v>
      </c>
      <c r="BI107" s="30"/>
      <c r="BJ107" s="23" t="s">
        <v>229</v>
      </c>
      <c r="BK107" s="31">
        <v>0</v>
      </c>
      <c r="BL107" s="31">
        <v>0</v>
      </c>
      <c r="BO107" s="31">
        <v>0</v>
      </c>
      <c r="BP107" s="31" t="b">
        <f t="shared" si="75"/>
        <v>1</v>
      </c>
    </row>
    <row r="108" spans="2:68" s="31" customFormat="1" x14ac:dyDescent="0.25">
      <c r="B108" s="21" t="s">
        <v>230</v>
      </c>
      <c r="C108" s="22" t="s">
        <v>29</v>
      </c>
      <c r="D108" s="23" t="s">
        <v>231</v>
      </c>
      <c r="E108" s="24">
        <v>18.260000000000002</v>
      </c>
      <c r="F108" s="24">
        <v>18.260000000000002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f t="shared" si="41"/>
        <v>0</v>
      </c>
      <c r="M108" s="22">
        <v>0</v>
      </c>
      <c r="N108" s="22">
        <f t="shared" si="40"/>
        <v>0</v>
      </c>
      <c r="O108" s="153">
        <v>0</v>
      </c>
      <c r="P108" s="153">
        <v>0</v>
      </c>
      <c r="Q108" s="153">
        <v>0</v>
      </c>
      <c r="R108" s="153">
        <v>0</v>
      </c>
      <c r="S108" s="153">
        <f t="shared" si="42"/>
        <v>0</v>
      </c>
      <c r="T108" s="153">
        <v>0</v>
      </c>
      <c r="U108" s="153">
        <f t="shared" si="43"/>
        <v>0</v>
      </c>
      <c r="V108" s="154">
        <v>0</v>
      </c>
      <c r="W108" s="154">
        <v>0</v>
      </c>
      <c r="X108" s="154">
        <v>0</v>
      </c>
      <c r="Y108" s="154">
        <v>0</v>
      </c>
      <c r="Z108" s="154">
        <f t="shared" si="44"/>
        <v>0</v>
      </c>
      <c r="AA108" s="154">
        <v>0</v>
      </c>
      <c r="AB108" s="154">
        <f t="shared" si="45"/>
        <v>0</v>
      </c>
      <c r="AC108" s="154">
        <v>0</v>
      </c>
      <c r="AD108" s="154">
        <v>0</v>
      </c>
      <c r="AE108" s="154">
        <v>0</v>
      </c>
      <c r="AF108" s="154">
        <v>0</v>
      </c>
      <c r="AG108" s="154">
        <f t="shared" si="46"/>
        <v>0</v>
      </c>
      <c r="AH108" s="154">
        <v>0</v>
      </c>
      <c r="AI108" s="154">
        <f t="shared" si="47"/>
        <v>0</v>
      </c>
      <c r="AJ108" s="154">
        <v>0</v>
      </c>
      <c r="AK108" s="154">
        <v>0</v>
      </c>
      <c r="AL108" s="154">
        <v>0</v>
      </c>
      <c r="AM108" s="154">
        <v>0</v>
      </c>
      <c r="AN108" s="154">
        <f t="shared" si="58"/>
        <v>0</v>
      </c>
      <c r="AO108" s="154">
        <v>0</v>
      </c>
      <c r="AP108" s="154">
        <f t="shared" si="48"/>
        <v>0</v>
      </c>
      <c r="AQ108" s="154">
        <f t="shared" si="76"/>
        <v>0</v>
      </c>
      <c r="AR108" s="154">
        <f t="shared" si="77"/>
        <v>0</v>
      </c>
      <c r="AS108" s="154">
        <f t="shared" si="61"/>
        <v>0</v>
      </c>
      <c r="AT108" s="154">
        <f t="shared" si="78"/>
        <v>0</v>
      </c>
      <c r="AU108" s="154">
        <f t="shared" si="69"/>
        <v>0</v>
      </c>
      <c r="AV108" s="154">
        <f>AH108</f>
        <v>0</v>
      </c>
      <c r="AW108" s="154">
        <f t="shared" si="50"/>
        <v>0</v>
      </c>
      <c r="AX108" s="25"/>
      <c r="AY108" s="26"/>
      <c r="AZ108" s="28">
        <f t="shared" si="68"/>
        <v>0</v>
      </c>
      <c r="BA108" s="28"/>
      <c r="BB108" s="28">
        <f t="shared" si="70"/>
        <v>0</v>
      </c>
      <c r="BC108" s="28">
        <f t="shared" si="71"/>
        <v>0</v>
      </c>
      <c r="BD108" s="28">
        <f t="shared" si="72"/>
        <v>0</v>
      </c>
      <c r="BE108" s="28">
        <f t="shared" si="73"/>
        <v>0</v>
      </c>
      <c r="BF108" s="28">
        <f t="shared" si="64"/>
        <v>0</v>
      </c>
      <c r="BG108" s="29">
        <f t="shared" si="74"/>
        <v>0</v>
      </c>
      <c r="BH108" s="29">
        <f t="shared" si="65"/>
        <v>0</v>
      </c>
      <c r="BI108" s="30"/>
      <c r="BJ108" s="23" t="s">
        <v>231</v>
      </c>
      <c r="BK108" s="31">
        <v>0</v>
      </c>
      <c r="BL108" s="31">
        <v>0</v>
      </c>
      <c r="BO108" s="31">
        <v>0</v>
      </c>
      <c r="BP108" s="31" t="b">
        <f t="shared" si="75"/>
        <v>1</v>
      </c>
    </row>
    <row r="109" spans="2:68" s="31" customFormat="1" x14ac:dyDescent="0.25">
      <c r="B109" s="21" t="s">
        <v>232</v>
      </c>
      <c r="C109" s="22" t="s">
        <v>29</v>
      </c>
      <c r="D109" s="23" t="s">
        <v>233</v>
      </c>
      <c r="E109" s="24">
        <v>12.6</v>
      </c>
      <c r="F109" s="24">
        <v>12.6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f t="shared" si="41"/>
        <v>0</v>
      </c>
      <c r="M109" s="22">
        <v>0</v>
      </c>
      <c r="N109" s="22">
        <f t="shared" si="40"/>
        <v>0</v>
      </c>
      <c r="O109" s="153">
        <v>0</v>
      </c>
      <c r="P109" s="153">
        <v>0</v>
      </c>
      <c r="Q109" s="153">
        <v>0</v>
      </c>
      <c r="R109" s="153">
        <v>0</v>
      </c>
      <c r="S109" s="153">
        <f t="shared" si="42"/>
        <v>0</v>
      </c>
      <c r="T109" s="153">
        <v>0</v>
      </c>
      <c r="U109" s="153">
        <f t="shared" si="43"/>
        <v>0</v>
      </c>
      <c r="V109" s="154">
        <v>0</v>
      </c>
      <c r="W109" s="154">
        <v>0</v>
      </c>
      <c r="X109" s="154">
        <v>0</v>
      </c>
      <c r="Y109" s="154">
        <v>0</v>
      </c>
      <c r="Z109" s="154">
        <f t="shared" si="44"/>
        <v>0</v>
      </c>
      <c r="AA109" s="154">
        <v>0</v>
      </c>
      <c r="AB109" s="154">
        <f t="shared" si="45"/>
        <v>0</v>
      </c>
      <c r="AC109" s="154">
        <v>0</v>
      </c>
      <c r="AD109" s="154">
        <v>0</v>
      </c>
      <c r="AE109" s="154">
        <v>0</v>
      </c>
      <c r="AF109" s="154">
        <v>0</v>
      </c>
      <c r="AG109" s="154">
        <f t="shared" si="46"/>
        <v>0</v>
      </c>
      <c r="AH109" s="154">
        <v>0</v>
      </c>
      <c r="AI109" s="154">
        <f t="shared" si="47"/>
        <v>0</v>
      </c>
      <c r="AJ109" s="154">
        <v>0</v>
      </c>
      <c r="AK109" s="154">
        <v>0</v>
      </c>
      <c r="AL109" s="154">
        <v>0</v>
      </c>
      <c r="AM109" s="154">
        <v>0</v>
      </c>
      <c r="AN109" s="154">
        <f t="shared" si="58"/>
        <v>0</v>
      </c>
      <c r="AO109" s="154">
        <v>0</v>
      </c>
      <c r="AP109" s="154">
        <f t="shared" si="48"/>
        <v>0</v>
      </c>
      <c r="AQ109" s="154">
        <f t="shared" si="76"/>
        <v>0</v>
      </c>
      <c r="AR109" s="154">
        <f t="shared" si="77"/>
        <v>0</v>
      </c>
      <c r="AS109" s="154">
        <f t="shared" si="61"/>
        <v>0</v>
      </c>
      <c r="AT109" s="154">
        <f t="shared" si="78"/>
        <v>0</v>
      </c>
      <c r="AU109" s="154">
        <f t="shared" si="69"/>
        <v>0</v>
      </c>
      <c r="AV109" s="154">
        <f>AH109</f>
        <v>0</v>
      </c>
      <c r="AW109" s="154">
        <f t="shared" si="50"/>
        <v>0</v>
      </c>
      <c r="AX109" s="25"/>
      <c r="AY109" s="26"/>
      <c r="AZ109" s="28">
        <f t="shared" si="68"/>
        <v>0</v>
      </c>
      <c r="BA109" s="28"/>
      <c r="BB109" s="28">
        <f t="shared" si="70"/>
        <v>0</v>
      </c>
      <c r="BC109" s="28">
        <f t="shared" si="71"/>
        <v>0</v>
      </c>
      <c r="BD109" s="28">
        <f t="shared" si="72"/>
        <v>0</v>
      </c>
      <c r="BE109" s="28">
        <f t="shared" si="73"/>
        <v>0</v>
      </c>
      <c r="BF109" s="28">
        <f t="shared" si="64"/>
        <v>0</v>
      </c>
      <c r="BG109" s="29">
        <f t="shared" si="74"/>
        <v>0</v>
      </c>
      <c r="BH109" s="29">
        <f t="shared" si="65"/>
        <v>0</v>
      </c>
      <c r="BI109" s="30"/>
      <c r="BJ109" s="23" t="s">
        <v>233</v>
      </c>
      <c r="BK109" s="31">
        <v>0</v>
      </c>
      <c r="BL109" s="31">
        <v>0</v>
      </c>
      <c r="BO109" s="31">
        <v>0</v>
      </c>
      <c r="BP109" s="31" t="b">
        <f t="shared" si="75"/>
        <v>1</v>
      </c>
    </row>
    <row r="110" spans="2:68" s="31" customFormat="1" ht="15" customHeight="1" x14ac:dyDescent="0.25">
      <c r="B110" s="21" t="s">
        <v>234</v>
      </c>
      <c r="C110" s="22" t="s">
        <v>26</v>
      </c>
      <c r="D110" s="23" t="s">
        <v>235</v>
      </c>
      <c r="E110" s="24">
        <v>0.36</v>
      </c>
      <c r="F110" s="24">
        <v>0.36</v>
      </c>
      <c r="G110" s="22">
        <v>18369</v>
      </c>
      <c r="H110" s="22">
        <v>0</v>
      </c>
      <c r="I110" s="22">
        <v>0</v>
      </c>
      <c r="J110" s="22">
        <v>0</v>
      </c>
      <c r="K110" s="22">
        <v>0</v>
      </c>
      <c r="L110" s="22">
        <f t="shared" si="41"/>
        <v>18369</v>
      </c>
      <c r="M110" s="22">
        <v>18369</v>
      </c>
      <c r="N110" s="22">
        <f t="shared" si="40"/>
        <v>0</v>
      </c>
      <c r="O110" s="153">
        <v>0</v>
      </c>
      <c r="P110" s="153">
        <v>0</v>
      </c>
      <c r="Q110" s="153">
        <v>0</v>
      </c>
      <c r="R110" s="153">
        <v>0</v>
      </c>
      <c r="S110" s="153">
        <f t="shared" si="42"/>
        <v>18369</v>
      </c>
      <c r="T110" s="153">
        <v>18369</v>
      </c>
      <c r="U110" s="153">
        <f t="shared" si="43"/>
        <v>0</v>
      </c>
      <c r="V110" s="154">
        <v>0</v>
      </c>
      <c r="W110" s="154">
        <v>0</v>
      </c>
      <c r="X110" s="154">
        <v>0</v>
      </c>
      <c r="Y110" s="154">
        <v>0</v>
      </c>
      <c r="Z110" s="154">
        <f t="shared" si="44"/>
        <v>18369</v>
      </c>
      <c r="AA110" s="154">
        <v>18369</v>
      </c>
      <c r="AB110" s="154">
        <f t="shared" si="45"/>
        <v>0</v>
      </c>
      <c r="AC110" s="154">
        <v>0</v>
      </c>
      <c r="AD110" s="154">
        <v>0</v>
      </c>
      <c r="AE110" s="154">
        <v>0</v>
      </c>
      <c r="AF110" s="154">
        <v>0</v>
      </c>
      <c r="AG110" s="154">
        <f t="shared" si="46"/>
        <v>18369</v>
      </c>
      <c r="AH110" s="154">
        <v>18369</v>
      </c>
      <c r="AI110" s="154">
        <f t="shared" si="47"/>
        <v>0</v>
      </c>
      <c r="AJ110" s="154">
        <v>0</v>
      </c>
      <c r="AK110" s="154">
        <v>0</v>
      </c>
      <c r="AL110" s="154">
        <v>0</v>
      </c>
      <c r="AM110" s="154">
        <v>0</v>
      </c>
      <c r="AN110" s="154">
        <f t="shared" si="58"/>
        <v>18369</v>
      </c>
      <c r="AO110" s="154">
        <v>18369</v>
      </c>
      <c r="AP110" s="154">
        <f t="shared" si="48"/>
        <v>0</v>
      </c>
      <c r="AQ110" s="154">
        <f t="shared" si="76"/>
        <v>0</v>
      </c>
      <c r="AR110" s="154">
        <f t="shared" si="77"/>
        <v>0</v>
      </c>
      <c r="AS110" s="154">
        <f t="shared" si="61"/>
        <v>0</v>
      </c>
      <c r="AT110" s="154">
        <f t="shared" si="78"/>
        <v>0</v>
      </c>
      <c r="AU110" s="154">
        <f t="shared" si="69"/>
        <v>18369</v>
      </c>
      <c r="AV110" s="154">
        <v>18369</v>
      </c>
      <c r="AW110" s="154">
        <f t="shared" si="50"/>
        <v>0</v>
      </c>
      <c r="AX110" s="25"/>
      <c r="AY110" s="26"/>
      <c r="AZ110" s="28">
        <f t="shared" si="68"/>
        <v>6612.84</v>
      </c>
      <c r="BA110" s="28"/>
      <c r="BB110" s="28">
        <f t="shared" si="70"/>
        <v>0</v>
      </c>
      <c r="BC110" s="28">
        <f t="shared" si="71"/>
        <v>0</v>
      </c>
      <c r="BD110" s="28">
        <f t="shared" si="72"/>
        <v>0</v>
      </c>
      <c r="BE110" s="28">
        <f t="shared" si="73"/>
        <v>0</v>
      </c>
      <c r="BF110" s="28">
        <f t="shared" si="64"/>
        <v>6612.84</v>
      </c>
      <c r="BG110" s="29">
        <f t="shared" si="74"/>
        <v>6612.84</v>
      </c>
      <c r="BH110" s="29">
        <f t="shared" si="65"/>
        <v>0</v>
      </c>
      <c r="BI110" s="30"/>
      <c r="BJ110" s="23" t="s">
        <v>235</v>
      </c>
      <c r="BK110" s="31">
        <v>0</v>
      </c>
      <c r="BL110" s="31">
        <v>18369</v>
      </c>
      <c r="BO110" s="31">
        <v>18369</v>
      </c>
      <c r="BP110" s="31" t="b">
        <f t="shared" si="75"/>
        <v>1</v>
      </c>
    </row>
    <row r="111" spans="2:68" s="31" customFormat="1" ht="15" customHeight="1" x14ac:dyDescent="0.25">
      <c r="B111" s="21" t="s">
        <v>236</v>
      </c>
      <c r="C111" s="22" t="s">
        <v>26</v>
      </c>
      <c r="D111" s="23" t="s">
        <v>237</v>
      </c>
      <c r="E111" s="24">
        <v>2.2400000000000002</v>
      </c>
      <c r="F111" s="24">
        <v>2.2400000000000002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f t="shared" si="41"/>
        <v>0</v>
      </c>
      <c r="M111" s="22">
        <v>0</v>
      </c>
      <c r="N111" s="22">
        <f t="shared" si="40"/>
        <v>0</v>
      </c>
      <c r="O111" s="153">
        <v>0</v>
      </c>
      <c r="P111" s="153">
        <v>0</v>
      </c>
      <c r="Q111" s="153">
        <v>0</v>
      </c>
      <c r="R111" s="153">
        <v>0</v>
      </c>
      <c r="S111" s="153">
        <f t="shared" si="42"/>
        <v>0</v>
      </c>
      <c r="T111" s="153">
        <v>0</v>
      </c>
      <c r="U111" s="153">
        <f t="shared" si="43"/>
        <v>0</v>
      </c>
      <c r="V111" s="154">
        <v>0</v>
      </c>
      <c r="W111" s="154">
        <v>0</v>
      </c>
      <c r="X111" s="154">
        <v>0</v>
      </c>
      <c r="Y111" s="154">
        <v>0</v>
      </c>
      <c r="Z111" s="154">
        <f t="shared" si="44"/>
        <v>0</v>
      </c>
      <c r="AA111" s="154">
        <v>0</v>
      </c>
      <c r="AB111" s="154">
        <f t="shared" si="45"/>
        <v>0</v>
      </c>
      <c r="AC111" s="154">
        <v>0</v>
      </c>
      <c r="AD111" s="154">
        <v>0</v>
      </c>
      <c r="AE111" s="154">
        <v>0</v>
      </c>
      <c r="AF111" s="154">
        <v>0</v>
      </c>
      <c r="AG111" s="154">
        <f t="shared" si="46"/>
        <v>0</v>
      </c>
      <c r="AH111" s="154">
        <v>0</v>
      </c>
      <c r="AI111" s="154">
        <f t="shared" si="47"/>
        <v>0</v>
      </c>
      <c r="AJ111" s="154">
        <v>0</v>
      </c>
      <c r="AK111" s="154">
        <v>0</v>
      </c>
      <c r="AL111" s="154">
        <v>0</v>
      </c>
      <c r="AM111" s="154">
        <v>0</v>
      </c>
      <c r="AN111" s="154">
        <f t="shared" si="58"/>
        <v>0</v>
      </c>
      <c r="AO111" s="154">
        <v>0</v>
      </c>
      <c r="AP111" s="154">
        <f t="shared" si="48"/>
        <v>0</v>
      </c>
      <c r="AQ111" s="154">
        <f t="shared" si="76"/>
        <v>0</v>
      </c>
      <c r="AR111" s="154">
        <f t="shared" si="77"/>
        <v>0</v>
      </c>
      <c r="AS111" s="154">
        <f t="shared" si="61"/>
        <v>0</v>
      </c>
      <c r="AT111" s="154">
        <f t="shared" si="78"/>
        <v>0</v>
      </c>
      <c r="AU111" s="154">
        <f t="shared" si="69"/>
        <v>0</v>
      </c>
      <c r="AV111" s="154">
        <f>AH111</f>
        <v>0</v>
      </c>
      <c r="AW111" s="154">
        <f t="shared" si="50"/>
        <v>0</v>
      </c>
      <c r="AX111" s="25"/>
      <c r="AY111" s="26"/>
      <c r="AZ111" s="28">
        <f t="shared" si="68"/>
        <v>0</v>
      </c>
      <c r="BA111" s="28"/>
      <c r="BB111" s="28">
        <f t="shared" si="70"/>
        <v>0</v>
      </c>
      <c r="BC111" s="28">
        <f t="shared" si="71"/>
        <v>0</v>
      </c>
      <c r="BD111" s="28">
        <f t="shared" si="72"/>
        <v>0</v>
      </c>
      <c r="BE111" s="28">
        <f t="shared" si="73"/>
        <v>0</v>
      </c>
      <c r="BF111" s="28">
        <f t="shared" si="64"/>
        <v>0</v>
      </c>
      <c r="BG111" s="29">
        <f t="shared" si="74"/>
        <v>0</v>
      </c>
      <c r="BH111" s="29">
        <f t="shared" si="65"/>
        <v>0</v>
      </c>
      <c r="BI111" s="30"/>
      <c r="BJ111" s="23" t="s">
        <v>237</v>
      </c>
      <c r="BK111" s="31">
        <v>0</v>
      </c>
      <c r="BL111" s="31">
        <v>0</v>
      </c>
      <c r="BO111" s="31">
        <v>0</v>
      </c>
      <c r="BP111" s="31" t="b">
        <f t="shared" si="75"/>
        <v>1</v>
      </c>
    </row>
    <row r="112" spans="2:68" s="31" customFormat="1" x14ac:dyDescent="0.25">
      <c r="B112" s="21" t="s">
        <v>238</v>
      </c>
      <c r="C112" s="22" t="s">
        <v>29</v>
      </c>
      <c r="D112" s="23" t="s">
        <v>239</v>
      </c>
      <c r="E112" s="24">
        <v>16.8</v>
      </c>
      <c r="F112" s="24">
        <v>16.8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f t="shared" si="41"/>
        <v>0</v>
      </c>
      <c r="M112" s="22">
        <v>0</v>
      </c>
      <c r="N112" s="22">
        <f t="shared" si="40"/>
        <v>0</v>
      </c>
      <c r="O112" s="153">
        <v>0</v>
      </c>
      <c r="P112" s="153">
        <v>0</v>
      </c>
      <c r="Q112" s="153">
        <v>0</v>
      </c>
      <c r="R112" s="153">
        <v>0</v>
      </c>
      <c r="S112" s="153">
        <f t="shared" si="42"/>
        <v>0</v>
      </c>
      <c r="T112" s="153">
        <v>0</v>
      </c>
      <c r="U112" s="153">
        <f t="shared" si="43"/>
        <v>0</v>
      </c>
      <c r="V112" s="154">
        <v>0</v>
      </c>
      <c r="W112" s="154">
        <v>0</v>
      </c>
      <c r="X112" s="154">
        <v>0</v>
      </c>
      <c r="Y112" s="154">
        <v>0</v>
      </c>
      <c r="Z112" s="154">
        <f t="shared" si="44"/>
        <v>0</v>
      </c>
      <c r="AA112" s="154">
        <v>0</v>
      </c>
      <c r="AB112" s="154">
        <f t="shared" si="45"/>
        <v>0</v>
      </c>
      <c r="AC112" s="154">
        <v>0</v>
      </c>
      <c r="AD112" s="154">
        <v>0</v>
      </c>
      <c r="AE112" s="154">
        <v>0</v>
      </c>
      <c r="AF112" s="154">
        <v>0</v>
      </c>
      <c r="AG112" s="154">
        <f t="shared" si="46"/>
        <v>0</v>
      </c>
      <c r="AH112" s="154">
        <v>0</v>
      </c>
      <c r="AI112" s="154">
        <f t="shared" si="47"/>
        <v>0</v>
      </c>
      <c r="AJ112" s="154">
        <v>0</v>
      </c>
      <c r="AK112" s="154">
        <v>0</v>
      </c>
      <c r="AL112" s="154">
        <v>0</v>
      </c>
      <c r="AM112" s="154">
        <v>0</v>
      </c>
      <c r="AN112" s="154">
        <f t="shared" si="58"/>
        <v>0</v>
      </c>
      <c r="AO112" s="154">
        <v>0</v>
      </c>
      <c r="AP112" s="154">
        <f t="shared" si="48"/>
        <v>0</v>
      </c>
      <c r="AQ112" s="154">
        <f t="shared" si="76"/>
        <v>0</v>
      </c>
      <c r="AR112" s="154">
        <f t="shared" si="77"/>
        <v>0</v>
      </c>
      <c r="AS112" s="154">
        <f t="shared" si="61"/>
        <v>0</v>
      </c>
      <c r="AT112" s="154">
        <f t="shared" si="78"/>
        <v>0</v>
      </c>
      <c r="AU112" s="154">
        <f t="shared" si="69"/>
        <v>0</v>
      </c>
      <c r="AV112" s="154">
        <f>AH112</f>
        <v>0</v>
      </c>
      <c r="AW112" s="154">
        <f t="shared" si="50"/>
        <v>0</v>
      </c>
      <c r="AX112" s="25"/>
      <c r="AY112" s="26"/>
      <c r="AZ112" s="28">
        <f t="shared" si="68"/>
        <v>0</v>
      </c>
      <c r="BA112" s="28"/>
      <c r="BB112" s="28">
        <f t="shared" si="70"/>
        <v>0</v>
      </c>
      <c r="BC112" s="28">
        <f t="shared" si="71"/>
        <v>0</v>
      </c>
      <c r="BD112" s="28">
        <f t="shared" si="72"/>
        <v>0</v>
      </c>
      <c r="BE112" s="28">
        <f t="shared" si="73"/>
        <v>0</v>
      </c>
      <c r="BF112" s="28">
        <f t="shared" si="64"/>
        <v>0</v>
      </c>
      <c r="BG112" s="29">
        <f t="shared" si="74"/>
        <v>0</v>
      </c>
      <c r="BH112" s="29">
        <f t="shared" si="65"/>
        <v>0</v>
      </c>
      <c r="BI112" s="30"/>
      <c r="BJ112" s="23" t="s">
        <v>239</v>
      </c>
      <c r="BK112" s="31">
        <v>0</v>
      </c>
      <c r="BL112" s="31">
        <v>0</v>
      </c>
      <c r="BO112" s="31">
        <v>0</v>
      </c>
      <c r="BP112" s="31" t="b">
        <f t="shared" si="75"/>
        <v>1</v>
      </c>
    </row>
    <row r="113" spans="2:68" s="31" customFormat="1" x14ac:dyDescent="0.25">
      <c r="B113" s="32" t="s">
        <v>240</v>
      </c>
      <c r="C113" s="22" t="s">
        <v>29</v>
      </c>
      <c r="D113" s="23" t="s">
        <v>241</v>
      </c>
      <c r="E113" s="24">
        <v>17.239999999999998</v>
      </c>
      <c r="F113" s="24">
        <v>17.239999999999998</v>
      </c>
      <c r="G113" s="22">
        <v>98</v>
      </c>
      <c r="H113" s="22">
        <v>0</v>
      </c>
      <c r="I113" s="22">
        <v>0</v>
      </c>
      <c r="J113" s="22">
        <v>40</v>
      </c>
      <c r="K113" s="22">
        <v>0</v>
      </c>
      <c r="L113" s="22">
        <f t="shared" si="41"/>
        <v>58</v>
      </c>
      <c r="M113" s="22">
        <v>58</v>
      </c>
      <c r="N113" s="22">
        <f t="shared" si="40"/>
        <v>0</v>
      </c>
      <c r="O113" s="153">
        <v>0</v>
      </c>
      <c r="P113" s="153">
        <v>0</v>
      </c>
      <c r="Q113" s="153">
        <v>26</v>
      </c>
      <c r="R113" s="153">
        <v>0</v>
      </c>
      <c r="S113" s="153">
        <f t="shared" si="42"/>
        <v>32</v>
      </c>
      <c r="T113" s="153">
        <v>32</v>
      </c>
      <c r="U113" s="153">
        <f t="shared" si="43"/>
        <v>0</v>
      </c>
      <c r="V113" s="154">
        <v>0</v>
      </c>
      <c r="W113" s="154">
        <v>0</v>
      </c>
      <c r="X113" s="154">
        <v>14</v>
      </c>
      <c r="Y113" s="154">
        <v>0</v>
      </c>
      <c r="Z113" s="154">
        <f t="shared" si="44"/>
        <v>18</v>
      </c>
      <c r="AA113" s="154">
        <v>18</v>
      </c>
      <c r="AB113" s="154">
        <f t="shared" si="45"/>
        <v>0</v>
      </c>
      <c r="AC113" s="154">
        <v>0</v>
      </c>
      <c r="AD113" s="154">
        <v>0</v>
      </c>
      <c r="AE113" s="154">
        <v>18</v>
      </c>
      <c r="AF113" s="154">
        <v>0</v>
      </c>
      <c r="AG113" s="154">
        <f t="shared" si="46"/>
        <v>0</v>
      </c>
      <c r="AH113" s="154">
        <v>0</v>
      </c>
      <c r="AI113" s="154">
        <v>0</v>
      </c>
      <c r="AJ113" s="154">
        <v>0</v>
      </c>
      <c r="AK113" s="154">
        <v>0</v>
      </c>
      <c r="AL113" s="154">
        <v>0</v>
      </c>
      <c r="AM113" s="154">
        <v>0</v>
      </c>
      <c r="AN113" s="154">
        <f t="shared" si="58"/>
        <v>0</v>
      </c>
      <c r="AO113" s="154">
        <v>0</v>
      </c>
      <c r="AP113" s="154">
        <f t="shared" si="48"/>
        <v>0</v>
      </c>
      <c r="AQ113" s="154">
        <f t="shared" si="76"/>
        <v>0</v>
      </c>
      <c r="AR113" s="154">
        <f t="shared" si="77"/>
        <v>0</v>
      </c>
      <c r="AS113" s="154">
        <f t="shared" si="61"/>
        <v>98</v>
      </c>
      <c r="AT113" s="154">
        <f t="shared" si="78"/>
        <v>0</v>
      </c>
      <c r="AU113" s="154">
        <f t="shared" si="69"/>
        <v>0</v>
      </c>
      <c r="AV113" s="154">
        <v>0</v>
      </c>
      <c r="AW113" s="154">
        <f t="shared" si="50"/>
        <v>0</v>
      </c>
      <c r="AX113" s="25"/>
      <c r="AY113" s="26"/>
      <c r="AZ113" s="28">
        <f t="shared" si="68"/>
        <v>1689.5199999999998</v>
      </c>
      <c r="BA113" s="28"/>
      <c r="BB113" s="28">
        <f t="shared" si="70"/>
        <v>0</v>
      </c>
      <c r="BC113" s="28">
        <f t="shared" si="71"/>
        <v>0</v>
      </c>
      <c r="BD113" s="28">
        <f t="shared" si="72"/>
        <v>689.59999999999991</v>
      </c>
      <c r="BE113" s="28">
        <f t="shared" si="73"/>
        <v>0</v>
      </c>
      <c r="BF113" s="28">
        <f t="shared" si="64"/>
        <v>999.91999999999985</v>
      </c>
      <c r="BG113" s="29">
        <f t="shared" si="74"/>
        <v>999.92</v>
      </c>
      <c r="BH113" s="29">
        <f t="shared" si="65"/>
        <v>0</v>
      </c>
      <c r="BI113" s="30"/>
      <c r="BJ113" s="23" t="s">
        <v>241</v>
      </c>
      <c r="BK113" s="31">
        <v>9</v>
      </c>
      <c r="BL113" s="31">
        <v>150</v>
      </c>
      <c r="BN113" s="31">
        <v>15</v>
      </c>
      <c r="BO113" s="31">
        <v>135</v>
      </c>
      <c r="BP113" s="31" t="b">
        <f t="shared" si="75"/>
        <v>1</v>
      </c>
    </row>
    <row r="114" spans="2:68" s="31" customFormat="1" ht="30" customHeight="1" x14ac:dyDescent="0.25">
      <c r="B114" s="32" t="s">
        <v>242</v>
      </c>
      <c r="C114" s="22" t="s">
        <v>29</v>
      </c>
      <c r="D114" s="23" t="s">
        <v>243</v>
      </c>
      <c r="E114" s="24">
        <v>16.8</v>
      </c>
      <c r="F114" s="24">
        <v>16.8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f t="shared" si="41"/>
        <v>0</v>
      </c>
      <c r="M114" s="22">
        <v>0</v>
      </c>
      <c r="N114" s="22">
        <f t="shared" si="40"/>
        <v>0</v>
      </c>
      <c r="O114" s="153">
        <v>0</v>
      </c>
      <c r="P114" s="153">
        <v>0</v>
      </c>
      <c r="Q114" s="153">
        <v>0</v>
      </c>
      <c r="R114" s="153">
        <v>0</v>
      </c>
      <c r="S114" s="153">
        <f t="shared" si="42"/>
        <v>0</v>
      </c>
      <c r="T114" s="153">
        <v>0</v>
      </c>
      <c r="U114" s="153">
        <f t="shared" si="43"/>
        <v>0</v>
      </c>
      <c r="V114" s="154">
        <v>0</v>
      </c>
      <c r="W114" s="154">
        <v>0</v>
      </c>
      <c r="X114" s="154">
        <v>0</v>
      </c>
      <c r="Y114" s="154">
        <v>0</v>
      </c>
      <c r="Z114" s="154">
        <f t="shared" si="44"/>
        <v>0</v>
      </c>
      <c r="AA114" s="154">
        <v>0</v>
      </c>
      <c r="AB114" s="154">
        <f t="shared" si="45"/>
        <v>0</v>
      </c>
      <c r="AC114" s="154">
        <v>0</v>
      </c>
      <c r="AD114" s="154">
        <v>0</v>
      </c>
      <c r="AE114" s="154">
        <v>0</v>
      </c>
      <c r="AF114" s="154">
        <v>0</v>
      </c>
      <c r="AG114" s="154">
        <f t="shared" si="46"/>
        <v>0</v>
      </c>
      <c r="AH114" s="154">
        <v>0</v>
      </c>
      <c r="AI114" s="154">
        <f t="shared" si="47"/>
        <v>0</v>
      </c>
      <c r="AJ114" s="154">
        <v>0</v>
      </c>
      <c r="AK114" s="154">
        <v>0</v>
      </c>
      <c r="AL114" s="154">
        <v>0</v>
      </c>
      <c r="AM114" s="154">
        <v>0</v>
      </c>
      <c r="AN114" s="154">
        <f t="shared" si="58"/>
        <v>0</v>
      </c>
      <c r="AO114" s="154">
        <v>0</v>
      </c>
      <c r="AP114" s="154">
        <f t="shared" si="48"/>
        <v>0</v>
      </c>
      <c r="AQ114" s="154">
        <f t="shared" si="76"/>
        <v>0</v>
      </c>
      <c r="AR114" s="154">
        <f t="shared" si="77"/>
        <v>0</v>
      </c>
      <c r="AS114" s="154">
        <f t="shared" si="61"/>
        <v>0</v>
      </c>
      <c r="AT114" s="154">
        <f t="shared" si="78"/>
        <v>0</v>
      </c>
      <c r="AU114" s="154">
        <f t="shared" si="69"/>
        <v>0</v>
      </c>
      <c r="AV114" s="154">
        <f>AH114</f>
        <v>0</v>
      </c>
      <c r="AW114" s="154">
        <f t="shared" si="50"/>
        <v>0</v>
      </c>
      <c r="AX114" s="25"/>
      <c r="AY114" s="26"/>
      <c r="AZ114" s="28">
        <f t="shared" si="68"/>
        <v>0</v>
      </c>
      <c r="BA114" s="28"/>
      <c r="BB114" s="28">
        <f t="shared" si="70"/>
        <v>0</v>
      </c>
      <c r="BC114" s="28">
        <f t="shared" si="71"/>
        <v>0</v>
      </c>
      <c r="BD114" s="28">
        <f t="shared" si="72"/>
        <v>0</v>
      </c>
      <c r="BE114" s="28">
        <f t="shared" si="73"/>
        <v>0</v>
      </c>
      <c r="BF114" s="28">
        <f t="shared" si="64"/>
        <v>0</v>
      </c>
      <c r="BG114" s="29">
        <f t="shared" si="74"/>
        <v>0</v>
      </c>
      <c r="BH114" s="29">
        <f t="shared" si="65"/>
        <v>0</v>
      </c>
      <c r="BI114" s="30"/>
      <c r="BJ114" s="23" t="s">
        <v>243</v>
      </c>
      <c r="BK114" s="31">
        <v>0</v>
      </c>
      <c r="BL114" s="31">
        <v>0</v>
      </c>
      <c r="BO114" s="31">
        <v>0</v>
      </c>
      <c r="BP114" s="31" t="b">
        <f t="shared" si="75"/>
        <v>1</v>
      </c>
    </row>
    <row r="115" spans="2:68" s="31" customFormat="1" ht="15" customHeight="1" x14ac:dyDescent="0.25">
      <c r="B115" s="21" t="s">
        <v>244</v>
      </c>
      <c r="C115" s="22" t="s">
        <v>29</v>
      </c>
      <c r="D115" s="23" t="s">
        <v>245</v>
      </c>
      <c r="E115" s="24">
        <v>5</v>
      </c>
      <c r="F115" s="24">
        <v>5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f t="shared" si="41"/>
        <v>0</v>
      </c>
      <c r="M115" s="22">
        <v>0</v>
      </c>
      <c r="N115" s="22">
        <f t="shared" si="40"/>
        <v>0</v>
      </c>
      <c r="O115" s="153">
        <v>0</v>
      </c>
      <c r="P115" s="153">
        <v>0</v>
      </c>
      <c r="Q115" s="153">
        <v>0</v>
      </c>
      <c r="R115" s="153">
        <v>0</v>
      </c>
      <c r="S115" s="153">
        <f t="shared" si="42"/>
        <v>0</v>
      </c>
      <c r="T115" s="153">
        <v>0</v>
      </c>
      <c r="U115" s="153">
        <f t="shared" si="43"/>
        <v>0</v>
      </c>
      <c r="V115" s="154">
        <v>0</v>
      </c>
      <c r="W115" s="154">
        <v>0</v>
      </c>
      <c r="X115" s="154">
        <v>0</v>
      </c>
      <c r="Y115" s="154">
        <v>0</v>
      </c>
      <c r="Z115" s="154">
        <f t="shared" si="44"/>
        <v>0</v>
      </c>
      <c r="AA115" s="154">
        <v>0</v>
      </c>
      <c r="AB115" s="154">
        <f t="shared" si="45"/>
        <v>0</v>
      </c>
      <c r="AC115" s="154">
        <v>0</v>
      </c>
      <c r="AD115" s="154">
        <v>0</v>
      </c>
      <c r="AE115" s="154">
        <v>0</v>
      </c>
      <c r="AF115" s="154">
        <v>0</v>
      </c>
      <c r="AG115" s="154">
        <f t="shared" si="46"/>
        <v>0</v>
      </c>
      <c r="AH115" s="154">
        <v>0</v>
      </c>
      <c r="AI115" s="154">
        <f t="shared" si="47"/>
        <v>0</v>
      </c>
      <c r="AJ115" s="154">
        <v>0</v>
      </c>
      <c r="AK115" s="154">
        <v>0</v>
      </c>
      <c r="AL115" s="154">
        <v>0</v>
      </c>
      <c r="AM115" s="154">
        <v>0</v>
      </c>
      <c r="AN115" s="154">
        <f t="shared" si="58"/>
        <v>0</v>
      </c>
      <c r="AO115" s="154">
        <v>0</v>
      </c>
      <c r="AP115" s="154">
        <f t="shared" si="48"/>
        <v>0</v>
      </c>
      <c r="AQ115" s="154">
        <f t="shared" si="76"/>
        <v>0</v>
      </c>
      <c r="AR115" s="154">
        <f t="shared" si="77"/>
        <v>0</v>
      </c>
      <c r="AS115" s="154">
        <f t="shared" si="61"/>
        <v>0</v>
      </c>
      <c r="AT115" s="154">
        <f t="shared" si="78"/>
        <v>0</v>
      </c>
      <c r="AU115" s="154">
        <f t="shared" si="69"/>
        <v>0</v>
      </c>
      <c r="AV115" s="154">
        <f>AH115</f>
        <v>0</v>
      </c>
      <c r="AW115" s="154">
        <f t="shared" si="50"/>
        <v>0</v>
      </c>
      <c r="AX115" s="25"/>
      <c r="AY115" s="26"/>
      <c r="AZ115" s="28">
        <f t="shared" si="68"/>
        <v>0</v>
      </c>
      <c r="BA115" s="28"/>
      <c r="BB115" s="28">
        <f t="shared" si="70"/>
        <v>0</v>
      </c>
      <c r="BC115" s="28">
        <f t="shared" si="71"/>
        <v>0</v>
      </c>
      <c r="BD115" s="28">
        <f t="shared" si="72"/>
        <v>0</v>
      </c>
      <c r="BE115" s="28">
        <f t="shared" si="73"/>
        <v>0</v>
      </c>
      <c r="BF115" s="28">
        <f t="shared" si="64"/>
        <v>0</v>
      </c>
      <c r="BG115" s="29">
        <f t="shared" si="74"/>
        <v>0</v>
      </c>
      <c r="BH115" s="29">
        <f t="shared" si="65"/>
        <v>0</v>
      </c>
      <c r="BI115" s="30"/>
      <c r="BJ115" s="23" t="s">
        <v>245</v>
      </c>
      <c r="BK115" s="31">
        <v>0</v>
      </c>
      <c r="BL115" s="31">
        <v>0</v>
      </c>
      <c r="BO115" s="31">
        <v>0</v>
      </c>
      <c r="BP115" s="31" t="b">
        <f t="shared" si="75"/>
        <v>1</v>
      </c>
    </row>
    <row r="116" spans="2:68" s="31" customFormat="1" ht="31.5" x14ac:dyDescent="0.25">
      <c r="B116" s="21" t="s">
        <v>246</v>
      </c>
      <c r="C116" s="22" t="s">
        <v>26</v>
      </c>
      <c r="D116" s="23" t="s">
        <v>247</v>
      </c>
      <c r="E116" s="39">
        <v>99</v>
      </c>
      <c r="F116" s="39">
        <v>99</v>
      </c>
      <c r="G116" s="22">
        <v>10</v>
      </c>
      <c r="H116" s="22">
        <v>0</v>
      </c>
      <c r="I116" s="22">
        <v>0</v>
      </c>
      <c r="J116" s="22">
        <v>0</v>
      </c>
      <c r="K116" s="22">
        <v>0</v>
      </c>
      <c r="L116" s="22">
        <f t="shared" si="41"/>
        <v>10</v>
      </c>
      <c r="M116" s="22">
        <v>10</v>
      </c>
      <c r="N116" s="22">
        <f t="shared" si="40"/>
        <v>0</v>
      </c>
      <c r="O116" s="153">
        <v>0</v>
      </c>
      <c r="P116" s="153">
        <v>0</v>
      </c>
      <c r="Q116" s="153">
        <v>0</v>
      </c>
      <c r="R116" s="153">
        <v>0</v>
      </c>
      <c r="S116" s="153">
        <f t="shared" si="42"/>
        <v>10</v>
      </c>
      <c r="T116" s="153">
        <v>10</v>
      </c>
      <c r="U116" s="153">
        <f t="shared" si="43"/>
        <v>0</v>
      </c>
      <c r="V116" s="154">
        <v>0</v>
      </c>
      <c r="W116" s="154">
        <v>0</v>
      </c>
      <c r="X116" s="154">
        <v>0</v>
      </c>
      <c r="Y116" s="154">
        <v>0</v>
      </c>
      <c r="Z116" s="154">
        <f t="shared" si="44"/>
        <v>10</v>
      </c>
      <c r="AA116" s="154">
        <v>10</v>
      </c>
      <c r="AB116" s="154">
        <f t="shared" si="45"/>
        <v>0</v>
      </c>
      <c r="AC116" s="154">
        <v>0</v>
      </c>
      <c r="AD116" s="154">
        <v>0</v>
      </c>
      <c r="AE116" s="154">
        <v>0</v>
      </c>
      <c r="AF116" s="154">
        <v>0</v>
      </c>
      <c r="AG116" s="154">
        <f t="shared" si="46"/>
        <v>10</v>
      </c>
      <c r="AH116" s="154">
        <v>10</v>
      </c>
      <c r="AI116" s="154">
        <f t="shared" si="47"/>
        <v>0</v>
      </c>
      <c r="AJ116" s="154">
        <v>0</v>
      </c>
      <c r="AK116" s="154">
        <v>0</v>
      </c>
      <c r="AL116" s="154">
        <v>0</v>
      </c>
      <c r="AM116" s="154">
        <v>0</v>
      </c>
      <c r="AN116" s="154">
        <f t="shared" si="58"/>
        <v>10</v>
      </c>
      <c r="AO116" s="154">
        <v>10</v>
      </c>
      <c r="AP116" s="154">
        <f t="shared" si="48"/>
        <v>0</v>
      </c>
      <c r="AQ116" s="154">
        <f t="shared" si="76"/>
        <v>0</v>
      </c>
      <c r="AR116" s="154">
        <f t="shared" si="77"/>
        <v>0</v>
      </c>
      <c r="AS116" s="154">
        <f t="shared" si="61"/>
        <v>0</v>
      </c>
      <c r="AT116" s="154">
        <f t="shared" si="78"/>
        <v>0</v>
      </c>
      <c r="AU116" s="154">
        <f t="shared" si="69"/>
        <v>10</v>
      </c>
      <c r="AV116" s="154">
        <v>10</v>
      </c>
      <c r="AW116" s="154">
        <f t="shared" si="50"/>
        <v>0</v>
      </c>
      <c r="AX116" s="25"/>
      <c r="AY116" s="26"/>
      <c r="AZ116" s="28">
        <f t="shared" si="68"/>
        <v>990</v>
      </c>
      <c r="BA116" s="28"/>
      <c r="BB116" s="28">
        <f t="shared" si="70"/>
        <v>0</v>
      </c>
      <c r="BC116" s="28">
        <f t="shared" si="71"/>
        <v>0</v>
      </c>
      <c r="BD116" s="28">
        <f t="shared" si="72"/>
        <v>0</v>
      </c>
      <c r="BE116" s="28">
        <f t="shared" si="73"/>
        <v>0</v>
      </c>
      <c r="BF116" s="28">
        <f t="shared" si="64"/>
        <v>990</v>
      </c>
      <c r="BG116" s="29">
        <f t="shared" si="74"/>
        <v>990</v>
      </c>
      <c r="BH116" s="29">
        <f t="shared" si="65"/>
        <v>0</v>
      </c>
      <c r="BI116" s="30"/>
      <c r="BJ116" s="23" t="s">
        <v>248</v>
      </c>
      <c r="BK116" s="31">
        <v>0</v>
      </c>
      <c r="BL116" s="31">
        <v>10</v>
      </c>
      <c r="BO116" s="31">
        <v>10</v>
      </c>
      <c r="BP116" s="31" t="b">
        <f t="shared" si="75"/>
        <v>0</v>
      </c>
    </row>
    <row r="117" spans="2:68" s="31" customFormat="1" ht="45" customHeight="1" x14ac:dyDescent="0.25">
      <c r="B117" s="21" t="s">
        <v>249</v>
      </c>
      <c r="C117" s="22" t="s">
        <v>26</v>
      </c>
      <c r="D117" s="23" t="s">
        <v>250</v>
      </c>
      <c r="E117" s="39">
        <v>202.9</v>
      </c>
      <c r="F117" s="39">
        <v>202.9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>
        <f t="shared" si="41"/>
        <v>0</v>
      </c>
      <c r="M117" s="22">
        <v>0</v>
      </c>
      <c r="N117" s="22">
        <f t="shared" si="40"/>
        <v>0</v>
      </c>
      <c r="O117" s="153">
        <v>0</v>
      </c>
      <c r="P117" s="153">
        <v>0</v>
      </c>
      <c r="Q117" s="153">
        <v>0</v>
      </c>
      <c r="R117" s="153">
        <v>0</v>
      </c>
      <c r="S117" s="153">
        <f t="shared" si="42"/>
        <v>0</v>
      </c>
      <c r="T117" s="153">
        <v>0</v>
      </c>
      <c r="U117" s="153">
        <f t="shared" si="43"/>
        <v>0</v>
      </c>
      <c r="V117" s="154">
        <v>0</v>
      </c>
      <c r="W117" s="154">
        <v>0</v>
      </c>
      <c r="X117" s="154">
        <v>0</v>
      </c>
      <c r="Y117" s="154">
        <v>0</v>
      </c>
      <c r="Z117" s="154">
        <f t="shared" si="44"/>
        <v>0</v>
      </c>
      <c r="AA117" s="154">
        <v>0</v>
      </c>
      <c r="AB117" s="154">
        <f t="shared" si="45"/>
        <v>0</v>
      </c>
      <c r="AC117" s="154">
        <v>0</v>
      </c>
      <c r="AD117" s="154">
        <v>0</v>
      </c>
      <c r="AE117" s="154">
        <v>0</v>
      </c>
      <c r="AF117" s="154">
        <v>0</v>
      </c>
      <c r="AG117" s="154">
        <f t="shared" si="46"/>
        <v>0</v>
      </c>
      <c r="AH117" s="154">
        <v>0</v>
      </c>
      <c r="AI117" s="154">
        <f t="shared" si="47"/>
        <v>0</v>
      </c>
      <c r="AJ117" s="154">
        <v>0</v>
      </c>
      <c r="AK117" s="154">
        <v>0</v>
      </c>
      <c r="AL117" s="154">
        <v>0</v>
      </c>
      <c r="AM117" s="154">
        <v>0</v>
      </c>
      <c r="AN117" s="154">
        <f t="shared" si="58"/>
        <v>0</v>
      </c>
      <c r="AO117" s="154">
        <v>0</v>
      </c>
      <c r="AP117" s="154">
        <f t="shared" si="48"/>
        <v>0</v>
      </c>
      <c r="AQ117" s="154">
        <f t="shared" si="76"/>
        <v>0</v>
      </c>
      <c r="AR117" s="154">
        <f t="shared" si="77"/>
        <v>0</v>
      </c>
      <c r="AS117" s="154">
        <f t="shared" si="61"/>
        <v>0</v>
      </c>
      <c r="AT117" s="154">
        <f t="shared" si="78"/>
        <v>0</v>
      </c>
      <c r="AU117" s="154">
        <f t="shared" si="69"/>
        <v>0</v>
      </c>
      <c r="AV117" s="154">
        <f t="shared" ref="AV117:AV142" si="79">AH117</f>
        <v>0</v>
      </c>
      <c r="AW117" s="154">
        <f t="shared" si="50"/>
        <v>0</v>
      </c>
      <c r="AX117" s="25"/>
      <c r="AY117" s="26"/>
      <c r="AZ117" s="28">
        <f t="shared" si="68"/>
        <v>0</v>
      </c>
      <c r="BA117" s="28"/>
      <c r="BB117" s="28">
        <f t="shared" si="70"/>
        <v>0</v>
      </c>
      <c r="BC117" s="28">
        <f t="shared" si="71"/>
        <v>0</v>
      </c>
      <c r="BD117" s="28">
        <f t="shared" si="72"/>
        <v>0</v>
      </c>
      <c r="BE117" s="28">
        <f t="shared" si="73"/>
        <v>0</v>
      </c>
      <c r="BF117" s="28">
        <f t="shared" si="64"/>
        <v>0</v>
      </c>
      <c r="BG117" s="29">
        <f t="shared" si="74"/>
        <v>0</v>
      </c>
      <c r="BH117" s="29">
        <f t="shared" si="65"/>
        <v>0</v>
      </c>
      <c r="BI117" s="30"/>
      <c r="BJ117" s="23" t="s">
        <v>251</v>
      </c>
      <c r="BK117" s="31">
        <v>0</v>
      </c>
      <c r="BL117" s="31">
        <v>0</v>
      </c>
      <c r="BO117" s="31">
        <v>0</v>
      </c>
      <c r="BP117" s="31" t="b">
        <f t="shared" si="75"/>
        <v>0</v>
      </c>
    </row>
    <row r="118" spans="2:68" s="31" customFormat="1" x14ac:dyDescent="0.25">
      <c r="B118" s="21" t="s">
        <v>252</v>
      </c>
      <c r="C118" s="22" t="s">
        <v>26</v>
      </c>
      <c r="D118" s="23" t="s">
        <v>253</v>
      </c>
      <c r="E118" s="24">
        <v>97.95</v>
      </c>
      <c r="F118" s="24">
        <v>97.95</v>
      </c>
      <c r="G118" s="22">
        <v>0</v>
      </c>
      <c r="H118" s="22">
        <v>0</v>
      </c>
      <c r="I118" s="22">
        <v>0</v>
      </c>
      <c r="J118" s="22">
        <v>0</v>
      </c>
      <c r="K118" s="22">
        <v>0</v>
      </c>
      <c r="L118" s="22">
        <f t="shared" si="41"/>
        <v>0</v>
      </c>
      <c r="M118" s="22">
        <v>0</v>
      </c>
      <c r="N118" s="22">
        <f t="shared" si="40"/>
        <v>0</v>
      </c>
      <c r="O118" s="153">
        <v>0</v>
      </c>
      <c r="P118" s="153">
        <v>0</v>
      </c>
      <c r="Q118" s="153">
        <v>0</v>
      </c>
      <c r="R118" s="153">
        <v>0</v>
      </c>
      <c r="S118" s="153">
        <f t="shared" si="42"/>
        <v>0</v>
      </c>
      <c r="T118" s="153">
        <v>0</v>
      </c>
      <c r="U118" s="153">
        <f t="shared" si="43"/>
        <v>0</v>
      </c>
      <c r="V118" s="154">
        <v>0</v>
      </c>
      <c r="W118" s="154">
        <v>0</v>
      </c>
      <c r="X118" s="154">
        <v>0</v>
      </c>
      <c r="Y118" s="154">
        <v>0</v>
      </c>
      <c r="Z118" s="154">
        <f t="shared" si="44"/>
        <v>0</v>
      </c>
      <c r="AA118" s="154">
        <v>0</v>
      </c>
      <c r="AB118" s="154">
        <f t="shared" si="45"/>
        <v>0</v>
      </c>
      <c r="AC118" s="154">
        <v>0</v>
      </c>
      <c r="AD118" s="154">
        <v>0</v>
      </c>
      <c r="AE118" s="154">
        <v>0</v>
      </c>
      <c r="AF118" s="154">
        <v>0</v>
      </c>
      <c r="AG118" s="154">
        <f t="shared" si="46"/>
        <v>0</v>
      </c>
      <c r="AH118" s="154">
        <v>0</v>
      </c>
      <c r="AI118" s="154">
        <f t="shared" si="47"/>
        <v>0</v>
      </c>
      <c r="AJ118" s="154">
        <v>0</v>
      </c>
      <c r="AK118" s="154">
        <v>0</v>
      </c>
      <c r="AL118" s="154">
        <v>0</v>
      </c>
      <c r="AM118" s="154">
        <v>0</v>
      </c>
      <c r="AN118" s="154">
        <f t="shared" si="58"/>
        <v>0</v>
      </c>
      <c r="AO118" s="154">
        <v>0</v>
      </c>
      <c r="AP118" s="154">
        <f t="shared" si="48"/>
        <v>0</v>
      </c>
      <c r="AQ118" s="154">
        <f t="shared" si="76"/>
        <v>0</v>
      </c>
      <c r="AR118" s="154">
        <f t="shared" si="77"/>
        <v>0</v>
      </c>
      <c r="AS118" s="154">
        <f t="shared" si="61"/>
        <v>0</v>
      </c>
      <c r="AT118" s="154">
        <f t="shared" si="78"/>
        <v>0</v>
      </c>
      <c r="AU118" s="154">
        <f t="shared" si="69"/>
        <v>0</v>
      </c>
      <c r="AV118" s="154">
        <f t="shared" si="79"/>
        <v>0</v>
      </c>
      <c r="AW118" s="154">
        <f t="shared" si="50"/>
        <v>0</v>
      </c>
      <c r="AX118" s="25"/>
      <c r="AY118" s="26"/>
      <c r="AZ118" s="28">
        <f t="shared" si="68"/>
        <v>0</v>
      </c>
      <c r="BA118" s="28"/>
      <c r="BB118" s="28">
        <f t="shared" si="70"/>
        <v>0</v>
      </c>
      <c r="BC118" s="28">
        <f t="shared" si="71"/>
        <v>0</v>
      </c>
      <c r="BD118" s="28">
        <f t="shared" si="72"/>
        <v>0</v>
      </c>
      <c r="BE118" s="28">
        <f t="shared" si="73"/>
        <v>0</v>
      </c>
      <c r="BF118" s="28">
        <f t="shared" si="64"/>
        <v>0</v>
      </c>
      <c r="BG118" s="29">
        <f t="shared" si="74"/>
        <v>0</v>
      </c>
      <c r="BH118" s="29">
        <f t="shared" si="65"/>
        <v>0</v>
      </c>
      <c r="BI118" s="30"/>
      <c r="BJ118" s="23" t="s">
        <v>253</v>
      </c>
      <c r="BK118" s="31">
        <v>0</v>
      </c>
      <c r="BL118" s="31">
        <v>0</v>
      </c>
      <c r="BO118" s="31">
        <v>0</v>
      </c>
      <c r="BP118" s="31" t="b">
        <f t="shared" si="75"/>
        <v>1</v>
      </c>
    </row>
    <row r="119" spans="2:68" s="31" customFormat="1" x14ac:dyDescent="0.25">
      <c r="B119" s="21" t="s">
        <v>254</v>
      </c>
      <c r="C119" s="22" t="s">
        <v>26</v>
      </c>
      <c r="D119" s="23" t="s">
        <v>255</v>
      </c>
      <c r="E119" s="24">
        <v>49.9</v>
      </c>
      <c r="F119" s="24">
        <v>49.9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2">
        <f t="shared" si="41"/>
        <v>0</v>
      </c>
      <c r="M119" s="22">
        <v>0</v>
      </c>
      <c r="N119" s="22">
        <f t="shared" si="40"/>
        <v>0</v>
      </c>
      <c r="O119" s="153">
        <v>0</v>
      </c>
      <c r="P119" s="153">
        <v>0</v>
      </c>
      <c r="Q119" s="153">
        <v>0</v>
      </c>
      <c r="R119" s="153">
        <v>0</v>
      </c>
      <c r="S119" s="153">
        <f t="shared" si="42"/>
        <v>0</v>
      </c>
      <c r="T119" s="153">
        <v>0</v>
      </c>
      <c r="U119" s="153">
        <f t="shared" si="43"/>
        <v>0</v>
      </c>
      <c r="V119" s="154">
        <v>0</v>
      </c>
      <c r="W119" s="154">
        <v>0</v>
      </c>
      <c r="X119" s="154">
        <v>0</v>
      </c>
      <c r="Y119" s="154">
        <v>0</v>
      </c>
      <c r="Z119" s="154">
        <f t="shared" si="44"/>
        <v>0</v>
      </c>
      <c r="AA119" s="154">
        <v>0</v>
      </c>
      <c r="AB119" s="154">
        <f t="shared" si="45"/>
        <v>0</v>
      </c>
      <c r="AC119" s="154">
        <v>0</v>
      </c>
      <c r="AD119" s="154">
        <v>0</v>
      </c>
      <c r="AE119" s="154">
        <v>0</v>
      </c>
      <c r="AF119" s="154">
        <v>0</v>
      </c>
      <c r="AG119" s="154">
        <f t="shared" si="46"/>
        <v>0</v>
      </c>
      <c r="AH119" s="154">
        <v>0</v>
      </c>
      <c r="AI119" s="154">
        <f t="shared" si="47"/>
        <v>0</v>
      </c>
      <c r="AJ119" s="154">
        <v>0</v>
      </c>
      <c r="AK119" s="154">
        <v>0</v>
      </c>
      <c r="AL119" s="154">
        <v>0</v>
      </c>
      <c r="AM119" s="154">
        <v>0</v>
      </c>
      <c r="AN119" s="154">
        <f t="shared" si="58"/>
        <v>0</v>
      </c>
      <c r="AO119" s="154">
        <v>0</v>
      </c>
      <c r="AP119" s="154">
        <f t="shared" si="48"/>
        <v>0</v>
      </c>
      <c r="AQ119" s="154">
        <f t="shared" si="76"/>
        <v>0</v>
      </c>
      <c r="AR119" s="154">
        <f t="shared" si="77"/>
        <v>0</v>
      </c>
      <c r="AS119" s="154">
        <f t="shared" si="61"/>
        <v>0</v>
      </c>
      <c r="AT119" s="154">
        <f t="shared" si="78"/>
        <v>0</v>
      </c>
      <c r="AU119" s="154">
        <f t="shared" si="69"/>
        <v>0</v>
      </c>
      <c r="AV119" s="154">
        <f t="shared" si="79"/>
        <v>0</v>
      </c>
      <c r="AW119" s="154">
        <f t="shared" si="50"/>
        <v>0</v>
      </c>
      <c r="AX119" s="25"/>
      <c r="AY119" s="26"/>
      <c r="AZ119" s="28">
        <f t="shared" si="68"/>
        <v>0</v>
      </c>
      <c r="BA119" s="28"/>
      <c r="BB119" s="28">
        <f t="shared" si="70"/>
        <v>0</v>
      </c>
      <c r="BC119" s="28">
        <f t="shared" si="71"/>
        <v>0</v>
      </c>
      <c r="BD119" s="28">
        <f t="shared" si="72"/>
        <v>0</v>
      </c>
      <c r="BE119" s="28">
        <f t="shared" si="73"/>
        <v>0</v>
      </c>
      <c r="BF119" s="28">
        <f t="shared" si="64"/>
        <v>0</v>
      </c>
      <c r="BG119" s="29">
        <f t="shared" si="74"/>
        <v>0</v>
      </c>
      <c r="BH119" s="29">
        <f t="shared" si="65"/>
        <v>0</v>
      </c>
      <c r="BI119" s="30"/>
      <c r="BJ119" s="23" t="s">
        <v>255</v>
      </c>
      <c r="BK119" s="31">
        <v>0</v>
      </c>
      <c r="BL119" s="31">
        <v>0</v>
      </c>
      <c r="BO119" s="31">
        <v>0</v>
      </c>
      <c r="BP119" s="31" t="b">
        <f t="shared" si="75"/>
        <v>1</v>
      </c>
    </row>
    <row r="120" spans="2:68" s="31" customFormat="1" x14ac:dyDescent="0.25">
      <c r="B120" s="21" t="s">
        <v>256</v>
      </c>
      <c r="C120" s="22" t="s">
        <v>26</v>
      </c>
      <c r="D120" s="23" t="s">
        <v>257</v>
      </c>
      <c r="E120" s="24">
        <v>44</v>
      </c>
      <c r="F120" s="24">
        <v>44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2">
        <f t="shared" si="41"/>
        <v>0</v>
      </c>
      <c r="M120" s="22">
        <v>0</v>
      </c>
      <c r="N120" s="22">
        <f t="shared" si="40"/>
        <v>0</v>
      </c>
      <c r="O120" s="153">
        <v>0</v>
      </c>
      <c r="P120" s="153">
        <v>0</v>
      </c>
      <c r="Q120" s="153">
        <v>0</v>
      </c>
      <c r="R120" s="153">
        <v>0</v>
      </c>
      <c r="S120" s="153">
        <f t="shared" si="42"/>
        <v>0</v>
      </c>
      <c r="T120" s="153">
        <v>0</v>
      </c>
      <c r="U120" s="153">
        <f t="shared" si="43"/>
        <v>0</v>
      </c>
      <c r="V120" s="154">
        <v>0</v>
      </c>
      <c r="W120" s="154">
        <v>0</v>
      </c>
      <c r="X120" s="154">
        <v>0</v>
      </c>
      <c r="Y120" s="154">
        <v>0</v>
      </c>
      <c r="Z120" s="154">
        <f t="shared" si="44"/>
        <v>0</v>
      </c>
      <c r="AA120" s="154">
        <v>0</v>
      </c>
      <c r="AB120" s="154">
        <f t="shared" si="45"/>
        <v>0</v>
      </c>
      <c r="AC120" s="154">
        <v>0</v>
      </c>
      <c r="AD120" s="154">
        <v>0</v>
      </c>
      <c r="AE120" s="154">
        <v>0</v>
      </c>
      <c r="AF120" s="154">
        <v>0</v>
      </c>
      <c r="AG120" s="154">
        <f t="shared" si="46"/>
        <v>0</v>
      </c>
      <c r="AH120" s="154">
        <v>0</v>
      </c>
      <c r="AI120" s="154">
        <f t="shared" si="47"/>
        <v>0</v>
      </c>
      <c r="AJ120" s="154">
        <v>0</v>
      </c>
      <c r="AK120" s="154">
        <v>0</v>
      </c>
      <c r="AL120" s="154">
        <v>0</v>
      </c>
      <c r="AM120" s="154">
        <v>0</v>
      </c>
      <c r="AN120" s="154">
        <f t="shared" si="58"/>
        <v>0</v>
      </c>
      <c r="AO120" s="154">
        <v>0</v>
      </c>
      <c r="AP120" s="154">
        <f t="shared" si="48"/>
        <v>0</v>
      </c>
      <c r="AQ120" s="154">
        <f t="shared" si="76"/>
        <v>0</v>
      </c>
      <c r="AR120" s="154">
        <f t="shared" si="77"/>
        <v>0</v>
      </c>
      <c r="AS120" s="154">
        <f t="shared" si="61"/>
        <v>0</v>
      </c>
      <c r="AT120" s="154">
        <f t="shared" si="78"/>
        <v>0</v>
      </c>
      <c r="AU120" s="154">
        <f t="shared" si="69"/>
        <v>0</v>
      </c>
      <c r="AV120" s="154">
        <f t="shared" si="79"/>
        <v>0</v>
      </c>
      <c r="AW120" s="154">
        <f t="shared" si="50"/>
        <v>0</v>
      </c>
      <c r="AX120" s="25"/>
      <c r="AY120" s="26"/>
      <c r="AZ120" s="28">
        <f t="shared" si="68"/>
        <v>0</v>
      </c>
      <c r="BA120" s="28"/>
      <c r="BB120" s="28">
        <f t="shared" si="70"/>
        <v>0</v>
      </c>
      <c r="BC120" s="28">
        <f t="shared" si="71"/>
        <v>0</v>
      </c>
      <c r="BD120" s="28">
        <f t="shared" si="72"/>
        <v>0</v>
      </c>
      <c r="BE120" s="28">
        <f t="shared" si="73"/>
        <v>0</v>
      </c>
      <c r="BF120" s="28">
        <f t="shared" si="64"/>
        <v>0</v>
      </c>
      <c r="BG120" s="29">
        <f t="shared" si="74"/>
        <v>0</v>
      </c>
      <c r="BH120" s="29">
        <f t="shared" si="65"/>
        <v>0</v>
      </c>
      <c r="BI120" s="30"/>
      <c r="BJ120" s="23" t="s">
        <v>257</v>
      </c>
      <c r="BK120" s="31">
        <v>0</v>
      </c>
      <c r="BL120" s="31">
        <v>0</v>
      </c>
      <c r="BO120" s="31">
        <v>0</v>
      </c>
      <c r="BP120" s="31" t="b">
        <f t="shared" si="75"/>
        <v>1</v>
      </c>
    </row>
    <row r="121" spans="2:68" s="31" customFormat="1" x14ac:dyDescent="0.25">
      <c r="B121" s="21" t="s">
        <v>258</v>
      </c>
      <c r="C121" s="22" t="s">
        <v>26</v>
      </c>
      <c r="D121" s="40" t="s">
        <v>259</v>
      </c>
      <c r="E121" s="41">
        <v>89.9</v>
      </c>
      <c r="F121" s="41">
        <v>89.9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f t="shared" si="41"/>
        <v>0</v>
      </c>
      <c r="M121" s="22">
        <v>0</v>
      </c>
      <c r="N121" s="22">
        <f t="shared" si="40"/>
        <v>0</v>
      </c>
      <c r="O121" s="153">
        <v>0</v>
      </c>
      <c r="P121" s="153">
        <v>0</v>
      </c>
      <c r="Q121" s="153">
        <v>0</v>
      </c>
      <c r="R121" s="153">
        <v>0</v>
      </c>
      <c r="S121" s="153">
        <f t="shared" si="42"/>
        <v>0</v>
      </c>
      <c r="T121" s="153">
        <v>0</v>
      </c>
      <c r="U121" s="153">
        <f t="shared" si="43"/>
        <v>0</v>
      </c>
      <c r="V121" s="154">
        <v>0</v>
      </c>
      <c r="W121" s="154">
        <v>0</v>
      </c>
      <c r="X121" s="154">
        <v>0</v>
      </c>
      <c r="Y121" s="154">
        <v>0</v>
      </c>
      <c r="Z121" s="154">
        <f t="shared" si="44"/>
        <v>0</v>
      </c>
      <c r="AA121" s="154">
        <v>0</v>
      </c>
      <c r="AB121" s="154">
        <f t="shared" si="45"/>
        <v>0</v>
      </c>
      <c r="AC121" s="154">
        <v>0</v>
      </c>
      <c r="AD121" s="154">
        <v>0</v>
      </c>
      <c r="AE121" s="154">
        <v>0</v>
      </c>
      <c r="AF121" s="154">
        <v>0</v>
      </c>
      <c r="AG121" s="154">
        <f t="shared" si="46"/>
        <v>0</v>
      </c>
      <c r="AH121" s="154">
        <v>0</v>
      </c>
      <c r="AI121" s="154">
        <f t="shared" si="47"/>
        <v>0</v>
      </c>
      <c r="AJ121" s="154">
        <v>0</v>
      </c>
      <c r="AK121" s="154">
        <v>0</v>
      </c>
      <c r="AL121" s="154">
        <v>0</v>
      </c>
      <c r="AM121" s="154">
        <v>0</v>
      </c>
      <c r="AN121" s="154">
        <f t="shared" si="58"/>
        <v>0</v>
      </c>
      <c r="AO121" s="154">
        <v>0</v>
      </c>
      <c r="AP121" s="154">
        <f t="shared" si="48"/>
        <v>0</v>
      </c>
      <c r="AQ121" s="154">
        <f t="shared" si="76"/>
        <v>0</v>
      </c>
      <c r="AR121" s="154">
        <f t="shared" si="77"/>
        <v>0</v>
      </c>
      <c r="AS121" s="154">
        <f t="shared" si="61"/>
        <v>0</v>
      </c>
      <c r="AT121" s="154">
        <f t="shared" si="78"/>
        <v>0</v>
      </c>
      <c r="AU121" s="154">
        <f t="shared" si="69"/>
        <v>0</v>
      </c>
      <c r="AV121" s="154">
        <f t="shared" si="79"/>
        <v>0</v>
      </c>
      <c r="AW121" s="154">
        <f t="shared" si="50"/>
        <v>0</v>
      </c>
      <c r="AX121" s="25"/>
      <c r="AY121" s="26"/>
      <c r="AZ121" s="28">
        <f t="shared" si="68"/>
        <v>0</v>
      </c>
      <c r="BA121" s="28"/>
      <c r="BB121" s="28">
        <f t="shared" si="70"/>
        <v>0</v>
      </c>
      <c r="BC121" s="28">
        <f t="shared" si="71"/>
        <v>0</v>
      </c>
      <c r="BD121" s="28">
        <f t="shared" si="72"/>
        <v>0</v>
      </c>
      <c r="BE121" s="28">
        <f t="shared" si="73"/>
        <v>0</v>
      </c>
      <c r="BF121" s="28">
        <f t="shared" si="64"/>
        <v>0</v>
      </c>
      <c r="BG121" s="29">
        <f t="shared" si="74"/>
        <v>0</v>
      </c>
      <c r="BH121" s="29">
        <f t="shared" si="65"/>
        <v>0</v>
      </c>
      <c r="BI121" s="30"/>
      <c r="BJ121" s="23" t="s">
        <v>259</v>
      </c>
      <c r="BK121" s="31">
        <v>0</v>
      </c>
      <c r="BL121" s="31">
        <v>0</v>
      </c>
      <c r="BO121" s="31">
        <v>0</v>
      </c>
      <c r="BP121" s="31" t="b">
        <f t="shared" si="75"/>
        <v>1</v>
      </c>
    </row>
    <row r="122" spans="2:68" s="31" customFormat="1" x14ac:dyDescent="0.25">
      <c r="B122" s="21" t="s">
        <v>260</v>
      </c>
      <c r="C122" s="22" t="s">
        <v>26</v>
      </c>
      <c r="D122" s="23" t="s">
        <v>261</v>
      </c>
      <c r="E122" s="24">
        <v>189</v>
      </c>
      <c r="F122" s="24">
        <v>189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f t="shared" si="41"/>
        <v>0</v>
      </c>
      <c r="M122" s="22">
        <v>0</v>
      </c>
      <c r="N122" s="22">
        <f t="shared" si="40"/>
        <v>0</v>
      </c>
      <c r="O122" s="153">
        <v>0</v>
      </c>
      <c r="P122" s="153">
        <v>0</v>
      </c>
      <c r="Q122" s="153">
        <v>0</v>
      </c>
      <c r="R122" s="153">
        <v>0</v>
      </c>
      <c r="S122" s="153">
        <f t="shared" si="42"/>
        <v>0</v>
      </c>
      <c r="T122" s="153">
        <v>0</v>
      </c>
      <c r="U122" s="153">
        <f t="shared" si="43"/>
        <v>0</v>
      </c>
      <c r="V122" s="154">
        <v>0</v>
      </c>
      <c r="W122" s="154">
        <v>0</v>
      </c>
      <c r="X122" s="154">
        <v>0</v>
      </c>
      <c r="Y122" s="154">
        <v>0</v>
      </c>
      <c r="Z122" s="154">
        <f t="shared" si="44"/>
        <v>0</v>
      </c>
      <c r="AA122" s="154">
        <v>0</v>
      </c>
      <c r="AB122" s="154">
        <f t="shared" si="45"/>
        <v>0</v>
      </c>
      <c r="AC122" s="154">
        <v>0</v>
      </c>
      <c r="AD122" s="154">
        <v>0</v>
      </c>
      <c r="AE122" s="154">
        <v>0</v>
      </c>
      <c r="AF122" s="154">
        <v>0</v>
      </c>
      <c r="AG122" s="154">
        <f t="shared" si="46"/>
        <v>0</v>
      </c>
      <c r="AH122" s="154">
        <v>0</v>
      </c>
      <c r="AI122" s="154">
        <f t="shared" si="47"/>
        <v>0</v>
      </c>
      <c r="AJ122" s="154">
        <v>0</v>
      </c>
      <c r="AK122" s="154">
        <v>0</v>
      </c>
      <c r="AL122" s="154">
        <v>0</v>
      </c>
      <c r="AM122" s="154">
        <v>0</v>
      </c>
      <c r="AN122" s="154">
        <f t="shared" si="58"/>
        <v>0</v>
      </c>
      <c r="AO122" s="154">
        <v>0</v>
      </c>
      <c r="AP122" s="154">
        <f t="shared" si="48"/>
        <v>0</v>
      </c>
      <c r="AQ122" s="154">
        <f t="shared" si="76"/>
        <v>0</v>
      </c>
      <c r="AR122" s="154">
        <f t="shared" si="77"/>
        <v>0</v>
      </c>
      <c r="AS122" s="154">
        <f t="shared" si="61"/>
        <v>0</v>
      </c>
      <c r="AT122" s="154">
        <f t="shared" si="78"/>
        <v>0</v>
      </c>
      <c r="AU122" s="154">
        <f t="shared" si="69"/>
        <v>0</v>
      </c>
      <c r="AV122" s="154">
        <f t="shared" si="79"/>
        <v>0</v>
      </c>
      <c r="AW122" s="154">
        <f t="shared" si="50"/>
        <v>0</v>
      </c>
      <c r="AX122" s="25"/>
      <c r="AY122" s="26"/>
      <c r="AZ122" s="28">
        <f t="shared" si="68"/>
        <v>0</v>
      </c>
      <c r="BA122" s="28"/>
      <c r="BB122" s="28">
        <f t="shared" si="70"/>
        <v>0</v>
      </c>
      <c r="BC122" s="28">
        <f t="shared" si="71"/>
        <v>0</v>
      </c>
      <c r="BD122" s="28">
        <f t="shared" si="72"/>
        <v>0</v>
      </c>
      <c r="BE122" s="28">
        <f t="shared" si="73"/>
        <v>0</v>
      </c>
      <c r="BF122" s="28">
        <f t="shared" si="64"/>
        <v>0</v>
      </c>
      <c r="BG122" s="29">
        <f t="shared" si="74"/>
        <v>0</v>
      </c>
      <c r="BH122" s="29">
        <f t="shared" si="65"/>
        <v>0</v>
      </c>
      <c r="BI122" s="30"/>
      <c r="BJ122" s="23" t="s">
        <v>261</v>
      </c>
      <c r="BK122" s="31">
        <v>0</v>
      </c>
      <c r="BL122" s="31">
        <v>0</v>
      </c>
      <c r="BO122" s="31">
        <v>0</v>
      </c>
      <c r="BP122" s="31" t="b">
        <f t="shared" si="75"/>
        <v>1</v>
      </c>
    </row>
    <row r="123" spans="2:68" s="31" customFormat="1" x14ac:dyDescent="0.25">
      <c r="B123" s="21" t="s">
        <v>262</v>
      </c>
      <c r="C123" s="22" t="s">
        <v>26</v>
      </c>
      <c r="D123" s="40" t="s">
        <v>263</v>
      </c>
      <c r="E123" s="41">
        <v>185.29</v>
      </c>
      <c r="F123" s="41">
        <v>185.29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f t="shared" si="41"/>
        <v>0</v>
      </c>
      <c r="M123" s="22">
        <v>0</v>
      </c>
      <c r="N123" s="22">
        <f t="shared" si="40"/>
        <v>0</v>
      </c>
      <c r="O123" s="153">
        <v>0</v>
      </c>
      <c r="P123" s="153">
        <v>0</v>
      </c>
      <c r="Q123" s="153">
        <v>0</v>
      </c>
      <c r="R123" s="153">
        <v>0</v>
      </c>
      <c r="S123" s="153">
        <f t="shared" si="42"/>
        <v>0</v>
      </c>
      <c r="T123" s="153">
        <v>0</v>
      </c>
      <c r="U123" s="153">
        <f t="shared" si="43"/>
        <v>0</v>
      </c>
      <c r="V123" s="154">
        <v>0</v>
      </c>
      <c r="W123" s="154">
        <v>0</v>
      </c>
      <c r="X123" s="154">
        <v>0</v>
      </c>
      <c r="Y123" s="154">
        <v>0</v>
      </c>
      <c r="Z123" s="154">
        <f t="shared" si="44"/>
        <v>0</v>
      </c>
      <c r="AA123" s="154">
        <v>0</v>
      </c>
      <c r="AB123" s="154">
        <f t="shared" si="45"/>
        <v>0</v>
      </c>
      <c r="AC123" s="154">
        <v>0</v>
      </c>
      <c r="AD123" s="154">
        <v>0</v>
      </c>
      <c r="AE123" s="154">
        <v>0</v>
      </c>
      <c r="AF123" s="154">
        <v>0</v>
      </c>
      <c r="AG123" s="154">
        <f t="shared" si="46"/>
        <v>0</v>
      </c>
      <c r="AH123" s="154">
        <v>0</v>
      </c>
      <c r="AI123" s="154">
        <f t="shared" si="47"/>
        <v>0</v>
      </c>
      <c r="AJ123" s="154">
        <v>0</v>
      </c>
      <c r="AK123" s="154">
        <v>0</v>
      </c>
      <c r="AL123" s="154">
        <v>0</v>
      </c>
      <c r="AM123" s="154">
        <v>0</v>
      </c>
      <c r="AN123" s="154">
        <f t="shared" si="58"/>
        <v>0</v>
      </c>
      <c r="AO123" s="154">
        <v>0</v>
      </c>
      <c r="AP123" s="154">
        <f t="shared" si="48"/>
        <v>0</v>
      </c>
      <c r="AQ123" s="154">
        <f t="shared" si="76"/>
        <v>0</v>
      </c>
      <c r="AR123" s="154">
        <f t="shared" si="77"/>
        <v>0</v>
      </c>
      <c r="AS123" s="154">
        <f t="shared" si="61"/>
        <v>0</v>
      </c>
      <c r="AT123" s="154">
        <f t="shared" si="78"/>
        <v>0</v>
      </c>
      <c r="AU123" s="154">
        <f t="shared" si="69"/>
        <v>0</v>
      </c>
      <c r="AV123" s="154">
        <f t="shared" si="79"/>
        <v>0</v>
      </c>
      <c r="AW123" s="154">
        <f t="shared" si="50"/>
        <v>0</v>
      </c>
      <c r="AX123" s="25"/>
      <c r="AY123" s="26"/>
      <c r="AZ123" s="28">
        <f t="shared" si="68"/>
        <v>0</v>
      </c>
      <c r="BA123" s="28"/>
      <c r="BB123" s="28">
        <f t="shared" si="70"/>
        <v>0</v>
      </c>
      <c r="BC123" s="28">
        <f t="shared" si="71"/>
        <v>0</v>
      </c>
      <c r="BD123" s="28">
        <f t="shared" si="72"/>
        <v>0</v>
      </c>
      <c r="BE123" s="28">
        <f t="shared" si="73"/>
        <v>0</v>
      </c>
      <c r="BF123" s="28">
        <f t="shared" si="64"/>
        <v>0</v>
      </c>
      <c r="BG123" s="29">
        <f t="shared" si="74"/>
        <v>0</v>
      </c>
      <c r="BH123" s="29">
        <f t="shared" si="65"/>
        <v>0</v>
      </c>
      <c r="BI123" s="30"/>
      <c r="BJ123" s="23" t="s">
        <v>263</v>
      </c>
      <c r="BK123" s="31">
        <v>0</v>
      </c>
      <c r="BL123" s="31">
        <v>0</v>
      </c>
      <c r="BO123" s="31">
        <v>0</v>
      </c>
      <c r="BP123" s="31" t="b">
        <f t="shared" si="75"/>
        <v>1</v>
      </c>
    </row>
    <row r="124" spans="2:68" s="31" customFormat="1" x14ac:dyDescent="0.25">
      <c r="B124" s="21" t="s">
        <v>264</v>
      </c>
      <c r="C124" s="22" t="s">
        <v>58</v>
      </c>
      <c r="D124" s="23" t="s">
        <v>265</v>
      </c>
      <c r="E124" s="24">
        <v>1.45</v>
      </c>
      <c r="F124" s="24">
        <v>1.45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f t="shared" si="41"/>
        <v>0</v>
      </c>
      <c r="M124" s="22">
        <v>0</v>
      </c>
      <c r="N124" s="22">
        <f t="shared" si="40"/>
        <v>0</v>
      </c>
      <c r="O124" s="153">
        <v>0</v>
      </c>
      <c r="P124" s="153">
        <v>0</v>
      </c>
      <c r="Q124" s="153">
        <v>0</v>
      </c>
      <c r="R124" s="153">
        <v>0</v>
      </c>
      <c r="S124" s="153">
        <f t="shared" si="42"/>
        <v>0</v>
      </c>
      <c r="T124" s="153">
        <v>0</v>
      </c>
      <c r="U124" s="153">
        <f t="shared" si="43"/>
        <v>0</v>
      </c>
      <c r="V124" s="154">
        <v>0</v>
      </c>
      <c r="W124" s="154">
        <v>0</v>
      </c>
      <c r="X124" s="154">
        <v>0</v>
      </c>
      <c r="Y124" s="154">
        <v>0</v>
      </c>
      <c r="Z124" s="154">
        <f t="shared" si="44"/>
        <v>0</v>
      </c>
      <c r="AA124" s="154">
        <v>0</v>
      </c>
      <c r="AB124" s="154">
        <f t="shared" si="45"/>
        <v>0</v>
      </c>
      <c r="AC124" s="154">
        <v>0</v>
      </c>
      <c r="AD124" s="154">
        <v>0</v>
      </c>
      <c r="AE124" s="154">
        <v>0</v>
      </c>
      <c r="AF124" s="154">
        <v>0</v>
      </c>
      <c r="AG124" s="154">
        <f t="shared" si="46"/>
        <v>0</v>
      </c>
      <c r="AH124" s="154">
        <v>0</v>
      </c>
      <c r="AI124" s="154">
        <f t="shared" si="47"/>
        <v>0</v>
      </c>
      <c r="AJ124" s="154">
        <v>0</v>
      </c>
      <c r="AK124" s="154">
        <v>0</v>
      </c>
      <c r="AL124" s="154">
        <v>0</v>
      </c>
      <c r="AM124" s="154">
        <v>0</v>
      </c>
      <c r="AN124" s="154">
        <f t="shared" si="58"/>
        <v>0</v>
      </c>
      <c r="AO124" s="154">
        <v>0</v>
      </c>
      <c r="AP124" s="154">
        <f t="shared" si="48"/>
        <v>0</v>
      </c>
      <c r="AQ124" s="154">
        <f t="shared" si="76"/>
        <v>0</v>
      </c>
      <c r="AR124" s="154">
        <f t="shared" si="77"/>
        <v>0</v>
      </c>
      <c r="AS124" s="154">
        <f t="shared" si="61"/>
        <v>0</v>
      </c>
      <c r="AT124" s="154">
        <f t="shared" si="78"/>
        <v>0</v>
      </c>
      <c r="AU124" s="154">
        <f t="shared" si="69"/>
        <v>0</v>
      </c>
      <c r="AV124" s="154">
        <f t="shared" si="79"/>
        <v>0</v>
      </c>
      <c r="AW124" s="154">
        <f t="shared" si="50"/>
        <v>0</v>
      </c>
      <c r="AX124" s="25"/>
      <c r="AY124" s="26"/>
      <c r="AZ124" s="28">
        <f t="shared" si="68"/>
        <v>0</v>
      </c>
      <c r="BA124" s="28"/>
      <c r="BB124" s="28">
        <f t="shared" si="70"/>
        <v>0</v>
      </c>
      <c r="BC124" s="28">
        <f t="shared" si="71"/>
        <v>0</v>
      </c>
      <c r="BD124" s="28">
        <f t="shared" si="72"/>
        <v>0</v>
      </c>
      <c r="BE124" s="28">
        <f t="shared" si="73"/>
        <v>0</v>
      </c>
      <c r="BF124" s="28">
        <f t="shared" si="64"/>
        <v>0</v>
      </c>
      <c r="BG124" s="29">
        <f t="shared" si="74"/>
        <v>0</v>
      </c>
      <c r="BH124" s="29">
        <f t="shared" si="65"/>
        <v>0</v>
      </c>
      <c r="BI124" s="30"/>
      <c r="BJ124" s="23" t="s">
        <v>265</v>
      </c>
      <c r="BK124" s="31">
        <v>0</v>
      </c>
      <c r="BL124" s="31">
        <v>0</v>
      </c>
      <c r="BO124" s="31">
        <v>0</v>
      </c>
      <c r="BP124" s="31" t="b">
        <f t="shared" si="75"/>
        <v>1</v>
      </c>
    </row>
    <row r="125" spans="2:68" s="31" customFormat="1" x14ac:dyDescent="0.25">
      <c r="B125" s="21" t="s">
        <v>266</v>
      </c>
      <c r="C125" s="22" t="s">
        <v>29</v>
      </c>
      <c r="D125" s="23" t="s">
        <v>267</v>
      </c>
      <c r="E125" s="24">
        <v>12.84</v>
      </c>
      <c r="F125" s="24">
        <v>12.84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f t="shared" si="41"/>
        <v>0</v>
      </c>
      <c r="M125" s="22">
        <v>0</v>
      </c>
      <c r="N125" s="22">
        <f t="shared" si="40"/>
        <v>0</v>
      </c>
      <c r="O125" s="153">
        <v>0</v>
      </c>
      <c r="P125" s="153">
        <v>0</v>
      </c>
      <c r="Q125" s="153">
        <v>0</v>
      </c>
      <c r="R125" s="153">
        <v>0</v>
      </c>
      <c r="S125" s="153">
        <f t="shared" si="42"/>
        <v>0</v>
      </c>
      <c r="T125" s="153">
        <v>0</v>
      </c>
      <c r="U125" s="153">
        <f t="shared" si="43"/>
        <v>0</v>
      </c>
      <c r="V125" s="154">
        <v>0</v>
      </c>
      <c r="W125" s="154">
        <v>0</v>
      </c>
      <c r="X125" s="154">
        <v>0</v>
      </c>
      <c r="Y125" s="154">
        <v>0</v>
      </c>
      <c r="Z125" s="154">
        <f t="shared" si="44"/>
        <v>0</v>
      </c>
      <c r="AA125" s="154">
        <v>0</v>
      </c>
      <c r="AB125" s="154">
        <f t="shared" si="45"/>
        <v>0</v>
      </c>
      <c r="AC125" s="154">
        <v>0</v>
      </c>
      <c r="AD125" s="154">
        <v>0</v>
      </c>
      <c r="AE125" s="154">
        <v>0</v>
      </c>
      <c r="AF125" s="154">
        <v>0</v>
      </c>
      <c r="AG125" s="154">
        <f t="shared" si="46"/>
        <v>0</v>
      </c>
      <c r="AH125" s="154">
        <v>0</v>
      </c>
      <c r="AI125" s="154">
        <f t="shared" si="47"/>
        <v>0</v>
      </c>
      <c r="AJ125" s="154">
        <v>0</v>
      </c>
      <c r="AK125" s="154">
        <v>0</v>
      </c>
      <c r="AL125" s="154">
        <v>0</v>
      </c>
      <c r="AM125" s="154">
        <v>0</v>
      </c>
      <c r="AN125" s="154">
        <f t="shared" si="58"/>
        <v>0</v>
      </c>
      <c r="AO125" s="154">
        <v>0</v>
      </c>
      <c r="AP125" s="154">
        <f t="shared" si="48"/>
        <v>0</v>
      </c>
      <c r="AQ125" s="154">
        <f t="shared" si="76"/>
        <v>0</v>
      </c>
      <c r="AR125" s="154">
        <f t="shared" si="77"/>
        <v>0</v>
      </c>
      <c r="AS125" s="154">
        <f t="shared" si="61"/>
        <v>0</v>
      </c>
      <c r="AT125" s="154">
        <f t="shared" si="78"/>
        <v>0</v>
      </c>
      <c r="AU125" s="154">
        <f t="shared" si="69"/>
        <v>0</v>
      </c>
      <c r="AV125" s="154">
        <f t="shared" si="79"/>
        <v>0</v>
      </c>
      <c r="AW125" s="154">
        <f t="shared" si="50"/>
        <v>0</v>
      </c>
      <c r="AX125" s="25"/>
      <c r="AY125" s="26"/>
      <c r="AZ125" s="28">
        <f t="shared" si="68"/>
        <v>0</v>
      </c>
      <c r="BA125" s="28"/>
      <c r="BB125" s="28">
        <f t="shared" si="70"/>
        <v>0</v>
      </c>
      <c r="BC125" s="28">
        <f t="shared" si="71"/>
        <v>0</v>
      </c>
      <c r="BD125" s="28">
        <f t="shared" si="72"/>
        <v>0</v>
      </c>
      <c r="BE125" s="28">
        <f t="shared" si="73"/>
        <v>0</v>
      </c>
      <c r="BF125" s="28">
        <f t="shared" si="64"/>
        <v>0</v>
      </c>
      <c r="BG125" s="29">
        <f t="shared" si="74"/>
        <v>0</v>
      </c>
      <c r="BH125" s="29">
        <f t="shared" si="65"/>
        <v>0</v>
      </c>
      <c r="BI125" s="30"/>
      <c r="BJ125" s="23" t="s">
        <v>267</v>
      </c>
      <c r="BK125" s="31">
        <v>0</v>
      </c>
      <c r="BL125" s="31">
        <v>0</v>
      </c>
      <c r="BO125" s="31">
        <v>0</v>
      </c>
      <c r="BP125" s="31" t="b">
        <f t="shared" si="75"/>
        <v>1</v>
      </c>
    </row>
    <row r="126" spans="2:68" s="31" customFormat="1" x14ac:dyDescent="0.25">
      <c r="B126" s="21" t="s">
        <v>268</v>
      </c>
      <c r="C126" s="22" t="s">
        <v>29</v>
      </c>
      <c r="D126" s="23" t="s">
        <v>269</v>
      </c>
      <c r="E126" s="24">
        <v>6.56</v>
      </c>
      <c r="F126" s="24">
        <v>6.56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f t="shared" si="41"/>
        <v>0</v>
      </c>
      <c r="M126" s="22">
        <v>0</v>
      </c>
      <c r="N126" s="22">
        <f t="shared" ref="N126:N170" si="80">M126-L126</f>
        <v>0</v>
      </c>
      <c r="O126" s="153">
        <v>0</v>
      </c>
      <c r="P126" s="153">
        <v>0</v>
      </c>
      <c r="Q126" s="153">
        <v>0</v>
      </c>
      <c r="R126" s="153">
        <v>0</v>
      </c>
      <c r="S126" s="153">
        <f t="shared" si="42"/>
        <v>0</v>
      </c>
      <c r="T126" s="153">
        <v>0</v>
      </c>
      <c r="U126" s="153">
        <f t="shared" si="43"/>
        <v>0</v>
      </c>
      <c r="V126" s="154">
        <v>0</v>
      </c>
      <c r="W126" s="154">
        <v>0</v>
      </c>
      <c r="X126" s="154">
        <v>0</v>
      </c>
      <c r="Y126" s="154">
        <v>0</v>
      </c>
      <c r="Z126" s="154">
        <f t="shared" si="44"/>
        <v>0</v>
      </c>
      <c r="AA126" s="154">
        <v>0</v>
      </c>
      <c r="AB126" s="154">
        <f t="shared" si="45"/>
        <v>0</v>
      </c>
      <c r="AC126" s="154">
        <v>0</v>
      </c>
      <c r="AD126" s="154">
        <v>0</v>
      </c>
      <c r="AE126" s="154">
        <v>0</v>
      </c>
      <c r="AF126" s="154">
        <v>0</v>
      </c>
      <c r="AG126" s="154">
        <f t="shared" si="46"/>
        <v>0</v>
      </c>
      <c r="AH126" s="154">
        <v>0</v>
      </c>
      <c r="AI126" s="154">
        <f t="shared" si="47"/>
        <v>0</v>
      </c>
      <c r="AJ126" s="154">
        <v>0</v>
      </c>
      <c r="AK126" s="154">
        <v>0</v>
      </c>
      <c r="AL126" s="154">
        <v>0</v>
      </c>
      <c r="AM126" s="154">
        <v>0</v>
      </c>
      <c r="AN126" s="154">
        <f t="shared" si="58"/>
        <v>0</v>
      </c>
      <c r="AO126" s="154">
        <v>0</v>
      </c>
      <c r="AP126" s="154">
        <f t="shared" si="48"/>
        <v>0</v>
      </c>
      <c r="AQ126" s="154">
        <f t="shared" si="76"/>
        <v>0</v>
      </c>
      <c r="AR126" s="154">
        <f t="shared" si="77"/>
        <v>0</v>
      </c>
      <c r="AS126" s="154">
        <f t="shared" si="61"/>
        <v>0</v>
      </c>
      <c r="AT126" s="154">
        <f t="shared" si="78"/>
        <v>0</v>
      </c>
      <c r="AU126" s="154">
        <f t="shared" si="69"/>
        <v>0</v>
      </c>
      <c r="AV126" s="154">
        <f t="shared" si="79"/>
        <v>0</v>
      </c>
      <c r="AW126" s="154">
        <f t="shared" si="50"/>
        <v>0</v>
      </c>
      <c r="AX126" s="25"/>
      <c r="AY126" s="26"/>
      <c r="AZ126" s="28">
        <f t="shared" si="68"/>
        <v>0</v>
      </c>
      <c r="BA126" s="28"/>
      <c r="BB126" s="28">
        <f t="shared" si="70"/>
        <v>0</v>
      </c>
      <c r="BC126" s="28">
        <f t="shared" si="71"/>
        <v>0</v>
      </c>
      <c r="BD126" s="28">
        <f t="shared" si="72"/>
        <v>0</v>
      </c>
      <c r="BE126" s="28">
        <f t="shared" si="73"/>
        <v>0</v>
      </c>
      <c r="BF126" s="28">
        <f t="shared" si="64"/>
        <v>0</v>
      </c>
      <c r="BG126" s="29">
        <f t="shared" si="74"/>
        <v>0</v>
      </c>
      <c r="BH126" s="29">
        <f t="shared" si="65"/>
        <v>0</v>
      </c>
      <c r="BI126" s="30"/>
      <c r="BJ126" s="23" t="s">
        <v>269</v>
      </c>
      <c r="BK126" s="31">
        <v>0</v>
      </c>
      <c r="BL126" s="31">
        <v>0</v>
      </c>
      <c r="BO126" s="31">
        <v>0</v>
      </c>
      <c r="BP126" s="31" t="b">
        <f t="shared" si="75"/>
        <v>1</v>
      </c>
    </row>
    <row r="127" spans="2:68" s="31" customFormat="1" ht="15" customHeight="1" x14ac:dyDescent="0.25">
      <c r="B127" s="21" t="s">
        <v>270</v>
      </c>
      <c r="C127" s="22" t="s">
        <v>29</v>
      </c>
      <c r="D127" s="23" t="s">
        <v>271</v>
      </c>
      <c r="E127" s="24">
        <v>14.69</v>
      </c>
      <c r="F127" s="24">
        <v>14.69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>
        <f t="shared" si="41"/>
        <v>0</v>
      </c>
      <c r="M127" s="22">
        <v>0</v>
      </c>
      <c r="N127" s="22">
        <f t="shared" si="80"/>
        <v>0</v>
      </c>
      <c r="O127" s="153">
        <v>0</v>
      </c>
      <c r="P127" s="153">
        <v>0</v>
      </c>
      <c r="Q127" s="153">
        <v>0</v>
      </c>
      <c r="R127" s="153">
        <v>0</v>
      </c>
      <c r="S127" s="153">
        <f t="shared" si="42"/>
        <v>0</v>
      </c>
      <c r="T127" s="153">
        <v>0</v>
      </c>
      <c r="U127" s="153">
        <f t="shared" si="43"/>
        <v>0</v>
      </c>
      <c r="V127" s="154">
        <v>0</v>
      </c>
      <c r="W127" s="154">
        <v>0</v>
      </c>
      <c r="X127" s="154">
        <v>0</v>
      </c>
      <c r="Y127" s="154">
        <v>0</v>
      </c>
      <c r="Z127" s="154">
        <f t="shared" si="44"/>
        <v>0</v>
      </c>
      <c r="AA127" s="154">
        <v>0</v>
      </c>
      <c r="AB127" s="154">
        <f t="shared" si="45"/>
        <v>0</v>
      </c>
      <c r="AC127" s="154">
        <v>0</v>
      </c>
      <c r="AD127" s="154">
        <v>0</v>
      </c>
      <c r="AE127" s="154">
        <v>0</v>
      </c>
      <c r="AF127" s="154">
        <v>0</v>
      </c>
      <c r="AG127" s="154">
        <f t="shared" si="46"/>
        <v>0</v>
      </c>
      <c r="AH127" s="154">
        <v>0</v>
      </c>
      <c r="AI127" s="154">
        <f t="shared" si="47"/>
        <v>0</v>
      </c>
      <c r="AJ127" s="154">
        <v>0</v>
      </c>
      <c r="AK127" s="154">
        <v>0</v>
      </c>
      <c r="AL127" s="154">
        <v>0</v>
      </c>
      <c r="AM127" s="154">
        <v>0</v>
      </c>
      <c r="AN127" s="154">
        <f t="shared" si="58"/>
        <v>0</v>
      </c>
      <c r="AO127" s="154">
        <v>0</v>
      </c>
      <c r="AP127" s="154">
        <f t="shared" si="48"/>
        <v>0</v>
      </c>
      <c r="AQ127" s="154">
        <f t="shared" si="76"/>
        <v>0</v>
      </c>
      <c r="AR127" s="154">
        <f t="shared" si="77"/>
        <v>0</v>
      </c>
      <c r="AS127" s="154">
        <f t="shared" si="61"/>
        <v>0</v>
      </c>
      <c r="AT127" s="154">
        <f t="shared" si="78"/>
        <v>0</v>
      </c>
      <c r="AU127" s="154">
        <f t="shared" si="69"/>
        <v>0</v>
      </c>
      <c r="AV127" s="154">
        <f t="shared" si="79"/>
        <v>0</v>
      </c>
      <c r="AW127" s="154">
        <f t="shared" si="50"/>
        <v>0</v>
      </c>
      <c r="AX127" s="25"/>
      <c r="AY127" s="26"/>
      <c r="AZ127" s="28">
        <f t="shared" si="68"/>
        <v>0</v>
      </c>
      <c r="BA127" s="28"/>
      <c r="BB127" s="28">
        <f t="shared" si="70"/>
        <v>0</v>
      </c>
      <c r="BC127" s="28">
        <f t="shared" si="71"/>
        <v>0</v>
      </c>
      <c r="BD127" s="28">
        <f t="shared" si="72"/>
        <v>0</v>
      </c>
      <c r="BE127" s="28">
        <f t="shared" si="73"/>
        <v>0</v>
      </c>
      <c r="BF127" s="28">
        <f t="shared" si="64"/>
        <v>0</v>
      </c>
      <c r="BG127" s="29">
        <f t="shared" si="74"/>
        <v>0</v>
      </c>
      <c r="BH127" s="29">
        <f t="shared" si="65"/>
        <v>0</v>
      </c>
      <c r="BI127" s="30"/>
      <c r="BJ127" s="23" t="s">
        <v>271</v>
      </c>
      <c r="BK127" s="31">
        <v>0</v>
      </c>
      <c r="BL127" s="31">
        <v>0</v>
      </c>
      <c r="BO127" s="31">
        <v>0</v>
      </c>
      <c r="BP127" s="31" t="b">
        <f t="shared" si="75"/>
        <v>1</v>
      </c>
    </row>
    <row r="128" spans="2:68" s="31" customFormat="1" ht="30" customHeight="1" x14ac:dyDescent="0.25">
      <c r="B128" s="21" t="s">
        <v>272</v>
      </c>
      <c r="C128" s="22" t="s">
        <v>29</v>
      </c>
      <c r="D128" s="23" t="s">
        <v>273</v>
      </c>
      <c r="E128" s="24">
        <v>0</v>
      </c>
      <c r="F128" s="24">
        <v>0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2">
        <f t="shared" si="41"/>
        <v>0</v>
      </c>
      <c r="M128" s="22">
        <v>0</v>
      </c>
      <c r="N128" s="22">
        <f t="shared" si="80"/>
        <v>0</v>
      </c>
      <c r="O128" s="153">
        <v>0</v>
      </c>
      <c r="P128" s="153">
        <v>0</v>
      </c>
      <c r="Q128" s="153">
        <v>0</v>
      </c>
      <c r="R128" s="153">
        <v>0</v>
      </c>
      <c r="S128" s="153">
        <f t="shared" si="42"/>
        <v>0</v>
      </c>
      <c r="T128" s="153">
        <v>0</v>
      </c>
      <c r="U128" s="153">
        <f t="shared" si="43"/>
        <v>0</v>
      </c>
      <c r="V128" s="154">
        <v>0</v>
      </c>
      <c r="W128" s="154">
        <v>0</v>
      </c>
      <c r="X128" s="154">
        <v>0</v>
      </c>
      <c r="Y128" s="154">
        <v>0</v>
      </c>
      <c r="Z128" s="154">
        <f t="shared" si="44"/>
        <v>0</v>
      </c>
      <c r="AA128" s="154">
        <v>0</v>
      </c>
      <c r="AB128" s="154">
        <f t="shared" si="45"/>
        <v>0</v>
      </c>
      <c r="AC128" s="154">
        <v>0</v>
      </c>
      <c r="AD128" s="154">
        <v>0</v>
      </c>
      <c r="AE128" s="154">
        <v>0</v>
      </c>
      <c r="AF128" s="154">
        <v>0</v>
      </c>
      <c r="AG128" s="154">
        <f t="shared" si="46"/>
        <v>0</v>
      </c>
      <c r="AH128" s="154">
        <v>0</v>
      </c>
      <c r="AI128" s="154">
        <f t="shared" si="47"/>
        <v>0</v>
      </c>
      <c r="AJ128" s="154">
        <v>0</v>
      </c>
      <c r="AK128" s="154">
        <v>0</v>
      </c>
      <c r="AL128" s="154">
        <v>0</v>
      </c>
      <c r="AM128" s="154">
        <v>0</v>
      </c>
      <c r="AN128" s="154">
        <f t="shared" si="58"/>
        <v>0</v>
      </c>
      <c r="AO128" s="154">
        <v>0</v>
      </c>
      <c r="AP128" s="154">
        <f t="shared" si="48"/>
        <v>0</v>
      </c>
      <c r="AQ128" s="154">
        <f t="shared" si="76"/>
        <v>0</v>
      </c>
      <c r="AR128" s="154">
        <f t="shared" si="77"/>
        <v>0</v>
      </c>
      <c r="AS128" s="154">
        <f t="shared" si="61"/>
        <v>0</v>
      </c>
      <c r="AT128" s="154">
        <f t="shared" si="78"/>
        <v>0</v>
      </c>
      <c r="AU128" s="154">
        <f t="shared" si="69"/>
        <v>0</v>
      </c>
      <c r="AV128" s="154">
        <f t="shared" si="79"/>
        <v>0</v>
      </c>
      <c r="AW128" s="154">
        <f t="shared" si="50"/>
        <v>0</v>
      </c>
      <c r="AX128" s="25"/>
      <c r="AY128" s="26"/>
      <c r="AZ128" s="28">
        <f t="shared" si="68"/>
        <v>0</v>
      </c>
      <c r="BA128" s="28"/>
      <c r="BB128" s="28">
        <f t="shared" si="70"/>
        <v>0</v>
      </c>
      <c r="BC128" s="28">
        <f t="shared" si="71"/>
        <v>0</v>
      </c>
      <c r="BD128" s="28">
        <f t="shared" si="72"/>
        <v>0</v>
      </c>
      <c r="BE128" s="28">
        <f t="shared" si="73"/>
        <v>0</v>
      </c>
      <c r="BF128" s="28">
        <f t="shared" si="64"/>
        <v>0</v>
      </c>
      <c r="BG128" s="29">
        <f t="shared" si="74"/>
        <v>0</v>
      </c>
      <c r="BH128" s="29">
        <f t="shared" si="65"/>
        <v>0</v>
      </c>
      <c r="BI128" s="30"/>
      <c r="BJ128" s="23" t="s">
        <v>273</v>
      </c>
      <c r="BK128" s="31">
        <v>0</v>
      </c>
      <c r="BL128" s="31">
        <v>0</v>
      </c>
      <c r="BO128" s="31">
        <v>0</v>
      </c>
      <c r="BP128" s="31" t="b">
        <f t="shared" si="75"/>
        <v>1</v>
      </c>
    </row>
    <row r="129" spans="2:68" s="31" customFormat="1" x14ac:dyDescent="0.25">
      <c r="B129" s="21" t="s">
        <v>274</v>
      </c>
      <c r="C129" s="22" t="s">
        <v>29</v>
      </c>
      <c r="D129" s="23" t="s">
        <v>275</v>
      </c>
      <c r="E129" s="24">
        <v>14.94</v>
      </c>
      <c r="F129" s="24">
        <v>14.94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2">
        <f t="shared" si="41"/>
        <v>0</v>
      </c>
      <c r="M129" s="22">
        <v>0</v>
      </c>
      <c r="N129" s="22">
        <f t="shared" si="80"/>
        <v>0</v>
      </c>
      <c r="O129" s="153">
        <v>0</v>
      </c>
      <c r="P129" s="153">
        <v>0</v>
      </c>
      <c r="Q129" s="153">
        <v>0</v>
      </c>
      <c r="R129" s="153">
        <v>0</v>
      </c>
      <c r="S129" s="153">
        <f t="shared" si="42"/>
        <v>0</v>
      </c>
      <c r="T129" s="153">
        <v>0</v>
      </c>
      <c r="U129" s="153">
        <f t="shared" si="43"/>
        <v>0</v>
      </c>
      <c r="V129" s="154">
        <v>0</v>
      </c>
      <c r="W129" s="154">
        <v>0</v>
      </c>
      <c r="X129" s="154">
        <v>0</v>
      </c>
      <c r="Y129" s="154">
        <v>0</v>
      </c>
      <c r="Z129" s="154">
        <f t="shared" si="44"/>
        <v>0</v>
      </c>
      <c r="AA129" s="154">
        <v>0</v>
      </c>
      <c r="AB129" s="154">
        <f t="shared" si="45"/>
        <v>0</v>
      </c>
      <c r="AC129" s="154">
        <v>0</v>
      </c>
      <c r="AD129" s="154">
        <v>0</v>
      </c>
      <c r="AE129" s="154">
        <v>0</v>
      </c>
      <c r="AF129" s="154">
        <v>0</v>
      </c>
      <c r="AG129" s="154">
        <f t="shared" si="46"/>
        <v>0</v>
      </c>
      <c r="AH129" s="154">
        <v>0</v>
      </c>
      <c r="AI129" s="154">
        <f t="shared" si="47"/>
        <v>0</v>
      </c>
      <c r="AJ129" s="154">
        <v>0</v>
      </c>
      <c r="AK129" s="154">
        <v>0</v>
      </c>
      <c r="AL129" s="154">
        <v>0</v>
      </c>
      <c r="AM129" s="154">
        <v>0</v>
      </c>
      <c r="AN129" s="154">
        <f t="shared" si="58"/>
        <v>0</v>
      </c>
      <c r="AO129" s="154">
        <v>0</v>
      </c>
      <c r="AP129" s="154">
        <f t="shared" si="48"/>
        <v>0</v>
      </c>
      <c r="AQ129" s="154">
        <f t="shared" si="76"/>
        <v>0</v>
      </c>
      <c r="AR129" s="154">
        <f t="shared" si="77"/>
        <v>0</v>
      </c>
      <c r="AS129" s="154">
        <f t="shared" si="61"/>
        <v>0</v>
      </c>
      <c r="AT129" s="154">
        <f t="shared" si="78"/>
        <v>0</v>
      </c>
      <c r="AU129" s="154">
        <f t="shared" si="69"/>
        <v>0</v>
      </c>
      <c r="AV129" s="154">
        <f t="shared" si="79"/>
        <v>0</v>
      </c>
      <c r="AW129" s="154">
        <f t="shared" si="50"/>
        <v>0</v>
      </c>
      <c r="AX129" s="25"/>
      <c r="AY129" s="26"/>
      <c r="AZ129" s="28">
        <f t="shared" si="68"/>
        <v>0</v>
      </c>
      <c r="BA129" s="28"/>
      <c r="BB129" s="28">
        <f t="shared" si="70"/>
        <v>0</v>
      </c>
      <c r="BC129" s="28">
        <f t="shared" si="71"/>
        <v>0</v>
      </c>
      <c r="BD129" s="28">
        <f t="shared" si="72"/>
        <v>0</v>
      </c>
      <c r="BE129" s="28">
        <f t="shared" si="73"/>
        <v>0</v>
      </c>
      <c r="BF129" s="28">
        <f t="shared" si="64"/>
        <v>0</v>
      </c>
      <c r="BG129" s="29">
        <f t="shared" si="74"/>
        <v>0</v>
      </c>
      <c r="BH129" s="29">
        <f t="shared" si="65"/>
        <v>0</v>
      </c>
      <c r="BI129" s="30"/>
      <c r="BJ129" s="23" t="s">
        <v>275</v>
      </c>
      <c r="BK129" s="31">
        <v>0</v>
      </c>
      <c r="BL129" s="31">
        <v>0</v>
      </c>
      <c r="BO129" s="31">
        <v>0</v>
      </c>
      <c r="BP129" s="31" t="b">
        <f t="shared" si="75"/>
        <v>1</v>
      </c>
    </row>
    <row r="130" spans="2:68" s="31" customFormat="1" x14ac:dyDescent="0.25">
      <c r="B130" s="21" t="s">
        <v>276</v>
      </c>
      <c r="C130" s="22" t="s">
        <v>29</v>
      </c>
      <c r="D130" s="23" t="s">
        <v>277</v>
      </c>
      <c r="E130" s="24">
        <v>15.41</v>
      </c>
      <c r="F130" s="24">
        <v>15.41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f t="shared" si="41"/>
        <v>0</v>
      </c>
      <c r="M130" s="22">
        <v>0</v>
      </c>
      <c r="N130" s="22">
        <f t="shared" si="80"/>
        <v>0</v>
      </c>
      <c r="O130" s="153">
        <v>0</v>
      </c>
      <c r="P130" s="153">
        <v>0</v>
      </c>
      <c r="Q130" s="153">
        <v>0</v>
      </c>
      <c r="R130" s="153">
        <v>0</v>
      </c>
      <c r="S130" s="153">
        <f t="shared" si="42"/>
        <v>0</v>
      </c>
      <c r="T130" s="153">
        <v>0</v>
      </c>
      <c r="U130" s="153">
        <f t="shared" si="43"/>
        <v>0</v>
      </c>
      <c r="V130" s="154">
        <v>0</v>
      </c>
      <c r="W130" s="154">
        <v>0</v>
      </c>
      <c r="X130" s="154">
        <v>0</v>
      </c>
      <c r="Y130" s="154">
        <v>0</v>
      </c>
      <c r="Z130" s="154">
        <f t="shared" si="44"/>
        <v>0</v>
      </c>
      <c r="AA130" s="154">
        <v>0</v>
      </c>
      <c r="AB130" s="154">
        <f t="shared" si="45"/>
        <v>0</v>
      </c>
      <c r="AC130" s="154">
        <v>0</v>
      </c>
      <c r="AD130" s="154">
        <v>0</v>
      </c>
      <c r="AE130" s="154">
        <v>0</v>
      </c>
      <c r="AF130" s="154">
        <v>0</v>
      </c>
      <c r="AG130" s="154">
        <f t="shared" si="46"/>
        <v>0</v>
      </c>
      <c r="AH130" s="154">
        <v>0</v>
      </c>
      <c r="AI130" s="154">
        <f t="shared" si="47"/>
        <v>0</v>
      </c>
      <c r="AJ130" s="154">
        <v>0</v>
      </c>
      <c r="AK130" s="154">
        <v>0</v>
      </c>
      <c r="AL130" s="154">
        <v>0</v>
      </c>
      <c r="AM130" s="154">
        <v>0</v>
      </c>
      <c r="AN130" s="154">
        <f t="shared" si="58"/>
        <v>0</v>
      </c>
      <c r="AO130" s="154">
        <v>0</v>
      </c>
      <c r="AP130" s="154">
        <f t="shared" si="48"/>
        <v>0</v>
      </c>
      <c r="AQ130" s="154">
        <f t="shared" si="76"/>
        <v>0</v>
      </c>
      <c r="AR130" s="154">
        <f t="shared" si="77"/>
        <v>0</v>
      </c>
      <c r="AS130" s="154">
        <f t="shared" si="61"/>
        <v>0</v>
      </c>
      <c r="AT130" s="154">
        <f t="shared" si="78"/>
        <v>0</v>
      </c>
      <c r="AU130" s="154">
        <f t="shared" si="69"/>
        <v>0</v>
      </c>
      <c r="AV130" s="154">
        <f t="shared" si="79"/>
        <v>0</v>
      </c>
      <c r="AW130" s="154">
        <f t="shared" si="50"/>
        <v>0</v>
      </c>
      <c r="AX130" s="25"/>
      <c r="AY130" s="26"/>
      <c r="AZ130" s="28">
        <f t="shared" si="68"/>
        <v>0</v>
      </c>
      <c r="BA130" s="28"/>
      <c r="BB130" s="28">
        <f t="shared" si="70"/>
        <v>0</v>
      </c>
      <c r="BC130" s="28">
        <f t="shared" si="71"/>
        <v>0</v>
      </c>
      <c r="BD130" s="28">
        <f t="shared" si="72"/>
        <v>0</v>
      </c>
      <c r="BE130" s="28">
        <f t="shared" si="73"/>
        <v>0</v>
      </c>
      <c r="BF130" s="28">
        <f t="shared" si="64"/>
        <v>0</v>
      </c>
      <c r="BG130" s="29">
        <f t="shared" si="74"/>
        <v>0</v>
      </c>
      <c r="BH130" s="29">
        <f t="shared" si="65"/>
        <v>0</v>
      </c>
      <c r="BI130" s="30"/>
      <c r="BJ130" s="23" t="s">
        <v>277</v>
      </c>
      <c r="BK130" s="31">
        <v>0</v>
      </c>
      <c r="BL130" s="31">
        <v>0</v>
      </c>
      <c r="BO130" s="31">
        <v>0</v>
      </c>
      <c r="BP130" s="31" t="b">
        <f t="shared" si="75"/>
        <v>1</v>
      </c>
    </row>
    <row r="131" spans="2:68" s="31" customFormat="1" x14ac:dyDescent="0.25">
      <c r="B131" s="21" t="s">
        <v>278</v>
      </c>
      <c r="C131" s="22" t="s">
        <v>29</v>
      </c>
      <c r="D131" s="23" t="s">
        <v>279</v>
      </c>
      <c r="E131" s="24">
        <v>15.41</v>
      </c>
      <c r="F131" s="24">
        <v>15.41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f t="shared" si="41"/>
        <v>0</v>
      </c>
      <c r="M131" s="22">
        <v>0</v>
      </c>
      <c r="N131" s="22">
        <f t="shared" si="80"/>
        <v>0</v>
      </c>
      <c r="O131" s="153">
        <v>0</v>
      </c>
      <c r="P131" s="153">
        <v>0</v>
      </c>
      <c r="Q131" s="153">
        <v>0</v>
      </c>
      <c r="R131" s="153">
        <v>0</v>
      </c>
      <c r="S131" s="153">
        <f t="shared" si="42"/>
        <v>0</v>
      </c>
      <c r="T131" s="153">
        <v>0</v>
      </c>
      <c r="U131" s="153">
        <f t="shared" si="43"/>
        <v>0</v>
      </c>
      <c r="V131" s="154">
        <v>0</v>
      </c>
      <c r="W131" s="154">
        <v>0</v>
      </c>
      <c r="X131" s="154">
        <v>0</v>
      </c>
      <c r="Y131" s="154">
        <v>0</v>
      </c>
      <c r="Z131" s="154">
        <f t="shared" si="44"/>
        <v>0</v>
      </c>
      <c r="AA131" s="154">
        <v>0</v>
      </c>
      <c r="AB131" s="154">
        <f t="shared" si="45"/>
        <v>0</v>
      </c>
      <c r="AC131" s="154">
        <v>0</v>
      </c>
      <c r="AD131" s="154">
        <v>0</v>
      </c>
      <c r="AE131" s="154">
        <v>0</v>
      </c>
      <c r="AF131" s="154">
        <v>0</v>
      </c>
      <c r="AG131" s="154">
        <f t="shared" si="46"/>
        <v>0</v>
      </c>
      <c r="AH131" s="154">
        <v>0</v>
      </c>
      <c r="AI131" s="154">
        <f t="shared" si="47"/>
        <v>0</v>
      </c>
      <c r="AJ131" s="154">
        <v>0</v>
      </c>
      <c r="AK131" s="154">
        <v>0</v>
      </c>
      <c r="AL131" s="154">
        <v>0</v>
      </c>
      <c r="AM131" s="154">
        <v>0</v>
      </c>
      <c r="AN131" s="154">
        <f t="shared" si="58"/>
        <v>0</v>
      </c>
      <c r="AO131" s="154">
        <v>0</v>
      </c>
      <c r="AP131" s="154">
        <f t="shared" si="48"/>
        <v>0</v>
      </c>
      <c r="AQ131" s="154">
        <f t="shared" si="76"/>
        <v>0</v>
      </c>
      <c r="AR131" s="154">
        <f t="shared" si="77"/>
        <v>0</v>
      </c>
      <c r="AS131" s="154">
        <f t="shared" si="61"/>
        <v>0</v>
      </c>
      <c r="AT131" s="154">
        <f t="shared" si="78"/>
        <v>0</v>
      </c>
      <c r="AU131" s="154">
        <f t="shared" si="69"/>
        <v>0</v>
      </c>
      <c r="AV131" s="154">
        <f t="shared" si="79"/>
        <v>0</v>
      </c>
      <c r="AW131" s="154">
        <f t="shared" si="50"/>
        <v>0</v>
      </c>
      <c r="AX131" s="25"/>
      <c r="AY131" s="26"/>
      <c r="AZ131" s="28">
        <f t="shared" si="68"/>
        <v>0</v>
      </c>
      <c r="BA131" s="28"/>
      <c r="BB131" s="28">
        <f t="shared" si="70"/>
        <v>0</v>
      </c>
      <c r="BC131" s="28">
        <f t="shared" si="71"/>
        <v>0</v>
      </c>
      <c r="BD131" s="28">
        <f t="shared" si="72"/>
        <v>0</v>
      </c>
      <c r="BE131" s="28">
        <f t="shared" si="73"/>
        <v>0</v>
      </c>
      <c r="BF131" s="28">
        <f t="shared" si="64"/>
        <v>0</v>
      </c>
      <c r="BG131" s="29">
        <f t="shared" si="74"/>
        <v>0</v>
      </c>
      <c r="BH131" s="29">
        <f t="shared" si="65"/>
        <v>0</v>
      </c>
      <c r="BI131" s="30"/>
      <c r="BJ131" s="23" t="s">
        <v>279</v>
      </c>
      <c r="BK131" s="31">
        <v>0</v>
      </c>
      <c r="BL131" s="31">
        <v>0</v>
      </c>
      <c r="BO131" s="31">
        <v>0</v>
      </c>
      <c r="BP131" s="31" t="b">
        <f t="shared" si="75"/>
        <v>1</v>
      </c>
    </row>
    <row r="132" spans="2:68" s="31" customFormat="1" x14ac:dyDescent="0.25">
      <c r="B132" s="21" t="s">
        <v>280</v>
      </c>
      <c r="C132" s="22" t="s">
        <v>29</v>
      </c>
      <c r="D132" s="23" t="s">
        <v>281</v>
      </c>
      <c r="E132" s="24">
        <v>12.6</v>
      </c>
      <c r="F132" s="24">
        <v>12.6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f t="shared" si="41"/>
        <v>0</v>
      </c>
      <c r="M132" s="22">
        <v>0</v>
      </c>
      <c r="N132" s="22">
        <f t="shared" si="80"/>
        <v>0</v>
      </c>
      <c r="O132" s="153">
        <v>0</v>
      </c>
      <c r="P132" s="153">
        <v>0</v>
      </c>
      <c r="Q132" s="153">
        <v>0</v>
      </c>
      <c r="R132" s="153">
        <v>0</v>
      </c>
      <c r="S132" s="153">
        <f t="shared" si="42"/>
        <v>0</v>
      </c>
      <c r="T132" s="153">
        <v>0</v>
      </c>
      <c r="U132" s="153">
        <f t="shared" si="43"/>
        <v>0</v>
      </c>
      <c r="V132" s="154">
        <v>0</v>
      </c>
      <c r="W132" s="154">
        <v>0</v>
      </c>
      <c r="X132" s="154">
        <v>0</v>
      </c>
      <c r="Y132" s="154">
        <v>0</v>
      </c>
      <c r="Z132" s="154">
        <f t="shared" si="44"/>
        <v>0</v>
      </c>
      <c r="AA132" s="154">
        <v>0</v>
      </c>
      <c r="AB132" s="154">
        <f t="shared" si="45"/>
        <v>0</v>
      </c>
      <c r="AC132" s="154">
        <v>0</v>
      </c>
      <c r="AD132" s="154">
        <v>0</v>
      </c>
      <c r="AE132" s="154">
        <v>0</v>
      </c>
      <c r="AF132" s="154">
        <v>0</v>
      </c>
      <c r="AG132" s="154">
        <f t="shared" si="46"/>
        <v>0</v>
      </c>
      <c r="AH132" s="154">
        <v>0</v>
      </c>
      <c r="AI132" s="154">
        <f t="shared" si="47"/>
        <v>0</v>
      </c>
      <c r="AJ132" s="154">
        <v>0</v>
      </c>
      <c r="AK132" s="154">
        <v>0</v>
      </c>
      <c r="AL132" s="154">
        <v>0</v>
      </c>
      <c r="AM132" s="154">
        <v>0</v>
      </c>
      <c r="AN132" s="154">
        <f t="shared" si="58"/>
        <v>0</v>
      </c>
      <c r="AO132" s="154">
        <v>0</v>
      </c>
      <c r="AP132" s="154">
        <f t="shared" si="48"/>
        <v>0</v>
      </c>
      <c r="AQ132" s="154">
        <f t="shared" si="76"/>
        <v>0</v>
      </c>
      <c r="AR132" s="154">
        <f t="shared" si="77"/>
        <v>0</v>
      </c>
      <c r="AS132" s="154">
        <f t="shared" si="61"/>
        <v>0</v>
      </c>
      <c r="AT132" s="154">
        <f t="shared" si="78"/>
        <v>0</v>
      </c>
      <c r="AU132" s="154">
        <f t="shared" si="69"/>
        <v>0</v>
      </c>
      <c r="AV132" s="154">
        <f t="shared" si="79"/>
        <v>0</v>
      </c>
      <c r="AW132" s="154">
        <f t="shared" si="50"/>
        <v>0</v>
      </c>
      <c r="AX132" s="25"/>
      <c r="AY132" s="26"/>
      <c r="AZ132" s="28">
        <f t="shared" si="68"/>
        <v>0</v>
      </c>
      <c r="BA132" s="28"/>
      <c r="BB132" s="28">
        <f t="shared" si="70"/>
        <v>0</v>
      </c>
      <c r="BC132" s="28">
        <f t="shared" si="71"/>
        <v>0</v>
      </c>
      <c r="BD132" s="28">
        <f t="shared" si="72"/>
        <v>0</v>
      </c>
      <c r="BE132" s="28">
        <f t="shared" si="73"/>
        <v>0</v>
      </c>
      <c r="BF132" s="28">
        <f t="shared" si="64"/>
        <v>0</v>
      </c>
      <c r="BG132" s="29">
        <f t="shared" si="74"/>
        <v>0</v>
      </c>
      <c r="BH132" s="29">
        <f t="shared" si="65"/>
        <v>0</v>
      </c>
      <c r="BI132" s="30"/>
      <c r="BJ132" s="23" t="s">
        <v>281</v>
      </c>
      <c r="BK132" s="31">
        <v>0</v>
      </c>
      <c r="BL132" s="31">
        <v>0</v>
      </c>
      <c r="BO132" s="31">
        <v>0</v>
      </c>
      <c r="BP132" s="31" t="b">
        <f t="shared" si="75"/>
        <v>1</v>
      </c>
    </row>
    <row r="133" spans="2:68" s="31" customFormat="1" x14ac:dyDescent="0.25">
      <c r="B133" s="32" t="s">
        <v>282</v>
      </c>
      <c r="C133" s="22" t="s">
        <v>29</v>
      </c>
      <c r="D133" s="23" t="s">
        <v>283</v>
      </c>
      <c r="E133" s="24">
        <v>13.44</v>
      </c>
      <c r="F133" s="24">
        <v>13.44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2">
        <f t="shared" si="41"/>
        <v>0</v>
      </c>
      <c r="M133" s="22">
        <v>0</v>
      </c>
      <c r="N133" s="22">
        <f t="shared" si="80"/>
        <v>0</v>
      </c>
      <c r="O133" s="153">
        <v>0</v>
      </c>
      <c r="P133" s="153">
        <v>0</v>
      </c>
      <c r="Q133" s="153">
        <v>0</v>
      </c>
      <c r="R133" s="153">
        <v>0</v>
      </c>
      <c r="S133" s="153">
        <f t="shared" si="42"/>
        <v>0</v>
      </c>
      <c r="T133" s="153">
        <v>0</v>
      </c>
      <c r="U133" s="153">
        <f t="shared" si="43"/>
        <v>0</v>
      </c>
      <c r="V133" s="154">
        <v>0</v>
      </c>
      <c r="W133" s="154">
        <v>0</v>
      </c>
      <c r="X133" s="154">
        <v>0</v>
      </c>
      <c r="Y133" s="154">
        <v>0</v>
      </c>
      <c r="Z133" s="154">
        <f t="shared" si="44"/>
        <v>0</v>
      </c>
      <c r="AA133" s="154">
        <v>0</v>
      </c>
      <c r="AB133" s="154">
        <f t="shared" si="45"/>
        <v>0</v>
      </c>
      <c r="AC133" s="154">
        <v>0</v>
      </c>
      <c r="AD133" s="154">
        <v>0</v>
      </c>
      <c r="AE133" s="154">
        <v>0</v>
      </c>
      <c r="AF133" s="154">
        <v>0</v>
      </c>
      <c r="AG133" s="154">
        <f t="shared" si="46"/>
        <v>0</v>
      </c>
      <c r="AH133" s="154">
        <v>0</v>
      </c>
      <c r="AI133" s="154">
        <f t="shared" si="47"/>
        <v>0</v>
      </c>
      <c r="AJ133" s="154">
        <v>0</v>
      </c>
      <c r="AK133" s="154">
        <v>0</v>
      </c>
      <c r="AL133" s="154">
        <v>0</v>
      </c>
      <c r="AM133" s="154">
        <v>0</v>
      </c>
      <c r="AN133" s="154">
        <f t="shared" si="58"/>
        <v>0</v>
      </c>
      <c r="AO133" s="154">
        <v>0</v>
      </c>
      <c r="AP133" s="154">
        <f t="shared" si="48"/>
        <v>0</v>
      </c>
      <c r="AQ133" s="154">
        <f t="shared" si="76"/>
        <v>0</v>
      </c>
      <c r="AR133" s="154">
        <f t="shared" si="77"/>
        <v>0</v>
      </c>
      <c r="AS133" s="154">
        <f t="shared" si="61"/>
        <v>0</v>
      </c>
      <c r="AT133" s="154">
        <f t="shared" si="78"/>
        <v>0</v>
      </c>
      <c r="AU133" s="154">
        <f t="shared" si="69"/>
        <v>0</v>
      </c>
      <c r="AV133" s="154">
        <f t="shared" si="79"/>
        <v>0</v>
      </c>
      <c r="AW133" s="154">
        <f t="shared" si="50"/>
        <v>0</v>
      </c>
      <c r="AX133" s="25"/>
      <c r="AY133" s="26"/>
      <c r="AZ133" s="28">
        <f t="shared" si="68"/>
        <v>0</v>
      </c>
      <c r="BA133" s="28"/>
      <c r="BB133" s="28">
        <f t="shared" si="70"/>
        <v>0</v>
      </c>
      <c r="BC133" s="28">
        <f t="shared" si="71"/>
        <v>0</v>
      </c>
      <c r="BD133" s="28">
        <f t="shared" si="72"/>
        <v>0</v>
      </c>
      <c r="BE133" s="28">
        <f t="shared" si="73"/>
        <v>0</v>
      </c>
      <c r="BF133" s="28">
        <f t="shared" si="64"/>
        <v>0</v>
      </c>
      <c r="BG133" s="29">
        <f t="shared" si="74"/>
        <v>0</v>
      </c>
      <c r="BH133" s="29">
        <f t="shared" si="65"/>
        <v>0</v>
      </c>
      <c r="BI133" s="30"/>
      <c r="BJ133" s="23" t="s">
        <v>284</v>
      </c>
      <c r="BK133" s="31">
        <v>0</v>
      </c>
      <c r="BL133" s="31">
        <v>0</v>
      </c>
      <c r="BO133" s="31">
        <v>0</v>
      </c>
      <c r="BP133" s="31" t="b">
        <f t="shared" si="75"/>
        <v>0</v>
      </c>
    </row>
    <row r="134" spans="2:68" s="31" customFormat="1" x14ac:dyDescent="0.25">
      <c r="B134" s="32" t="s">
        <v>285</v>
      </c>
      <c r="C134" s="22" t="s">
        <v>29</v>
      </c>
      <c r="D134" s="23" t="s">
        <v>284</v>
      </c>
      <c r="E134" s="24">
        <v>13.44</v>
      </c>
      <c r="F134" s="24">
        <v>13.44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f t="shared" si="41"/>
        <v>0</v>
      </c>
      <c r="M134" s="22">
        <v>0</v>
      </c>
      <c r="N134" s="22">
        <f t="shared" si="80"/>
        <v>0</v>
      </c>
      <c r="O134" s="153">
        <v>0</v>
      </c>
      <c r="P134" s="153">
        <v>0</v>
      </c>
      <c r="Q134" s="153">
        <v>0</v>
      </c>
      <c r="R134" s="153">
        <v>0</v>
      </c>
      <c r="S134" s="153">
        <f t="shared" si="42"/>
        <v>0</v>
      </c>
      <c r="T134" s="153">
        <v>0</v>
      </c>
      <c r="U134" s="153">
        <f t="shared" si="43"/>
        <v>0</v>
      </c>
      <c r="V134" s="154">
        <v>0</v>
      </c>
      <c r="W134" s="154">
        <v>0</v>
      </c>
      <c r="X134" s="154">
        <v>0</v>
      </c>
      <c r="Y134" s="154">
        <v>0</v>
      </c>
      <c r="Z134" s="154">
        <f t="shared" si="44"/>
        <v>0</v>
      </c>
      <c r="AA134" s="154">
        <v>0</v>
      </c>
      <c r="AB134" s="154">
        <f t="shared" si="45"/>
        <v>0</v>
      </c>
      <c r="AC134" s="154">
        <v>0</v>
      </c>
      <c r="AD134" s="154">
        <v>0</v>
      </c>
      <c r="AE134" s="154">
        <v>0</v>
      </c>
      <c r="AF134" s="154">
        <v>0</v>
      </c>
      <c r="AG134" s="154">
        <f t="shared" si="46"/>
        <v>0</v>
      </c>
      <c r="AH134" s="154">
        <v>0</v>
      </c>
      <c r="AI134" s="154">
        <f t="shared" si="47"/>
        <v>0</v>
      </c>
      <c r="AJ134" s="154">
        <v>0</v>
      </c>
      <c r="AK134" s="154">
        <v>0</v>
      </c>
      <c r="AL134" s="154">
        <v>0</v>
      </c>
      <c r="AM134" s="154">
        <v>0</v>
      </c>
      <c r="AN134" s="154">
        <f t="shared" si="58"/>
        <v>0</v>
      </c>
      <c r="AO134" s="154">
        <v>0</v>
      </c>
      <c r="AP134" s="154">
        <f t="shared" si="48"/>
        <v>0</v>
      </c>
      <c r="AQ134" s="154">
        <f t="shared" si="76"/>
        <v>0</v>
      </c>
      <c r="AR134" s="154">
        <f t="shared" si="77"/>
        <v>0</v>
      </c>
      <c r="AS134" s="154">
        <f t="shared" si="61"/>
        <v>0</v>
      </c>
      <c r="AT134" s="154">
        <f t="shared" si="78"/>
        <v>0</v>
      </c>
      <c r="AU134" s="154">
        <f t="shared" si="69"/>
        <v>0</v>
      </c>
      <c r="AV134" s="154">
        <f t="shared" si="79"/>
        <v>0</v>
      </c>
      <c r="AW134" s="154">
        <f t="shared" si="50"/>
        <v>0</v>
      </c>
      <c r="AX134" s="25"/>
      <c r="AY134" s="26"/>
      <c r="AZ134" s="28">
        <f t="shared" ref="AZ134:AZ168" si="81">E134*G134</f>
        <v>0</v>
      </c>
      <c r="BA134" s="28"/>
      <c r="BB134" s="28">
        <f t="shared" si="70"/>
        <v>0</v>
      </c>
      <c r="BC134" s="28">
        <f t="shared" si="71"/>
        <v>0</v>
      </c>
      <c r="BD134" s="28">
        <f t="shared" si="72"/>
        <v>0</v>
      </c>
      <c r="BE134" s="28">
        <f t="shared" si="73"/>
        <v>0</v>
      </c>
      <c r="BF134" s="28">
        <f t="shared" si="64"/>
        <v>0</v>
      </c>
      <c r="BG134" s="29">
        <f t="shared" si="74"/>
        <v>0</v>
      </c>
      <c r="BH134" s="29">
        <f t="shared" si="65"/>
        <v>0</v>
      </c>
      <c r="BI134" s="30"/>
      <c r="BJ134" s="23" t="s">
        <v>286</v>
      </c>
      <c r="BK134" s="31">
        <v>0</v>
      </c>
      <c r="BL134" s="31">
        <v>0</v>
      </c>
      <c r="BO134" s="31">
        <v>0</v>
      </c>
      <c r="BP134" s="31" t="b">
        <f t="shared" si="75"/>
        <v>0</v>
      </c>
    </row>
    <row r="135" spans="2:68" s="31" customFormat="1" x14ac:dyDescent="0.25">
      <c r="B135" s="21" t="s">
        <v>287</v>
      </c>
      <c r="C135" s="22" t="s">
        <v>29</v>
      </c>
      <c r="D135" s="23" t="s">
        <v>288</v>
      </c>
      <c r="E135" s="24">
        <v>15.56</v>
      </c>
      <c r="F135" s="24">
        <v>15.56</v>
      </c>
      <c r="G135" s="22">
        <v>0</v>
      </c>
      <c r="H135" s="22">
        <v>0</v>
      </c>
      <c r="I135" s="22">
        <v>0</v>
      </c>
      <c r="J135" s="22">
        <v>0</v>
      </c>
      <c r="K135" s="22">
        <v>0</v>
      </c>
      <c r="L135" s="22">
        <f t="shared" si="41"/>
        <v>0</v>
      </c>
      <c r="M135" s="22">
        <v>0</v>
      </c>
      <c r="N135" s="22">
        <f t="shared" si="80"/>
        <v>0</v>
      </c>
      <c r="O135" s="153">
        <v>0</v>
      </c>
      <c r="P135" s="153">
        <v>0</v>
      </c>
      <c r="Q135" s="153">
        <v>0</v>
      </c>
      <c r="R135" s="153">
        <v>0</v>
      </c>
      <c r="S135" s="153">
        <f t="shared" si="42"/>
        <v>0</v>
      </c>
      <c r="T135" s="153">
        <v>0</v>
      </c>
      <c r="U135" s="153">
        <f t="shared" si="43"/>
        <v>0</v>
      </c>
      <c r="V135" s="154">
        <v>0</v>
      </c>
      <c r="W135" s="154">
        <v>0</v>
      </c>
      <c r="X135" s="154">
        <v>0</v>
      </c>
      <c r="Y135" s="154">
        <v>0</v>
      </c>
      <c r="Z135" s="154">
        <f t="shared" si="44"/>
        <v>0</v>
      </c>
      <c r="AA135" s="154">
        <v>0</v>
      </c>
      <c r="AB135" s="154">
        <f t="shared" si="45"/>
        <v>0</v>
      </c>
      <c r="AC135" s="154">
        <v>0</v>
      </c>
      <c r="AD135" s="154">
        <v>0</v>
      </c>
      <c r="AE135" s="154">
        <v>0</v>
      </c>
      <c r="AF135" s="154">
        <v>0</v>
      </c>
      <c r="AG135" s="154">
        <f t="shared" si="46"/>
        <v>0</v>
      </c>
      <c r="AH135" s="154">
        <v>0</v>
      </c>
      <c r="AI135" s="154">
        <f t="shared" si="47"/>
        <v>0</v>
      </c>
      <c r="AJ135" s="154">
        <v>0</v>
      </c>
      <c r="AK135" s="154">
        <v>0</v>
      </c>
      <c r="AL135" s="154">
        <v>0</v>
      </c>
      <c r="AM135" s="154">
        <v>0</v>
      </c>
      <c r="AN135" s="154">
        <f t="shared" si="58"/>
        <v>0</v>
      </c>
      <c r="AO135" s="154">
        <v>0</v>
      </c>
      <c r="AP135" s="154">
        <f t="shared" si="48"/>
        <v>0</v>
      </c>
      <c r="AQ135" s="154">
        <f t="shared" si="76"/>
        <v>0</v>
      </c>
      <c r="AR135" s="154">
        <f t="shared" si="77"/>
        <v>0</v>
      </c>
      <c r="AS135" s="154">
        <f t="shared" si="61"/>
        <v>0</v>
      </c>
      <c r="AT135" s="154">
        <f t="shared" si="78"/>
        <v>0</v>
      </c>
      <c r="AU135" s="154">
        <f t="shared" si="69"/>
        <v>0</v>
      </c>
      <c r="AV135" s="154">
        <f t="shared" si="79"/>
        <v>0</v>
      </c>
      <c r="AW135" s="154">
        <f t="shared" si="50"/>
        <v>0</v>
      </c>
      <c r="AX135" s="25"/>
      <c r="AY135" s="26"/>
      <c r="AZ135" s="28">
        <f t="shared" si="81"/>
        <v>0</v>
      </c>
      <c r="BA135" s="28"/>
      <c r="BB135" s="28">
        <f t="shared" si="70"/>
        <v>0</v>
      </c>
      <c r="BC135" s="28">
        <f t="shared" si="71"/>
        <v>0</v>
      </c>
      <c r="BD135" s="28">
        <f t="shared" si="72"/>
        <v>0</v>
      </c>
      <c r="BE135" s="28">
        <f t="shared" si="73"/>
        <v>0</v>
      </c>
      <c r="BF135" s="28">
        <f t="shared" si="64"/>
        <v>0</v>
      </c>
      <c r="BG135" s="29">
        <f t="shared" si="74"/>
        <v>0</v>
      </c>
      <c r="BH135" s="29">
        <f t="shared" si="65"/>
        <v>0</v>
      </c>
      <c r="BI135" s="30"/>
      <c r="BJ135" s="23" t="s">
        <v>288</v>
      </c>
      <c r="BK135" s="31">
        <v>0</v>
      </c>
      <c r="BL135" s="31">
        <v>0</v>
      </c>
      <c r="BO135" s="31">
        <v>0</v>
      </c>
      <c r="BP135" s="31" t="b">
        <f t="shared" si="75"/>
        <v>1</v>
      </c>
    </row>
    <row r="136" spans="2:68" s="31" customFormat="1" x14ac:dyDescent="0.25">
      <c r="B136" s="21" t="s">
        <v>289</v>
      </c>
      <c r="C136" s="22" t="s">
        <v>29</v>
      </c>
      <c r="D136" s="23" t="s">
        <v>290</v>
      </c>
      <c r="E136" s="24">
        <v>15.41</v>
      </c>
      <c r="F136" s="24">
        <v>15.41</v>
      </c>
      <c r="G136" s="22">
        <v>0</v>
      </c>
      <c r="H136" s="22">
        <v>0</v>
      </c>
      <c r="I136" s="22">
        <v>0</v>
      </c>
      <c r="J136" s="22">
        <v>0</v>
      </c>
      <c r="K136" s="22">
        <v>0</v>
      </c>
      <c r="L136" s="22">
        <f t="shared" ref="L136:L170" si="82">G136+H136+I136-J136-K136</f>
        <v>0</v>
      </c>
      <c r="M136" s="22">
        <v>0</v>
      </c>
      <c r="N136" s="22">
        <f t="shared" si="80"/>
        <v>0</v>
      </c>
      <c r="O136" s="153">
        <v>0</v>
      </c>
      <c r="P136" s="153">
        <v>0</v>
      </c>
      <c r="Q136" s="153">
        <v>0</v>
      </c>
      <c r="R136" s="153">
        <v>0</v>
      </c>
      <c r="S136" s="153">
        <f t="shared" ref="S136:S170" si="83">L136+O136+P136-Q136-R136</f>
        <v>0</v>
      </c>
      <c r="T136" s="153">
        <v>0</v>
      </c>
      <c r="U136" s="153">
        <f t="shared" ref="U136:U170" si="84">T136-S136</f>
        <v>0</v>
      </c>
      <c r="V136" s="154">
        <v>0</v>
      </c>
      <c r="W136" s="154">
        <v>0</v>
      </c>
      <c r="X136" s="154">
        <v>0</v>
      </c>
      <c r="Y136" s="154">
        <v>0</v>
      </c>
      <c r="Z136" s="154">
        <f t="shared" ref="Z136:Z170" si="85">S136+V136+W136-X136-Y136</f>
        <v>0</v>
      </c>
      <c r="AA136" s="154">
        <v>0</v>
      </c>
      <c r="AB136" s="154">
        <f t="shared" ref="AB136:AB170" si="86">AA136-Z136</f>
        <v>0</v>
      </c>
      <c r="AC136" s="154">
        <v>0</v>
      </c>
      <c r="AD136" s="154">
        <v>0</v>
      </c>
      <c r="AE136" s="154">
        <v>0</v>
      </c>
      <c r="AF136" s="154">
        <v>0</v>
      </c>
      <c r="AG136" s="154">
        <f t="shared" ref="AG136:AG170" si="87">Z136+AC136+AD136-AE136-AF136</f>
        <v>0</v>
      </c>
      <c r="AH136" s="154">
        <v>0</v>
      </c>
      <c r="AI136" s="154">
        <f t="shared" ref="AI136:AI170" si="88">AH136-AG136</f>
        <v>0</v>
      </c>
      <c r="AJ136" s="154">
        <v>0</v>
      </c>
      <c r="AK136" s="154">
        <v>0</v>
      </c>
      <c r="AL136" s="154">
        <v>0</v>
      </c>
      <c r="AM136" s="154">
        <v>0</v>
      </c>
      <c r="AN136" s="154">
        <f t="shared" si="58"/>
        <v>0</v>
      </c>
      <c r="AO136" s="154">
        <v>0</v>
      </c>
      <c r="AP136" s="154">
        <f t="shared" ref="AP136:AP145" si="89">AO136-AN136</f>
        <v>0</v>
      </c>
      <c r="AQ136" s="154">
        <f t="shared" si="76"/>
        <v>0</v>
      </c>
      <c r="AR136" s="154">
        <f t="shared" si="77"/>
        <v>0</v>
      </c>
      <c r="AS136" s="154">
        <f t="shared" si="61"/>
        <v>0</v>
      </c>
      <c r="AT136" s="154">
        <f t="shared" si="78"/>
        <v>0</v>
      </c>
      <c r="AU136" s="154">
        <f t="shared" ref="AU136:AU167" si="90">G136+AQ136+AR136-AS136-AT136</f>
        <v>0</v>
      </c>
      <c r="AV136" s="154">
        <f t="shared" si="79"/>
        <v>0</v>
      </c>
      <c r="AW136" s="154">
        <f t="shared" ref="AW136:AW170" si="91">AV136-AU136</f>
        <v>0</v>
      </c>
      <c r="AX136" s="25"/>
      <c r="AY136" s="26"/>
      <c r="AZ136" s="28">
        <f t="shared" si="81"/>
        <v>0</v>
      </c>
      <c r="BA136" s="28"/>
      <c r="BB136" s="28">
        <f t="shared" ref="BB136:BB168" si="92">F136*H136</f>
        <v>0</v>
      </c>
      <c r="BC136" s="28">
        <f t="shared" ref="BC136:BC168" si="93">F136*I136</f>
        <v>0</v>
      </c>
      <c r="BD136" s="28">
        <f t="shared" ref="BD136:BD168" si="94">F136*J136</f>
        <v>0</v>
      </c>
      <c r="BE136" s="28">
        <f t="shared" ref="BE136:BE168" si="95">F136*K136</f>
        <v>0</v>
      </c>
      <c r="BF136" s="28">
        <f t="shared" si="64"/>
        <v>0</v>
      </c>
      <c r="BG136" s="29">
        <f t="shared" ref="BG136:BG168" si="96">F136*L136</f>
        <v>0</v>
      </c>
      <c r="BH136" s="29">
        <f t="shared" si="65"/>
        <v>0</v>
      </c>
      <c r="BI136" s="30"/>
      <c r="BJ136" s="23" t="s">
        <v>290</v>
      </c>
      <c r="BK136" s="31">
        <v>0</v>
      </c>
      <c r="BL136" s="31">
        <v>0</v>
      </c>
      <c r="BO136" s="31">
        <v>0</v>
      </c>
      <c r="BP136" s="31" t="b">
        <f t="shared" ref="BP136:BP170" si="97">D136=BJ136</f>
        <v>1</v>
      </c>
    </row>
    <row r="137" spans="2:68" s="31" customFormat="1" x14ac:dyDescent="0.25">
      <c r="B137" s="32" t="s">
        <v>291</v>
      </c>
      <c r="C137" s="22" t="s">
        <v>29</v>
      </c>
      <c r="D137" s="23" t="s">
        <v>292</v>
      </c>
      <c r="E137" s="24">
        <v>15.41</v>
      </c>
      <c r="F137" s="24">
        <v>15.41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f t="shared" si="82"/>
        <v>0</v>
      </c>
      <c r="M137" s="22">
        <v>0</v>
      </c>
      <c r="N137" s="22">
        <f t="shared" si="80"/>
        <v>0</v>
      </c>
      <c r="O137" s="153">
        <v>0</v>
      </c>
      <c r="P137" s="153">
        <v>0</v>
      </c>
      <c r="Q137" s="153">
        <v>0</v>
      </c>
      <c r="R137" s="153">
        <v>0</v>
      </c>
      <c r="S137" s="153">
        <f t="shared" si="83"/>
        <v>0</v>
      </c>
      <c r="T137" s="153">
        <v>0</v>
      </c>
      <c r="U137" s="153">
        <f t="shared" si="84"/>
        <v>0</v>
      </c>
      <c r="V137" s="154">
        <v>0</v>
      </c>
      <c r="W137" s="154">
        <v>0</v>
      </c>
      <c r="X137" s="154">
        <v>0</v>
      </c>
      <c r="Y137" s="154">
        <v>0</v>
      </c>
      <c r="Z137" s="154">
        <f t="shared" si="85"/>
        <v>0</v>
      </c>
      <c r="AA137" s="154">
        <v>0</v>
      </c>
      <c r="AB137" s="154">
        <f t="shared" si="86"/>
        <v>0</v>
      </c>
      <c r="AC137" s="154">
        <v>0</v>
      </c>
      <c r="AD137" s="154">
        <v>0</v>
      </c>
      <c r="AE137" s="154">
        <v>0</v>
      </c>
      <c r="AF137" s="154">
        <v>0</v>
      </c>
      <c r="AG137" s="154">
        <f t="shared" si="87"/>
        <v>0</v>
      </c>
      <c r="AH137" s="154">
        <v>0</v>
      </c>
      <c r="AI137" s="154">
        <f t="shared" si="88"/>
        <v>0</v>
      </c>
      <c r="AJ137" s="154">
        <v>0</v>
      </c>
      <c r="AK137" s="154">
        <v>0</v>
      </c>
      <c r="AL137" s="154">
        <v>0</v>
      </c>
      <c r="AM137" s="154">
        <v>0</v>
      </c>
      <c r="AN137" s="154">
        <f t="shared" ref="AN137:AN145" si="98">AG137+AJ137+AK137-AL137-AM137</f>
        <v>0</v>
      </c>
      <c r="AO137" s="154">
        <v>0</v>
      </c>
      <c r="AP137" s="154">
        <f t="shared" si="89"/>
        <v>0</v>
      </c>
      <c r="AQ137" s="154">
        <f t="shared" ref="AQ137:AQ170" si="99">H137+O137+V137+AC137+AJ137</f>
        <v>0</v>
      </c>
      <c r="AR137" s="154">
        <f t="shared" ref="AR137:AR170" si="100">I137+P137+W137+AD137+AK137</f>
        <v>0</v>
      </c>
      <c r="AS137" s="154">
        <f t="shared" ref="AS137:AS170" si="101">J137+Q137+X137+AE137+AL137</f>
        <v>0</v>
      </c>
      <c r="AT137" s="154">
        <f t="shared" ref="AT137:AT170" si="102">K137+R137+Y137+AF137+AM137</f>
        <v>0</v>
      </c>
      <c r="AU137" s="154">
        <f t="shared" si="90"/>
        <v>0</v>
      </c>
      <c r="AV137" s="154">
        <f t="shared" si="79"/>
        <v>0</v>
      </c>
      <c r="AW137" s="154">
        <f t="shared" si="91"/>
        <v>0</v>
      </c>
      <c r="AX137" s="25"/>
      <c r="AY137" s="26"/>
      <c r="AZ137" s="28">
        <f t="shared" si="81"/>
        <v>0</v>
      </c>
      <c r="BA137" s="28"/>
      <c r="BB137" s="28">
        <f t="shared" si="92"/>
        <v>0</v>
      </c>
      <c r="BC137" s="28">
        <f t="shared" si="93"/>
        <v>0</v>
      </c>
      <c r="BD137" s="28">
        <f t="shared" si="94"/>
        <v>0</v>
      </c>
      <c r="BE137" s="28">
        <f t="shared" si="95"/>
        <v>0</v>
      </c>
      <c r="BF137" s="28">
        <f t="shared" si="64"/>
        <v>0</v>
      </c>
      <c r="BG137" s="29">
        <f t="shared" si="96"/>
        <v>0</v>
      </c>
      <c r="BH137" s="29">
        <f t="shared" si="65"/>
        <v>0</v>
      </c>
      <c r="BI137" s="30"/>
      <c r="BJ137" s="23" t="s">
        <v>292</v>
      </c>
      <c r="BK137" s="31">
        <v>0</v>
      </c>
      <c r="BL137" s="31">
        <v>0</v>
      </c>
      <c r="BO137" s="31">
        <v>0</v>
      </c>
      <c r="BP137" s="31" t="b">
        <f t="shared" si="97"/>
        <v>1</v>
      </c>
    </row>
    <row r="138" spans="2:68" s="31" customFormat="1" x14ac:dyDescent="0.25">
      <c r="B138" s="21" t="s">
        <v>293</v>
      </c>
      <c r="C138" s="22" t="s">
        <v>29</v>
      </c>
      <c r="D138" s="23" t="s">
        <v>294</v>
      </c>
      <c r="E138" s="24">
        <v>15.41</v>
      </c>
      <c r="F138" s="24">
        <v>15.41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f t="shared" si="82"/>
        <v>0</v>
      </c>
      <c r="M138" s="22">
        <v>0</v>
      </c>
      <c r="N138" s="22">
        <f t="shared" si="80"/>
        <v>0</v>
      </c>
      <c r="O138" s="153">
        <v>0</v>
      </c>
      <c r="P138" s="153">
        <v>0</v>
      </c>
      <c r="Q138" s="153">
        <v>0</v>
      </c>
      <c r="R138" s="153">
        <v>0</v>
      </c>
      <c r="S138" s="153">
        <f t="shared" si="83"/>
        <v>0</v>
      </c>
      <c r="T138" s="153">
        <v>0</v>
      </c>
      <c r="U138" s="153">
        <f t="shared" si="84"/>
        <v>0</v>
      </c>
      <c r="V138" s="154">
        <v>0</v>
      </c>
      <c r="W138" s="154">
        <v>0</v>
      </c>
      <c r="X138" s="154">
        <v>0</v>
      </c>
      <c r="Y138" s="154">
        <v>0</v>
      </c>
      <c r="Z138" s="154">
        <f t="shared" si="85"/>
        <v>0</v>
      </c>
      <c r="AA138" s="154">
        <v>0</v>
      </c>
      <c r="AB138" s="154">
        <f t="shared" si="86"/>
        <v>0</v>
      </c>
      <c r="AC138" s="154">
        <v>0</v>
      </c>
      <c r="AD138" s="154">
        <v>0</v>
      </c>
      <c r="AE138" s="154">
        <v>0</v>
      </c>
      <c r="AF138" s="154">
        <v>0</v>
      </c>
      <c r="AG138" s="154">
        <f t="shared" si="87"/>
        <v>0</v>
      </c>
      <c r="AH138" s="154">
        <v>0</v>
      </c>
      <c r="AI138" s="154">
        <f t="shared" si="88"/>
        <v>0</v>
      </c>
      <c r="AJ138" s="154">
        <v>0</v>
      </c>
      <c r="AK138" s="154">
        <v>0</v>
      </c>
      <c r="AL138" s="154">
        <v>0</v>
      </c>
      <c r="AM138" s="154">
        <v>0</v>
      </c>
      <c r="AN138" s="154">
        <f t="shared" si="98"/>
        <v>0</v>
      </c>
      <c r="AO138" s="154">
        <v>0</v>
      </c>
      <c r="AP138" s="154">
        <f t="shared" si="89"/>
        <v>0</v>
      </c>
      <c r="AQ138" s="154">
        <f t="shared" si="99"/>
        <v>0</v>
      </c>
      <c r="AR138" s="154">
        <f t="shared" si="100"/>
        <v>0</v>
      </c>
      <c r="AS138" s="154">
        <f t="shared" si="101"/>
        <v>0</v>
      </c>
      <c r="AT138" s="154">
        <f t="shared" si="102"/>
        <v>0</v>
      </c>
      <c r="AU138" s="154">
        <f t="shared" si="90"/>
        <v>0</v>
      </c>
      <c r="AV138" s="154">
        <f t="shared" si="79"/>
        <v>0</v>
      </c>
      <c r="AW138" s="154">
        <f t="shared" si="91"/>
        <v>0</v>
      </c>
      <c r="AX138" s="25"/>
      <c r="AY138" s="26"/>
      <c r="AZ138" s="28">
        <f t="shared" si="81"/>
        <v>0</v>
      </c>
      <c r="BA138" s="28"/>
      <c r="BB138" s="28">
        <f t="shared" si="92"/>
        <v>0</v>
      </c>
      <c r="BC138" s="28">
        <f t="shared" si="93"/>
        <v>0</v>
      </c>
      <c r="BD138" s="28">
        <f t="shared" si="94"/>
        <v>0</v>
      </c>
      <c r="BE138" s="28">
        <f t="shared" si="95"/>
        <v>0</v>
      </c>
      <c r="BF138" s="28">
        <f t="shared" si="64"/>
        <v>0</v>
      </c>
      <c r="BG138" s="29">
        <f t="shared" si="96"/>
        <v>0</v>
      </c>
      <c r="BH138" s="29">
        <f t="shared" si="65"/>
        <v>0</v>
      </c>
      <c r="BI138" s="30"/>
      <c r="BJ138" s="23" t="s">
        <v>295</v>
      </c>
      <c r="BK138" s="31">
        <v>0</v>
      </c>
      <c r="BL138" s="31">
        <v>0</v>
      </c>
      <c r="BO138" s="31">
        <v>0</v>
      </c>
      <c r="BP138" s="31" t="b">
        <f t="shared" si="97"/>
        <v>0</v>
      </c>
    </row>
    <row r="139" spans="2:68" s="31" customFormat="1" x14ac:dyDescent="0.25">
      <c r="B139" s="21" t="s">
        <v>296</v>
      </c>
      <c r="C139" s="22" t="s">
        <v>29</v>
      </c>
      <c r="D139" s="23" t="s">
        <v>297</v>
      </c>
      <c r="E139" s="24">
        <v>0</v>
      </c>
      <c r="F139" s="24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f t="shared" si="82"/>
        <v>0</v>
      </c>
      <c r="M139" s="22">
        <v>0</v>
      </c>
      <c r="N139" s="22">
        <f t="shared" si="80"/>
        <v>0</v>
      </c>
      <c r="O139" s="153">
        <v>0</v>
      </c>
      <c r="P139" s="153">
        <v>0</v>
      </c>
      <c r="Q139" s="153">
        <v>0</v>
      </c>
      <c r="R139" s="153">
        <v>0</v>
      </c>
      <c r="S139" s="153">
        <f t="shared" si="83"/>
        <v>0</v>
      </c>
      <c r="T139" s="153">
        <v>0</v>
      </c>
      <c r="U139" s="153">
        <f t="shared" si="84"/>
        <v>0</v>
      </c>
      <c r="V139" s="154">
        <v>0</v>
      </c>
      <c r="W139" s="154">
        <v>0</v>
      </c>
      <c r="X139" s="154">
        <v>0</v>
      </c>
      <c r="Y139" s="154">
        <v>0</v>
      </c>
      <c r="Z139" s="154">
        <f t="shared" si="85"/>
        <v>0</v>
      </c>
      <c r="AA139" s="154">
        <v>0</v>
      </c>
      <c r="AB139" s="154">
        <f t="shared" si="86"/>
        <v>0</v>
      </c>
      <c r="AC139" s="154">
        <v>0</v>
      </c>
      <c r="AD139" s="154">
        <v>0</v>
      </c>
      <c r="AE139" s="154">
        <v>0</v>
      </c>
      <c r="AF139" s="154">
        <v>0</v>
      </c>
      <c r="AG139" s="154">
        <f t="shared" si="87"/>
        <v>0</v>
      </c>
      <c r="AH139" s="154">
        <v>0</v>
      </c>
      <c r="AI139" s="154">
        <f t="shared" si="88"/>
        <v>0</v>
      </c>
      <c r="AJ139" s="154">
        <v>0</v>
      </c>
      <c r="AK139" s="154">
        <v>0</v>
      </c>
      <c r="AL139" s="154">
        <v>0</v>
      </c>
      <c r="AM139" s="154">
        <v>0</v>
      </c>
      <c r="AN139" s="154">
        <f t="shared" si="98"/>
        <v>0</v>
      </c>
      <c r="AO139" s="154">
        <v>0</v>
      </c>
      <c r="AP139" s="154">
        <f t="shared" si="89"/>
        <v>0</v>
      </c>
      <c r="AQ139" s="154">
        <f t="shared" si="99"/>
        <v>0</v>
      </c>
      <c r="AR139" s="154">
        <f t="shared" si="100"/>
        <v>0</v>
      </c>
      <c r="AS139" s="154">
        <f t="shared" si="101"/>
        <v>0</v>
      </c>
      <c r="AT139" s="154">
        <f t="shared" si="102"/>
        <v>0</v>
      </c>
      <c r="AU139" s="154">
        <f t="shared" si="90"/>
        <v>0</v>
      </c>
      <c r="AV139" s="154">
        <f t="shared" si="79"/>
        <v>0</v>
      </c>
      <c r="AW139" s="154">
        <f t="shared" si="91"/>
        <v>0</v>
      </c>
      <c r="AX139" s="25"/>
      <c r="AY139" s="26"/>
      <c r="AZ139" s="28">
        <f t="shared" si="81"/>
        <v>0</v>
      </c>
      <c r="BA139" s="28"/>
      <c r="BB139" s="28">
        <f t="shared" si="92"/>
        <v>0</v>
      </c>
      <c r="BC139" s="28">
        <f t="shared" si="93"/>
        <v>0</v>
      </c>
      <c r="BD139" s="28">
        <f t="shared" si="94"/>
        <v>0</v>
      </c>
      <c r="BE139" s="28">
        <f t="shared" si="95"/>
        <v>0</v>
      </c>
      <c r="BF139" s="28">
        <f t="shared" si="64"/>
        <v>0</v>
      </c>
      <c r="BG139" s="29">
        <f t="shared" si="96"/>
        <v>0</v>
      </c>
      <c r="BH139" s="29">
        <f t="shared" si="65"/>
        <v>0</v>
      </c>
      <c r="BI139" s="30"/>
      <c r="BJ139" s="23" t="s">
        <v>297</v>
      </c>
      <c r="BK139" s="31">
        <v>0</v>
      </c>
      <c r="BL139" s="31">
        <v>0</v>
      </c>
      <c r="BO139" s="31">
        <v>0</v>
      </c>
      <c r="BP139" s="31" t="b">
        <f t="shared" si="97"/>
        <v>1</v>
      </c>
    </row>
    <row r="140" spans="2:68" s="31" customFormat="1" x14ac:dyDescent="0.25">
      <c r="B140" s="21"/>
      <c r="C140" s="22"/>
      <c r="D140" s="23" t="s">
        <v>298</v>
      </c>
      <c r="E140" s="24">
        <v>0</v>
      </c>
      <c r="F140" s="24"/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f t="shared" si="82"/>
        <v>0</v>
      </c>
      <c r="M140" s="22">
        <v>0</v>
      </c>
      <c r="N140" s="22">
        <f t="shared" si="80"/>
        <v>0</v>
      </c>
      <c r="O140" s="153">
        <v>0</v>
      </c>
      <c r="P140" s="153">
        <v>0</v>
      </c>
      <c r="Q140" s="153">
        <v>0</v>
      </c>
      <c r="R140" s="153">
        <v>0</v>
      </c>
      <c r="S140" s="153">
        <f t="shared" si="83"/>
        <v>0</v>
      </c>
      <c r="T140" s="153">
        <v>0</v>
      </c>
      <c r="U140" s="153">
        <f t="shared" si="84"/>
        <v>0</v>
      </c>
      <c r="V140" s="154">
        <v>0</v>
      </c>
      <c r="W140" s="154">
        <v>0</v>
      </c>
      <c r="X140" s="154">
        <v>0</v>
      </c>
      <c r="Y140" s="154">
        <v>0</v>
      </c>
      <c r="Z140" s="154">
        <f t="shared" si="85"/>
        <v>0</v>
      </c>
      <c r="AA140" s="154">
        <v>0</v>
      </c>
      <c r="AB140" s="154">
        <f t="shared" si="86"/>
        <v>0</v>
      </c>
      <c r="AC140" s="154">
        <v>0</v>
      </c>
      <c r="AD140" s="154">
        <v>0</v>
      </c>
      <c r="AE140" s="154">
        <v>0</v>
      </c>
      <c r="AF140" s="154">
        <v>0</v>
      </c>
      <c r="AG140" s="154">
        <f t="shared" si="87"/>
        <v>0</v>
      </c>
      <c r="AH140" s="154">
        <v>0</v>
      </c>
      <c r="AI140" s="154">
        <f t="shared" si="88"/>
        <v>0</v>
      </c>
      <c r="AJ140" s="154">
        <v>0</v>
      </c>
      <c r="AK140" s="154">
        <v>0</v>
      </c>
      <c r="AL140" s="154">
        <v>0</v>
      </c>
      <c r="AM140" s="154">
        <v>0</v>
      </c>
      <c r="AN140" s="154">
        <f t="shared" si="98"/>
        <v>0</v>
      </c>
      <c r="AO140" s="154">
        <v>0</v>
      </c>
      <c r="AP140" s="154">
        <f t="shared" si="89"/>
        <v>0</v>
      </c>
      <c r="AQ140" s="154">
        <f t="shared" si="99"/>
        <v>0</v>
      </c>
      <c r="AR140" s="154">
        <f t="shared" si="100"/>
        <v>0</v>
      </c>
      <c r="AS140" s="154">
        <f t="shared" si="101"/>
        <v>0</v>
      </c>
      <c r="AT140" s="154">
        <f t="shared" si="102"/>
        <v>0</v>
      </c>
      <c r="AU140" s="154">
        <f t="shared" si="90"/>
        <v>0</v>
      </c>
      <c r="AV140" s="154">
        <f t="shared" si="79"/>
        <v>0</v>
      </c>
      <c r="AW140" s="154">
        <f t="shared" si="91"/>
        <v>0</v>
      </c>
      <c r="AX140" s="25"/>
      <c r="AY140" s="26"/>
      <c r="AZ140" s="28">
        <f t="shared" si="81"/>
        <v>0</v>
      </c>
      <c r="BA140" s="28"/>
      <c r="BB140" s="28">
        <f t="shared" si="92"/>
        <v>0</v>
      </c>
      <c r="BC140" s="28">
        <f t="shared" si="93"/>
        <v>0</v>
      </c>
      <c r="BD140" s="28">
        <f t="shared" si="94"/>
        <v>0</v>
      </c>
      <c r="BE140" s="28">
        <f t="shared" si="95"/>
        <v>0</v>
      </c>
      <c r="BF140" s="28">
        <f t="shared" ref="BF140:BF170" si="103">AZ140+BA140+BB140+BC140-BD140-BE140</f>
        <v>0</v>
      </c>
      <c r="BG140" s="29">
        <f t="shared" si="96"/>
        <v>0</v>
      </c>
      <c r="BH140" s="29">
        <f t="shared" ref="BH140:BH170" si="104">BG140-BF140</f>
        <v>0</v>
      </c>
      <c r="BI140" s="30"/>
      <c r="BJ140" s="23" t="s">
        <v>298</v>
      </c>
      <c r="BK140" s="31">
        <v>0</v>
      </c>
      <c r="BL140" s="31">
        <v>0</v>
      </c>
      <c r="BO140" s="31">
        <v>0</v>
      </c>
      <c r="BP140" s="31" t="b">
        <f t="shared" si="97"/>
        <v>1</v>
      </c>
    </row>
    <row r="141" spans="2:68" s="31" customFormat="1" x14ac:dyDescent="0.25">
      <c r="B141" s="21" t="s">
        <v>299</v>
      </c>
      <c r="C141" s="22" t="s">
        <v>29</v>
      </c>
      <c r="D141" s="23" t="s">
        <v>300</v>
      </c>
      <c r="E141" s="24">
        <v>15.41</v>
      </c>
      <c r="F141" s="24">
        <v>15.41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f t="shared" si="82"/>
        <v>0</v>
      </c>
      <c r="M141" s="22">
        <v>0</v>
      </c>
      <c r="N141" s="22">
        <f t="shared" si="80"/>
        <v>0</v>
      </c>
      <c r="O141" s="153">
        <v>0</v>
      </c>
      <c r="P141" s="153">
        <v>0</v>
      </c>
      <c r="Q141" s="153">
        <v>0</v>
      </c>
      <c r="R141" s="153">
        <v>0</v>
      </c>
      <c r="S141" s="153">
        <f t="shared" si="83"/>
        <v>0</v>
      </c>
      <c r="T141" s="153">
        <v>0</v>
      </c>
      <c r="U141" s="153">
        <f t="shared" si="84"/>
        <v>0</v>
      </c>
      <c r="V141" s="154">
        <v>0</v>
      </c>
      <c r="W141" s="154">
        <v>0</v>
      </c>
      <c r="X141" s="154">
        <v>0</v>
      </c>
      <c r="Y141" s="154">
        <v>0</v>
      </c>
      <c r="Z141" s="154">
        <f t="shared" si="85"/>
        <v>0</v>
      </c>
      <c r="AA141" s="154">
        <v>0</v>
      </c>
      <c r="AB141" s="154">
        <f t="shared" si="86"/>
        <v>0</v>
      </c>
      <c r="AC141" s="154">
        <v>0</v>
      </c>
      <c r="AD141" s="154">
        <v>0</v>
      </c>
      <c r="AE141" s="154">
        <v>0</v>
      </c>
      <c r="AF141" s="154">
        <v>0</v>
      </c>
      <c r="AG141" s="154">
        <f t="shared" si="87"/>
        <v>0</v>
      </c>
      <c r="AH141" s="154">
        <v>0</v>
      </c>
      <c r="AI141" s="154">
        <f t="shared" si="88"/>
        <v>0</v>
      </c>
      <c r="AJ141" s="154">
        <v>0</v>
      </c>
      <c r="AK141" s="154">
        <v>0</v>
      </c>
      <c r="AL141" s="154">
        <v>0</v>
      </c>
      <c r="AM141" s="154">
        <v>0</v>
      </c>
      <c r="AN141" s="154">
        <f t="shared" si="98"/>
        <v>0</v>
      </c>
      <c r="AO141" s="154">
        <v>0</v>
      </c>
      <c r="AP141" s="154">
        <f t="shared" si="89"/>
        <v>0</v>
      </c>
      <c r="AQ141" s="154">
        <f t="shared" si="99"/>
        <v>0</v>
      </c>
      <c r="AR141" s="154">
        <f t="shared" si="100"/>
        <v>0</v>
      </c>
      <c r="AS141" s="154">
        <f t="shared" si="101"/>
        <v>0</v>
      </c>
      <c r="AT141" s="154">
        <f t="shared" si="102"/>
        <v>0</v>
      </c>
      <c r="AU141" s="154">
        <f t="shared" si="90"/>
        <v>0</v>
      </c>
      <c r="AV141" s="154">
        <f t="shared" si="79"/>
        <v>0</v>
      </c>
      <c r="AW141" s="154">
        <f t="shared" si="91"/>
        <v>0</v>
      </c>
      <c r="AX141" s="25"/>
      <c r="AY141" s="26"/>
      <c r="AZ141" s="28">
        <f t="shared" si="81"/>
        <v>0</v>
      </c>
      <c r="BA141" s="28"/>
      <c r="BB141" s="28">
        <f t="shared" si="92"/>
        <v>0</v>
      </c>
      <c r="BC141" s="28">
        <f t="shared" si="93"/>
        <v>0</v>
      </c>
      <c r="BD141" s="28">
        <f t="shared" si="94"/>
        <v>0</v>
      </c>
      <c r="BE141" s="28">
        <f t="shared" si="95"/>
        <v>0</v>
      </c>
      <c r="BF141" s="28">
        <f t="shared" si="103"/>
        <v>0</v>
      </c>
      <c r="BG141" s="29">
        <f t="shared" si="96"/>
        <v>0</v>
      </c>
      <c r="BH141" s="29">
        <f t="shared" si="104"/>
        <v>0</v>
      </c>
      <c r="BI141" s="30"/>
      <c r="BJ141" s="23" t="s">
        <v>300</v>
      </c>
      <c r="BK141" s="31">
        <v>0</v>
      </c>
      <c r="BL141" s="31">
        <v>0</v>
      </c>
      <c r="BO141" s="31">
        <v>0</v>
      </c>
      <c r="BP141" s="31" t="b">
        <f t="shared" si="97"/>
        <v>1</v>
      </c>
    </row>
    <row r="142" spans="2:68" s="31" customFormat="1" x14ac:dyDescent="0.25">
      <c r="B142" s="21" t="s">
        <v>301</v>
      </c>
      <c r="C142" s="22" t="s">
        <v>29</v>
      </c>
      <c r="D142" s="23" t="s">
        <v>302</v>
      </c>
      <c r="E142" s="24">
        <v>10.29</v>
      </c>
      <c r="F142" s="24">
        <v>10.29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f t="shared" si="82"/>
        <v>0</v>
      </c>
      <c r="M142" s="22">
        <v>0</v>
      </c>
      <c r="N142" s="22">
        <f t="shared" si="80"/>
        <v>0</v>
      </c>
      <c r="O142" s="153">
        <v>0</v>
      </c>
      <c r="P142" s="153">
        <v>0</v>
      </c>
      <c r="Q142" s="153">
        <v>0</v>
      </c>
      <c r="R142" s="153">
        <v>0</v>
      </c>
      <c r="S142" s="153">
        <f t="shared" si="83"/>
        <v>0</v>
      </c>
      <c r="T142" s="153">
        <v>0</v>
      </c>
      <c r="U142" s="153">
        <f t="shared" si="84"/>
        <v>0</v>
      </c>
      <c r="V142" s="154">
        <v>0</v>
      </c>
      <c r="W142" s="154">
        <v>0</v>
      </c>
      <c r="X142" s="154">
        <v>0</v>
      </c>
      <c r="Y142" s="154">
        <v>0</v>
      </c>
      <c r="Z142" s="154">
        <f t="shared" si="85"/>
        <v>0</v>
      </c>
      <c r="AA142" s="154">
        <v>0</v>
      </c>
      <c r="AB142" s="154">
        <f t="shared" si="86"/>
        <v>0</v>
      </c>
      <c r="AC142" s="154">
        <v>0</v>
      </c>
      <c r="AD142" s="154">
        <v>0</v>
      </c>
      <c r="AE142" s="154">
        <v>0</v>
      </c>
      <c r="AF142" s="154">
        <v>0</v>
      </c>
      <c r="AG142" s="154">
        <f t="shared" si="87"/>
        <v>0</v>
      </c>
      <c r="AH142" s="154">
        <v>0</v>
      </c>
      <c r="AI142" s="154">
        <f t="shared" si="88"/>
        <v>0</v>
      </c>
      <c r="AJ142" s="154">
        <v>0</v>
      </c>
      <c r="AK142" s="154">
        <v>0</v>
      </c>
      <c r="AL142" s="154">
        <v>0</v>
      </c>
      <c r="AM142" s="154">
        <v>0</v>
      </c>
      <c r="AN142" s="154">
        <f t="shared" si="98"/>
        <v>0</v>
      </c>
      <c r="AO142" s="154">
        <v>0</v>
      </c>
      <c r="AP142" s="154">
        <f t="shared" si="89"/>
        <v>0</v>
      </c>
      <c r="AQ142" s="154">
        <f t="shared" si="99"/>
        <v>0</v>
      </c>
      <c r="AR142" s="154">
        <f t="shared" si="100"/>
        <v>0</v>
      </c>
      <c r="AS142" s="154">
        <f t="shared" si="101"/>
        <v>0</v>
      </c>
      <c r="AT142" s="154">
        <f t="shared" si="102"/>
        <v>0</v>
      </c>
      <c r="AU142" s="154">
        <f t="shared" si="90"/>
        <v>0</v>
      </c>
      <c r="AV142" s="154">
        <f t="shared" si="79"/>
        <v>0</v>
      </c>
      <c r="AW142" s="154">
        <f t="shared" si="91"/>
        <v>0</v>
      </c>
      <c r="AX142" s="25"/>
      <c r="AY142" s="26"/>
      <c r="AZ142" s="28">
        <f t="shared" si="81"/>
        <v>0</v>
      </c>
      <c r="BA142" s="28"/>
      <c r="BB142" s="28">
        <f t="shared" si="92"/>
        <v>0</v>
      </c>
      <c r="BC142" s="28">
        <f t="shared" si="93"/>
        <v>0</v>
      </c>
      <c r="BD142" s="28">
        <f t="shared" si="94"/>
        <v>0</v>
      </c>
      <c r="BE142" s="28">
        <f t="shared" si="95"/>
        <v>0</v>
      </c>
      <c r="BF142" s="28">
        <f t="shared" si="103"/>
        <v>0</v>
      </c>
      <c r="BG142" s="29">
        <f t="shared" si="96"/>
        <v>0</v>
      </c>
      <c r="BH142" s="29">
        <f t="shared" si="104"/>
        <v>0</v>
      </c>
      <c r="BI142" s="30"/>
      <c r="BJ142" s="23" t="s">
        <v>302</v>
      </c>
      <c r="BK142" s="31">
        <v>0</v>
      </c>
      <c r="BL142" s="31">
        <v>0</v>
      </c>
      <c r="BO142" s="31">
        <v>0</v>
      </c>
      <c r="BP142" s="31" t="b">
        <f t="shared" si="97"/>
        <v>1</v>
      </c>
    </row>
    <row r="143" spans="2:68" s="31" customFormat="1" x14ac:dyDescent="0.25">
      <c r="B143" s="21" t="s">
        <v>303</v>
      </c>
      <c r="C143" s="22" t="s">
        <v>26</v>
      </c>
      <c r="D143" s="23" t="s">
        <v>304</v>
      </c>
      <c r="E143" s="24">
        <v>19</v>
      </c>
      <c r="F143" s="24">
        <v>19</v>
      </c>
      <c r="G143" s="22">
        <v>7</v>
      </c>
      <c r="H143" s="22">
        <v>0</v>
      </c>
      <c r="I143" s="22">
        <v>0</v>
      </c>
      <c r="J143" s="22">
        <v>0</v>
      </c>
      <c r="K143" s="22">
        <v>0</v>
      </c>
      <c r="L143" s="22">
        <f t="shared" si="82"/>
        <v>7</v>
      </c>
      <c r="M143" s="22">
        <v>7</v>
      </c>
      <c r="N143" s="22">
        <f t="shared" si="80"/>
        <v>0</v>
      </c>
      <c r="O143" s="153">
        <v>0</v>
      </c>
      <c r="P143" s="153">
        <v>0</v>
      </c>
      <c r="Q143" s="153">
        <v>0</v>
      </c>
      <c r="R143" s="153">
        <v>0</v>
      </c>
      <c r="S143" s="153">
        <f t="shared" si="83"/>
        <v>7</v>
      </c>
      <c r="T143" s="153">
        <v>7</v>
      </c>
      <c r="U143" s="153">
        <f t="shared" si="84"/>
        <v>0</v>
      </c>
      <c r="V143" s="154">
        <v>0</v>
      </c>
      <c r="W143" s="154">
        <v>0</v>
      </c>
      <c r="X143" s="154">
        <v>0</v>
      </c>
      <c r="Y143" s="154">
        <v>0</v>
      </c>
      <c r="Z143" s="154">
        <f t="shared" si="85"/>
        <v>7</v>
      </c>
      <c r="AA143" s="154">
        <v>7</v>
      </c>
      <c r="AB143" s="154">
        <f t="shared" si="86"/>
        <v>0</v>
      </c>
      <c r="AC143" s="154">
        <v>0</v>
      </c>
      <c r="AD143" s="154">
        <v>0</v>
      </c>
      <c r="AE143" s="154">
        <v>0</v>
      </c>
      <c r="AF143" s="154">
        <v>0</v>
      </c>
      <c r="AG143" s="154">
        <f t="shared" si="87"/>
        <v>7</v>
      </c>
      <c r="AH143" s="154">
        <v>7</v>
      </c>
      <c r="AI143" s="154">
        <f t="shared" si="88"/>
        <v>0</v>
      </c>
      <c r="AJ143" s="154">
        <v>0</v>
      </c>
      <c r="AK143" s="154">
        <v>0</v>
      </c>
      <c r="AL143" s="154">
        <v>0</v>
      </c>
      <c r="AM143" s="154">
        <v>0</v>
      </c>
      <c r="AN143" s="154">
        <f t="shared" si="98"/>
        <v>7</v>
      </c>
      <c r="AO143" s="154">
        <v>7</v>
      </c>
      <c r="AP143" s="154">
        <f t="shared" si="89"/>
        <v>0</v>
      </c>
      <c r="AQ143" s="154">
        <f t="shared" si="99"/>
        <v>0</v>
      </c>
      <c r="AR143" s="154">
        <f t="shared" si="100"/>
        <v>0</v>
      </c>
      <c r="AS143" s="154">
        <f t="shared" si="101"/>
        <v>0</v>
      </c>
      <c r="AT143" s="154">
        <f t="shared" si="102"/>
        <v>0</v>
      </c>
      <c r="AU143" s="154">
        <f t="shared" si="90"/>
        <v>7</v>
      </c>
      <c r="AV143" s="154">
        <v>7</v>
      </c>
      <c r="AW143" s="154">
        <f t="shared" si="91"/>
        <v>0</v>
      </c>
      <c r="AX143" s="25"/>
      <c r="AY143" s="26"/>
      <c r="AZ143" s="28">
        <f t="shared" si="81"/>
        <v>133</v>
      </c>
      <c r="BA143" s="28">
        <v>0.48</v>
      </c>
      <c r="BB143" s="28">
        <f t="shared" si="92"/>
        <v>0</v>
      </c>
      <c r="BC143" s="28">
        <f t="shared" si="93"/>
        <v>0</v>
      </c>
      <c r="BD143" s="28">
        <f t="shared" si="94"/>
        <v>0</v>
      </c>
      <c r="BE143" s="28">
        <f t="shared" si="95"/>
        <v>0</v>
      </c>
      <c r="BF143" s="28">
        <f t="shared" si="103"/>
        <v>133.47999999999999</v>
      </c>
      <c r="BG143" s="29">
        <f t="shared" si="96"/>
        <v>133</v>
      </c>
      <c r="BH143" s="29">
        <f t="shared" si="104"/>
        <v>-0.47999999999998977</v>
      </c>
      <c r="BI143" s="30"/>
      <c r="BJ143" s="23" t="s">
        <v>304</v>
      </c>
      <c r="BK143" s="31">
        <v>0</v>
      </c>
      <c r="BL143" s="31">
        <v>7</v>
      </c>
      <c r="BO143" s="31">
        <v>7</v>
      </c>
      <c r="BP143" s="31" t="b">
        <f t="shared" si="97"/>
        <v>1</v>
      </c>
    </row>
    <row r="144" spans="2:68" s="31" customFormat="1" ht="15" customHeight="1" x14ac:dyDescent="0.25">
      <c r="B144" s="21" t="s">
        <v>305</v>
      </c>
      <c r="C144" s="22" t="s">
        <v>58</v>
      </c>
      <c r="D144" s="23" t="s">
        <v>306</v>
      </c>
      <c r="E144" s="24">
        <v>7.25</v>
      </c>
      <c r="F144" s="24">
        <v>6.24</v>
      </c>
      <c r="G144" s="22">
        <v>1</v>
      </c>
      <c r="H144" s="22">
        <v>0</v>
      </c>
      <c r="I144" s="22">
        <v>0</v>
      </c>
      <c r="J144" s="22">
        <v>0</v>
      </c>
      <c r="K144" s="22">
        <v>0</v>
      </c>
      <c r="L144" s="22">
        <f t="shared" si="82"/>
        <v>1</v>
      </c>
      <c r="M144" s="22">
        <v>1</v>
      </c>
      <c r="N144" s="22">
        <f t="shared" si="80"/>
        <v>0</v>
      </c>
      <c r="O144" s="153">
        <v>0</v>
      </c>
      <c r="P144" s="153">
        <v>0</v>
      </c>
      <c r="Q144" s="153">
        <v>0</v>
      </c>
      <c r="R144" s="153">
        <v>0</v>
      </c>
      <c r="S144" s="153">
        <f t="shared" si="83"/>
        <v>1</v>
      </c>
      <c r="T144" s="153">
        <v>1</v>
      </c>
      <c r="U144" s="153">
        <f t="shared" si="84"/>
        <v>0</v>
      </c>
      <c r="V144" s="154">
        <v>0</v>
      </c>
      <c r="W144" s="154">
        <v>0</v>
      </c>
      <c r="X144" s="154">
        <v>0</v>
      </c>
      <c r="Y144" s="154">
        <v>0</v>
      </c>
      <c r="Z144" s="154">
        <f t="shared" si="85"/>
        <v>1</v>
      </c>
      <c r="AA144" s="154">
        <v>1</v>
      </c>
      <c r="AB144" s="154">
        <f t="shared" si="86"/>
        <v>0</v>
      </c>
      <c r="AC144" s="154">
        <v>0</v>
      </c>
      <c r="AD144" s="154">
        <v>0</v>
      </c>
      <c r="AE144" s="154">
        <v>0</v>
      </c>
      <c r="AF144" s="154">
        <v>0</v>
      </c>
      <c r="AG144" s="154">
        <f t="shared" si="87"/>
        <v>1</v>
      </c>
      <c r="AH144" s="154">
        <v>1</v>
      </c>
      <c r="AI144" s="154">
        <f t="shared" si="88"/>
        <v>0</v>
      </c>
      <c r="AJ144" s="154">
        <v>0</v>
      </c>
      <c r="AK144" s="154">
        <v>0</v>
      </c>
      <c r="AL144" s="154">
        <v>0</v>
      </c>
      <c r="AM144" s="154">
        <v>0</v>
      </c>
      <c r="AN144" s="154">
        <f t="shared" si="98"/>
        <v>1</v>
      </c>
      <c r="AO144" s="154">
        <v>1</v>
      </c>
      <c r="AP144" s="154">
        <f t="shared" si="89"/>
        <v>0</v>
      </c>
      <c r="AQ144" s="154">
        <f t="shared" si="99"/>
        <v>0</v>
      </c>
      <c r="AR144" s="154">
        <f t="shared" si="100"/>
        <v>0</v>
      </c>
      <c r="AS144" s="154">
        <f t="shared" si="101"/>
        <v>0</v>
      </c>
      <c r="AT144" s="154">
        <f t="shared" si="102"/>
        <v>0</v>
      </c>
      <c r="AU144" s="154">
        <f t="shared" si="90"/>
        <v>1</v>
      </c>
      <c r="AV144" s="154">
        <v>1</v>
      </c>
      <c r="AW144" s="154">
        <f t="shared" si="91"/>
        <v>0</v>
      </c>
      <c r="AX144" s="25"/>
      <c r="AY144" s="26"/>
      <c r="AZ144" s="28">
        <f t="shared" si="81"/>
        <v>7.25</v>
      </c>
      <c r="BA144" s="28"/>
      <c r="BB144" s="28">
        <f t="shared" si="92"/>
        <v>0</v>
      </c>
      <c r="BC144" s="28">
        <f t="shared" si="93"/>
        <v>0</v>
      </c>
      <c r="BD144" s="28">
        <f t="shared" si="94"/>
        <v>0</v>
      </c>
      <c r="BE144" s="28">
        <f t="shared" si="95"/>
        <v>0</v>
      </c>
      <c r="BF144" s="28">
        <f t="shared" si="103"/>
        <v>7.25</v>
      </c>
      <c r="BG144" s="29">
        <f t="shared" si="96"/>
        <v>6.24</v>
      </c>
      <c r="BH144" s="29">
        <f t="shared" si="104"/>
        <v>-1.0099999999999998</v>
      </c>
      <c r="BI144" s="30"/>
      <c r="BJ144" s="23" t="s">
        <v>306</v>
      </c>
      <c r="BK144" s="31">
        <v>0</v>
      </c>
      <c r="BL144" s="31">
        <v>1</v>
      </c>
      <c r="BO144" s="31">
        <v>1</v>
      </c>
      <c r="BP144" s="31" t="b">
        <f t="shared" si="97"/>
        <v>1</v>
      </c>
    </row>
    <row r="145" spans="2:68" s="31" customFormat="1" ht="31.5" x14ac:dyDescent="0.25">
      <c r="B145" s="21" t="s">
        <v>307</v>
      </c>
      <c r="C145" s="22" t="s">
        <v>58</v>
      </c>
      <c r="D145" s="23" t="s">
        <v>308</v>
      </c>
      <c r="E145" s="24">
        <v>6.93</v>
      </c>
      <c r="F145" s="24">
        <v>6.93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f t="shared" si="82"/>
        <v>0</v>
      </c>
      <c r="M145" s="22">
        <v>0</v>
      </c>
      <c r="N145" s="22">
        <f t="shared" si="80"/>
        <v>0</v>
      </c>
      <c r="O145" s="153">
        <v>0</v>
      </c>
      <c r="P145" s="153">
        <v>0</v>
      </c>
      <c r="Q145" s="153">
        <v>0</v>
      </c>
      <c r="R145" s="153">
        <v>0</v>
      </c>
      <c r="S145" s="153">
        <f t="shared" si="83"/>
        <v>0</v>
      </c>
      <c r="T145" s="153">
        <v>0</v>
      </c>
      <c r="U145" s="153">
        <f t="shared" si="84"/>
        <v>0</v>
      </c>
      <c r="V145" s="154">
        <v>0</v>
      </c>
      <c r="W145" s="154">
        <v>0</v>
      </c>
      <c r="X145" s="154">
        <v>0</v>
      </c>
      <c r="Y145" s="154">
        <v>0</v>
      </c>
      <c r="Z145" s="154">
        <f t="shared" si="85"/>
        <v>0</v>
      </c>
      <c r="AA145" s="154">
        <v>0</v>
      </c>
      <c r="AB145" s="154">
        <f t="shared" si="86"/>
        <v>0</v>
      </c>
      <c r="AC145" s="154">
        <v>0</v>
      </c>
      <c r="AD145" s="154">
        <v>0</v>
      </c>
      <c r="AE145" s="154">
        <v>0</v>
      </c>
      <c r="AF145" s="154">
        <v>0</v>
      </c>
      <c r="AG145" s="154">
        <f t="shared" si="87"/>
        <v>0</v>
      </c>
      <c r="AH145" s="154">
        <v>0</v>
      </c>
      <c r="AI145" s="154">
        <f t="shared" si="88"/>
        <v>0</v>
      </c>
      <c r="AJ145" s="154">
        <v>0</v>
      </c>
      <c r="AK145" s="154">
        <v>0</v>
      </c>
      <c r="AL145" s="154">
        <v>0</v>
      </c>
      <c r="AM145" s="154">
        <v>0</v>
      </c>
      <c r="AN145" s="154">
        <f t="shared" si="98"/>
        <v>0</v>
      </c>
      <c r="AO145" s="154">
        <v>0</v>
      </c>
      <c r="AP145" s="154">
        <f t="shared" si="89"/>
        <v>0</v>
      </c>
      <c r="AQ145" s="154">
        <f t="shared" si="99"/>
        <v>0</v>
      </c>
      <c r="AR145" s="154">
        <f t="shared" si="100"/>
        <v>0</v>
      </c>
      <c r="AS145" s="154">
        <f t="shared" si="101"/>
        <v>0</v>
      </c>
      <c r="AT145" s="154">
        <f t="shared" si="102"/>
        <v>0</v>
      </c>
      <c r="AU145" s="154">
        <f t="shared" si="90"/>
        <v>0</v>
      </c>
      <c r="AV145" s="154">
        <f>AH145</f>
        <v>0</v>
      </c>
      <c r="AW145" s="154">
        <f t="shared" si="91"/>
        <v>0</v>
      </c>
      <c r="AX145" s="25"/>
      <c r="AY145" s="26"/>
      <c r="AZ145" s="28">
        <f t="shared" si="81"/>
        <v>0</v>
      </c>
      <c r="BA145" s="28"/>
      <c r="BB145" s="28">
        <f t="shared" si="92"/>
        <v>0</v>
      </c>
      <c r="BC145" s="28">
        <f t="shared" si="93"/>
        <v>0</v>
      </c>
      <c r="BD145" s="28">
        <f t="shared" si="94"/>
        <v>0</v>
      </c>
      <c r="BE145" s="28">
        <f t="shared" si="95"/>
        <v>0</v>
      </c>
      <c r="BF145" s="28">
        <f t="shared" si="103"/>
        <v>0</v>
      </c>
      <c r="BG145" s="29">
        <f t="shared" si="96"/>
        <v>0</v>
      </c>
      <c r="BH145" s="29">
        <f t="shared" si="104"/>
        <v>0</v>
      </c>
      <c r="BI145" s="30"/>
      <c r="BJ145" s="23" t="s">
        <v>308</v>
      </c>
      <c r="BK145" s="31">
        <v>0</v>
      </c>
      <c r="BL145" s="31">
        <v>0</v>
      </c>
      <c r="BO145" s="31">
        <v>0</v>
      </c>
      <c r="BP145" s="31" t="b">
        <f t="shared" si="97"/>
        <v>1</v>
      </c>
    </row>
    <row r="146" spans="2:68" s="31" customFormat="1" x14ac:dyDescent="0.25">
      <c r="B146" s="21" t="s">
        <v>309</v>
      </c>
      <c r="C146" s="22" t="s">
        <v>29</v>
      </c>
      <c r="D146" s="23" t="s">
        <v>310</v>
      </c>
      <c r="E146" s="24">
        <v>0.45</v>
      </c>
      <c r="F146" s="24">
        <v>0.45</v>
      </c>
      <c r="G146" s="22">
        <v>193</v>
      </c>
      <c r="H146" s="22">
        <v>0</v>
      </c>
      <c r="I146" s="22">
        <v>0</v>
      </c>
      <c r="J146" s="22">
        <v>1</v>
      </c>
      <c r="K146" s="22">
        <v>0</v>
      </c>
      <c r="L146" s="22">
        <f t="shared" si="82"/>
        <v>192</v>
      </c>
      <c r="M146" s="22">
        <v>192</v>
      </c>
      <c r="N146" s="22">
        <f t="shared" si="80"/>
        <v>0</v>
      </c>
      <c r="O146" s="153">
        <v>0</v>
      </c>
      <c r="P146" s="153">
        <v>0</v>
      </c>
      <c r="Q146" s="153">
        <v>0</v>
      </c>
      <c r="R146" s="153">
        <v>0</v>
      </c>
      <c r="S146" s="153">
        <f t="shared" si="83"/>
        <v>192</v>
      </c>
      <c r="T146" s="153">
        <v>192</v>
      </c>
      <c r="U146" s="153">
        <f t="shared" si="84"/>
        <v>0</v>
      </c>
      <c r="V146" s="154">
        <v>0</v>
      </c>
      <c r="W146" s="154">
        <v>0</v>
      </c>
      <c r="X146" s="154">
        <v>0</v>
      </c>
      <c r="Y146" s="154">
        <v>0</v>
      </c>
      <c r="Z146" s="154">
        <f t="shared" si="85"/>
        <v>192</v>
      </c>
      <c r="AA146" s="154">
        <v>192</v>
      </c>
      <c r="AB146" s="154">
        <f t="shared" si="86"/>
        <v>0</v>
      </c>
      <c r="AC146" s="154">
        <v>0</v>
      </c>
      <c r="AD146" s="154">
        <v>0</v>
      </c>
      <c r="AE146" s="154">
        <v>0</v>
      </c>
      <c r="AF146" s="154">
        <v>0</v>
      </c>
      <c r="AG146" s="154">
        <f t="shared" si="87"/>
        <v>192</v>
      </c>
      <c r="AH146" s="154">
        <v>192</v>
      </c>
      <c r="AI146" s="154">
        <f t="shared" si="88"/>
        <v>0</v>
      </c>
      <c r="AJ146" s="154">
        <v>0</v>
      </c>
      <c r="AK146" s="154">
        <v>0</v>
      </c>
      <c r="AL146" s="154">
        <v>0</v>
      </c>
      <c r="AM146" s="154">
        <v>0</v>
      </c>
      <c r="AN146" s="154">
        <f>AG146+AJ146+AK146-AL146-AM146</f>
        <v>192</v>
      </c>
      <c r="AO146" s="154">
        <v>192</v>
      </c>
      <c r="AP146" s="154">
        <f>AO146-AN146</f>
        <v>0</v>
      </c>
      <c r="AQ146" s="154">
        <f t="shared" si="99"/>
        <v>0</v>
      </c>
      <c r="AR146" s="154">
        <f t="shared" si="100"/>
        <v>0</v>
      </c>
      <c r="AS146" s="154">
        <f t="shared" si="101"/>
        <v>1</v>
      </c>
      <c r="AT146" s="154">
        <f t="shared" si="102"/>
        <v>0</v>
      </c>
      <c r="AU146" s="154">
        <f t="shared" si="90"/>
        <v>192</v>
      </c>
      <c r="AV146" s="154">
        <v>192</v>
      </c>
      <c r="AW146" s="154">
        <f t="shared" si="91"/>
        <v>0</v>
      </c>
      <c r="AX146" s="25"/>
      <c r="AY146" s="26"/>
      <c r="AZ146" s="28">
        <f t="shared" si="81"/>
        <v>86.850000000000009</v>
      </c>
      <c r="BA146" s="28"/>
      <c r="BB146" s="28">
        <f t="shared" si="92"/>
        <v>0</v>
      </c>
      <c r="BC146" s="28">
        <f t="shared" si="93"/>
        <v>0</v>
      </c>
      <c r="BD146" s="28">
        <f t="shared" si="94"/>
        <v>0.45</v>
      </c>
      <c r="BE146" s="28">
        <f t="shared" si="95"/>
        <v>0</v>
      </c>
      <c r="BF146" s="28">
        <f t="shared" si="103"/>
        <v>86.4</v>
      </c>
      <c r="BG146" s="29">
        <f t="shared" si="96"/>
        <v>86.4</v>
      </c>
      <c r="BH146" s="29">
        <f t="shared" si="104"/>
        <v>0</v>
      </c>
      <c r="BI146" s="30"/>
      <c r="BJ146" s="23" t="s">
        <v>310</v>
      </c>
      <c r="BK146" s="31">
        <v>3</v>
      </c>
      <c r="BL146" s="31">
        <v>197</v>
      </c>
      <c r="BO146" s="31">
        <v>197</v>
      </c>
      <c r="BP146" s="31" t="b">
        <f t="shared" si="97"/>
        <v>1</v>
      </c>
    </row>
    <row r="147" spans="2:68" s="31" customFormat="1" x14ac:dyDescent="0.25">
      <c r="B147" s="21" t="s">
        <v>311</v>
      </c>
      <c r="C147" s="22" t="s">
        <v>26</v>
      </c>
      <c r="D147" s="23" t="s">
        <v>312</v>
      </c>
      <c r="E147" s="24">
        <v>16.7</v>
      </c>
      <c r="F147" s="24">
        <v>16.7</v>
      </c>
      <c r="G147" s="22">
        <v>14</v>
      </c>
      <c r="H147" s="22">
        <v>0</v>
      </c>
      <c r="I147" s="22">
        <v>0</v>
      </c>
      <c r="J147" s="22">
        <v>0</v>
      </c>
      <c r="K147" s="22">
        <v>0</v>
      </c>
      <c r="L147" s="22">
        <f t="shared" si="82"/>
        <v>14</v>
      </c>
      <c r="M147" s="22">
        <v>14</v>
      </c>
      <c r="N147" s="22">
        <f t="shared" si="80"/>
        <v>0</v>
      </c>
      <c r="O147" s="153">
        <v>0</v>
      </c>
      <c r="P147" s="153">
        <v>0</v>
      </c>
      <c r="Q147" s="153">
        <v>0</v>
      </c>
      <c r="R147" s="153">
        <v>0</v>
      </c>
      <c r="S147" s="153">
        <f t="shared" si="83"/>
        <v>14</v>
      </c>
      <c r="T147" s="153">
        <v>14</v>
      </c>
      <c r="U147" s="153">
        <f t="shared" si="84"/>
        <v>0</v>
      </c>
      <c r="V147" s="154">
        <v>0</v>
      </c>
      <c r="W147" s="154">
        <v>0</v>
      </c>
      <c r="X147" s="154">
        <v>0</v>
      </c>
      <c r="Y147" s="154">
        <v>0</v>
      </c>
      <c r="Z147" s="154">
        <f t="shared" si="85"/>
        <v>14</v>
      </c>
      <c r="AA147" s="154">
        <v>14</v>
      </c>
      <c r="AB147" s="154">
        <f t="shared" si="86"/>
        <v>0</v>
      </c>
      <c r="AC147" s="154">
        <v>0</v>
      </c>
      <c r="AD147" s="154">
        <v>0</v>
      </c>
      <c r="AE147" s="154">
        <v>0</v>
      </c>
      <c r="AF147" s="154">
        <v>0</v>
      </c>
      <c r="AG147" s="154">
        <f t="shared" si="87"/>
        <v>14</v>
      </c>
      <c r="AH147" s="154">
        <v>14</v>
      </c>
      <c r="AI147" s="154">
        <f t="shared" si="88"/>
        <v>0</v>
      </c>
      <c r="AJ147" s="154">
        <v>0</v>
      </c>
      <c r="AK147" s="154">
        <v>0</v>
      </c>
      <c r="AL147" s="154">
        <v>0</v>
      </c>
      <c r="AM147" s="154">
        <v>0</v>
      </c>
      <c r="AN147" s="154">
        <f t="shared" ref="AN147:AN170" si="105">AG147+AJ147+AK147-AL147-AM147</f>
        <v>14</v>
      </c>
      <c r="AO147" s="154">
        <v>14</v>
      </c>
      <c r="AP147" s="154">
        <f t="shared" ref="AP147:AP170" si="106">AO147-AN147</f>
        <v>0</v>
      </c>
      <c r="AQ147" s="154">
        <f t="shared" si="99"/>
        <v>0</v>
      </c>
      <c r="AR147" s="154">
        <f t="shared" si="100"/>
        <v>0</v>
      </c>
      <c r="AS147" s="154">
        <f t="shared" si="101"/>
        <v>0</v>
      </c>
      <c r="AT147" s="154">
        <f t="shared" si="102"/>
        <v>0</v>
      </c>
      <c r="AU147" s="154">
        <f t="shared" si="90"/>
        <v>14</v>
      </c>
      <c r="AV147" s="154">
        <v>14</v>
      </c>
      <c r="AW147" s="154">
        <f t="shared" si="91"/>
        <v>0</v>
      </c>
      <c r="AX147" s="25"/>
      <c r="AY147" s="26"/>
      <c r="AZ147" s="28">
        <f t="shared" si="81"/>
        <v>233.79999999999998</v>
      </c>
      <c r="BA147" s="28"/>
      <c r="BB147" s="28">
        <f t="shared" si="92"/>
        <v>0</v>
      </c>
      <c r="BC147" s="28">
        <f t="shared" si="93"/>
        <v>0</v>
      </c>
      <c r="BD147" s="28">
        <f t="shared" si="94"/>
        <v>0</v>
      </c>
      <c r="BE147" s="28">
        <f t="shared" si="95"/>
        <v>0</v>
      </c>
      <c r="BF147" s="28">
        <f t="shared" si="103"/>
        <v>233.79999999999998</v>
      </c>
      <c r="BG147" s="29">
        <f t="shared" si="96"/>
        <v>233.79999999999998</v>
      </c>
      <c r="BH147" s="29">
        <f t="shared" si="104"/>
        <v>0</v>
      </c>
      <c r="BI147" s="30"/>
      <c r="BJ147" s="23" t="s">
        <v>312</v>
      </c>
      <c r="BK147" s="31">
        <v>0</v>
      </c>
      <c r="BL147" s="31">
        <v>14</v>
      </c>
      <c r="BO147" s="31">
        <v>14</v>
      </c>
      <c r="BP147" s="31" t="b">
        <f t="shared" si="97"/>
        <v>1</v>
      </c>
    </row>
    <row r="148" spans="2:68" s="31" customFormat="1" x14ac:dyDescent="0.25">
      <c r="B148" s="21" t="s">
        <v>313</v>
      </c>
      <c r="C148" s="22" t="s">
        <v>26</v>
      </c>
      <c r="D148" s="23" t="s">
        <v>314</v>
      </c>
      <c r="E148" s="24">
        <v>0.32</v>
      </c>
      <c r="F148" s="24">
        <v>0.34</v>
      </c>
      <c r="G148" s="22">
        <v>8550</v>
      </c>
      <c r="H148" s="22">
        <v>0</v>
      </c>
      <c r="I148" s="22">
        <v>0</v>
      </c>
      <c r="J148" s="22">
        <v>0</v>
      </c>
      <c r="K148" s="22">
        <v>0</v>
      </c>
      <c r="L148" s="22">
        <f t="shared" si="82"/>
        <v>8550</v>
      </c>
      <c r="M148" s="22">
        <v>8550</v>
      </c>
      <c r="N148" s="22">
        <f t="shared" si="80"/>
        <v>0</v>
      </c>
      <c r="O148" s="153">
        <v>0</v>
      </c>
      <c r="P148" s="153">
        <v>0</v>
      </c>
      <c r="Q148" s="153">
        <v>0</v>
      </c>
      <c r="R148" s="153">
        <v>0</v>
      </c>
      <c r="S148" s="153">
        <f t="shared" si="83"/>
        <v>8550</v>
      </c>
      <c r="T148" s="153">
        <v>8550</v>
      </c>
      <c r="U148" s="153">
        <f t="shared" si="84"/>
        <v>0</v>
      </c>
      <c r="V148" s="154">
        <v>0</v>
      </c>
      <c r="W148" s="154">
        <v>0</v>
      </c>
      <c r="X148" s="154">
        <v>0</v>
      </c>
      <c r="Y148" s="154">
        <v>0</v>
      </c>
      <c r="Z148" s="154">
        <f t="shared" si="85"/>
        <v>8550</v>
      </c>
      <c r="AA148" s="154">
        <v>8550</v>
      </c>
      <c r="AB148" s="154">
        <f t="shared" si="86"/>
        <v>0</v>
      </c>
      <c r="AC148" s="154">
        <v>0</v>
      </c>
      <c r="AD148" s="154">
        <v>0</v>
      </c>
      <c r="AE148" s="154">
        <v>0</v>
      </c>
      <c r="AF148" s="154">
        <v>0</v>
      </c>
      <c r="AG148" s="154">
        <f t="shared" si="87"/>
        <v>8550</v>
      </c>
      <c r="AH148" s="154">
        <v>8550</v>
      </c>
      <c r="AI148" s="154">
        <f t="shared" si="88"/>
        <v>0</v>
      </c>
      <c r="AJ148" s="154">
        <v>0</v>
      </c>
      <c r="AK148" s="154">
        <v>0</v>
      </c>
      <c r="AL148" s="154">
        <v>0</v>
      </c>
      <c r="AM148" s="154">
        <v>0</v>
      </c>
      <c r="AN148" s="154">
        <f t="shared" si="105"/>
        <v>8550</v>
      </c>
      <c r="AO148" s="154">
        <v>8550</v>
      </c>
      <c r="AP148" s="154">
        <f t="shared" si="106"/>
        <v>0</v>
      </c>
      <c r="AQ148" s="154">
        <f t="shared" si="99"/>
        <v>0</v>
      </c>
      <c r="AR148" s="154">
        <f t="shared" si="100"/>
        <v>0</v>
      </c>
      <c r="AS148" s="154">
        <f t="shared" si="101"/>
        <v>0</v>
      </c>
      <c r="AT148" s="154">
        <f t="shared" si="102"/>
        <v>0</v>
      </c>
      <c r="AU148" s="154">
        <f t="shared" si="90"/>
        <v>8550</v>
      </c>
      <c r="AV148" s="154">
        <v>8550</v>
      </c>
      <c r="AW148" s="154">
        <f t="shared" si="91"/>
        <v>0</v>
      </c>
      <c r="AX148" s="25"/>
      <c r="AY148" s="26"/>
      <c r="AZ148" s="28">
        <f t="shared" si="81"/>
        <v>2736</v>
      </c>
      <c r="BA148" s="28"/>
      <c r="BB148" s="28">
        <f t="shared" si="92"/>
        <v>0</v>
      </c>
      <c r="BC148" s="28">
        <f t="shared" si="93"/>
        <v>0</v>
      </c>
      <c r="BD148" s="28">
        <f t="shared" si="94"/>
        <v>0</v>
      </c>
      <c r="BE148" s="28">
        <f t="shared" si="95"/>
        <v>0</v>
      </c>
      <c r="BF148" s="28">
        <f t="shared" si="103"/>
        <v>2736</v>
      </c>
      <c r="BG148" s="29">
        <f t="shared" si="96"/>
        <v>2907</v>
      </c>
      <c r="BH148" s="29">
        <f t="shared" si="104"/>
        <v>171</v>
      </c>
      <c r="BI148" s="30"/>
      <c r="BJ148" s="23" t="s">
        <v>314</v>
      </c>
      <c r="BK148" s="31">
        <v>0</v>
      </c>
      <c r="BL148" s="31">
        <v>8550</v>
      </c>
      <c r="BO148" s="31">
        <v>8550</v>
      </c>
      <c r="BP148" s="31" t="b">
        <f t="shared" si="97"/>
        <v>1</v>
      </c>
    </row>
    <row r="149" spans="2:68" s="31" customFormat="1" x14ac:dyDescent="0.25">
      <c r="B149" s="21" t="s">
        <v>315</v>
      </c>
      <c r="C149" s="22" t="s">
        <v>58</v>
      </c>
      <c r="D149" s="23" t="s">
        <v>316</v>
      </c>
      <c r="E149" s="24">
        <v>0.56000000000000005</v>
      </c>
      <c r="F149" s="24">
        <v>0.56000000000000005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>
        <f t="shared" si="82"/>
        <v>0</v>
      </c>
      <c r="M149" s="22">
        <v>0</v>
      </c>
      <c r="N149" s="22">
        <f t="shared" si="80"/>
        <v>0</v>
      </c>
      <c r="O149" s="153">
        <v>0</v>
      </c>
      <c r="P149" s="153">
        <v>0</v>
      </c>
      <c r="Q149" s="153">
        <v>0</v>
      </c>
      <c r="R149" s="153">
        <v>0</v>
      </c>
      <c r="S149" s="153">
        <f t="shared" si="83"/>
        <v>0</v>
      </c>
      <c r="T149" s="153">
        <v>0</v>
      </c>
      <c r="U149" s="153">
        <f t="shared" si="84"/>
        <v>0</v>
      </c>
      <c r="V149" s="154">
        <v>0</v>
      </c>
      <c r="W149" s="154">
        <v>0</v>
      </c>
      <c r="X149" s="154">
        <v>0</v>
      </c>
      <c r="Y149" s="154">
        <v>0</v>
      </c>
      <c r="Z149" s="154">
        <f t="shared" si="85"/>
        <v>0</v>
      </c>
      <c r="AA149" s="154">
        <v>0</v>
      </c>
      <c r="AB149" s="154">
        <f t="shared" si="86"/>
        <v>0</v>
      </c>
      <c r="AC149" s="154">
        <v>0</v>
      </c>
      <c r="AD149" s="154">
        <v>0</v>
      </c>
      <c r="AE149" s="154">
        <v>0</v>
      </c>
      <c r="AF149" s="154">
        <v>0</v>
      </c>
      <c r="AG149" s="154">
        <f t="shared" si="87"/>
        <v>0</v>
      </c>
      <c r="AH149" s="154">
        <v>0</v>
      </c>
      <c r="AI149" s="154">
        <f t="shared" si="88"/>
        <v>0</v>
      </c>
      <c r="AJ149" s="154">
        <v>0</v>
      </c>
      <c r="AK149" s="154">
        <v>0</v>
      </c>
      <c r="AL149" s="154">
        <v>0</v>
      </c>
      <c r="AM149" s="154">
        <v>0</v>
      </c>
      <c r="AN149" s="154">
        <f t="shared" si="105"/>
        <v>0</v>
      </c>
      <c r="AO149" s="154">
        <v>0</v>
      </c>
      <c r="AP149" s="154">
        <f t="shared" si="106"/>
        <v>0</v>
      </c>
      <c r="AQ149" s="154">
        <f t="shared" si="99"/>
        <v>0</v>
      </c>
      <c r="AR149" s="154">
        <f t="shared" si="100"/>
        <v>0</v>
      </c>
      <c r="AS149" s="154">
        <f t="shared" si="101"/>
        <v>0</v>
      </c>
      <c r="AT149" s="154">
        <f t="shared" si="102"/>
        <v>0</v>
      </c>
      <c r="AU149" s="154">
        <f t="shared" si="90"/>
        <v>0</v>
      </c>
      <c r="AV149" s="154">
        <f t="shared" ref="AV149:AV159" si="107">AH149</f>
        <v>0</v>
      </c>
      <c r="AW149" s="154">
        <f t="shared" si="91"/>
        <v>0</v>
      </c>
      <c r="AX149" s="25"/>
      <c r="AY149" s="26"/>
      <c r="AZ149" s="28">
        <f t="shared" si="81"/>
        <v>0</v>
      </c>
      <c r="BA149" s="28"/>
      <c r="BB149" s="28">
        <f t="shared" si="92"/>
        <v>0</v>
      </c>
      <c r="BC149" s="28">
        <f t="shared" si="93"/>
        <v>0</v>
      </c>
      <c r="BD149" s="28">
        <f t="shared" si="94"/>
        <v>0</v>
      </c>
      <c r="BE149" s="28">
        <f t="shared" si="95"/>
        <v>0</v>
      </c>
      <c r="BF149" s="28">
        <f t="shared" si="103"/>
        <v>0</v>
      </c>
      <c r="BG149" s="29">
        <f t="shared" si="96"/>
        <v>0</v>
      </c>
      <c r="BH149" s="29">
        <f t="shared" si="104"/>
        <v>0</v>
      </c>
      <c r="BI149" s="30"/>
      <c r="BJ149" s="23" t="s">
        <v>316</v>
      </c>
      <c r="BK149" s="31">
        <v>0</v>
      </c>
      <c r="BL149" s="31">
        <v>0</v>
      </c>
      <c r="BO149" s="31">
        <v>0</v>
      </c>
      <c r="BP149" s="31" t="b">
        <f t="shared" si="97"/>
        <v>1</v>
      </c>
    </row>
    <row r="150" spans="2:68" s="31" customFormat="1" x14ac:dyDescent="0.25">
      <c r="B150" s="21" t="s">
        <v>317</v>
      </c>
      <c r="C150" s="22" t="s">
        <v>29</v>
      </c>
      <c r="D150" s="23" t="s">
        <v>318</v>
      </c>
      <c r="E150" s="24">
        <v>13</v>
      </c>
      <c r="F150" s="24">
        <v>13</v>
      </c>
      <c r="G150" s="22">
        <v>0</v>
      </c>
      <c r="H150" s="22">
        <v>0</v>
      </c>
      <c r="I150" s="22">
        <v>0</v>
      </c>
      <c r="J150" s="22">
        <v>0</v>
      </c>
      <c r="K150" s="22">
        <v>0</v>
      </c>
      <c r="L150" s="22">
        <f t="shared" si="82"/>
        <v>0</v>
      </c>
      <c r="M150" s="22">
        <v>0</v>
      </c>
      <c r="N150" s="22">
        <f t="shared" si="80"/>
        <v>0</v>
      </c>
      <c r="O150" s="153">
        <v>0</v>
      </c>
      <c r="P150" s="153">
        <v>0</v>
      </c>
      <c r="Q150" s="153">
        <v>0</v>
      </c>
      <c r="R150" s="153">
        <v>0</v>
      </c>
      <c r="S150" s="153">
        <f t="shared" si="83"/>
        <v>0</v>
      </c>
      <c r="T150" s="153">
        <v>0</v>
      </c>
      <c r="U150" s="153">
        <f t="shared" si="84"/>
        <v>0</v>
      </c>
      <c r="V150" s="154">
        <v>0</v>
      </c>
      <c r="W150" s="154">
        <v>0</v>
      </c>
      <c r="X150" s="154">
        <v>0</v>
      </c>
      <c r="Y150" s="154">
        <v>0</v>
      </c>
      <c r="Z150" s="154">
        <f t="shared" si="85"/>
        <v>0</v>
      </c>
      <c r="AA150" s="154">
        <v>0</v>
      </c>
      <c r="AB150" s="154">
        <f t="shared" si="86"/>
        <v>0</v>
      </c>
      <c r="AC150" s="154">
        <v>0</v>
      </c>
      <c r="AD150" s="154">
        <v>0</v>
      </c>
      <c r="AE150" s="154">
        <v>0</v>
      </c>
      <c r="AF150" s="154">
        <v>0</v>
      </c>
      <c r="AG150" s="154">
        <f t="shared" si="87"/>
        <v>0</v>
      </c>
      <c r="AH150" s="154">
        <v>0</v>
      </c>
      <c r="AI150" s="154">
        <f t="shared" si="88"/>
        <v>0</v>
      </c>
      <c r="AJ150" s="154">
        <v>0</v>
      </c>
      <c r="AK150" s="154">
        <v>0</v>
      </c>
      <c r="AL150" s="154">
        <v>0</v>
      </c>
      <c r="AM150" s="154">
        <v>0</v>
      </c>
      <c r="AN150" s="154">
        <f t="shared" si="105"/>
        <v>0</v>
      </c>
      <c r="AO150" s="154">
        <v>0</v>
      </c>
      <c r="AP150" s="154">
        <f t="shared" si="106"/>
        <v>0</v>
      </c>
      <c r="AQ150" s="154">
        <f t="shared" si="99"/>
        <v>0</v>
      </c>
      <c r="AR150" s="154">
        <f t="shared" si="100"/>
        <v>0</v>
      </c>
      <c r="AS150" s="154">
        <f t="shared" si="101"/>
        <v>0</v>
      </c>
      <c r="AT150" s="154">
        <f t="shared" si="102"/>
        <v>0</v>
      </c>
      <c r="AU150" s="154">
        <f t="shared" si="90"/>
        <v>0</v>
      </c>
      <c r="AV150" s="154">
        <f t="shared" si="107"/>
        <v>0</v>
      </c>
      <c r="AW150" s="154">
        <f t="shared" si="91"/>
        <v>0</v>
      </c>
      <c r="AX150" s="25"/>
      <c r="AY150" s="26"/>
      <c r="AZ150" s="28">
        <f t="shared" si="81"/>
        <v>0</v>
      </c>
      <c r="BA150" s="28"/>
      <c r="BB150" s="28">
        <f t="shared" si="92"/>
        <v>0</v>
      </c>
      <c r="BC150" s="28">
        <f t="shared" si="93"/>
        <v>0</v>
      </c>
      <c r="BD150" s="28">
        <f t="shared" si="94"/>
        <v>0</v>
      </c>
      <c r="BE150" s="28">
        <f t="shared" si="95"/>
        <v>0</v>
      </c>
      <c r="BF150" s="28">
        <f t="shared" si="103"/>
        <v>0</v>
      </c>
      <c r="BG150" s="29">
        <f t="shared" si="96"/>
        <v>0</v>
      </c>
      <c r="BH150" s="29">
        <f t="shared" si="104"/>
        <v>0</v>
      </c>
      <c r="BI150" s="30"/>
      <c r="BJ150" s="23" t="s">
        <v>318</v>
      </c>
      <c r="BK150" s="31">
        <v>0</v>
      </c>
      <c r="BL150" s="31">
        <v>0</v>
      </c>
      <c r="BO150" s="31">
        <v>0</v>
      </c>
      <c r="BP150" s="31" t="b">
        <f t="shared" si="97"/>
        <v>1</v>
      </c>
    </row>
    <row r="151" spans="2:68" s="31" customFormat="1" x14ac:dyDescent="0.25">
      <c r="B151" s="21" t="s">
        <v>319</v>
      </c>
      <c r="C151" s="22" t="s">
        <v>29</v>
      </c>
      <c r="D151" s="23" t="s">
        <v>320</v>
      </c>
      <c r="E151" s="24">
        <v>16.8</v>
      </c>
      <c r="F151" s="24">
        <v>16.8</v>
      </c>
      <c r="G151" s="22">
        <v>0</v>
      </c>
      <c r="H151" s="22">
        <v>0</v>
      </c>
      <c r="I151" s="22">
        <v>0</v>
      </c>
      <c r="J151" s="22">
        <v>0</v>
      </c>
      <c r="K151" s="22">
        <v>0</v>
      </c>
      <c r="L151" s="22">
        <f t="shared" si="82"/>
        <v>0</v>
      </c>
      <c r="M151" s="22">
        <v>0</v>
      </c>
      <c r="N151" s="22">
        <f t="shared" si="80"/>
        <v>0</v>
      </c>
      <c r="O151" s="153">
        <v>0</v>
      </c>
      <c r="P151" s="153">
        <v>0</v>
      </c>
      <c r="Q151" s="153">
        <v>0</v>
      </c>
      <c r="R151" s="153">
        <v>0</v>
      </c>
      <c r="S151" s="153">
        <f t="shared" si="83"/>
        <v>0</v>
      </c>
      <c r="T151" s="153">
        <v>0</v>
      </c>
      <c r="U151" s="153">
        <f t="shared" si="84"/>
        <v>0</v>
      </c>
      <c r="V151" s="154">
        <v>0</v>
      </c>
      <c r="W151" s="154">
        <v>0</v>
      </c>
      <c r="X151" s="154">
        <v>0</v>
      </c>
      <c r="Y151" s="154">
        <v>0</v>
      </c>
      <c r="Z151" s="154">
        <f t="shared" si="85"/>
        <v>0</v>
      </c>
      <c r="AA151" s="154">
        <v>0</v>
      </c>
      <c r="AB151" s="154">
        <f t="shared" si="86"/>
        <v>0</v>
      </c>
      <c r="AC151" s="154">
        <v>0</v>
      </c>
      <c r="AD151" s="154">
        <v>0</v>
      </c>
      <c r="AE151" s="154">
        <v>0</v>
      </c>
      <c r="AF151" s="154">
        <v>0</v>
      </c>
      <c r="AG151" s="154">
        <f t="shared" si="87"/>
        <v>0</v>
      </c>
      <c r="AH151" s="154">
        <v>0</v>
      </c>
      <c r="AI151" s="154">
        <f t="shared" si="88"/>
        <v>0</v>
      </c>
      <c r="AJ151" s="154">
        <v>0</v>
      </c>
      <c r="AK151" s="154">
        <v>0</v>
      </c>
      <c r="AL151" s="154">
        <v>0</v>
      </c>
      <c r="AM151" s="154">
        <v>0</v>
      </c>
      <c r="AN151" s="154">
        <f t="shared" si="105"/>
        <v>0</v>
      </c>
      <c r="AO151" s="154">
        <v>0</v>
      </c>
      <c r="AP151" s="154">
        <f t="shared" si="106"/>
        <v>0</v>
      </c>
      <c r="AQ151" s="154">
        <f t="shared" si="99"/>
        <v>0</v>
      </c>
      <c r="AR151" s="154">
        <f t="shared" si="100"/>
        <v>0</v>
      </c>
      <c r="AS151" s="154">
        <f t="shared" si="101"/>
        <v>0</v>
      </c>
      <c r="AT151" s="154">
        <f t="shared" si="102"/>
        <v>0</v>
      </c>
      <c r="AU151" s="154">
        <f t="shared" si="90"/>
        <v>0</v>
      </c>
      <c r="AV151" s="154">
        <f t="shared" si="107"/>
        <v>0</v>
      </c>
      <c r="AW151" s="154">
        <f t="shared" si="91"/>
        <v>0</v>
      </c>
      <c r="AX151" s="25"/>
      <c r="AY151" s="26"/>
      <c r="AZ151" s="28">
        <f t="shared" si="81"/>
        <v>0</v>
      </c>
      <c r="BA151" s="28"/>
      <c r="BB151" s="28">
        <f t="shared" si="92"/>
        <v>0</v>
      </c>
      <c r="BC151" s="28">
        <f t="shared" si="93"/>
        <v>0</v>
      </c>
      <c r="BD151" s="28">
        <f t="shared" si="94"/>
        <v>0</v>
      </c>
      <c r="BE151" s="28">
        <f t="shared" si="95"/>
        <v>0</v>
      </c>
      <c r="BF151" s="28">
        <f t="shared" si="103"/>
        <v>0</v>
      </c>
      <c r="BG151" s="29">
        <f t="shared" si="96"/>
        <v>0</v>
      </c>
      <c r="BH151" s="29">
        <f t="shared" si="104"/>
        <v>0</v>
      </c>
      <c r="BI151" s="30"/>
      <c r="BJ151" s="23" t="s">
        <v>320</v>
      </c>
      <c r="BK151" s="31">
        <v>0</v>
      </c>
      <c r="BL151" s="31">
        <v>0</v>
      </c>
      <c r="BO151" s="31">
        <v>0</v>
      </c>
      <c r="BP151" s="31" t="b">
        <f t="shared" si="97"/>
        <v>1</v>
      </c>
    </row>
    <row r="152" spans="2:68" s="31" customFormat="1" ht="30" customHeight="1" x14ac:dyDescent="0.25">
      <c r="B152" s="21" t="s">
        <v>321</v>
      </c>
      <c r="C152" s="22" t="s">
        <v>29</v>
      </c>
      <c r="D152" s="23" t="s">
        <v>322</v>
      </c>
      <c r="E152" s="24">
        <v>16.399999999999999</v>
      </c>
      <c r="F152" s="24">
        <v>16.399999999999999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f t="shared" si="82"/>
        <v>0</v>
      </c>
      <c r="M152" s="22">
        <v>0</v>
      </c>
      <c r="N152" s="22">
        <f t="shared" si="80"/>
        <v>0</v>
      </c>
      <c r="O152" s="153">
        <v>0</v>
      </c>
      <c r="P152" s="153">
        <v>0</v>
      </c>
      <c r="Q152" s="153">
        <v>0</v>
      </c>
      <c r="R152" s="153">
        <v>0</v>
      </c>
      <c r="S152" s="153">
        <f t="shared" si="83"/>
        <v>0</v>
      </c>
      <c r="T152" s="153">
        <v>0</v>
      </c>
      <c r="U152" s="153">
        <f t="shared" si="84"/>
        <v>0</v>
      </c>
      <c r="V152" s="154">
        <v>0</v>
      </c>
      <c r="W152" s="154">
        <v>0</v>
      </c>
      <c r="X152" s="154">
        <v>0</v>
      </c>
      <c r="Y152" s="154">
        <v>0</v>
      </c>
      <c r="Z152" s="154">
        <f t="shared" si="85"/>
        <v>0</v>
      </c>
      <c r="AA152" s="154">
        <v>0</v>
      </c>
      <c r="AB152" s="154">
        <f t="shared" si="86"/>
        <v>0</v>
      </c>
      <c r="AC152" s="154">
        <v>0</v>
      </c>
      <c r="AD152" s="154">
        <v>0</v>
      </c>
      <c r="AE152" s="154">
        <v>0</v>
      </c>
      <c r="AF152" s="154">
        <v>0</v>
      </c>
      <c r="AG152" s="154">
        <f t="shared" si="87"/>
        <v>0</v>
      </c>
      <c r="AH152" s="154">
        <v>0</v>
      </c>
      <c r="AI152" s="154">
        <f t="shared" si="88"/>
        <v>0</v>
      </c>
      <c r="AJ152" s="154">
        <v>0</v>
      </c>
      <c r="AK152" s="154">
        <v>0</v>
      </c>
      <c r="AL152" s="154">
        <v>0</v>
      </c>
      <c r="AM152" s="154">
        <v>0</v>
      </c>
      <c r="AN152" s="154">
        <f t="shared" si="105"/>
        <v>0</v>
      </c>
      <c r="AO152" s="154">
        <v>0</v>
      </c>
      <c r="AP152" s="154">
        <f t="shared" si="106"/>
        <v>0</v>
      </c>
      <c r="AQ152" s="154">
        <f t="shared" si="99"/>
        <v>0</v>
      </c>
      <c r="AR152" s="154">
        <f t="shared" si="100"/>
        <v>0</v>
      </c>
      <c r="AS152" s="154">
        <f t="shared" si="101"/>
        <v>0</v>
      </c>
      <c r="AT152" s="154">
        <f t="shared" si="102"/>
        <v>0</v>
      </c>
      <c r="AU152" s="154">
        <f t="shared" si="90"/>
        <v>0</v>
      </c>
      <c r="AV152" s="154">
        <f t="shared" si="107"/>
        <v>0</v>
      </c>
      <c r="AW152" s="154">
        <f t="shared" si="91"/>
        <v>0</v>
      </c>
      <c r="AX152" s="25"/>
      <c r="AY152" s="26"/>
      <c r="AZ152" s="28">
        <f t="shared" si="81"/>
        <v>0</v>
      </c>
      <c r="BA152" s="28"/>
      <c r="BB152" s="28">
        <f t="shared" si="92"/>
        <v>0</v>
      </c>
      <c r="BC152" s="28">
        <f t="shared" si="93"/>
        <v>0</v>
      </c>
      <c r="BD152" s="28">
        <f t="shared" si="94"/>
        <v>0</v>
      </c>
      <c r="BE152" s="28">
        <f t="shared" si="95"/>
        <v>0</v>
      </c>
      <c r="BF152" s="28">
        <f t="shared" si="103"/>
        <v>0</v>
      </c>
      <c r="BG152" s="29">
        <f t="shared" si="96"/>
        <v>0</v>
      </c>
      <c r="BH152" s="29">
        <f t="shared" si="104"/>
        <v>0</v>
      </c>
      <c r="BI152" s="30"/>
      <c r="BJ152" s="23" t="s">
        <v>322</v>
      </c>
      <c r="BK152" s="31">
        <v>0</v>
      </c>
      <c r="BL152" s="31">
        <v>0</v>
      </c>
      <c r="BO152" s="31">
        <v>0</v>
      </c>
      <c r="BP152" s="31" t="b">
        <f t="shared" si="97"/>
        <v>1</v>
      </c>
    </row>
    <row r="153" spans="2:68" s="31" customFormat="1" ht="15" customHeight="1" x14ac:dyDescent="0.25">
      <c r="B153" s="21" t="s">
        <v>323</v>
      </c>
      <c r="C153" s="22" t="s">
        <v>29</v>
      </c>
      <c r="D153" s="23" t="s">
        <v>324</v>
      </c>
      <c r="E153" s="24">
        <v>15.12</v>
      </c>
      <c r="F153" s="24">
        <v>15.12</v>
      </c>
      <c r="G153" s="22">
        <v>0</v>
      </c>
      <c r="H153" s="22">
        <v>0</v>
      </c>
      <c r="I153" s="22">
        <v>0</v>
      </c>
      <c r="J153" s="22">
        <v>0</v>
      </c>
      <c r="K153" s="22">
        <v>0</v>
      </c>
      <c r="L153" s="22">
        <f t="shared" si="82"/>
        <v>0</v>
      </c>
      <c r="M153" s="22">
        <v>0</v>
      </c>
      <c r="N153" s="22">
        <f t="shared" si="80"/>
        <v>0</v>
      </c>
      <c r="O153" s="153">
        <v>0</v>
      </c>
      <c r="P153" s="153">
        <v>0</v>
      </c>
      <c r="Q153" s="153">
        <v>0</v>
      </c>
      <c r="R153" s="153">
        <v>0</v>
      </c>
      <c r="S153" s="153">
        <f t="shared" si="83"/>
        <v>0</v>
      </c>
      <c r="T153" s="153">
        <v>0</v>
      </c>
      <c r="U153" s="153">
        <f t="shared" si="84"/>
        <v>0</v>
      </c>
      <c r="V153" s="154">
        <v>0</v>
      </c>
      <c r="W153" s="154">
        <v>0</v>
      </c>
      <c r="X153" s="154">
        <v>0</v>
      </c>
      <c r="Y153" s="154">
        <v>0</v>
      </c>
      <c r="Z153" s="154">
        <f t="shared" si="85"/>
        <v>0</v>
      </c>
      <c r="AA153" s="154">
        <v>0</v>
      </c>
      <c r="AB153" s="154">
        <f t="shared" si="86"/>
        <v>0</v>
      </c>
      <c r="AC153" s="154">
        <v>0</v>
      </c>
      <c r="AD153" s="154">
        <v>0</v>
      </c>
      <c r="AE153" s="154">
        <v>0</v>
      </c>
      <c r="AF153" s="154">
        <v>0</v>
      </c>
      <c r="AG153" s="154">
        <f t="shared" si="87"/>
        <v>0</v>
      </c>
      <c r="AH153" s="154">
        <v>0</v>
      </c>
      <c r="AI153" s="154">
        <f t="shared" si="88"/>
        <v>0</v>
      </c>
      <c r="AJ153" s="154">
        <v>0</v>
      </c>
      <c r="AK153" s="154">
        <v>0</v>
      </c>
      <c r="AL153" s="154">
        <v>0</v>
      </c>
      <c r="AM153" s="154">
        <v>0</v>
      </c>
      <c r="AN153" s="154">
        <f t="shared" si="105"/>
        <v>0</v>
      </c>
      <c r="AO153" s="154">
        <v>0</v>
      </c>
      <c r="AP153" s="154">
        <f t="shared" si="106"/>
        <v>0</v>
      </c>
      <c r="AQ153" s="154">
        <f t="shared" si="99"/>
        <v>0</v>
      </c>
      <c r="AR153" s="154">
        <f t="shared" si="100"/>
        <v>0</v>
      </c>
      <c r="AS153" s="154">
        <f t="shared" si="101"/>
        <v>0</v>
      </c>
      <c r="AT153" s="154">
        <f t="shared" si="102"/>
        <v>0</v>
      </c>
      <c r="AU153" s="154">
        <f t="shared" si="90"/>
        <v>0</v>
      </c>
      <c r="AV153" s="154">
        <f t="shared" si="107"/>
        <v>0</v>
      </c>
      <c r="AW153" s="154">
        <f t="shared" si="91"/>
        <v>0</v>
      </c>
      <c r="AX153" s="25"/>
      <c r="AY153" s="26"/>
      <c r="AZ153" s="28">
        <f t="shared" si="81"/>
        <v>0</v>
      </c>
      <c r="BA153" s="28"/>
      <c r="BB153" s="28">
        <f t="shared" si="92"/>
        <v>0</v>
      </c>
      <c r="BC153" s="28">
        <f t="shared" si="93"/>
        <v>0</v>
      </c>
      <c r="BD153" s="28">
        <f t="shared" si="94"/>
        <v>0</v>
      </c>
      <c r="BE153" s="28">
        <f t="shared" si="95"/>
        <v>0</v>
      </c>
      <c r="BF153" s="28">
        <f t="shared" si="103"/>
        <v>0</v>
      </c>
      <c r="BG153" s="29">
        <f t="shared" si="96"/>
        <v>0</v>
      </c>
      <c r="BH153" s="29">
        <f t="shared" si="104"/>
        <v>0</v>
      </c>
      <c r="BI153" s="30"/>
      <c r="BJ153" s="23" t="s">
        <v>324</v>
      </c>
      <c r="BK153" s="31">
        <v>0</v>
      </c>
      <c r="BL153" s="31">
        <v>0</v>
      </c>
      <c r="BO153" s="31">
        <v>0</v>
      </c>
      <c r="BP153" s="31" t="b">
        <f t="shared" si="97"/>
        <v>1</v>
      </c>
    </row>
    <row r="154" spans="2:68" s="31" customFormat="1" ht="30" customHeight="1" x14ac:dyDescent="0.25">
      <c r="B154" s="21" t="s">
        <v>325</v>
      </c>
      <c r="C154" s="22" t="s">
        <v>29</v>
      </c>
      <c r="D154" s="23" t="s">
        <v>326</v>
      </c>
      <c r="E154" s="24">
        <v>14.28</v>
      </c>
      <c r="F154" s="24">
        <v>14.28</v>
      </c>
      <c r="G154" s="22">
        <v>0</v>
      </c>
      <c r="H154" s="22">
        <v>0</v>
      </c>
      <c r="I154" s="22">
        <v>0</v>
      </c>
      <c r="J154" s="22">
        <v>0</v>
      </c>
      <c r="K154" s="22">
        <v>0</v>
      </c>
      <c r="L154" s="22">
        <f t="shared" si="82"/>
        <v>0</v>
      </c>
      <c r="M154" s="22">
        <v>0</v>
      </c>
      <c r="N154" s="22">
        <f t="shared" si="80"/>
        <v>0</v>
      </c>
      <c r="O154" s="153">
        <v>0</v>
      </c>
      <c r="P154" s="153">
        <v>0</v>
      </c>
      <c r="Q154" s="153">
        <v>0</v>
      </c>
      <c r="R154" s="153">
        <v>0</v>
      </c>
      <c r="S154" s="153">
        <f t="shared" si="83"/>
        <v>0</v>
      </c>
      <c r="T154" s="153">
        <v>0</v>
      </c>
      <c r="U154" s="153">
        <f t="shared" si="84"/>
        <v>0</v>
      </c>
      <c r="V154" s="154">
        <v>0</v>
      </c>
      <c r="W154" s="154">
        <v>0</v>
      </c>
      <c r="X154" s="154">
        <v>0</v>
      </c>
      <c r="Y154" s="154">
        <v>0</v>
      </c>
      <c r="Z154" s="154">
        <f t="shared" si="85"/>
        <v>0</v>
      </c>
      <c r="AA154" s="154">
        <v>0</v>
      </c>
      <c r="AB154" s="154">
        <f t="shared" si="86"/>
        <v>0</v>
      </c>
      <c r="AC154" s="154">
        <v>0</v>
      </c>
      <c r="AD154" s="154">
        <v>0</v>
      </c>
      <c r="AE154" s="154">
        <v>0</v>
      </c>
      <c r="AF154" s="154">
        <v>0</v>
      </c>
      <c r="AG154" s="154">
        <f t="shared" si="87"/>
        <v>0</v>
      </c>
      <c r="AH154" s="154">
        <v>0</v>
      </c>
      <c r="AI154" s="154">
        <f t="shared" si="88"/>
        <v>0</v>
      </c>
      <c r="AJ154" s="154">
        <v>0</v>
      </c>
      <c r="AK154" s="154">
        <v>0</v>
      </c>
      <c r="AL154" s="154">
        <v>0</v>
      </c>
      <c r="AM154" s="154">
        <v>0</v>
      </c>
      <c r="AN154" s="154">
        <f t="shared" si="105"/>
        <v>0</v>
      </c>
      <c r="AO154" s="154">
        <v>0</v>
      </c>
      <c r="AP154" s="154">
        <f t="shared" si="106"/>
        <v>0</v>
      </c>
      <c r="AQ154" s="154">
        <f t="shared" si="99"/>
        <v>0</v>
      </c>
      <c r="AR154" s="154">
        <f t="shared" si="100"/>
        <v>0</v>
      </c>
      <c r="AS154" s="154">
        <f t="shared" si="101"/>
        <v>0</v>
      </c>
      <c r="AT154" s="154">
        <f t="shared" si="102"/>
        <v>0</v>
      </c>
      <c r="AU154" s="154">
        <f t="shared" si="90"/>
        <v>0</v>
      </c>
      <c r="AV154" s="154">
        <f t="shared" si="107"/>
        <v>0</v>
      </c>
      <c r="AW154" s="154">
        <f t="shared" si="91"/>
        <v>0</v>
      </c>
      <c r="AX154" s="25"/>
      <c r="AY154" s="26"/>
      <c r="AZ154" s="28">
        <f t="shared" si="81"/>
        <v>0</v>
      </c>
      <c r="BA154" s="28"/>
      <c r="BB154" s="28">
        <f t="shared" si="92"/>
        <v>0</v>
      </c>
      <c r="BC154" s="28">
        <f t="shared" si="93"/>
        <v>0</v>
      </c>
      <c r="BD154" s="28">
        <f t="shared" si="94"/>
        <v>0</v>
      </c>
      <c r="BE154" s="28">
        <f t="shared" si="95"/>
        <v>0</v>
      </c>
      <c r="BF154" s="28">
        <f t="shared" si="103"/>
        <v>0</v>
      </c>
      <c r="BG154" s="29">
        <f t="shared" si="96"/>
        <v>0</v>
      </c>
      <c r="BH154" s="29">
        <f t="shared" si="104"/>
        <v>0</v>
      </c>
      <c r="BI154" s="30"/>
      <c r="BJ154" s="23" t="s">
        <v>326</v>
      </c>
      <c r="BK154" s="31">
        <v>0</v>
      </c>
      <c r="BL154" s="31">
        <v>0</v>
      </c>
      <c r="BO154" s="31">
        <v>0</v>
      </c>
      <c r="BP154" s="31" t="b">
        <f t="shared" si="97"/>
        <v>1</v>
      </c>
    </row>
    <row r="155" spans="2:68" s="31" customFormat="1" ht="30" customHeight="1" x14ac:dyDescent="0.25">
      <c r="B155" s="21" t="s">
        <v>327</v>
      </c>
      <c r="C155" s="22" t="s">
        <v>29</v>
      </c>
      <c r="D155" s="23" t="s">
        <v>328</v>
      </c>
      <c r="E155" s="24">
        <v>15.12</v>
      </c>
      <c r="F155" s="24">
        <v>15.12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2">
        <f t="shared" si="82"/>
        <v>0</v>
      </c>
      <c r="M155" s="22">
        <v>0</v>
      </c>
      <c r="N155" s="22">
        <f t="shared" si="80"/>
        <v>0</v>
      </c>
      <c r="O155" s="153">
        <v>0</v>
      </c>
      <c r="P155" s="153">
        <v>0</v>
      </c>
      <c r="Q155" s="153">
        <v>0</v>
      </c>
      <c r="R155" s="153">
        <v>0</v>
      </c>
      <c r="S155" s="153">
        <f t="shared" si="83"/>
        <v>0</v>
      </c>
      <c r="T155" s="153">
        <v>0</v>
      </c>
      <c r="U155" s="153">
        <f t="shared" si="84"/>
        <v>0</v>
      </c>
      <c r="V155" s="154">
        <v>0</v>
      </c>
      <c r="W155" s="154">
        <v>0</v>
      </c>
      <c r="X155" s="154">
        <v>0</v>
      </c>
      <c r="Y155" s="154">
        <v>0</v>
      </c>
      <c r="Z155" s="154">
        <f t="shared" si="85"/>
        <v>0</v>
      </c>
      <c r="AA155" s="154">
        <v>0</v>
      </c>
      <c r="AB155" s="154">
        <f t="shared" si="86"/>
        <v>0</v>
      </c>
      <c r="AC155" s="154">
        <v>0</v>
      </c>
      <c r="AD155" s="154">
        <v>0</v>
      </c>
      <c r="AE155" s="154">
        <v>0</v>
      </c>
      <c r="AF155" s="154">
        <v>0</v>
      </c>
      <c r="AG155" s="154">
        <f t="shared" si="87"/>
        <v>0</v>
      </c>
      <c r="AH155" s="154">
        <v>0</v>
      </c>
      <c r="AI155" s="154">
        <f t="shared" si="88"/>
        <v>0</v>
      </c>
      <c r="AJ155" s="154">
        <v>0</v>
      </c>
      <c r="AK155" s="154">
        <v>0</v>
      </c>
      <c r="AL155" s="154">
        <v>0</v>
      </c>
      <c r="AM155" s="154">
        <v>0</v>
      </c>
      <c r="AN155" s="154">
        <f t="shared" si="105"/>
        <v>0</v>
      </c>
      <c r="AO155" s="154">
        <v>0</v>
      </c>
      <c r="AP155" s="154">
        <f t="shared" si="106"/>
        <v>0</v>
      </c>
      <c r="AQ155" s="154">
        <f t="shared" si="99"/>
        <v>0</v>
      </c>
      <c r="AR155" s="154">
        <f t="shared" si="100"/>
        <v>0</v>
      </c>
      <c r="AS155" s="154">
        <f t="shared" si="101"/>
        <v>0</v>
      </c>
      <c r="AT155" s="154">
        <f t="shared" si="102"/>
        <v>0</v>
      </c>
      <c r="AU155" s="154">
        <f t="shared" si="90"/>
        <v>0</v>
      </c>
      <c r="AV155" s="154">
        <f t="shared" si="107"/>
        <v>0</v>
      </c>
      <c r="AW155" s="154">
        <f t="shared" si="91"/>
        <v>0</v>
      </c>
      <c r="AX155" s="25"/>
      <c r="AY155" s="26"/>
      <c r="AZ155" s="28">
        <f t="shared" si="81"/>
        <v>0</v>
      </c>
      <c r="BA155" s="28"/>
      <c r="BB155" s="28">
        <f t="shared" si="92"/>
        <v>0</v>
      </c>
      <c r="BC155" s="28">
        <f t="shared" si="93"/>
        <v>0</v>
      </c>
      <c r="BD155" s="28">
        <f t="shared" si="94"/>
        <v>0</v>
      </c>
      <c r="BE155" s="28">
        <f t="shared" si="95"/>
        <v>0</v>
      </c>
      <c r="BF155" s="28">
        <f t="shared" si="103"/>
        <v>0</v>
      </c>
      <c r="BG155" s="29">
        <f t="shared" si="96"/>
        <v>0</v>
      </c>
      <c r="BH155" s="29">
        <f t="shared" si="104"/>
        <v>0</v>
      </c>
      <c r="BI155" s="30"/>
      <c r="BJ155" s="23" t="s">
        <v>328</v>
      </c>
      <c r="BK155" s="31">
        <v>0</v>
      </c>
      <c r="BL155" s="31">
        <v>0</v>
      </c>
      <c r="BO155" s="31">
        <v>0</v>
      </c>
      <c r="BP155" s="31" t="b">
        <f t="shared" si="97"/>
        <v>1</v>
      </c>
    </row>
    <row r="156" spans="2:68" s="31" customFormat="1" ht="30" customHeight="1" x14ac:dyDescent="0.25">
      <c r="B156" s="21" t="s">
        <v>329</v>
      </c>
      <c r="C156" s="22" t="s">
        <v>29</v>
      </c>
      <c r="D156" s="23" t="s">
        <v>330</v>
      </c>
      <c r="E156" s="24">
        <v>13.61</v>
      </c>
      <c r="F156" s="24">
        <v>13.61</v>
      </c>
      <c r="G156" s="22">
        <v>0</v>
      </c>
      <c r="H156" s="22">
        <v>0</v>
      </c>
      <c r="I156" s="22">
        <v>0</v>
      </c>
      <c r="J156" s="22">
        <v>0</v>
      </c>
      <c r="K156" s="22">
        <v>0</v>
      </c>
      <c r="L156" s="22">
        <f t="shared" si="82"/>
        <v>0</v>
      </c>
      <c r="M156" s="22">
        <v>0</v>
      </c>
      <c r="N156" s="22">
        <f t="shared" si="80"/>
        <v>0</v>
      </c>
      <c r="O156" s="153">
        <v>0</v>
      </c>
      <c r="P156" s="153">
        <v>0</v>
      </c>
      <c r="Q156" s="153">
        <v>0</v>
      </c>
      <c r="R156" s="153">
        <v>0</v>
      </c>
      <c r="S156" s="153">
        <f t="shared" si="83"/>
        <v>0</v>
      </c>
      <c r="T156" s="153">
        <v>0</v>
      </c>
      <c r="U156" s="153">
        <f t="shared" si="84"/>
        <v>0</v>
      </c>
      <c r="V156" s="154">
        <v>0</v>
      </c>
      <c r="W156" s="154">
        <v>0</v>
      </c>
      <c r="X156" s="154">
        <v>0</v>
      </c>
      <c r="Y156" s="154">
        <v>0</v>
      </c>
      <c r="Z156" s="154">
        <f t="shared" si="85"/>
        <v>0</v>
      </c>
      <c r="AA156" s="154">
        <v>0</v>
      </c>
      <c r="AB156" s="154">
        <f t="shared" si="86"/>
        <v>0</v>
      </c>
      <c r="AC156" s="154">
        <v>0</v>
      </c>
      <c r="AD156" s="154">
        <v>0</v>
      </c>
      <c r="AE156" s="154">
        <v>0</v>
      </c>
      <c r="AF156" s="154">
        <v>0</v>
      </c>
      <c r="AG156" s="154">
        <f t="shared" si="87"/>
        <v>0</v>
      </c>
      <c r="AH156" s="154">
        <v>0</v>
      </c>
      <c r="AI156" s="154">
        <f t="shared" si="88"/>
        <v>0</v>
      </c>
      <c r="AJ156" s="154">
        <v>0</v>
      </c>
      <c r="AK156" s="154">
        <v>0</v>
      </c>
      <c r="AL156" s="154">
        <v>0</v>
      </c>
      <c r="AM156" s="154">
        <v>0</v>
      </c>
      <c r="AN156" s="154">
        <f t="shared" si="105"/>
        <v>0</v>
      </c>
      <c r="AO156" s="154">
        <v>0</v>
      </c>
      <c r="AP156" s="154">
        <f t="shared" si="106"/>
        <v>0</v>
      </c>
      <c r="AQ156" s="154">
        <f t="shared" si="99"/>
        <v>0</v>
      </c>
      <c r="AR156" s="154">
        <f t="shared" si="100"/>
        <v>0</v>
      </c>
      <c r="AS156" s="154">
        <f t="shared" si="101"/>
        <v>0</v>
      </c>
      <c r="AT156" s="154">
        <f t="shared" si="102"/>
        <v>0</v>
      </c>
      <c r="AU156" s="154">
        <f t="shared" si="90"/>
        <v>0</v>
      </c>
      <c r="AV156" s="154">
        <f t="shared" si="107"/>
        <v>0</v>
      </c>
      <c r="AW156" s="154">
        <f t="shared" si="91"/>
        <v>0</v>
      </c>
      <c r="AX156" s="25"/>
      <c r="AY156" s="26"/>
      <c r="AZ156" s="28">
        <f t="shared" si="81"/>
        <v>0</v>
      </c>
      <c r="BA156" s="28"/>
      <c r="BB156" s="28">
        <f t="shared" si="92"/>
        <v>0</v>
      </c>
      <c r="BC156" s="28">
        <f t="shared" si="93"/>
        <v>0</v>
      </c>
      <c r="BD156" s="28">
        <f t="shared" si="94"/>
        <v>0</v>
      </c>
      <c r="BE156" s="28">
        <f t="shared" si="95"/>
        <v>0</v>
      </c>
      <c r="BF156" s="28">
        <f t="shared" si="103"/>
        <v>0</v>
      </c>
      <c r="BG156" s="29">
        <f t="shared" si="96"/>
        <v>0</v>
      </c>
      <c r="BH156" s="29">
        <f t="shared" si="104"/>
        <v>0</v>
      </c>
      <c r="BI156" s="30"/>
      <c r="BJ156" s="23" t="s">
        <v>330</v>
      </c>
      <c r="BK156" s="31">
        <v>0</v>
      </c>
      <c r="BL156" s="31">
        <v>0</v>
      </c>
      <c r="BO156" s="31">
        <v>0</v>
      </c>
      <c r="BP156" s="31" t="b">
        <f t="shared" si="97"/>
        <v>1</v>
      </c>
    </row>
    <row r="157" spans="2:68" s="31" customFormat="1" x14ac:dyDescent="0.25">
      <c r="B157" s="32" t="s">
        <v>331</v>
      </c>
      <c r="C157" s="22" t="s">
        <v>29</v>
      </c>
      <c r="D157" s="23" t="s">
        <v>332</v>
      </c>
      <c r="E157" s="24">
        <v>13.44</v>
      </c>
      <c r="F157" s="24">
        <v>13.44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2">
        <f t="shared" si="82"/>
        <v>0</v>
      </c>
      <c r="M157" s="22">
        <v>0</v>
      </c>
      <c r="N157" s="22">
        <f t="shared" si="80"/>
        <v>0</v>
      </c>
      <c r="O157" s="153">
        <v>0</v>
      </c>
      <c r="P157" s="153">
        <v>0</v>
      </c>
      <c r="Q157" s="153">
        <v>0</v>
      </c>
      <c r="R157" s="153">
        <v>0</v>
      </c>
      <c r="S157" s="153">
        <f t="shared" si="83"/>
        <v>0</v>
      </c>
      <c r="T157" s="153">
        <v>0</v>
      </c>
      <c r="U157" s="153">
        <f t="shared" si="84"/>
        <v>0</v>
      </c>
      <c r="V157" s="154">
        <v>0</v>
      </c>
      <c r="W157" s="154">
        <v>0</v>
      </c>
      <c r="X157" s="154">
        <v>0</v>
      </c>
      <c r="Y157" s="154">
        <v>0</v>
      </c>
      <c r="Z157" s="154">
        <f t="shared" si="85"/>
        <v>0</v>
      </c>
      <c r="AA157" s="154">
        <v>0</v>
      </c>
      <c r="AB157" s="154">
        <f t="shared" si="86"/>
        <v>0</v>
      </c>
      <c r="AC157" s="154">
        <v>0</v>
      </c>
      <c r="AD157" s="154">
        <v>0</v>
      </c>
      <c r="AE157" s="154">
        <v>0</v>
      </c>
      <c r="AF157" s="154">
        <v>0</v>
      </c>
      <c r="AG157" s="154">
        <f t="shared" si="87"/>
        <v>0</v>
      </c>
      <c r="AH157" s="154">
        <v>0</v>
      </c>
      <c r="AI157" s="154">
        <f t="shared" si="88"/>
        <v>0</v>
      </c>
      <c r="AJ157" s="154">
        <v>0</v>
      </c>
      <c r="AK157" s="154">
        <v>0</v>
      </c>
      <c r="AL157" s="154">
        <v>0</v>
      </c>
      <c r="AM157" s="154">
        <v>0</v>
      </c>
      <c r="AN157" s="154">
        <f t="shared" si="105"/>
        <v>0</v>
      </c>
      <c r="AO157" s="154">
        <v>0</v>
      </c>
      <c r="AP157" s="154">
        <f t="shared" si="106"/>
        <v>0</v>
      </c>
      <c r="AQ157" s="154">
        <f t="shared" si="99"/>
        <v>0</v>
      </c>
      <c r="AR157" s="154">
        <f t="shared" si="100"/>
        <v>0</v>
      </c>
      <c r="AS157" s="154">
        <f t="shared" si="101"/>
        <v>0</v>
      </c>
      <c r="AT157" s="154">
        <f t="shared" si="102"/>
        <v>0</v>
      </c>
      <c r="AU157" s="154">
        <f t="shared" si="90"/>
        <v>0</v>
      </c>
      <c r="AV157" s="154">
        <f t="shared" si="107"/>
        <v>0</v>
      </c>
      <c r="AW157" s="154">
        <f t="shared" si="91"/>
        <v>0</v>
      </c>
      <c r="AX157" s="25"/>
      <c r="AY157" s="26"/>
      <c r="AZ157" s="28">
        <f t="shared" si="81"/>
        <v>0</v>
      </c>
      <c r="BA157" s="28"/>
      <c r="BB157" s="28">
        <f t="shared" si="92"/>
        <v>0</v>
      </c>
      <c r="BC157" s="28">
        <f t="shared" si="93"/>
        <v>0</v>
      </c>
      <c r="BD157" s="28">
        <f t="shared" si="94"/>
        <v>0</v>
      </c>
      <c r="BE157" s="28">
        <f t="shared" si="95"/>
        <v>0</v>
      </c>
      <c r="BF157" s="28">
        <f t="shared" si="103"/>
        <v>0</v>
      </c>
      <c r="BG157" s="29">
        <f t="shared" si="96"/>
        <v>0</v>
      </c>
      <c r="BH157" s="29">
        <f t="shared" si="104"/>
        <v>0</v>
      </c>
      <c r="BI157" s="30"/>
      <c r="BJ157" s="23" t="s">
        <v>332</v>
      </c>
      <c r="BK157" s="31">
        <v>0</v>
      </c>
      <c r="BL157" s="31">
        <v>0</v>
      </c>
      <c r="BO157" s="31">
        <v>0</v>
      </c>
      <c r="BP157" s="31" t="b">
        <f t="shared" si="97"/>
        <v>1</v>
      </c>
    </row>
    <row r="158" spans="2:68" s="31" customFormat="1" x14ac:dyDescent="0.25">
      <c r="B158" s="32" t="s">
        <v>333</v>
      </c>
      <c r="C158" s="22" t="s">
        <v>29</v>
      </c>
      <c r="D158" s="23" t="s">
        <v>334</v>
      </c>
      <c r="E158" s="24">
        <v>15.12</v>
      </c>
      <c r="F158" s="24">
        <v>15.12</v>
      </c>
      <c r="G158" s="22">
        <v>0</v>
      </c>
      <c r="H158" s="22">
        <v>0</v>
      </c>
      <c r="I158" s="22">
        <v>0</v>
      </c>
      <c r="J158" s="22">
        <v>0</v>
      </c>
      <c r="K158" s="22">
        <v>0</v>
      </c>
      <c r="L158" s="22">
        <f t="shared" si="82"/>
        <v>0</v>
      </c>
      <c r="M158" s="22">
        <v>0</v>
      </c>
      <c r="N158" s="22">
        <f t="shared" si="80"/>
        <v>0</v>
      </c>
      <c r="O158" s="153">
        <v>0</v>
      </c>
      <c r="P158" s="153">
        <v>0</v>
      </c>
      <c r="Q158" s="153">
        <v>0</v>
      </c>
      <c r="R158" s="153">
        <v>0</v>
      </c>
      <c r="S158" s="153">
        <f t="shared" si="83"/>
        <v>0</v>
      </c>
      <c r="T158" s="153">
        <v>0</v>
      </c>
      <c r="U158" s="153">
        <f t="shared" si="84"/>
        <v>0</v>
      </c>
      <c r="V158" s="154">
        <v>0</v>
      </c>
      <c r="W158" s="154">
        <v>0</v>
      </c>
      <c r="X158" s="154">
        <v>0</v>
      </c>
      <c r="Y158" s="154">
        <v>0</v>
      </c>
      <c r="Z158" s="154">
        <f t="shared" si="85"/>
        <v>0</v>
      </c>
      <c r="AA158" s="154">
        <v>0</v>
      </c>
      <c r="AB158" s="154">
        <f t="shared" si="86"/>
        <v>0</v>
      </c>
      <c r="AC158" s="154">
        <v>0</v>
      </c>
      <c r="AD158" s="154">
        <v>0</v>
      </c>
      <c r="AE158" s="154">
        <v>0</v>
      </c>
      <c r="AF158" s="154">
        <v>0</v>
      </c>
      <c r="AG158" s="154">
        <f t="shared" si="87"/>
        <v>0</v>
      </c>
      <c r="AH158" s="154">
        <v>0</v>
      </c>
      <c r="AI158" s="154">
        <f t="shared" si="88"/>
        <v>0</v>
      </c>
      <c r="AJ158" s="154">
        <v>0</v>
      </c>
      <c r="AK158" s="154">
        <v>0</v>
      </c>
      <c r="AL158" s="154">
        <v>0</v>
      </c>
      <c r="AM158" s="154">
        <v>0</v>
      </c>
      <c r="AN158" s="154">
        <f t="shared" si="105"/>
        <v>0</v>
      </c>
      <c r="AO158" s="154">
        <v>0</v>
      </c>
      <c r="AP158" s="154">
        <f t="shared" si="106"/>
        <v>0</v>
      </c>
      <c r="AQ158" s="154">
        <f t="shared" si="99"/>
        <v>0</v>
      </c>
      <c r="AR158" s="154">
        <f t="shared" si="100"/>
        <v>0</v>
      </c>
      <c r="AS158" s="154">
        <f t="shared" si="101"/>
        <v>0</v>
      </c>
      <c r="AT158" s="154">
        <f t="shared" si="102"/>
        <v>0</v>
      </c>
      <c r="AU158" s="154">
        <f t="shared" si="90"/>
        <v>0</v>
      </c>
      <c r="AV158" s="154">
        <f t="shared" si="107"/>
        <v>0</v>
      </c>
      <c r="AW158" s="154">
        <f t="shared" si="91"/>
        <v>0</v>
      </c>
      <c r="AX158" s="25"/>
      <c r="AY158" s="26"/>
      <c r="AZ158" s="28">
        <f t="shared" si="81"/>
        <v>0</v>
      </c>
      <c r="BA158" s="28"/>
      <c r="BB158" s="28">
        <f t="shared" si="92"/>
        <v>0</v>
      </c>
      <c r="BC158" s="28">
        <f t="shared" si="93"/>
        <v>0</v>
      </c>
      <c r="BD158" s="28">
        <f t="shared" si="94"/>
        <v>0</v>
      </c>
      <c r="BE158" s="28">
        <f t="shared" si="95"/>
        <v>0</v>
      </c>
      <c r="BF158" s="28">
        <f t="shared" si="103"/>
        <v>0</v>
      </c>
      <c r="BG158" s="29">
        <f t="shared" si="96"/>
        <v>0</v>
      </c>
      <c r="BH158" s="29">
        <f t="shared" si="104"/>
        <v>0</v>
      </c>
      <c r="BI158" s="30"/>
      <c r="BJ158" s="23" t="s">
        <v>334</v>
      </c>
      <c r="BK158" s="31">
        <v>0</v>
      </c>
      <c r="BL158" s="31">
        <v>0</v>
      </c>
      <c r="BO158" s="31">
        <v>0</v>
      </c>
      <c r="BP158" s="31" t="b">
        <f t="shared" si="97"/>
        <v>1</v>
      </c>
    </row>
    <row r="159" spans="2:68" s="31" customFormat="1" ht="15" customHeight="1" x14ac:dyDescent="0.25">
      <c r="B159" s="21" t="s">
        <v>335</v>
      </c>
      <c r="C159" s="22" t="s">
        <v>29</v>
      </c>
      <c r="D159" s="23" t="s">
        <v>336</v>
      </c>
      <c r="E159" s="24">
        <v>15.12</v>
      </c>
      <c r="F159" s="24">
        <v>15.12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33">
        <f t="shared" si="82"/>
        <v>0</v>
      </c>
      <c r="M159" s="34">
        <v>0</v>
      </c>
      <c r="N159" s="34">
        <f t="shared" si="80"/>
        <v>0</v>
      </c>
      <c r="O159" s="153">
        <v>0</v>
      </c>
      <c r="P159" s="153">
        <v>0</v>
      </c>
      <c r="Q159" s="153">
        <v>0</v>
      </c>
      <c r="R159" s="153">
        <v>0</v>
      </c>
      <c r="S159" s="153">
        <f t="shared" si="83"/>
        <v>0</v>
      </c>
      <c r="T159" s="153">
        <v>0</v>
      </c>
      <c r="U159" s="153">
        <f t="shared" si="84"/>
        <v>0</v>
      </c>
      <c r="V159" s="154">
        <v>0</v>
      </c>
      <c r="W159" s="154">
        <v>0</v>
      </c>
      <c r="X159" s="154">
        <v>0</v>
      </c>
      <c r="Y159" s="154">
        <v>0</v>
      </c>
      <c r="Z159" s="154">
        <f t="shared" si="85"/>
        <v>0</v>
      </c>
      <c r="AA159" s="154">
        <v>0</v>
      </c>
      <c r="AB159" s="154">
        <f t="shared" si="86"/>
        <v>0</v>
      </c>
      <c r="AC159" s="154">
        <v>0</v>
      </c>
      <c r="AD159" s="154">
        <v>0</v>
      </c>
      <c r="AE159" s="154">
        <v>0</v>
      </c>
      <c r="AF159" s="154">
        <v>0</v>
      </c>
      <c r="AG159" s="154">
        <f t="shared" si="87"/>
        <v>0</v>
      </c>
      <c r="AH159" s="154">
        <v>0</v>
      </c>
      <c r="AI159" s="154">
        <f t="shared" si="88"/>
        <v>0</v>
      </c>
      <c r="AJ159" s="154">
        <v>0</v>
      </c>
      <c r="AK159" s="154">
        <v>0</v>
      </c>
      <c r="AL159" s="154">
        <v>0</v>
      </c>
      <c r="AM159" s="154">
        <v>0</v>
      </c>
      <c r="AN159" s="154">
        <f t="shared" si="105"/>
        <v>0</v>
      </c>
      <c r="AO159" s="154">
        <v>0</v>
      </c>
      <c r="AP159" s="154">
        <f t="shared" si="106"/>
        <v>0</v>
      </c>
      <c r="AQ159" s="154">
        <f t="shared" si="99"/>
        <v>0</v>
      </c>
      <c r="AR159" s="154">
        <f t="shared" si="100"/>
        <v>0</v>
      </c>
      <c r="AS159" s="154">
        <f t="shared" si="101"/>
        <v>0</v>
      </c>
      <c r="AT159" s="154">
        <f t="shared" si="102"/>
        <v>0</v>
      </c>
      <c r="AU159" s="154">
        <f t="shared" si="90"/>
        <v>0</v>
      </c>
      <c r="AV159" s="154">
        <f t="shared" si="107"/>
        <v>0</v>
      </c>
      <c r="AW159" s="154">
        <f t="shared" si="91"/>
        <v>0</v>
      </c>
      <c r="AX159" s="25"/>
      <c r="AY159" s="26"/>
      <c r="AZ159" s="28">
        <f t="shared" si="81"/>
        <v>0</v>
      </c>
      <c r="BA159" s="28"/>
      <c r="BB159" s="28">
        <f t="shared" si="92"/>
        <v>0</v>
      </c>
      <c r="BC159" s="28">
        <f t="shared" si="93"/>
        <v>0</v>
      </c>
      <c r="BD159" s="28">
        <f t="shared" si="94"/>
        <v>0</v>
      </c>
      <c r="BE159" s="28">
        <f t="shared" si="95"/>
        <v>0</v>
      </c>
      <c r="BF159" s="28">
        <f t="shared" si="103"/>
        <v>0</v>
      </c>
      <c r="BG159" s="29">
        <f t="shared" si="96"/>
        <v>0</v>
      </c>
      <c r="BH159" s="29">
        <f t="shared" si="104"/>
        <v>0</v>
      </c>
      <c r="BI159" s="30"/>
      <c r="BJ159" s="23" t="s">
        <v>336</v>
      </c>
      <c r="BK159" s="31">
        <v>0</v>
      </c>
      <c r="BL159" s="31">
        <v>0</v>
      </c>
      <c r="BO159" s="31">
        <v>0</v>
      </c>
      <c r="BP159" s="31" t="b">
        <f t="shared" si="97"/>
        <v>1</v>
      </c>
    </row>
    <row r="160" spans="2:68" s="31" customFormat="1" x14ac:dyDescent="0.25">
      <c r="B160" s="21" t="s">
        <v>337</v>
      </c>
      <c r="C160" s="22" t="s">
        <v>26</v>
      </c>
      <c r="D160" s="23" t="s">
        <v>338</v>
      </c>
      <c r="E160" s="24">
        <v>0.14000000000000001</v>
      </c>
      <c r="F160" s="24">
        <v>0.14000000000000001</v>
      </c>
      <c r="G160" s="22">
        <v>1550</v>
      </c>
      <c r="H160" s="22">
        <v>0</v>
      </c>
      <c r="I160" s="22">
        <v>0</v>
      </c>
      <c r="J160" s="22">
        <v>0</v>
      </c>
      <c r="K160" s="22">
        <v>0</v>
      </c>
      <c r="L160" s="22">
        <f t="shared" si="82"/>
        <v>1550</v>
      </c>
      <c r="M160" s="22">
        <v>1550</v>
      </c>
      <c r="N160" s="22">
        <f t="shared" si="80"/>
        <v>0</v>
      </c>
      <c r="O160" s="153">
        <v>0</v>
      </c>
      <c r="P160" s="153">
        <v>0</v>
      </c>
      <c r="Q160" s="153">
        <v>0</v>
      </c>
      <c r="R160" s="153">
        <v>0</v>
      </c>
      <c r="S160" s="153">
        <f t="shared" si="83"/>
        <v>1550</v>
      </c>
      <c r="T160" s="153">
        <v>1550</v>
      </c>
      <c r="U160" s="153">
        <f t="shared" si="84"/>
        <v>0</v>
      </c>
      <c r="V160" s="154">
        <v>0</v>
      </c>
      <c r="W160" s="154">
        <v>0</v>
      </c>
      <c r="X160" s="154">
        <v>0</v>
      </c>
      <c r="Y160" s="154">
        <v>0</v>
      </c>
      <c r="Z160" s="154">
        <f t="shared" si="85"/>
        <v>1550</v>
      </c>
      <c r="AA160" s="154">
        <v>1550</v>
      </c>
      <c r="AB160" s="154">
        <f t="shared" si="86"/>
        <v>0</v>
      </c>
      <c r="AC160" s="154">
        <v>0</v>
      </c>
      <c r="AD160" s="154">
        <v>0</v>
      </c>
      <c r="AE160" s="154">
        <v>0</v>
      </c>
      <c r="AF160" s="154">
        <v>0</v>
      </c>
      <c r="AG160" s="154">
        <f t="shared" si="87"/>
        <v>1550</v>
      </c>
      <c r="AH160" s="154">
        <v>1550</v>
      </c>
      <c r="AI160" s="154">
        <f t="shared" si="88"/>
        <v>0</v>
      </c>
      <c r="AJ160" s="154">
        <v>0</v>
      </c>
      <c r="AK160" s="154">
        <v>0</v>
      </c>
      <c r="AL160" s="154">
        <v>0</v>
      </c>
      <c r="AM160" s="154">
        <v>0</v>
      </c>
      <c r="AN160" s="154">
        <f t="shared" si="105"/>
        <v>1550</v>
      </c>
      <c r="AO160" s="154">
        <v>1550</v>
      </c>
      <c r="AP160" s="154">
        <f t="shared" si="106"/>
        <v>0</v>
      </c>
      <c r="AQ160" s="154">
        <f t="shared" si="99"/>
        <v>0</v>
      </c>
      <c r="AR160" s="154">
        <f t="shared" si="100"/>
        <v>0</v>
      </c>
      <c r="AS160" s="154">
        <f t="shared" si="101"/>
        <v>0</v>
      </c>
      <c r="AT160" s="154">
        <f t="shared" si="102"/>
        <v>0</v>
      </c>
      <c r="AU160" s="154">
        <f t="shared" si="90"/>
        <v>1550</v>
      </c>
      <c r="AV160" s="154">
        <v>1550</v>
      </c>
      <c r="AW160" s="154">
        <f t="shared" si="91"/>
        <v>0</v>
      </c>
      <c r="AX160" s="25"/>
      <c r="AY160" s="26"/>
      <c r="AZ160" s="28">
        <f t="shared" si="81"/>
        <v>217.00000000000003</v>
      </c>
      <c r="BA160" s="28"/>
      <c r="BB160" s="28">
        <f t="shared" si="92"/>
        <v>0</v>
      </c>
      <c r="BC160" s="28">
        <f t="shared" si="93"/>
        <v>0</v>
      </c>
      <c r="BD160" s="28">
        <f t="shared" si="94"/>
        <v>0</v>
      </c>
      <c r="BE160" s="28">
        <f t="shared" si="95"/>
        <v>0</v>
      </c>
      <c r="BF160" s="28">
        <f t="shared" si="103"/>
        <v>217.00000000000003</v>
      </c>
      <c r="BG160" s="29">
        <f t="shared" si="96"/>
        <v>217.00000000000003</v>
      </c>
      <c r="BH160" s="29">
        <f t="shared" si="104"/>
        <v>0</v>
      </c>
      <c r="BI160" s="30"/>
      <c r="BJ160" s="23" t="s">
        <v>338</v>
      </c>
      <c r="BK160" s="31">
        <v>0</v>
      </c>
      <c r="BL160" s="31">
        <v>1550</v>
      </c>
      <c r="BO160" s="31">
        <v>1550</v>
      </c>
      <c r="BP160" s="31" t="b">
        <f t="shared" si="97"/>
        <v>1</v>
      </c>
    </row>
    <row r="161" spans="1:68" s="31" customFormat="1" x14ac:dyDescent="0.25">
      <c r="B161" s="21" t="s">
        <v>339</v>
      </c>
      <c r="C161" s="22" t="s">
        <v>26</v>
      </c>
      <c r="D161" s="23" t="s">
        <v>340</v>
      </c>
      <c r="E161" s="24">
        <v>0.31</v>
      </c>
      <c r="F161" s="24">
        <v>0.31</v>
      </c>
      <c r="G161" s="22">
        <v>500</v>
      </c>
      <c r="H161" s="22">
        <v>0</v>
      </c>
      <c r="I161" s="22">
        <v>0</v>
      </c>
      <c r="J161" s="22">
        <v>0</v>
      </c>
      <c r="K161" s="22">
        <v>0</v>
      </c>
      <c r="L161" s="22">
        <f t="shared" si="82"/>
        <v>500</v>
      </c>
      <c r="M161" s="22">
        <v>500</v>
      </c>
      <c r="N161" s="22">
        <f t="shared" si="80"/>
        <v>0</v>
      </c>
      <c r="O161" s="153">
        <v>0</v>
      </c>
      <c r="P161" s="153">
        <v>0</v>
      </c>
      <c r="Q161" s="153">
        <v>0</v>
      </c>
      <c r="R161" s="153">
        <v>0</v>
      </c>
      <c r="S161" s="153">
        <f t="shared" si="83"/>
        <v>500</v>
      </c>
      <c r="T161" s="153">
        <v>500</v>
      </c>
      <c r="U161" s="153">
        <f t="shared" si="84"/>
        <v>0</v>
      </c>
      <c r="V161" s="154">
        <v>0</v>
      </c>
      <c r="W161" s="154">
        <v>0</v>
      </c>
      <c r="X161" s="154">
        <v>0</v>
      </c>
      <c r="Y161" s="154">
        <v>0</v>
      </c>
      <c r="Z161" s="154">
        <f t="shared" si="85"/>
        <v>500</v>
      </c>
      <c r="AA161" s="154">
        <v>500</v>
      </c>
      <c r="AB161" s="154">
        <f t="shared" si="86"/>
        <v>0</v>
      </c>
      <c r="AC161" s="154">
        <v>0</v>
      </c>
      <c r="AD161" s="154">
        <v>0</v>
      </c>
      <c r="AE161" s="154">
        <v>0</v>
      </c>
      <c r="AF161" s="154">
        <v>0</v>
      </c>
      <c r="AG161" s="154">
        <f t="shared" si="87"/>
        <v>500</v>
      </c>
      <c r="AH161" s="154">
        <v>500</v>
      </c>
      <c r="AI161" s="154">
        <f t="shared" si="88"/>
        <v>0</v>
      </c>
      <c r="AJ161" s="154">
        <v>0</v>
      </c>
      <c r="AK161" s="154">
        <v>0</v>
      </c>
      <c r="AL161" s="154">
        <v>0</v>
      </c>
      <c r="AM161" s="154">
        <v>0</v>
      </c>
      <c r="AN161" s="154">
        <f t="shared" si="105"/>
        <v>500</v>
      </c>
      <c r="AO161" s="154">
        <v>500</v>
      </c>
      <c r="AP161" s="154">
        <f t="shared" si="106"/>
        <v>0</v>
      </c>
      <c r="AQ161" s="154">
        <f t="shared" si="99"/>
        <v>0</v>
      </c>
      <c r="AR161" s="154">
        <f t="shared" si="100"/>
        <v>0</v>
      </c>
      <c r="AS161" s="154">
        <f t="shared" si="101"/>
        <v>0</v>
      </c>
      <c r="AT161" s="154">
        <f t="shared" si="102"/>
        <v>0</v>
      </c>
      <c r="AU161" s="154">
        <f t="shared" si="90"/>
        <v>500</v>
      </c>
      <c r="AV161" s="154">
        <v>500</v>
      </c>
      <c r="AW161" s="154">
        <f t="shared" si="91"/>
        <v>0</v>
      </c>
      <c r="AX161" s="25"/>
      <c r="AY161" s="26"/>
      <c r="AZ161" s="28">
        <f t="shared" si="81"/>
        <v>155</v>
      </c>
      <c r="BA161" s="28"/>
      <c r="BB161" s="28">
        <f t="shared" si="92"/>
        <v>0</v>
      </c>
      <c r="BC161" s="28">
        <f t="shared" si="93"/>
        <v>0</v>
      </c>
      <c r="BD161" s="28">
        <f t="shared" si="94"/>
        <v>0</v>
      </c>
      <c r="BE161" s="28">
        <f t="shared" si="95"/>
        <v>0</v>
      </c>
      <c r="BF161" s="28">
        <f t="shared" si="103"/>
        <v>155</v>
      </c>
      <c r="BG161" s="29">
        <f t="shared" si="96"/>
        <v>155</v>
      </c>
      <c r="BH161" s="29">
        <f t="shared" si="104"/>
        <v>0</v>
      </c>
      <c r="BI161" s="30"/>
      <c r="BJ161" s="23" t="s">
        <v>340</v>
      </c>
      <c r="BK161" s="31">
        <v>0</v>
      </c>
      <c r="BL161" s="31">
        <v>500</v>
      </c>
      <c r="BO161" s="31">
        <v>500</v>
      </c>
      <c r="BP161" s="31" t="b">
        <f t="shared" si="97"/>
        <v>1</v>
      </c>
    </row>
    <row r="162" spans="1:68" s="31" customFormat="1" x14ac:dyDescent="0.25">
      <c r="B162" s="21" t="s">
        <v>341</v>
      </c>
      <c r="C162" s="22" t="s">
        <v>26</v>
      </c>
      <c r="D162" s="23" t="s">
        <v>342</v>
      </c>
      <c r="E162" s="24">
        <v>5.69</v>
      </c>
      <c r="F162" s="24">
        <v>5.69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2">
        <f t="shared" si="82"/>
        <v>0</v>
      </c>
      <c r="M162" s="22">
        <v>0</v>
      </c>
      <c r="N162" s="22">
        <f t="shared" si="80"/>
        <v>0</v>
      </c>
      <c r="O162" s="153">
        <v>0</v>
      </c>
      <c r="P162" s="153">
        <v>0</v>
      </c>
      <c r="Q162" s="153">
        <v>0</v>
      </c>
      <c r="R162" s="153">
        <v>0</v>
      </c>
      <c r="S162" s="153">
        <f t="shared" si="83"/>
        <v>0</v>
      </c>
      <c r="T162" s="153">
        <v>0</v>
      </c>
      <c r="U162" s="153">
        <f t="shared" si="84"/>
        <v>0</v>
      </c>
      <c r="V162" s="154">
        <v>0</v>
      </c>
      <c r="W162" s="154">
        <v>0</v>
      </c>
      <c r="X162" s="154">
        <v>0</v>
      </c>
      <c r="Y162" s="154">
        <v>0</v>
      </c>
      <c r="Z162" s="154">
        <f t="shared" si="85"/>
        <v>0</v>
      </c>
      <c r="AA162" s="154">
        <v>0</v>
      </c>
      <c r="AB162" s="154">
        <f t="shared" si="86"/>
        <v>0</v>
      </c>
      <c r="AC162" s="154">
        <v>0</v>
      </c>
      <c r="AD162" s="154">
        <v>0</v>
      </c>
      <c r="AE162" s="154">
        <v>0</v>
      </c>
      <c r="AF162" s="154">
        <v>0</v>
      </c>
      <c r="AG162" s="154">
        <f t="shared" si="87"/>
        <v>0</v>
      </c>
      <c r="AH162" s="154">
        <v>0</v>
      </c>
      <c r="AI162" s="154">
        <f t="shared" si="88"/>
        <v>0</v>
      </c>
      <c r="AJ162" s="154">
        <v>0</v>
      </c>
      <c r="AK162" s="154">
        <v>0</v>
      </c>
      <c r="AL162" s="154">
        <v>0</v>
      </c>
      <c r="AM162" s="154">
        <v>0</v>
      </c>
      <c r="AN162" s="154">
        <f t="shared" si="105"/>
        <v>0</v>
      </c>
      <c r="AO162" s="154">
        <v>0</v>
      </c>
      <c r="AP162" s="154">
        <f t="shared" si="106"/>
        <v>0</v>
      </c>
      <c r="AQ162" s="154">
        <f t="shared" si="99"/>
        <v>0</v>
      </c>
      <c r="AR162" s="154">
        <f t="shared" si="100"/>
        <v>0</v>
      </c>
      <c r="AS162" s="154">
        <f t="shared" si="101"/>
        <v>0</v>
      </c>
      <c r="AT162" s="154">
        <f t="shared" si="102"/>
        <v>0</v>
      </c>
      <c r="AU162" s="154">
        <f t="shared" si="90"/>
        <v>0</v>
      </c>
      <c r="AV162" s="154">
        <f>AH162</f>
        <v>0</v>
      </c>
      <c r="AW162" s="154">
        <f t="shared" si="91"/>
        <v>0</v>
      </c>
      <c r="AX162" s="25"/>
      <c r="AY162" s="26"/>
      <c r="AZ162" s="28">
        <f t="shared" si="81"/>
        <v>0</v>
      </c>
      <c r="BA162" s="28"/>
      <c r="BB162" s="28">
        <f t="shared" si="92"/>
        <v>0</v>
      </c>
      <c r="BC162" s="28">
        <f t="shared" si="93"/>
        <v>0</v>
      </c>
      <c r="BD162" s="28">
        <f t="shared" si="94"/>
        <v>0</v>
      </c>
      <c r="BE162" s="28">
        <f t="shared" si="95"/>
        <v>0</v>
      </c>
      <c r="BF162" s="28">
        <f t="shared" si="103"/>
        <v>0</v>
      </c>
      <c r="BG162" s="29">
        <f t="shared" si="96"/>
        <v>0</v>
      </c>
      <c r="BH162" s="29">
        <f t="shared" si="104"/>
        <v>0</v>
      </c>
      <c r="BI162" s="30"/>
      <c r="BJ162" s="23" t="s">
        <v>342</v>
      </c>
      <c r="BK162" s="31">
        <v>0</v>
      </c>
      <c r="BL162" s="31">
        <v>0</v>
      </c>
      <c r="BO162" s="31">
        <v>0</v>
      </c>
      <c r="BP162" s="31" t="b">
        <f t="shared" si="97"/>
        <v>1</v>
      </c>
    </row>
    <row r="163" spans="1:68" s="31" customFormat="1" ht="15" customHeight="1" x14ac:dyDescent="0.25">
      <c r="B163" s="21" t="s">
        <v>343</v>
      </c>
      <c r="C163" s="22" t="s">
        <v>26</v>
      </c>
      <c r="D163" s="23" t="s">
        <v>344</v>
      </c>
      <c r="E163" s="24">
        <v>4.1399999999999997</v>
      </c>
      <c r="F163" s="24">
        <v>4.1399999999999997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f t="shared" si="82"/>
        <v>0</v>
      </c>
      <c r="M163" s="22">
        <v>0</v>
      </c>
      <c r="N163" s="22">
        <f t="shared" si="80"/>
        <v>0</v>
      </c>
      <c r="O163" s="153">
        <v>0</v>
      </c>
      <c r="P163" s="153">
        <v>0</v>
      </c>
      <c r="Q163" s="153">
        <v>0</v>
      </c>
      <c r="R163" s="153">
        <v>0</v>
      </c>
      <c r="S163" s="153">
        <f t="shared" si="83"/>
        <v>0</v>
      </c>
      <c r="T163" s="153">
        <v>0</v>
      </c>
      <c r="U163" s="153">
        <f t="shared" si="84"/>
        <v>0</v>
      </c>
      <c r="V163" s="154">
        <v>0</v>
      </c>
      <c r="W163" s="154">
        <v>0</v>
      </c>
      <c r="X163" s="154">
        <v>0</v>
      </c>
      <c r="Y163" s="154">
        <v>0</v>
      </c>
      <c r="Z163" s="154">
        <f t="shared" si="85"/>
        <v>0</v>
      </c>
      <c r="AA163" s="154">
        <v>0</v>
      </c>
      <c r="AB163" s="154">
        <f t="shared" si="86"/>
        <v>0</v>
      </c>
      <c r="AC163" s="154">
        <v>0</v>
      </c>
      <c r="AD163" s="154">
        <v>0</v>
      </c>
      <c r="AE163" s="154">
        <v>0</v>
      </c>
      <c r="AF163" s="154">
        <v>0</v>
      </c>
      <c r="AG163" s="154">
        <f t="shared" si="87"/>
        <v>0</v>
      </c>
      <c r="AH163" s="154">
        <v>0</v>
      </c>
      <c r="AI163" s="154">
        <f t="shared" si="88"/>
        <v>0</v>
      </c>
      <c r="AJ163" s="154">
        <v>0</v>
      </c>
      <c r="AK163" s="154">
        <v>0</v>
      </c>
      <c r="AL163" s="154">
        <v>0</v>
      </c>
      <c r="AM163" s="154">
        <v>0</v>
      </c>
      <c r="AN163" s="154">
        <f t="shared" si="105"/>
        <v>0</v>
      </c>
      <c r="AO163" s="154">
        <v>0</v>
      </c>
      <c r="AP163" s="154">
        <f t="shared" si="106"/>
        <v>0</v>
      </c>
      <c r="AQ163" s="154">
        <f t="shared" si="99"/>
        <v>0</v>
      </c>
      <c r="AR163" s="154">
        <f t="shared" si="100"/>
        <v>0</v>
      </c>
      <c r="AS163" s="154">
        <f t="shared" si="101"/>
        <v>0</v>
      </c>
      <c r="AT163" s="154">
        <f t="shared" si="102"/>
        <v>0</v>
      </c>
      <c r="AU163" s="154">
        <f t="shared" si="90"/>
        <v>0</v>
      </c>
      <c r="AV163" s="154">
        <f>AH163</f>
        <v>0</v>
      </c>
      <c r="AW163" s="154">
        <f t="shared" si="91"/>
        <v>0</v>
      </c>
      <c r="AX163" s="25"/>
      <c r="AY163" s="26"/>
      <c r="AZ163" s="28">
        <f t="shared" si="81"/>
        <v>0</v>
      </c>
      <c r="BA163" s="28"/>
      <c r="BB163" s="28">
        <f t="shared" si="92"/>
        <v>0</v>
      </c>
      <c r="BC163" s="28">
        <f t="shared" si="93"/>
        <v>0</v>
      </c>
      <c r="BD163" s="28">
        <f t="shared" si="94"/>
        <v>0</v>
      </c>
      <c r="BE163" s="28">
        <f t="shared" si="95"/>
        <v>0</v>
      </c>
      <c r="BF163" s="28">
        <f t="shared" si="103"/>
        <v>0</v>
      </c>
      <c r="BG163" s="29">
        <f t="shared" si="96"/>
        <v>0</v>
      </c>
      <c r="BH163" s="29">
        <f t="shared" si="104"/>
        <v>0</v>
      </c>
      <c r="BI163" s="30"/>
      <c r="BJ163" s="23" t="s">
        <v>344</v>
      </c>
      <c r="BK163" s="31">
        <v>0</v>
      </c>
      <c r="BL163" s="31">
        <v>0</v>
      </c>
      <c r="BO163" s="31">
        <v>0</v>
      </c>
      <c r="BP163" s="31" t="b">
        <f t="shared" si="97"/>
        <v>1</v>
      </c>
    </row>
    <row r="164" spans="1:68" s="31" customFormat="1" ht="31.5" x14ac:dyDescent="0.25">
      <c r="B164" s="32" t="s">
        <v>345</v>
      </c>
      <c r="C164" s="22" t="s">
        <v>58</v>
      </c>
      <c r="D164" s="23" t="s">
        <v>346</v>
      </c>
      <c r="E164" s="24">
        <v>1.39</v>
      </c>
      <c r="F164" s="24">
        <v>1.39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f t="shared" si="82"/>
        <v>0</v>
      </c>
      <c r="M164" s="22">
        <v>0</v>
      </c>
      <c r="N164" s="22">
        <f t="shared" si="80"/>
        <v>0</v>
      </c>
      <c r="O164" s="153">
        <v>0</v>
      </c>
      <c r="P164" s="153">
        <v>0</v>
      </c>
      <c r="Q164" s="153">
        <v>0</v>
      </c>
      <c r="R164" s="153">
        <v>0</v>
      </c>
      <c r="S164" s="153">
        <f t="shared" si="83"/>
        <v>0</v>
      </c>
      <c r="T164" s="153">
        <v>0</v>
      </c>
      <c r="U164" s="153">
        <f t="shared" si="84"/>
        <v>0</v>
      </c>
      <c r="V164" s="154">
        <v>0</v>
      </c>
      <c r="W164" s="154">
        <v>0</v>
      </c>
      <c r="X164" s="154">
        <v>0</v>
      </c>
      <c r="Y164" s="154">
        <v>0</v>
      </c>
      <c r="Z164" s="154">
        <f t="shared" si="85"/>
        <v>0</v>
      </c>
      <c r="AA164" s="154">
        <v>0</v>
      </c>
      <c r="AB164" s="154">
        <f t="shared" si="86"/>
        <v>0</v>
      </c>
      <c r="AC164" s="154">
        <v>0</v>
      </c>
      <c r="AD164" s="154">
        <v>0</v>
      </c>
      <c r="AE164" s="154">
        <v>0</v>
      </c>
      <c r="AF164" s="154">
        <v>0</v>
      </c>
      <c r="AG164" s="154">
        <f t="shared" si="87"/>
        <v>0</v>
      </c>
      <c r="AH164" s="154">
        <v>0</v>
      </c>
      <c r="AI164" s="154">
        <f t="shared" si="88"/>
        <v>0</v>
      </c>
      <c r="AJ164" s="154">
        <v>0</v>
      </c>
      <c r="AK164" s="154">
        <v>0</v>
      </c>
      <c r="AL164" s="154">
        <v>0</v>
      </c>
      <c r="AM164" s="154">
        <v>0</v>
      </c>
      <c r="AN164" s="154">
        <f t="shared" si="105"/>
        <v>0</v>
      </c>
      <c r="AO164" s="154">
        <v>0</v>
      </c>
      <c r="AP164" s="154">
        <f t="shared" si="106"/>
        <v>0</v>
      </c>
      <c r="AQ164" s="154">
        <f t="shared" si="99"/>
        <v>0</v>
      </c>
      <c r="AR164" s="154">
        <f t="shared" si="100"/>
        <v>0</v>
      </c>
      <c r="AS164" s="154">
        <f t="shared" si="101"/>
        <v>0</v>
      </c>
      <c r="AT164" s="154">
        <f t="shared" si="102"/>
        <v>0</v>
      </c>
      <c r="AU164" s="154">
        <f t="shared" si="90"/>
        <v>0</v>
      </c>
      <c r="AV164" s="154">
        <f>AH164</f>
        <v>0</v>
      </c>
      <c r="AW164" s="154">
        <f t="shared" si="91"/>
        <v>0</v>
      </c>
      <c r="AX164" s="25"/>
      <c r="AY164" s="26"/>
      <c r="AZ164" s="28">
        <f t="shared" si="81"/>
        <v>0</v>
      </c>
      <c r="BA164" s="28"/>
      <c r="BB164" s="28">
        <f t="shared" si="92"/>
        <v>0</v>
      </c>
      <c r="BC164" s="28">
        <f t="shared" si="93"/>
        <v>0</v>
      </c>
      <c r="BD164" s="28">
        <f t="shared" si="94"/>
        <v>0</v>
      </c>
      <c r="BE164" s="28">
        <f t="shared" si="95"/>
        <v>0</v>
      </c>
      <c r="BF164" s="28">
        <f t="shared" si="103"/>
        <v>0</v>
      </c>
      <c r="BG164" s="29">
        <f t="shared" si="96"/>
        <v>0</v>
      </c>
      <c r="BH164" s="29">
        <f t="shared" si="104"/>
        <v>0</v>
      </c>
      <c r="BI164" s="30"/>
      <c r="BJ164" s="23" t="s">
        <v>346</v>
      </c>
      <c r="BK164" s="31">
        <v>0</v>
      </c>
      <c r="BL164" s="31">
        <v>0</v>
      </c>
      <c r="BO164" s="31">
        <v>0</v>
      </c>
      <c r="BP164" s="31" t="b">
        <f t="shared" si="97"/>
        <v>1</v>
      </c>
    </row>
    <row r="165" spans="1:68" s="31" customFormat="1" x14ac:dyDescent="0.25">
      <c r="B165" s="21" t="s">
        <v>347</v>
      </c>
      <c r="C165" s="22" t="s">
        <v>58</v>
      </c>
      <c r="D165" s="23" t="s">
        <v>348</v>
      </c>
      <c r="E165" s="24">
        <v>7.67</v>
      </c>
      <c r="F165" s="24">
        <v>7.67</v>
      </c>
      <c r="G165" s="22">
        <v>22</v>
      </c>
      <c r="H165" s="22">
        <v>0</v>
      </c>
      <c r="I165" s="22">
        <v>0</v>
      </c>
      <c r="J165" s="22">
        <v>0</v>
      </c>
      <c r="K165" s="22">
        <v>0</v>
      </c>
      <c r="L165" s="22">
        <f t="shared" si="82"/>
        <v>22</v>
      </c>
      <c r="M165" s="22">
        <v>22</v>
      </c>
      <c r="N165" s="22">
        <f t="shared" si="80"/>
        <v>0</v>
      </c>
      <c r="O165" s="153">
        <v>0</v>
      </c>
      <c r="P165" s="153">
        <v>0</v>
      </c>
      <c r="Q165" s="153">
        <v>0</v>
      </c>
      <c r="R165" s="153">
        <v>0</v>
      </c>
      <c r="S165" s="153">
        <f t="shared" si="83"/>
        <v>22</v>
      </c>
      <c r="T165" s="153">
        <v>22</v>
      </c>
      <c r="U165" s="153">
        <f t="shared" si="84"/>
        <v>0</v>
      </c>
      <c r="V165" s="154">
        <v>0</v>
      </c>
      <c r="W165" s="154">
        <v>0</v>
      </c>
      <c r="X165" s="154">
        <v>0</v>
      </c>
      <c r="Y165" s="154">
        <v>0</v>
      </c>
      <c r="Z165" s="154">
        <f t="shared" si="85"/>
        <v>22</v>
      </c>
      <c r="AA165" s="154">
        <v>22</v>
      </c>
      <c r="AB165" s="154">
        <f t="shared" si="86"/>
        <v>0</v>
      </c>
      <c r="AC165" s="154">
        <v>0</v>
      </c>
      <c r="AD165" s="154">
        <v>0</v>
      </c>
      <c r="AE165" s="154">
        <v>0</v>
      </c>
      <c r="AF165" s="154">
        <v>0</v>
      </c>
      <c r="AG165" s="154">
        <f t="shared" si="87"/>
        <v>22</v>
      </c>
      <c r="AH165" s="154">
        <v>22</v>
      </c>
      <c r="AI165" s="154">
        <f t="shared" si="88"/>
        <v>0</v>
      </c>
      <c r="AJ165" s="154">
        <v>0</v>
      </c>
      <c r="AK165" s="154">
        <v>0</v>
      </c>
      <c r="AL165" s="154">
        <v>0</v>
      </c>
      <c r="AM165" s="154">
        <v>0</v>
      </c>
      <c r="AN165" s="154">
        <f t="shared" si="105"/>
        <v>22</v>
      </c>
      <c r="AO165" s="154">
        <v>22</v>
      </c>
      <c r="AP165" s="154">
        <f t="shared" si="106"/>
        <v>0</v>
      </c>
      <c r="AQ165" s="154">
        <f t="shared" si="99"/>
        <v>0</v>
      </c>
      <c r="AR165" s="154">
        <f t="shared" si="100"/>
        <v>0</v>
      </c>
      <c r="AS165" s="154">
        <f t="shared" si="101"/>
        <v>0</v>
      </c>
      <c r="AT165" s="154">
        <f t="shared" si="102"/>
        <v>0</v>
      </c>
      <c r="AU165" s="154">
        <f t="shared" si="90"/>
        <v>22</v>
      </c>
      <c r="AV165" s="154">
        <v>22</v>
      </c>
      <c r="AW165" s="154">
        <f t="shared" si="91"/>
        <v>0</v>
      </c>
      <c r="AX165" s="25"/>
      <c r="AY165" s="26"/>
      <c r="AZ165" s="28">
        <f t="shared" si="81"/>
        <v>168.74</v>
      </c>
      <c r="BA165" s="28"/>
      <c r="BB165" s="28">
        <f t="shared" si="92"/>
        <v>0</v>
      </c>
      <c r="BC165" s="28">
        <f t="shared" si="93"/>
        <v>0</v>
      </c>
      <c r="BD165" s="28">
        <f t="shared" si="94"/>
        <v>0</v>
      </c>
      <c r="BE165" s="28">
        <f t="shared" si="95"/>
        <v>0</v>
      </c>
      <c r="BF165" s="28">
        <f t="shared" si="103"/>
        <v>168.74</v>
      </c>
      <c r="BG165" s="29">
        <f t="shared" si="96"/>
        <v>168.74</v>
      </c>
      <c r="BH165" s="29">
        <f t="shared" si="104"/>
        <v>0</v>
      </c>
      <c r="BI165" s="42"/>
      <c r="BJ165" s="23" t="s">
        <v>348</v>
      </c>
      <c r="BK165" s="4">
        <v>0</v>
      </c>
      <c r="BL165" s="4">
        <v>22</v>
      </c>
      <c r="BM165" s="4"/>
      <c r="BN165" s="4"/>
      <c r="BO165" s="4">
        <v>22</v>
      </c>
      <c r="BP165" s="31" t="b">
        <f t="shared" si="97"/>
        <v>1</v>
      </c>
    </row>
    <row r="166" spans="1:68" s="31" customFormat="1" x14ac:dyDescent="0.25">
      <c r="B166" s="21" t="s">
        <v>349</v>
      </c>
      <c r="C166" s="22" t="s">
        <v>29</v>
      </c>
      <c r="D166" s="23" t="s">
        <v>350</v>
      </c>
      <c r="E166" s="24">
        <v>15.41</v>
      </c>
      <c r="F166" s="24">
        <v>15.41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33">
        <f t="shared" si="82"/>
        <v>0</v>
      </c>
      <c r="M166" s="34">
        <v>0</v>
      </c>
      <c r="N166" s="34">
        <f t="shared" si="80"/>
        <v>0</v>
      </c>
      <c r="O166" s="153">
        <v>0</v>
      </c>
      <c r="P166" s="153">
        <v>0</v>
      </c>
      <c r="Q166" s="153">
        <v>0</v>
      </c>
      <c r="R166" s="153">
        <v>0</v>
      </c>
      <c r="S166" s="153">
        <f t="shared" si="83"/>
        <v>0</v>
      </c>
      <c r="T166" s="153">
        <v>0</v>
      </c>
      <c r="U166" s="153">
        <f t="shared" si="84"/>
        <v>0</v>
      </c>
      <c r="V166" s="153">
        <v>0</v>
      </c>
      <c r="W166" s="153">
        <v>0</v>
      </c>
      <c r="X166" s="153">
        <v>0</v>
      </c>
      <c r="Y166" s="153">
        <v>0</v>
      </c>
      <c r="Z166" s="153">
        <f t="shared" si="85"/>
        <v>0</v>
      </c>
      <c r="AA166" s="153">
        <v>0</v>
      </c>
      <c r="AB166" s="153">
        <f t="shared" si="86"/>
        <v>0</v>
      </c>
      <c r="AC166" s="155">
        <v>0</v>
      </c>
      <c r="AD166" s="154">
        <v>0</v>
      </c>
      <c r="AE166" s="154">
        <v>0</v>
      </c>
      <c r="AF166" s="154">
        <v>0</v>
      </c>
      <c r="AG166" s="154">
        <f t="shared" si="87"/>
        <v>0</v>
      </c>
      <c r="AH166" s="154">
        <v>0</v>
      </c>
      <c r="AI166" s="154">
        <f t="shared" si="88"/>
        <v>0</v>
      </c>
      <c r="AJ166" s="154">
        <v>0</v>
      </c>
      <c r="AK166" s="154">
        <v>0</v>
      </c>
      <c r="AL166" s="154">
        <v>0</v>
      </c>
      <c r="AM166" s="154">
        <v>0</v>
      </c>
      <c r="AN166" s="154">
        <f t="shared" si="105"/>
        <v>0</v>
      </c>
      <c r="AO166" s="154">
        <v>0</v>
      </c>
      <c r="AP166" s="154">
        <f t="shared" si="106"/>
        <v>0</v>
      </c>
      <c r="AQ166" s="154">
        <f t="shared" si="99"/>
        <v>0</v>
      </c>
      <c r="AR166" s="154">
        <f t="shared" si="100"/>
        <v>0</v>
      </c>
      <c r="AS166" s="154">
        <f t="shared" si="101"/>
        <v>0</v>
      </c>
      <c r="AT166" s="154">
        <f t="shared" si="102"/>
        <v>0</v>
      </c>
      <c r="AU166" s="154">
        <f t="shared" si="90"/>
        <v>0</v>
      </c>
      <c r="AV166" s="154">
        <f>AH166</f>
        <v>0</v>
      </c>
      <c r="AW166" s="154">
        <f t="shared" si="91"/>
        <v>0</v>
      </c>
      <c r="AX166" s="37"/>
      <c r="AY166" s="26"/>
      <c r="AZ166" s="28">
        <f t="shared" si="81"/>
        <v>0</v>
      </c>
      <c r="BA166" s="28"/>
      <c r="BB166" s="28">
        <f t="shared" si="92"/>
        <v>0</v>
      </c>
      <c r="BC166" s="28">
        <f t="shared" si="93"/>
        <v>0</v>
      </c>
      <c r="BD166" s="28">
        <f t="shared" si="94"/>
        <v>0</v>
      </c>
      <c r="BE166" s="28">
        <f t="shared" si="95"/>
        <v>0</v>
      </c>
      <c r="BF166" s="28">
        <f t="shared" si="103"/>
        <v>0</v>
      </c>
      <c r="BG166" s="29">
        <f t="shared" si="96"/>
        <v>0</v>
      </c>
      <c r="BH166" s="29">
        <f t="shared" si="104"/>
        <v>0</v>
      </c>
      <c r="BI166" s="4"/>
      <c r="BJ166" s="23" t="s">
        <v>351</v>
      </c>
      <c r="BK166" s="4">
        <v>0</v>
      </c>
      <c r="BL166" s="4">
        <v>0</v>
      </c>
      <c r="BM166" s="4"/>
      <c r="BN166" s="4"/>
      <c r="BO166" s="4">
        <v>0</v>
      </c>
      <c r="BP166" s="31" t="b">
        <f t="shared" si="97"/>
        <v>0</v>
      </c>
    </row>
    <row r="167" spans="1:68" s="31" customFormat="1" x14ac:dyDescent="0.25">
      <c r="B167" s="43" t="s">
        <v>352</v>
      </c>
      <c r="C167" s="44" t="s">
        <v>29</v>
      </c>
      <c r="D167" s="45" t="s">
        <v>353</v>
      </c>
      <c r="E167" s="46">
        <v>15.12</v>
      </c>
      <c r="F167" s="46">
        <v>15.12</v>
      </c>
      <c r="G167" s="44">
        <v>0</v>
      </c>
      <c r="H167" s="44">
        <v>0</v>
      </c>
      <c r="I167" s="44">
        <v>0</v>
      </c>
      <c r="J167" s="44">
        <v>0</v>
      </c>
      <c r="K167" s="44">
        <v>0</v>
      </c>
      <c r="L167" s="22">
        <f t="shared" si="82"/>
        <v>0</v>
      </c>
      <c r="M167" s="22">
        <v>0</v>
      </c>
      <c r="N167" s="22">
        <f t="shared" si="80"/>
        <v>0</v>
      </c>
      <c r="O167" s="153">
        <v>0</v>
      </c>
      <c r="P167" s="153">
        <v>0</v>
      </c>
      <c r="Q167" s="153">
        <v>0</v>
      </c>
      <c r="R167" s="153">
        <v>0</v>
      </c>
      <c r="S167" s="153">
        <f t="shared" si="83"/>
        <v>0</v>
      </c>
      <c r="T167" s="153">
        <v>0</v>
      </c>
      <c r="U167" s="153">
        <f t="shared" si="84"/>
        <v>0</v>
      </c>
      <c r="V167" s="154">
        <v>0</v>
      </c>
      <c r="W167" s="154">
        <v>0</v>
      </c>
      <c r="X167" s="154">
        <v>0</v>
      </c>
      <c r="Y167" s="154">
        <v>0</v>
      </c>
      <c r="Z167" s="154">
        <f t="shared" si="85"/>
        <v>0</v>
      </c>
      <c r="AA167" s="154">
        <v>0</v>
      </c>
      <c r="AB167" s="154">
        <f t="shared" si="86"/>
        <v>0</v>
      </c>
      <c r="AC167" s="154">
        <v>0</v>
      </c>
      <c r="AD167" s="154">
        <v>0</v>
      </c>
      <c r="AE167" s="154">
        <v>0</v>
      </c>
      <c r="AF167" s="154">
        <v>0</v>
      </c>
      <c r="AG167" s="154">
        <f t="shared" si="87"/>
        <v>0</v>
      </c>
      <c r="AH167" s="154">
        <v>0</v>
      </c>
      <c r="AI167" s="154">
        <f t="shared" si="88"/>
        <v>0</v>
      </c>
      <c r="AJ167" s="154">
        <v>0</v>
      </c>
      <c r="AK167" s="154">
        <v>0</v>
      </c>
      <c r="AL167" s="154">
        <v>0</v>
      </c>
      <c r="AM167" s="154">
        <v>0</v>
      </c>
      <c r="AN167" s="154">
        <f t="shared" si="105"/>
        <v>0</v>
      </c>
      <c r="AO167" s="154">
        <v>0</v>
      </c>
      <c r="AP167" s="154">
        <f t="shared" si="106"/>
        <v>0</v>
      </c>
      <c r="AQ167" s="154">
        <f t="shared" si="99"/>
        <v>0</v>
      </c>
      <c r="AR167" s="154">
        <f t="shared" si="100"/>
        <v>0</v>
      </c>
      <c r="AS167" s="154">
        <f t="shared" si="101"/>
        <v>0</v>
      </c>
      <c r="AT167" s="154">
        <f t="shared" si="102"/>
        <v>0</v>
      </c>
      <c r="AU167" s="154">
        <f t="shared" si="90"/>
        <v>0</v>
      </c>
      <c r="AV167" s="154">
        <f>AH167</f>
        <v>0</v>
      </c>
      <c r="AW167" s="154">
        <f t="shared" si="91"/>
        <v>0</v>
      </c>
      <c r="AX167" s="25"/>
      <c r="AY167" s="26"/>
      <c r="AZ167" s="28">
        <f t="shared" si="81"/>
        <v>0</v>
      </c>
      <c r="BA167" s="28"/>
      <c r="BB167" s="28">
        <f t="shared" si="92"/>
        <v>0</v>
      </c>
      <c r="BC167" s="28">
        <f t="shared" si="93"/>
        <v>0</v>
      </c>
      <c r="BD167" s="28">
        <f t="shared" si="94"/>
        <v>0</v>
      </c>
      <c r="BE167" s="28">
        <f t="shared" si="95"/>
        <v>0</v>
      </c>
      <c r="BF167" s="28">
        <f t="shared" si="103"/>
        <v>0</v>
      </c>
      <c r="BG167" s="29">
        <f t="shared" si="96"/>
        <v>0</v>
      </c>
      <c r="BH167" s="29">
        <f t="shared" si="104"/>
        <v>0</v>
      </c>
      <c r="BI167" s="4"/>
      <c r="BJ167" s="23" t="s">
        <v>353</v>
      </c>
      <c r="BK167" s="4">
        <v>0</v>
      </c>
      <c r="BL167" s="4">
        <v>0</v>
      </c>
      <c r="BM167" s="4"/>
      <c r="BN167" s="4"/>
      <c r="BO167" s="4">
        <v>0</v>
      </c>
      <c r="BP167" s="31" t="b">
        <f t="shared" si="97"/>
        <v>1</v>
      </c>
    </row>
    <row r="168" spans="1:68" s="31" customFormat="1" ht="31.5" x14ac:dyDescent="0.25">
      <c r="B168" s="43" t="s">
        <v>354</v>
      </c>
      <c r="C168" s="44" t="s">
        <v>26</v>
      </c>
      <c r="D168" s="45" t="s">
        <v>355</v>
      </c>
      <c r="E168" s="46">
        <v>0.28999999999999998</v>
      </c>
      <c r="F168" s="46">
        <v>0.28999999999999998</v>
      </c>
      <c r="G168" s="44">
        <v>2900</v>
      </c>
      <c r="H168" s="44">
        <v>0</v>
      </c>
      <c r="I168" s="44">
        <v>0</v>
      </c>
      <c r="J168" s="44">
        <v>0</v>
      </c>
      <c r="K168" s="44">
        <v>0</v>
      </c>
      <c r="L168" s="22">
        <f t="shared" si="82"/>
        <v>2900</v>
      </c>
      <c r="M168" s="22">
        <v>2900</v>
      </c>
      <c r="N168" s="22">
        <f t="shared" si="80"/>
        <v>0</v>
      </c>
      <c r="O168" s="153">
        <v>0</v>
      </c>
      <c r="P168" s="153">
        <v>0</v>
      </c>
      <c r="Q168" s="153">
        <v>0</v>
      </c>
      <c r="R168" s="153">
        <v>0</v>
      </c>
      <c r="S168" s="153">
        <f t="shared" si="83"/>
        <v>2900</v>
      </c>
      <c r="T168" s="153">
        <v>2900</v>
      </c>
      <c r="U168" s="153">
        <f t="shared" si="84"/>
        <v>0</v>
      </c>
      <c r="V168" s="154">
        <v>0</v>
      </c>
      <c r="W168" s="154">
        <v>0</v>
      </c>
      <c r="X168" s="154">
        <v>0</v>
      </c>
      <c r="Y168" s="154">
        <v>0</v>
      </c>
      <c r="Z168" s="154">
        <f t="shared" si="85"/>
        <v>2900</v>
      </c>
      <c r="AA168" s="154">
        <v>2900</v>
      </c>
      <c r="AB168" s="154">
        <f t="shared" si="86"/>
        <v>0</v>
      </c>
      <c r="AC168" s="154">
        <v>0</v>
      </c>
      <c r="AD168" s="154">
        <v>0</v>
      </c>
      <c r="AE168" s="154">
        <v>0</v>
      </c>
      <c r="AF168" s="154">
        <v>0</v>
      </c>
      <c r="AG168" s="154">
        <f t="shared" si="87"/>
        <v>2900</v>
      </c>
      <c r="AH168" s="154">
        <v>2900</v>
      </c>
      <c r="AI168" s="154">
        <f t="shared" si="88"/>
        <v>0</v>
      </c>
      <c r="AJ168" s="154">
        <v>0</v>
      </c>
      <c r="AK168" s="154">
        <v>0</v>
      </c>
      <c r="AL168" s="154">
        <v>0</v>
      </c>
      <c r="AM168" s="154">
        <v>0</v>
      </c>
      <c r="AN168" s="154">
        <f t="shared" si="105"/>
        <v>2900</v>
      </c>
      <c r="AO168" s="154">
        <v>2900</v>
      </c>
      <c r="AP168" s="154">
        <f t="shared" si="106"/>
        <v>0</v>
      </c>
      <c r="AQ168" s="154">
        <f t="shared" si="99"/>
        <v>0</v>
      </c>
      <c r="AR168" s="154">
        <f t="shared" si="100"/>
        <v>0</v>
      </c>
      <c r="AS168" s="154">
        <f t="shared" si="101"/>
        <v>0</v>
      </c>
      <c r="AT168" s="154">
        <f t="shared" si="102"/>
        <v>0</v>
      </c>
      <c r="AU168" s="154">
        <f t="shared" ref="AU168:AU170" si="108">G168+AQ168+AR168-AS168-AT168</f>
        <v>2900</v>
      </c>
      <c r="AV168" s="154">
        <v>2900</v>
      </c>
      <c r="AW168" s="154">
        <f t="shared" si="91"/>
        <v>0</v>
      </c>
      <c r="AX168" s="25"/>
      <c r="AY168" s="26"/>
      <c r="AZ168" s="28">
        <f t="shared" si="81"/>
        <v>840.99999999999989</v>
      </c>
      <c r="BA168" s="28"/>
      <c r="BB168" s="28">
        <f t="shared" si="92"/>
        <v>0</v>
      </c>
      <c r="BC168" s="28">
        <f t="shared" si="93"/>
        <v>0</v>
      </c>
      <c r="BD168" s="28">
        <f t="shared" si="94"/>
        <v>0</v>
      </c>
      <c r="BE168" s="28">
        <f t="shared" si="95"/>
        <v>0</v>
      </c>
      <c r="BF168" s="28">
        <f t="shared" si="103"/>
        <v>840.99999999999989</v>
      </c>
      <c r="BG168" s="29">
        <f t="shared" si="96"/>
        <v>840.99999999999989</v>
      </c>
      <c r="BH168" s="29">
        <f t="shared" si="104"/>
        <v>0</v>
      </c>
      <c r="BI168" s="4"/>
      <c r="BJ168" s="23" t="s">
        <v>355</v>
      </c>
      <c r="BK168" s="4">
        <v>0</v>
      </c>
      <c r="BL168" s="4">
        <v>2900</v>
      </c>
      <c r="BM168" s="4"/>
      <c r="BN168" s="4"/>
      <c r="BO168" s="4">
        <v>2900</v>
      </c>
      <c r="BP168" s="31" t="b">
        <f t="shared" si="97"/>
        <v>1</v>
      </c>
    </row>
    <row r="169" spans="1:68" s="31" customFormat="1" x14ac:dyDescent="0.25">
      <c r="B169" s="43" t="s">
        <v>356</v>
      </c>
      <c r="C169" s="44" t="s">
        <v>58</v>
      </c>
      <c r="D169" s="45" t="s">
        <v>357</v>
      </c>
      <c r="E169" s="46">
        <v>9.6</v>
      </c>
      <c r="F169" s="46">
        <v>9.6</v>
      </c>
      <c r="G169" s="44">
        <v>143</v>
      </c>
      <c r="H169" s="44">
        <v>0</v>
      </c>
      <c r="I169" s="44">
        <v>0</v>
      </c>
      <c r="J169" s="44">
        <v>0</v>
      </c>
      <c r="K169" s="44">
        <v>0</v>
      </c>
      <c r="L169" s="22">
        <f t="shared" si="82"/>
        <v>143</v>
      </c>
      <c r="M169" s="22">
        <v>143</v>
      </c>
      <c r="N169" s="22">
        <f t="shared" si="80"/>
        <v>0</v>
      </c>
      <c r="O169" s="156">
        <v>0</v>
      </c>
      <c r="P169" s="156">
        <v>0</v>
      </c>
      <c r="Q169" s="156">
        <v>0</v>
      </c>
      <c r="R169" s="156">
        <v>0</v>
      </c>
      <c r="S169" s="153">
        <f t="shared" si="83"/>
        <v>143</v>
      </c>
      <c r="T169" s="156">
        <v>143</v>
      </c>
      <c r="U169" s="153">
        <f t="shared" si="84"/>
        <v>0</v>
      </c>
      <c r="V169" s="157">
        <v>0</v>
      </c>
      <c r="W169" s="157">
        <v>0</v>
      </c>
      <c r="X169" s="157">
        <v>0</v>
      </c>
      <c r="Y169" s="157">
        <v>0</v>
      </c>
      <c r="Z169" s="154">
        <f t="shared" si="85"/>
        <v>143</v>
      </c>
      <c r="AA169" s="157">
        <v>143</v>
      </c>
      <c r="AB169" s="154">
        <f t="shared" si="86"/>
        <v>0</v>
      </c>
      <c r="AC169" s="154">
        <v>0</v>
      </c>
      <c r="AD169" s="154">
        <v>0</v>
      </c>
      <c r="AE169" s="154">
        <v>0</v>
      </c>
      <c r="AF169" s="154">
        <v>0</v>
      </c>
      <c r="AG169" s="154">
        <f t="shared" si="87"/>
        <v>143</v>
      </c>
      <c r="AH169" s="154">
        <v>143</v>
      </c>
      <c r="AI169" s="154">
        <f t="shared" si="88"/>
        <v>0</v>
      </c>
      <c r="AJ169" s="154">
        <v>0</v>
      </c>
      <c r="AK169" s="154">
        <v>0</v>
      </c>
      <c r="AL169" s="154">
        <v>0</v>
      </c>
      <c r="AM169" s="154">
        <v>0</v>
      </c>
      <c r="AN169" s="154">
        <f t="shared" si="105"/>
        <v>143</v>
      </c>
      <c r="AO169" s="154">
        <v>143</v>
      </c>
      <c r="AP169" s="154">
        <f t="shared" si="106"/>
        <v>0</v>
      </c>
      <c r="AQ169" s="154">
        <f t="shared" si="99"/>
        <v>0</v>
      </c>
      <c r="AR169" s="154">
        <f t="shared" si="100"/>
        <v>0</v>
      </c>
      <c r="AS169" s="154">
        <f t="shared" si="101"/>
        <v>0</v>
      </c>
      <c r="AT169" s="154">
        <f t="shared" si="102"/>
        <v>0</v>
      </c>
      <c r="AU169" s="154">
        <f t="shared" si="108"/>
        <v>143</v>
      </c>
      <c r="AV169" s="154">
        <v>143</v>
      </c>
      <c r="AW169" s="154">
        <f t="shared" si="91"/>
        <v>0</v>
      </c>
      <c r="AX169" s="25"/>
      <c r="AY169" s="26"/>
      <c r="AZ169" s="28"/>
      <c r="BA169" s="28"/>
      <c r="BB169" s="28"/>
      <c r="BC169" s="28"/>
      <c r="BD169" s="28"/>
      <c r="BE169" s="28"/>
      <c r="BF169" s="28"/>
      <c r="BG169" s="29"/>
      <c r="BH169" s="29"/>
      <c r="BI169" s="4"/>
      <c r="BJ169" s="23" t="s">
        <v>357</v>
      </c>
      <c r="BK169" s="4">
        <v>0</v>
      </c>
      <c r="BL169" s="4">
        <v>143</v>
      </c>
      <c r="BM169" s="4"/>
      <c r="BN169" s="4"/>
      <c r="BO169" s="4">
        <v>143</v>
      </c>
      <c r="BP169" s="31" t="b">
        <f t="shared" si="97"/>
        <v>1</v>
      </c>
    </row>
    <row r="170" spans="1:68" ht="16.5" thickBot="1" x14ac:dyDescent="0.3">
      <c r="A170" s="31"/>
      <c r="B170" s="43" t="s">
        <v>358</v>
      </c>
      <c r="C170" s="44" t="s">
        <v>58</v>
      </c>
      <c r="D170" s="45" t="s">
        <v>359</v>
      </c>
      <c r="E170" s="46">
        <v>1.44</v>
      </c>
      <c r="F170" s="46">
        <v>1.44</v>
      </c>
      <c r="G170" s="44">
        <v>0</v>
      </c>
      <c r="H170" s="44">
        <v>0</v>
      </c>
      <c r="I170" s="44">
        <v>0</v>
      </c>
      <c r="J170" s="44">
        <v>0</v>
      </c>
      <c r="K170" s="44">
        <v>0</v>
      </c>
      <c r="L170" s="22">
        <f t="shared" si="82"/>
        <v>0</v>
      </c>
      <c r="M170" s="22">
        <v>0</v>
      </c>
      <c r="N170" s="22">
        <f t="shared" si="80"/>
        <v>0</v>
      </c>
      <c r="O170" s="156">
        <v>0</v>
      </c>
      <c r="P170" s="156">
        <v>0</v>
      </c>
      <c r="Q170" s="156">
        <v>0</v>
      </c>
      <c r="R170" s="156">
        <v>0</v>
      </c>
      <c r="S170" s="153">
        <f t="shared" si="83"/>
        <v>0</v>
      </c>
      <c r="T170" s="156">
        <v>0</v>
      </c>
      <c r="U170" s="156">
        <f t="shared" si="84"/>
        <v>0</v>
      </c>
      <c r="V170" s="157">
        <v>0</v>
      </c>
      <c r="W170" s="157">
        <v>0</v>
      </c>
      <c r="X170" s="157">
        <v>0</v>
      </c>
      <c r="Y170" s="157">
        <v>0</v>
      </c>
      <c r="Z170" s="154">
        <f t="shared" si="85"/>
        <v>0</v>
      </c>
      <c r="AA170" s="157">
        <v>0</v>
      </c>
      <c r="AB170" s="154">
        <f t="shared" si="86"/>
        <v>0</v>
      </c>
      <c r="AC170" s="154">
        <v>0</v>
      </c>
      <c r="AD170" s="154">
        <v>0</v>
      </c>
      <c r="AE170" s="154">
        <v>0</v>
      </c>
      <c r="AF170" s="154">
        <v>0</v>
      </c>
      <c r="AG170" s="154">
        <f t="shared" si="87"/>
        <v>0</v>
      </c>
      <c r="AH170" s="154">
        <v>0</v>
      </c>
      <c r="AI170" s="154">
        <f t="shared" si="88"/>
        <v>0</v>
      </c>
      <c r="AJ170" s="154">
        <v>0</v>
      </c>
      <c r="AK170" s="154">
        <v>0</v>
      </c>
      <c r="AL170" s="154">
        <v>0</v>
      </c>
      <c r="AM170" s="154">
        <v>0</v>
      </c>
      <c r="AN170" s="154">
        <f t="shared" si="105"/>
        <v>0</v>
      </c>
      <c r="AO170" s="154">
        <v>0</v>
      </c>
      <c r="AP170" s="154">
        <f t="shared" si="106"/>
        <v>0</v>
      </c>
      <c r="AQ170" s="154">
        <f t="shared" si="99"/>
        <v>0</v>
      </c>
      <c r="AR170" s="154">
        <f t="shared" si="100"/>
        <v>0</v>
      </c>
      <c r="AS170" s="154">
        <f t="shared" si="101"/>
        <v>0</v>
      </c>
      <c r="AT170" s="154">
        <f t="shared" si="102"/>
        <v>0</v>
      </c>
      <c r="AU170" s="154">
        <f t="shared" si="108"/>
        <v>0</v>
      </c>
      <c r="AV170" s="154">
        <f>AH170</f>
        <v>0</v>
      </c>
      <c r="AW170" s="154">
        <f t="shared" si="91"/>
        <v>0</v>
      </c>
      <c r="AX170" s="25"/>
      <c r="AZ170" s="28">
        <f>E170*G170</f>
        <v>0</v>
      </c>
      <c r="BA170" s="28"/>
      <c r="BB170" s="28">
        <f>F170*H170</f>
        <v>0</v>
      </c>
      <c r="BC170" s="28">
        <f>F170*I170</f>
        <v>0</v>
      </c>
      <c r="BD170" s="28">
        <f>F170*J170</f>
        <v>0</v>
      </c>
      <c r="BE170" s="28">
        <f>F170*K170</f>
        <v>0</v>
      </c>
      <c r="BF170" s="28">
        <f t="shared" si="103"/>
        <v>0</v>
      </c>
      <c r="BG170" s="29">
        <f>F170*L170</f>
        <v>0</v>
      </c>
      <c r="BH170" s="29">
        <f t="shared" si="104"/>
        <v>0</v>
      </c>
      <c r="BJ170" s="23" t="s">
        <v>359</v>
      </c>
      <c r="BK170" s="4">
        <v>0</v>
      </c>
      <c r="BL170" s="4">
        <v>0</v>
      </c>
      <c r="BO170" s="4">
        <v>0</v>
      </c>
      <c r="BP170" s="31" t="b">
        <f t="shared" si="97"/>
        <v>1</v>
      </c>
    </row>
    <row r="171" spans="1:68" ht="17.25" thickTop="1" thickBot="1" x14ac:dyDescent="0.3">
      <c r="B171" s="47"/>
      <c r="C171" s="48" t="s">
        <v>360</v>
      </c>
      <c r="D171" s="49"/>
      <c r="E171" s="50">
        <f t="shared" ref="E171:AW171" si="109">SUM(E8:E170)</f>
        <v>3890.63</v>
      </c>
      <c r="F171" s="50">
        <f t="shared" si="109"/>
        <v>3911.8000000000006</v>
      </c>
      <c r="G171" s="50">
        <v>57212</v>
      </c>
      <c r="H171" s="48">
        <f t="shared" si="109"/>
        <v>0</v>
      </c>
      <c r="I171" s="48">
        <f t="shared" si="109"/>
        <v>0</v>
      </c>
      <c r="J171" s="48">
        <v>318</v>
      </c>
      <c r="K171" s="48">
        <f t="shared" si="109"/>
        <v>0</v>
      </c>
      <c r="L171" s="51">
        <f t="shared" si="109"/>
        <v>56894</v>
      </c>
      <c r="M171" s="52">
        <f t="shared" si="109"/>
        <v>56894</v>
      </c>
      <c r="N171" s="52">
        <f t="shared" si="109"/>
        <v>0</v>
      </c>
      <c r="O171" s="158">
        <f t="shared" si="109"/>
        <v>0</v>
      </c>
      <c r="P171" s="48">
        <f t="shared" si="109"/>
        <v>0</v>
      </c>
      <c r="Q171" s="158">
        <f>SUM(Q8:Q170)</f>
        <v>134</v>
      </c>
      <c r="R171" s="48">
        <f t="shared" si="109"/>
        <v>0</v>
      </c>
      <c r="S171" s="48">
        <f t="shared" si="109"/>
        <v>56760</v>
      </c>
      <c r="T171" s="48">
        <f t="shared" si="109"/>
        <v>56760</v>
      </c>
      <c r="U171" s="48">
        <f t="shared" si="109"/>
        <v>0</v>
      </c>
      <c r="V171" s="48">
        <f t="shared" si="109"/>
        <v>0</v>
      </c>
      <c r="W171" s="48">
        <f t="shared" si="109"/>
        <v>0</v>
      </c>
      <c r="X171" s="158">
        <f>SUM(X8:X170)</f>
        <v>75</v>
      </c>
      <c r="Y171" s="48">
        <f>SUM(Y8:Y170)</f>
        <v>0</v>
      </c>
      <c r="Z171" s="48">
        <f t="shared" si="109"/>
        <v>56685</v>
      </c>
      <c r="AA171" s="48">
        <f t="shared" si="109"/>
        <v>56685</v>
      </c>
      <c r="AB171" s="158">
        <f t="shared" si="109"/>
        <v>0</v>
      </c>
      <c r="AC171" s="158">
        <f t="shared" si="109"/>
        <v>0</v>
      </c>
      <c r="AD171" s="158">
        <f t="shared" si="109"/>
        <v>0</v>
      </c>
      <c r="AE171" s="158">
        <f t="shared" si="109"/>
        <v>205</v>
      </c>
      <c r="AF171" s="158">
        <f t="shared" si="109"/>
        <v>0</v>
      </c>
      <c r="AG171" s="158">
        <f t="shared" si="109"/>
        <v>56480</v>
      </c>
      <c r="AH171" s="158">
        <f t="shared" si="109"/>
        <v>56480</v>
      </c>
      <c r="AI171" s="158">
        <f t="shared" si="109"/>
        <v>0</v>
      </c>
      <c r="AJ171" s="158">
        <f t="shared" ref="AJ171:AP171" si="110">SUM(AJ8:AJ170)</f>
        <v>0</v>
      </c>
      <c r="AK171" s="158">
        <f t="shared" si="110"/>
        <v>0</v>
      </c>
      <c r="AL171" s="158">
        <f t="shared" si="110"/>
        <v>48</v>
      </c>
      <c r="AM171" s="158">
        <f t="shared" si="110"/>
        <v>0</v>
      </c>
      <c r="AN171" s="158">
        <f t="shared" si="110"/>
        <v>56432</v>
      </c>
      <c r="AO171" s="158">
        <f t="shared" si="110"/>
        <v>56432</v>
      </c>
      <c r="AP171" s="158">
        <f t="shared" si="110"/>
        <v>0</v>
      </c>
      <c r="AQ171" s="158">
        <f t="shared" si="109"/>
        <v>0</v>
      </c>
      <c r="AR171" s="158">
        <f t="shared" si="109"/>
        <v>0</v>
      </c>
      <c r="AS171" s="158">
        <f t="shared" si="109"/>
        <v>780</v>
      </c>
      <c r="AT171" s="158">
        <f t="shared" si="109"/>
        <v>0</v>
      </c>
      <c r="AU171" s="158">
        <f t="shared" si="109"/>
        <v>56432</v>
      </c>
      <c r="AV171" s="158">
        <f>SUM(AV8:AV170)</f>
        <v>56432</v>
      </c>
      <c r="AW171" s="158">
        <f t="shared" si="109"/>
        <v>0</v>
      </c>
      <c r="AX171" s="53"/>
      <c r="AZ171" s="3">
        <f>SUM(AZ8:AZ170)</f>
        <v>44317.859999999993</v>
      </c>
      <c r="BA171" s="3">
        <f t="shared" ref="BA171:BH171" si="111">SUM(BA8:BA170)</f>
        <v>25.63</v>
      </c>
      <c r="BB171" s="3">
        <f t="shared" si="111"/>
        <v>0</v>
      </c>
      <c r="BC171" s="3">
        <f t="shared" si="111"/>
        <v>0</v>
      </c>
      <c r="BD171" s="3">
        <f t="shared" si="111"/>
        <v>4450.6500000000005</v>
      </c>
      <c r="BE171" s="3">
        <f t="shared" si="111"/>
        <v>0</v>
      </c>
      <c r="BF171" s="3">
        <f t="shared" si="111"/>
        <v>39892.840000000004</v>
      </c>
      <c r="BG171" s="3">
        <f t="shared" si="111"/>
        <v>40154.230000000003</v>
      </c>
      <c r="BH171" s="3">
        <f t="shared" si="111"/>
        <v>261.38999999999982</v>
      </c>
      <c r="BP171" s="31"/>
    </row>
    <row r="172" spans="1:68" ht="16.5" thickTop="1" x14ac:dyDescent="0.25">
      <c r="B172" s="54"/>
      <c r="C172" s="53"/>
      <c r="D172" s="55"/>
      <c r="E172" s="55"/>
      <c r="F172" s="55"/>
      <c r="G172" s="53"/>
      <c r="H172" s="53"/>
      <c r="I172" s="53"/>
      <c r="J172" s="53"/>
      <c r="K172" s="53"/>
      <c r="L172" s="56"/>
      <c r="M172" s="53"/>
      <c r="N172" s="57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BP172" s="31"/>
    </row>
    <row r="173" spans="1:68" x14ac:dyDescent="0.25">
      <c r="B173" s="54"/>
      <c r="C173" s="53"/>
      <c r="D173" s="55"/>
      <c r="E173" s="55"/>
      <c r="F173" s="55"/>
      <c r="G173" s="53"/>
      <c r="H173" s="53"/>
      <c r="I173" s="53"/>
      <c r="J173" s="53"/>
      <c r="K173" s="53"/>
      <c r="L173" s="56"/>
      <c r="M173" s="53"/>
      <c r="N173" s="57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BP173" s="31"/>
    </row>
    <row r="174" spans="1:68" x14ac:dyDescent="0.25">
      <c r="B174" s="54"/>
      <c r="C174" s="53"/>
      <c r="D174" s="55"/>
      <c r="E174" s="55"/>
      <c r="F174" s="55"/>
      <c r="G174" s="53"/>
      <c r="H174" s="53"/>
      <c r="I174" s="53"/>
      <c r="J174" s="53"/>
      <c r="K174" s="53"/>
      <c r="L174" s="56"/>
      <c r="M174" s="53"/>
      <c r="N174" s="57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BP174" s="31"/>
    </row>
    <row r="175" spans="1:68" x14ac:dyDescent="0.25">
      <c r="B175" s="54"/>
      <c r="C175" s="53"/>
      <c r="D175" s="55"/>
      <c r="E175" s="55"/>
      <c r="F175" s="55"/>
      <c r="G175" s="53"/>
      <c r="H175" s="53"/>
      <c r="I175" s="53"/>
      <c r="J175" s="53"/>
      <c r="K175" s="53"/>
      <c r="L175" s="56"/>
      <c r="M175" s="53"/>
      <c r="N175" s="57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BP175" s="31"/>
    </row>
    <row r="176" spans="1:68" x14ac:dyDescent="0.25">
      <c r="BP176" s="31"/>
    </row>
  </sheetData>
  <autoFilter ref="A7:XAA171" xr:uid="{00000000-0009-0000-0000-000000000000}"/>
  <mergeCells count="9">
    <mergeCell ref="AQ6:AW6"/>
    <mergeCell ref="B1:U1"/>
    <mergeCell ref="B2:U2"/>
    <mergeCell ref="B3:U3"/>
    <mergeCell ref="O6:U6"/>
    <mergeCell ref="V6:AB6"/>
    <mergeCell ref="AJ6:AP6"/>
    <mergeCell ref="H6:N6"/>
    <mergeCell ref="AC6:AI6"/>
  </mergeCells>
  <pageMargins left="0.23622047244094491" right="0.23622047244094491" top="0.74803149606299213" bottom="0.74803149606299213" header="0.31496062992125984" footer="0.31496062992125984"/>
  <pageSetup scale="38" fitToHeight="0" orientation="landscape" r:id="rId1"/>
  <headerFooter>
    <oddFooter>&amp;C&amp;P/&amp;N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T108"/>
  <sheetViews>
    <sheetView workbookViewId="0">
      <selection activeCell="C16" sqref="C16"/>
    </sheetView>
  </sheetViews>
  <sheetFormatPr baseColWidth="10" defaultColWidth="13.140625" defaultRowHeight="15" x14ac:dyDescent="0.25"/>
  <cols>
    <col min="1" max="1" width="3.5703125" customWidth="1"/>
    <col min="2" max="2" width="10.85546875" style="96" customWidth="1"/>
    <col min="3" max="3" width="39.28515625" bestFit="1" customWidth="1"/>
    <col min="4" max="4" width="17.5703125" style="81" bestFit="1" customWidth="1"/>
    <col min="5" max="5" width="36.7109375" bestFit="1" customWidth="1"/>
    <col min="6" max="6" width="33" customWidth="1"/>
    <col min="7" max="7" width="6.85546875" customWidth="1"/>
    <col min="8" max="8" width="11.5703125" customWidth="1"/>
    <col min="9" max="13" width="12" customWidth="1"/>
    <col min="14" max="15" width="11" customWidth="1"/>
    <col min="16" max="16" width="18.7109375" style="126" bestFit="1" customWidth="1"/>
    <col min="17" max="17" width="26.42578125" style="127" bestFit="1" customWidth="1"/>
    <col min="18" max="19" width="3.5703125" style="81" bestFit="1" customWidth="1"/>
    <col min="20" max="20" width="12.7109375" bestFit="1" customWidth="1"/>
    <col min="21" max="21" width="13.140625" bestFit="1" customWidth="1"/>
    <col min="22" max="23" width="11.85546875" customWidth="1"/>
    <col min="24" max="24" width="13.140625" bestFit="1" customWidth="1"/>
    <col min="25" max="25" width="16.7109375" bestFit="1" customWidth="1"/>
    <col min="26" max="26" width="13.7109375" bestFit="1" customWidth="1"/>
    <col min="27" max="27" width="6.7109375" bestFit="1" customWidth="1"/>
    <col min="28" max="28" width="7.85546875" bestFit="1" customWidth="1"/>
    <col min="29" max="29" width="5.5703125" bestFit="1" customWidth="1"/>
    <col min="30" max="30" width="3.28515625" bestFit="1" customWidth="1"/>
    <col min="31" max="31" width="16.7109375" bestFit="1" customWidth="1"/>
    <col min="32" max="32" width="13.7109375" bestFit="1" customWidth="1"/>
    <col min="33" max="33" width="13.5703125" bestFit="1" customWidth="1"/>
    <col min="34" max="34" width="9" bestFit="1" customWidth="1"/>
    <col min="35" max="35" width="3.28515625" bestFit="1" customWidth="1"/>
    <col min="36" max="36" width="16.7109375" bestFit="1" customWidth="1"/>
    <col min="37" max="37" width="13.7109375" bestFit="1" customWidth="1"/>
    <col min="38" max="38" width="16.7109375" bestFit="1" customWidth="1"/>
  </cols>
  <sheetData>
    <row r="1" spans="1:20" x14ac:dyDescent="0.25">
      <c r="A1" s="122" t="s">
        <v>0</v>
      </c>
      <c r="B1" s="123"/>
      <c r="C1" s="124"/>
      <c r="D1" s="124"/>
      <c r="E1" s="124"/>
      <c r="F1" s="125"/>
    </row>
    <row r="2" spans="1:20" x14ac:dyDescent="0.25">
      <c r="A2" s="122" t="s">
        <v>1</v>
      </c>
      <c r="B2" s="123"/>
      <c r="C2" s="124"/>
      <c r="D2" s="124"/>
      <c r="E2" s="124"/>
      <c r="F2" s="125"/>
    </row>
    <row r="3" spans="1:20" x14ac:dyDescent="0.25">
      <c r="A3" s="122" t="s">
        <v>419</v>
      </c>
      <c r="B3" s="123"/>
      <c r="C3" s="124"/>
      <c r="D3" s="124"/>
      <c r="E3" s="124"/>
      <c r="F3" s="125"/>
      <c r="P3" s="128" t="s">
        <v>384</v>
      </c>
      <c r="Q3" s="81" t="s">
        <v>385</v>
      </c>
    </row>
    <row r="4" spans="1:20" ht="15.75" thickBot="1" x14ac:dyDescent="0.3">
      <c r="H4" s="129" t="s">
        <v>404</v>
      </c>
      <c r="I4" s="129"/>
      <c r="J4" s="129"/>
      <c r="K4" s="129"/>
      <c r="L4" s="129"/>
      <c r="M4" s="129"/>
    </row>
    <row r="5" spans="1:20" ht="26.25" thickBot="1" x14ac:dyDescent="0.3">
      <c r="A5" s="130" t="s">
        <v>405</v>
      </c>
      <c r="B5" s="131" t="s">
        <v>384</v>
      </c>
      <c r="C5" s="132" t="s">
        <v>406</v>
      </c>
      <c r="D5" s="133" t="s">
        <v>407</v>
      </c>
      <c r="E5" s="132" t="s">
        <v>408</v>
      </c>
      <c r="F5" s="132" t="s">
        <v>4</v>
      </c>
      <c r="G5" s="134" t="s">
        <v>409</v>
      </c>
      <c r="H5" s="132" t="s">
        <v>382</v>
      </c>
      <c r="I5" s="132" t="s">
        <v>410</v>
      </c>
      <c r="J5" s="132" t="s">
        <v>411</v>
      </c>
      <c r="K5" s="132" t="s">
        <v>412</v>
      </c>
      <c r="L5" s="135" t="s">
        <v>413</v>
      </c>
      <c r="M5" s="132" t="s">
        <v>360</v>
      </c>
      <c r="N5" s="136" t="s">
        <v>414</v>
      </c>
      <c r="P5" s="128" t="s">
        <v>398</v>
      </c>
      <c r="Q5" s="81" t="s">
        <v>415</v>
      </c>
      <c r="T5" s="81"/>
    </row>
    <row r="6" spans="1:20" x14ac:dyDescent="0.25">
      <c r="A6" s="92" t="s">
        <v>416</v>
      </c>
      <c r="B6" s="137"/>
      <c r="C6" s="138"/>
      <c r="D6" s="139"/>
      <c r="E6" s="139"/>
      <c r="F6" s="139"/>
      <c r="G6" s="139"/>
      <c r="H6" s="139"/>
      <c r="I6" s="140"/>
      <c r="J6" s="140">
        <v>0</v>
      </c>
      <c r="K6" s="140">
        <v>0</v>
      </c>
      <c r="L6" s="140">
        <v>0</v>
      </c>
      <c r="M6" s="140">
        <f t="shared" ref="M6:M56" si="0">I6+J6+K6-L6</f>
        <v>0</v>
      </c>
      <c r="N6" s="141" t="e">
        <f t="shared" ref="N6:N56" si="1">(I6+J6)/H6</f>
        <v>#DIV/0!</v>
      </c>
      <c r="P6" s="92" t="s">
        <v>397</v>
      </c>
      <c r="Q6" s="142" t="s">
        <v>416</v>
      </c>
      <c r="R6" s="142" t="s">
        <v>417</v>
      </c>
      <c r="S6" s="142" t="s">
        <v>418</v>
      </c>
      <c r="T6" s="92" t="s">
        <v>400</v>
      </c>
    </row>
    <row r="7" spans="1:20" x14ac:dyDescent="0.25">
      <c r="A7" s="92" t="s">
        <v>416</v>
      </c>
      <c r="B7" s="143"/>
      <c r="C7" s="144"/>
      <c r="D7" s="92"/>
      <c r="E7" s="105"/>
      <c r="F7" s="105"/>
      <c r="G7" s="105"/>
      <c r="H7" s="105"/>
      <c r="I7" s="145"/>
      <c r="J7" s="145">
        <v>0</v>
      </c>
      <c r="K7" s="145">
        <v>0</v>
      </c>
      <c r="L7" s="145">
        <v>0</v>
      </c>
      <c r="M7" s="145">
        <f t="shared" si="0"/>
        <v>0</v>
      </c>
      <c r="N7" s="146" t="e">
        <f t="shared" si="1"/>
        <v>#DIV/0!</v>
      </c>
      <c r="P7" s="147" t="s">
        <v>399</v>
      </c>
      <c r="Q7" s="112"/>
      <c r="R7" s="112"/>
      <c r="S7" s="112"/>
      <c r="T7" s="112"/>
    </row>
    <row r="8" spans="1:20" x14ac:dyDescent="0.25">
      <c r="A8" s="92" t="s">
        <v>416</v>
      </c>
      <c r="B8" s="143"/>
      <c r="C8" s="144"/>
      <c r="D8" s="92"/>
      <c r="E8" s="92"/>
      <c r="F8" s="92"/>
      <c r="G8" s="92"/>
      <c r="H8" s="92"/>
      <c r="I8" s="148"/>
      <c r="J8" s="148">
        <v>0</v>
      </c>
      <c r="K8" s="148">
        <v>0</v>
      </c>
      <c r="L8" s="148">
        <v>0</v>
      </c>
      <c r="M8" s="148">
        <f t="shared" si="0"/>
        <v>0</v>
      </c>
      <c r="N8" s="146" t="e">
        <f t="shared" si="1"/>
        <v>#DIV/0!</v>
      </c>
      <c r="P8" s="144" t="s">
        <v>400</v>
      </c>
      <c r="Q8" s="91"/>
      <c r="R8" s="91"/>
      <c r="S8" s="91"/>
      <c r="T8" s="92"/>
    </row>
    <row r="9" spans="1:20" x14ac:dyDescent="0.25">
      <c r="A9" s="92" t="s">
        <v>416</v>
      </c>
      <c r="B9" s="143"/>
      <c r="C9" s="144"/>
      <c r="D9" s="92"/>
      <c r="E9" s="92"/>
      <c r="F9" s="92"/>
      <c r="G9" s="92"/>
      <c r="H9" s="92"/>
      <c r="I9" s="148"/>
      <c r="J9" s="148">
        <v>0</v>
      </c>
      <c r="K9" s="148">
        <v>0</v>
      </c>
      <c r="L9" s="148">
        <v>0</v>
      </c>
      <c r="M9" s="148">
        <f t="shared" si="0"/>
        <v>0</v>
      </c>
      <c r="N9" s="146" t="e">
        <f t="shared" si="1"/>
        <v>#DIV/0!</v>
      </c>
      <c r="P9"/>
      <c r="Q9"/>
      <c r="R9"/>
      <c r="S9"/>
    </row>
    <row r="10" spans="1:20" x14ac:dyDescent="0.25">
      <c r="A10" s="92" t="s">
        <v>416</v>
      </c>
      <c r="B10" s="143"/>
      <c r="C10" s="144"/>
      <c r="D10" s="92"/>
      <c r="E10" s="92"/>
      <c r="F10" s="92"/>
      <c r="G10" s="92"/>
      <c r="H10" s="92"/>
      <c r="I10" s="148"/>
      <c r="J10" s="148">
        <v>0</v>
      </c>
      <c r="K10" s="148">
        <f>(I10-L10)*0.16</f>
        <v>0</v>
      </c>
      <c r="L10" s="148">
        <v>0</v>
      </c>
      <c r="M10" s="148">
        <f t="shared" si="0"/>
        <v>0</v>
      </c>
      <c r="N10" s="146" t="e">
        <f t="shared" si="1"/>
        <v>#DIV/0!</v>
      </c>
      <c r="P10"/>
      <c r="Q10"/>
      <c r="R10"/>
      <c r="S10"/>
    </row>
    <row r="11" spans="1:20" x14ac:dyDescent="0.25">
      <c r="A11" s="92" t="s">
        <v>416</v>
      </c>
      <c r="B11" s="143"/>
      <c r="C11" s="144"/>
      <c r="D11" s="92"/>
      <c r="E11" s="92"/>
      <c r="F11" s="92"/>
      <c r="G11" s="92"/>
      <c r="H11" s="92"/>
      <c r="I11" s="148"/>
      <c r="J11" s="148">
        <v>0</v>
      </c>
      <c r="K11" s="148">
        <f>(I11-L11)*0.16</f>
        <v>0</v>
      </c>
      <c r="L11" s="148">
        <v>0</v>
      </c>
      <c r="M11" s="148">
        <f t="shared" si="0"/>
        <v>0</v>
      </c>
      <c r="N11" s="146" t="e">
        <f t="shared" si="1"/>
        <v>#DIV/0!</v>
      </c>
      <c r="P11"/>
      <c r="Q11"/>
      <c r="R11"/>
      <c r="S11"/>
    </row>
    <row r="12" spans="1:20" x14ac:dyDescent="0.25">
      <c r="A12" s="92" t="s">
        <v>416</v>
      </c>
      <c r="B12" s="143"/>
      <c r="C12" s="144"/>
      <c r="D12" s="92"/>
      <c r="E12" s="92"/>
      <c r="F12" s="92"/>
      <c r="G12" s="92"/>
      <c r="H12" s="92"/>
      <c r="I12" s="148"/>
      <c r="J12" s="148">
        <v>0</v>
      </c>
      <c r="K12" s="148">
        <v>0</v>
      </c>
      <c r="L12" s="148">
        <v>0</v>
      </c>
      <c r="M12" s="148">
        <f t="shared" si="0"/>
        <v>0</v>
      </c>
      <c r="N12" s="146" t="e">
        <f t="shared" si="1"/>
        <v>#DIV/0!</v>
      </c>
      <c r="P12"/>
      <c r="Q12"/>
      <c r="R12"/>
      <c r="S12"/>
    </row>
    <row r="13" spans="1:20" x14ac:dyDescent="0.25">
      <c r="A13" s="92" t="s">
        <v>416</v>
      </c>
      <c r="B13" s="143"/>
      <c r="C13" s="144"/>
      <c r="D13" s="92"/>
      <c r="E13" s="92"/>
      <c r="F13" s="92"/>
      <c r="G13" s="92"/>
      <c r="H13" s="92"/>
      <c r="I13" s="148"/>
      <c r="J13" s="148">
        <v>0</v>
      </c>
      <c r="K13" s="148">
        <v>0</v>
      </c>
      <c r="L13" s="148">
        <v>0</v>
      </c>
      <c r="M13" s="148">
        <f t="shared" si="0"/>
        <v>0</v>
      </c>
      <c r="N13" s="146" t="e">
        <f t="shared" si="1"/>
        <v>#DIV/0!</v>
      </c>
      <c r="P13"/>
      <c r="Q13"/>
      <c r="R13"/>
      <c r="S13"/>
    </row>
    <row r="14" spans="1:20" x14ac:dyDescent="0.25">
      <c r="A14" s="92" t="s">
        <v>416</v>
      </c>
      <c r="B14" s="143"/>
      <c r="C14" s="144"/>
      <c r="D14" s="92"/>
      <c r="E14" s="92"/>
      <c r="F14" s="92"/>
      <c r="G14" s="92"/>
      <c r="H14" s="92"/>
      <c r="I14" s="148"/>
      <c r="J14" s="148">
        <v>0</v>
      </c>
      <c r="K14" s="148">
        <f>(I14-L14)*0.16</f>
        <v>0</v>
      </c>
      <c r="L14" s="148">
        <v>0</v>
      </c>
      <c r="M14" s="148">
        <f t="shared" si="0"/>
        <v>0</v>
      </c>
      <c r="N14" s="146" t="e">
        <f t="shared" si="1"/>
        <v>#DIV/0!</v>
      </c>
      <c r="P14"/>
      <c r="Q14"/>
      <c r="R14"/>
      <c r="S14"/>
    </row>
    <row r="15" spans="1:20" x14ac:dyDescent="0.25">
      <c r="A15" s="92" t="s">
        <v>416</v>
      </c>
      <c r="B15" s="143"/>
      <c r="C15" s="144"/>
      <c r="D15" s="92"/>
      <c r="E15" s="92"/>
      <c r="F15" s="92"/>
      <c r="G15" s="92"/>
      <c r="H15" s="92"/>
      <c r="I15" s="148"/>
      <c r="J15" s="148">
        <v>0</v>
      </c>
      <c r="K15" s="148">
        <f>(I15-L15)*0.16</f>
        <v>0</v>
      </c>
      <c r="L15" s="148">
        <v>0</v>
      </c>
      <c r="M15" s="148">
        <f t="shared" si="0"/>
        <v>0</v>
      </c>
      <c r="N15" s="146" t="e">
        <f t="shared" si="1"/>
        <v>#DIV/0!</v>
      </c>
      <c r="P15"/>
      <c r="Q15"/>
      <c r="R15"/>
      <c r="S15"/>
    </row>
    <row r="16" spans="1:20" x14ac:dyDescent="0.25">
      <c r="A16" s="92" t="s">
        <v>416</v>
      </c>
      <c r="B16" s="143"/>
      <c r="C16" s="144"/>
      <c r="D16" s="92"/>
      <c r="E16" s="92"/>
      <c r="F16" s="92"/>
      <c r="G16" s="92"/>
      <c r="H16" s="92"/>
      <c r="I16" s="148"/>
      <c r="J16" s="148">
        <f>I16*0.08</f>
        <v>0</v>
      </c>
      <c r="K16" s="148">
        <v>0</v>
      </c>
      <c r="L16" s="148">
        <v>0</v>
      </c>
      <c r="M16" s="148">
        <f t="shared" si="0"/>
        <v>0</v>
      </c>
      <c r="N16" s="146" t="e">
        <f t="shared" si="1"/>
        <v>#DIV/0!</v>
      </c>
      <c r="P16"/>
      <c r="Q16"/>
      <c r="R16"/>
      <c r="S16"/>
    </row>
    <row r="17" spans="1:19" x14ac:dyDescent="0.25">
      <c r="A17" s="92" t="s">
        <v>417</v>
      </c>
      <c r="B17" s="143"/>
      <c r="C17" s="144"/>
      <c r="D17" s="92"/>
      <c r="E17" s="92"/>
      <c r="F17" s="92"/>
      <c r="G17" s="92"/>
      <c r="H17" s="92"/>
      <c r="I17" s="148"/>
      <c r="J17" s="148">
        <v>0</v>
      </c>
      <c r="K17" s="148">
        <f>(I17-L17)*0.16</f>
        <v>0</v>
      </c>
      <c r="L17" s="148">
        <v>0</v>
      </c>
      <c r="M17" s="148">
        <f t="shared" si="0"/>
        <v>0</v>
      </c>
      <c r="N17" s="146" t="e">
        <f t="shared" si="1"/>
        <v>#DIV/0!</v>
      </c>
      <c r="P17"/>
      <c r="Q17"/>
      <c r="R17"/>
      <c r="S17"/>
    </row>
    <row r="18" spans="1:19" x14ac:dyDescent="0.25">
      <c r="A18" s="92" t="s">
        <v>417</v>
      </c>
      <c r="B18" s="143"/>
      <c r="C18" s="144"/>
      <c r="D18" s="92"/>
      <c r="E18" s="92"/>
      <c r="F18" s="92"/>
      <c r="G18" s="92"/>
      <c r="H18" s="92"/>
      <c r="I18" s="148"/>
      <c r="J18" s="148">
        <v>0</v>
      </c>
      <c r="K18" s="148">
        <v>0</v>
      </c>
      <c r="L18" s="148">
        <v>0</v>
      </c>
      <c r="M18" s="148">
        <f t="shared" si="0"/>
        <v>0</v>
      </c>
      <c r="N18" s="146" t="e">
        <f t="shared" si="1"/>
        <v>#DIV/0!</v>
      </c>
      <c r="P18"/>
      <c r="Q18"/>
      <c r="R18"/>
      <c r="S18"/>
    </row>
    <row r="19" spans="1:19" x14ac:dyDescent="0.25">
      <c r="A19" s="92" t="s">
        <v>417</v>
      </c>
      <c r="B19" s="143"/>
      <c r="C19" s="144"/>
      <c r="D19" s="92"/>
      <c r="E19" s="92"/>
      <c r="F19" s="92"/>
      <c r="G19" s="92"/>
      <c r="H19" s="92"/>
      <c r="I19" s="148"/>
      <c r="J19" s="148">
        <v>0</v>
      </c>
      <c r="K19" s="148">
        <v>0</v>
      </c>
      <c r="L19" s="148">
        <v>0</v>
      </c>
      <c r="M19" s="148">
        <f t="shared" si="0"/>
        <v>0</v>
      </c>
      <c r="N19" s="146" t="e">
        <f t="shared" si="1"/>
        <v>#DIV/0!</v>
      </c>
      <c r="P19"/>
      <c r="Q19"/>
      <c r="R19"/>
      <c r="S19"/>
    </row>
    <row r="20" spans="1:19" x14ac:dyDescent="0.25">
      <c r="A20" s="92" t="s">
        <v>417</v>
      </c>
      <c r="B20" s="143"/>
      <c r="C20" s="144"/>
      <c r="D20" s="92"/>
      <c r="E20" s="92"/>
      <c r="F20" s="92"/>
      <c r="G20" s="92"/>
      <c r="H20" s="92"/>
      <c r="I20" s="148"/>
      <c r="J20" s="148">
        <v>0</v>
      </c>
      <c r="K20" s="148">
        <v>0</v>
      </c>
      <c r="L20" s="148">
        <v>0</v>
      </c>
      <c r="M20" s="148">
        <f t="shared" si="0"/>
        <v>0</v>
      </c>
      <c r="N20" s="146" t="e">
        <f t="shared" si="1"/>
        <v>#DIV/0!</v>
      </c>
      <c r="P20"/>
      <c r="Q20"/>
      <c r="R20"/>
      <c r="S20"/>
    </row>
    <row r="21" spans="1:19" x14ac:dyDescent="0.25">
      <c r="A21" s="92" t="s">
        <v>417</v>
      </c>
      <c r="B21" s="143"/>
      <c r="C21" s="144"/>
      <c r="D21" s="92"/>
      <c r="E21" s="92"/>
      <c r="F21" s="92"/>
      <c r="G21" s="92"/>
      <c r="H21" s="92"/>
      <c r="I21" s="148"/>
      <c r="J21" s="148">
        <v>0</v>
      </c>
      <c r="K21" s="148">
        <v>0</v>
      </c>
      <c r="L21" s="148">
        <v>0</v>
      </c>
      <c r="M21" s="148">
        <f t="shared" si="0"/>
        <v>0</v>
      </c>
      <c r="N21" s="146" t="e">
        <f t="shared" si="1"/>
        <v>#DIV/0!</v>
      </c>
      <c r="P21"/>
      <c r="Q21"/>
      <c r="R21"/>
      <c r="S21"/>
    </row>
    <row r="22" spans="1:19" x14ac:dyDescent="0.25">
      <c r="A22" s="92" t="s">
        <v>417</v>
      </c>
      <c r="B22" s="143"/>
      <c r="C22" s="144"/>
      <c r="D22" s="92"/>
      <c r="E22" s="92"/>
      <c r="F22" s="92"/>
      <c r="G22" s="92"/>
      <c r="H22" s="92"/>
      <c r="I22" s="148"/>
      <c r="J22" s="148">
        <v>0</v>
      </c>
      <c r="K22" s="148">
        <f>(I22-L22)*0.16</f>
        <v>0</v>
      </c>
      <c r="L22" s="148">
        <v>0</v>
      </c>
      <c r="M22" s="148">
        <f t="shared" si="0"/>
        <v>0</v>
      </c>
      <c r="N22" s="146" t="e">
        <f t="shared" si="1"/>
        <v>#DIV/0!</v>
      </c>
      <c r="P22"/>
      <c r="Q22"/>
      <c r="R22"/>
      <c r="S22"/>
    </row>
    <row r="23" spans="1:19" x14ac:dyDescent="0.25">
      <c r="A23" s="92" t="s">
        <v>417</v>
      </c>
      <c r="B23" s="143"/>
      <c r="C23" s="144"/>
      <c r="D23" s="92"/>
      <c r="E23" s="92"/>
      <c r="F23" s="92"/>
      <c r="G23" s="92"/>
      <c r="H23" s="92"/>
      <c r="I23" s="148"/>
      <c r="J23" s="148">
        <v>0</v>
      </c>
      <c r="K23" s="148">
        <f>I23*0.16</f>
        <v>0</v>
      </c>
      <c r="L23" s="148">
        <v>0</v>
      </c>
      <c r="M23" s="148">
        <f t="shared" si="0"/>
        <v>0</v>
      </c>
      <c r="N23" s="146" t="e">
        <f t="shared" si="1"/>
        <v>#DIV/0!</v>
      </c>
      <c r="P23"/>
      <c r="Q23"/>
      <c r="R23"/>
      <c r="S23"/>
    </row>
    <row r="24" spans="1:19" x14ac:dyDescent="0.25">
      <c r="A24" s="92" t="s">
        <v>417</v>
      </c>
      <c r="B24" s="143"/>
      <c r="C24" s="144"/>
      <c r="D24" s="92"/>
      <c r="E24" s="92"/>
      <c r="F24" s="92"/>
      <c r="G24" s="92"/>
      <c r="H24" s="92"/>
      <c r="I24" s="148"/>
      <c r="J24" s="148">
        <v>0</v>
      </c>
      <c r="K24" s="148">
        <v>0</v>
      </c>
      <c r="L24" s="148">
        <v>0</v>
      </c>
      <c r="M24" s="148">
        <f t="shared" si="0"/>
        <v>0</v>
      </c>
      <c r="N24" s="146" t="e">
        <f>(I24+J24)/H24</f>
        <v>#DIV/0!</v>
      </c>
      <c r="P24"/>
      <c r="Q24"/>
      <c r="R24"/>
      <c r="S24"/>
    </row>
    <row r="25" spans="1:19" x14ac:dyDescent="0.25">
      <c r="A25" s="92" t="s">
        <v>417</v>
      </c>
      <c r="B25" s="143"/>
      <c r="C25" s="144"/>
      <c r="D25" s="92"/>
      <c r="E25" s="92"/>
      <c r="F25" s="92"/>
      <c r="G25" s="92"/>
      <c r="H25" s="92"/>
      <c r="I25" s="148"/>
      <c r="J25" s="148">
        <v>0</v>
      </c>
      <c r="K25" s="148">
        <v>0</v>
      </c>
      <c r="L25" s="148">
        <v>0</v>
      </c>
      <c r="M25" s="148">
        <f t="shared" si="0"/>
        <v>0</v>
      </c>
      <c r="N25" s="146" t="e">
        <f>(I25+J25)/H25</f>
        <v>#DIV/0!</v>
      </c>
      <c r="P25"/>
      <c r="Q25"/>
      <c r="R25"/>
      <c r="S25"/>
    </row>
    <row r="26" spans="1:19" x14ac:dyDescent="0.25">
      <c r="A26" s="92" t="s">
        <v>417</v>
      </c>
      <c r="B26" s="143"/>
      <c r="C26" s="92"/>
      <c r="D26" s="149"/>
      <c r="E26" s="92"/>
      <c r="F26" s="92"/>
      <c r="G26" s="92"/>
      <c r="H26" s="92"/>
      <c r="I26" s="148"/>
      <c r="J26" s="148">
        <f>I26*0.08</f>
        <v>0</v>
      </c>
      <c r="K26" s="148"/>
      <c r="L26" s="148"/>
      <c r="M26" s="148">
        <f t="shared" si="0"/>
        <v>0</v>
      </c>
      <c r="N26" s="146" t="e">
        <f t="shared" si="1"/>
        <v>#DIV/0!</v>
      </c>
      <c r="P26"/>
      <c r="Q26"/>
      <c r="R26"/>
      <c r="S26"/>
    </row>
    <row r="27" spans="1:19" x14ac:dyDescent="0.25">
      <c r="A27" s="92" t="s">
        <v>417</v>
      </c>
      <c r="B27" s="143"/>
      <c r="C27" s="92"/>
      <c r="D27" s="149"/>
      <c r="E27" s="92"/>
      <c r="F27" s="92"/>
      <c r="G27" s="92"/>
      <c r="H27" s="92"/>
      <c r="I27" s="148"/>
      <c r="J27" s="148">
        <f t="shared" ref="J27:J53" si="2">I27*0.08</f>
        <v>0</v>
      </c>
      <c r="K27" s="148"/>
      <c r="L27" s="148"/>
      <c r="M27" s="148">
        <f t="shared" si="0"/>
        <v>0</v>
      </c>
      <c r="N27" s="146" t="e">
        <f t="shared" si="1"/>
        <v>#DIV/0!</v>
      </c>
      <c r="P27"/>
      <c r="Q27"/>
      <c r="R27"/>
      <c r="S27"/>
    </row>
    <row r="28" spans="1:19" x14ac:dyDescent="0.25">
      <c r="A28" s="92" t="s">
        <v>417</v>
      </c>
      <c r="B28" s="143"/>
      <c r="C28" s="92"/>
      <c r="D28" s="149"/>
      <c r="E28" s="92"/>
      <c r="F28" s="92"/>
      <c r="G28" s="92"/>
      <c r="H28" s="92"/>
      <c r="I28" s="148"/>
      <c r="J28" s="148">
        <f t="shared" si="2"/>
        <v>0</v>
      </c>
      <c r="K28" s="148"/>
      <c r="L28" s="148"/>
      <c r="M28" s="148">
        <f t="shared" si="0"/>
        <v>0</v>
      </c>
      <c r="N28" s="146" t="e">
        <f t="shared" si="1"/>
        <v>#DIV/0!</v>
      </c>
      <c r="P28"/>
      <c r="Q28"/>
      <c r="R28"/>
      <c r="S28"/>
    </row>
    <row r="29" spans="1:19" x14ac:dyDescent="0.25">
      <c r="A29" s="92" t="s">
        <v>417</v>
      </c>
      <c r="B29" s="143"/>
      <c r="C29" s="92"/>
      <c r="D29" s="149"/>
      <c r="E29" s="92"/>
      <c r="F29" s="92"/>
      <c r="G29" s="92"/>
      <c r="H29" s="92"/>
      <c r="I29" s="148"/>
      <c r="J29" s="148">
        <f t="shared" si="2"/>
        <v>0</v>
      </c>
      <c r="K29" s="148">
        <v>0</v>
      </c>
      <c r="L29" s="148">
        <v>0</v>
      </c>
      <c r="M29" s="148">
        <f t="shared" si="0"/>
        <v>0</v>
      </c>
      <c r="N29" s="146" t="e">
        <f t="shared" si="1"/>
        <v>#DIV/0!</v>
      </c>
      <c r="P29"/>
      <c r="Q29"/>
      <c r="R29"/>
      <c r="S29"/>
    </row>
    <row r="30" spans="1:19" x14ac:dyDescent="0.25">
      <c r="A30" s="92" t="s">
        <v>417</v>
      </c>
      <c r="B30" s="143"/>
      <c r="C30" s="92"/>
      <c r="D30" s="149"/>
      <c r="E30" s="92"/>
      <c r="F30" s="92"/>
      <c r="G30" s="92"/>
      <c r="H30" s="92"/>
      <c r="I30" s="148"/>
      <c r="J30" s="148">
        <f t="shared" si="2"/>
        <v>0</v>
      </c>
      <c r="K30" s="148">
        <v>0</v>
      </c>
      <c r="L30" s="148">
        <v>0</v>
      </c>
      <c r="M30" s="148">
        <f t="shared" si="0"/>
        <v>0</v>
      </c>
      <c r="N30" s="146" t="e">
        <f t="shared" si="1"/>
        <v>#DIV/0!</v>
      </c>
      <c r="P30"/>
      <c r="Q30"/>
      <c r="R30"/>
      <c r="S30"/>
    </row>
    <row r="31" spans="1:19" x14ac:dyDescent="0.25">
      <c r="A31" s="92" t="s">
        <v>417</v>
      </c>
      <c r="B31" s="143"/>
      <c r="C31" s="92"/>
      <c r="D31" s="149"/>
      <c r="E31" s="92"/>
      <c r="F31" s="92"/>
      <c r="G31" s="92"/>
      <c r="H31" s="92"/>
      <c r="I31" s="148"/>
      <c r="J31" s="148">
        <f t="shared" si="2"/>
        <v>0</v>
      </c>
      <c r="K31" s="148">
        <v>0</v>
      </c>
      <c r="L31" s="148">
        <v>0</v>
      </c>
      <c r="M31" s="148">
        <f t="shared" si="0"/>
        <v>0</v>
      </c>
      <c r="N31" s="146" t="e">
        <f t="shared" si="1"/>
        <v>#DIV/0!</v>
      </c>
      <c r="P31"/>
      <c r="Q31"/>
      <c r="R31"/>
      <c r="S31"/>
    </row>
    <row r="32" spans="1:19" x14ac:dyDescent="0.25">
      <c r="A32" s="92" t="s">
        <v>417</v>
      </c>
      <c r="B32" s="143"/>
      <c r="C32" s="92"/>
      <c r="D32" s="149"/>
      <c r="E32" s="92"/>
      <c r="F32" s="92"/>
      <c r="G32" s="92"/>
      <c r="H32" s="92"/>
      <c r="I32" s="148"/>
      <c r="J32" s="148">
        <f t="shared" si="2"/>
        <v>0</v>
      </c>
      <c r="K32" s="148">
        <v>0</v>
      </c>
      <c r="L32" s="148">
        <v>0</v>
      </c>
      <c r="M32" s="148">
        <f t="shared" si="0"/>
        <v>0</v>
      </c>
      <c r="N32" s="146" t="e">
        <f t="shared" si="1"/>
        <v>#DIV/0!</v>
      </c>
      <c r="P32"/>
      <c r="Q32"/>
      <c r="R32"/>
      <c r="S32"/>
    </row>
    <row r="33" spans="1:19" x14ac:dyDescent="0.25">
      <c r="A33" s="92" t="s">
        <v>417</v>
      </c>
      <c r="B33" s="143"/>
      <c r="C33" s="92"/>
      <c r="D33" s="149"/>
      <c r="E33" s="92"/>
      <c r="F33" s="92"/>
      <c r="G33" s="92"/>
      <c r="H33" s="92"/>
      <c r="I33" s="148"/>
      <c r="J33" s="148">
        <f t="shared" si="2"/>
        <v>0</v>
      </c>
      <c r="K33" s="148">
        <v>0</v>
      </c>
      <c r="L33" s="148">
        <v>0</v>
      </c>
      <c r="M33" s="148">
        <f t="shared" si="0"/>
        <v>0</v>
      </c>
      <c r="N33" s="146" t="e">
        <f t="shared" si="1"/>
        <v>#DIV/0!</v>
      </c>
      <c r="P33"/>
      <c r="Q33"/>
      <c r="R33"/>
      <c r="S33"/>
    </row>
    <row r="34" spans="1:19" x14ac:dyDescent="0.25">
      <c r="A34" s="92" t="s">
        <v>417</v>
      </c>
      <c r="B34" s="143"/>
      <c r="C34" s="92"/>
      <c r="D34" s="149"/>
      <c r="E34" s="92"/>
      <c r="F34" s="92"/>
      <c r="G34" s="92"/>
      <c r="H34" s="92"/>
      <c r="I34" s="148"/>
      <c r="J34" s="148">
        <f t="shared" si="2"/>
        <v>0</v>
      </c>
      <c r="K34" s="148">
        <v>0</v>
      </c>
      <c r="L34" s="148">
        <v>0</v>
      </c>
      <c r="M34" s="148">
        <f t="shared" si="0"/>
        <v>0</v>
      </c>
      <c r="N34" s="146" t="e">
        <f t="shared" si="1"/>
        <v>#DIV/0!</v>
      </c>
      <c r="P34"/>
      <c r="Q34"/>
      <c r="R34"/>
      <c r="S34"/>
    </row>
    <row r="35" spans="1:19" x14ac:dyDescent="0.25">
      <c r="A35" s="92" t="s">
        <v>417</v>
      </c>
      <c r="B35" s="143"/>
      <c r="C35" s="92"/>
      <c r="D35" s="149"/>
      <c r="E35" s="92"/>
      <c r="F35" s="92"/>
      <c r="G35" s="92"/>
      <c r="H35" s="92"/>
      <c r="I35" s="148"/>
      <c r="J35" s="148">
        <f t="shared" si="2"/>
        <v>0</v>
      </c>
      <c r="K35" s="148">
        <v>0</v>
      </c>
      <c r="L35" s="148">
        <v>0</v>
      </c>
      <c r="M35" s="148">
        <f t="shared" si="0"/>
        <v>0</v>
      </c>
      <c r="N35" s="146" t="e">
        <f t="shared" si="1"/>
        <v>#DIV/0!</v>
      </c>
      <c r="P35"/>
      <c r="Q35"/>
      <c r="R35"/>
      <c r="S35"/>
    </row>
    <row r="36" spans="1:19" x14ac:dyDescent="0.25">
      <c r="A36" s="92" t="s">
        <v>417</v>
      </c>
      <c r="B36" s="143"/>
      <c r="C36" s="92"/>
      <c r="D36" s="149"/>
      <c r="E36" s="92"/>
      <c r="F36" s="92"/>
      <c r="G36" s="92"/>
      <c r="H36" s="92"/>
      <c r="I36" s="148"/>
      <c r="J36" s="148">
        <f t="shared" si="2"/>
        <v>0</v>
      </c>
      <c r="K36" s="148">
        <v>0</v>
      </c>
      <c r="L36" s="148">
        <v>0</v>
      </c>
      <c r="M36" s="148">
        <f t="shared" si="0"/>
        <v>0</v>
      </c>
      <c r="N36" s="146" t="e">
        <f t="shared" si="1"/>
        <v>#DIV/0!</v>
      </c>
      <c r="P36"/>
      <c r="Q36"/>
      <c r="R36"/>
      <c r="S36"/>
    </row>
    <row r="37" spans="1:19" x14ac:dyDescent="0.25">
      <c r="A37" s="92" t="s">
        <v>417</v>
      </c>
      <c r="B37" s="143"/>
      <c r="C37" s="92"/>
      <c r="D37" s="149"/>
      <c r="E37" s="92"/>
      <c r="F37" s="92"/>
      <c r="G37" s="92"/>
      <c r="H37" s="92"/>
      <c r="I37" s="148"/>
      <c r="J37" s="148">
        <f t="shared" si="2"/>
        <v>0</v>
      </c>
      <c r="K37" s="148">
        <v>0</v>
      </c>
      <c r="L37" s="148">
        <v>0</v>
      </c>
      <c r="M37" s="148">
        <f t="shared" si="0"/>
        <v>0</v>
      </c>
      <c r="N37" s="146" t="e">
        <f t="shared" si="1"/>
        <v>#DIV/0!</v>
      </c>
      <c r="P37"/>
      <c r="Q37"/>
      <c r="R37"/>
      <c r="S37"/>
    </row>
    <row r="38" spans="1:19" x14ac:dyDescent="0.25">
      <c r="A38" s="92" t="s">
        <v>417</v>
      </c>
      <c r="B38" s="143"/>
      <c r="C38" s="92"/>
      <c r="D38" s="149"/>
      <c r="E38" s="92"/>
      <c r="F38" s="92"/>
      <c r="G38" s="92"/>
      <c r="H38" s="92"/>
      <c r="I38" s="148"/>
      <c r="J38" s="148">
        <f t="shared" si="2"/>
        <v>0</v>
      </c>
      <c r="K38" s="148">
        <v>0</v>
      </c>
      <c r="L38" s="148">
        <v>0</v>
      </c>
      <c r="M38" s="148">
        <f t="shared" si="0"/>
        <v>0</v>
      </c>
      <c r="N38" s="146" t="e">
        <f t="shared" si="1"/>
        <v>#DIV/0!</v>
      </c>
      <c r="P38"/>
      <c r="Q38"/>
      <c r="R38"/>
      <c r="S38"/>
    </row>
    <row r="39" spans="1:19" x14ac:dyDescent="0.25">
      <c r="A39" s="92" t="s">
        <v>417</v>
      </c>
      <c r="B39" s="143"/>
      <c r="C39" s="92"/>
      <c r="D39" s="149"/>
      <c r="E39" s="92"/>
      <c r="F39" s="92"/>
      <c r="G39" s="92"/>
      <c r="H39" s="92"/>
      <c r="I39" s="148"/>
      <c r="J39" s="148">
        <f t="shared" si="2"/>
        <v>0</v>
      </c>
      <c r="K39" s="148">
        <v>0</v>
      </c>
      <c r="L39" s="148">
        <v>0</v>
      </c>
      <c r="M39" s="148">
        <f t="shared" si="0"/>
        <v>0</v>
      </c>
      <c r="N39" s="146" t="e">
        <f t="shared" si="1"/>
        <v>#DIV/0!</v>
      </c>
      <c r="P39"/>
      <c r="Q39"/>
      <c r="R39"/>
      <c r="S39"/>
    </row>
    <row r="40" spans="1:19" x14ac:dyDescent="0.25">
      <c r="A40" s="92" t="s">
        <v>417</v>
      </c>
      <c r="B40" s="143"/>
      <c r="C40" s="92"/>
      <c r="D40" s="149"/>
      <c r="E40" s="92"/>
      <c r="F40" s="92"/>
      <c r="G40" s="92"/>
      <c r="H40" s="92"/>
      <c r="I40" s="148"/>
      <c r="J40" s="148">
        <f t="shared" si="2"/>
        <v>0</v>
      </c>
      <c r="K40" s="148">
        <v>0</v>
      </c>
      <c r="L40" s="148">
        <v>0</v>
      </c>
      <c r="M40" s="148">
        <f t="shared" si="0"/>
        <v>0</v>
      </c>
      <c r="N40" s="146" t="e">
        <f>(I40+J40)/H40</f>
        <v>#DIV/0!</v>
      </c>
      <c r="P40"/>
      <c r="Q40"/>
      <c r="R40"/>
      <c r="S40"/>
    </row>
    <row r="41" spans="1:19" x14ac:dyDescent="0.25">
      <c r="A41" s="92" t="s">
        <v>418</v>
      </c>
      <c r="B41" s="143"/>
      <c r="C41" s="92"/>
      <c r="D41" s="92"/>
      <c r="E41" s="92"/>
      <c r="F41" s="92"/>
      <c r="G41" s="92"/>
      <c r="H41" s="92"/>
      <c r="I41" s="148"/>
      <c r="J41" s="148">
        <f t="shared" si="2"/>
        <v>0</v>
      </c>
      <c r="K41" s="148">
        <v>0</v>
      </c>
      <c r="L41" s="148">
        <v>0</v>
      </c>
      <c r="M41" s="148">
        <f t="shared" si="0"/>
        <v>0</v>
      </c>
      <c r="N41" s="146" t="e">
        <f>(I41+J41)/H41</f>
        <v>#DIV/0!</v>
      </c>
      <c r="P41"/>
      <c r="Q41"/>
      <c r="R41"/>
      <c r="S41"/>
    </row>
    <row r="42" spans="1:19" x14ac:dyDescent="0.25">
      <c r="A42" s="92" t="s">
        <v>418</v>
      </c>
      <c r="B42" s="143"/>
      <c r="C42" s="92"/>
      <c r="D42" s="92"/>
      <c r="E42" s="92"/>
      <c r="F42" s="92"/>
      <c r="G42" s="92"/>
      <c r="H42" s="92"/>
      <c r="I42" s="148"/>
      <c r="J42" s="148">
        <f t="shared" si="2"/>
        <v>0</v>
      </c>
      <c r="K42" s="148">
        <v>0</v>
      </c>
      <c r="L42" s="148">
        <v>0</v>
      </c>
      <c r="M42" s="148">
        <f t="shared" si="0"/>
        <v>0</v>
      </c>
      <c r="N42" s="146" t="e">
        <f t="shared" ref="N42:N52" si="3">(I42+J42)/H42</f>
        <v>#DIV/0!</v>
      </c>
      <c r="P42"/>
      <c r="Q42"/>
      <c r="R42"/>
      <c r="S42"/>
    </row>
    <row r="43" spans="1:19" x14ac:dyDescent="0.25">
      <c r="A43" s="92" t="s">
        <v>418</v>
      </c>
      <c r="B43" s="143"/>
      <c r="C43" s="92"/>
      <c r="D43" s="92"/>
      <c r="E43" s="92"/>
      <c r="F43" s="92"/>
      <c r="G43" s="92"/>
      <c r="H43" s="92"/>
      <c r="I43" s="148"/>
      <c r="J43" s="148">
        <f t="shared" si="2"/>
        <v>0</v>
      </c>
      <c r="K43" s="148">
        <v>0</v>
      </c>
      <c r="L43" s="148">
        <v>0</v>
      </c>
      <c r="M43" s="148">
        <f t="shared" si="0"/>
        <v>0</v>
      </c>
      <c r="N43" s="146" t="e">
        <f t="shared" si="3"/>
        <v>#DIV/0!</v>
      </c>
      <c r="P43"/>
      <c r="Q43"/>
      <c r="R43"/>
      <c r="S43"/>
    </row>
    <row r="44" spans="1:19" x14ac:dyDescent="0.25">
      <c r="A44" s="92" t="s">
        <v>418</v>
      </c>
      <c r="B44" s="143"/>
      <c r="C44" s="92"/>
      <c r="D44" s="92"/>
      <c r="E44" s="92"/>
      <c r="F44" s="92"/>
      <c r="G44" s="92"/>
      <c r="H44" s="92"/>
      <c r="I44" s="148"/>
      <c r="J44" s="148">
        <f t="shared" si="2"/>
        <v>0</v>
      </c>
      <c r="K44" s="148">
        <v>0</v>
      </c>
      <c r="L44" s="148">
        <v>0</v>
      </c>
      <c r="M44" s="148">
        <f t="shared" si="0"/>
        <v>0</v>
      </c>
      <c r="N44" s="146" t="e">
        <f t="shared" si="3"/>
        <v>#DIV/0!</v>
      </c>
      <c r="P44"/>
      <c r="Q44"/>
      <c r="R44"/>
      <c r="S44"/>
    </row>
    <row r="45" spans="1:19" x14ac:dyDescent="0.25">
      <c r="A45" s="92" t="s">
        <v>418</v>
      </c>
      <c r="B45" s="143"/>
      <c r="C45" s="92"/>
      <c r="D45" s="92"/>
      <c r="E45" s="92"/>
      <c r="F45" s="92"/>
      <c r="G45" s="92"/>
      <c r="H45" s="92"/>
      <c r="I45" s="148"/>
      <c r="J45" s="148">
        <f t="shared" si="2"/>
        <v>0</v>
      </c>
      <c r="K45" s="148">
        <v>0</v>
      </c>
      <c r="L45" s="148">
        <v>0</v>
      </c>
      <c r="M45" s="148">
        <f t="shared" si="0"/>
        <v>0</v>
      </c>
      <c r="N45" s="146" t="e">
        <f t="shared" si="3"/>
        <v>#DIV/0!</v>
      </c>
      <c r="P45"/>
      <c r="Q45"/>
      <c r="R45"/>
      <c r="S45"/>
    </row>
    <row r="46" spans="1:19" x14ac:dyDescent="0.25">
      <c r="A46" s="92" t="s">
        <v>418</v>
      </c>
      <c r="B46" s="143"/>
      <c r="C46" s="92"/>
      <c r="D46" s="92"/>
      <c r="E46" s="92"/>
      <c r="F46" s="92"/>
      <c r="G46" s="92"/>
      <c r="H46" s="92"/>
      <c r="I46" s="148"/>
      <c r="J46" s="148">
        <f t="shared" si="2"/>
        <v>0</v>
      </c>
      <c r="K46" s="148">
        <v>0</v>
      </c>
      <c r="L46" s="148">
        <v>0</v>
      </c>
      <c r="M46" s="148">
        <f t="shared" si="0"/>
        <v>0</v>
      </c>
      <c r="N46" s="146" t="e">
        <f t="shared" si="3"/>
        <v>#DIV/0!</v>
      </c>
      <c r="P46"/>
      <c r="Q46"/>
      <c r="R46"/>
      <c r="S46"/>
    </row>
    <row r="47" spans="1:19" x14ac:dyDescent="0.25">
      <c r="A47" s="92" t="s">
        <v>418</v>
      </c>
      <c r="B47" s="143"/>
      <c r="C47" s="92"/>
      <c r="D47" s="92"/>
      <c r="E47" s="92"/>
      <c r="F47" s="92"/>
      <c r="G47" s="92"/>
      <c r="H47" s="92"/>
      <c r="I47" s="148"/>
      <c r="J47" s="148">
        <f t="shared" si="2"/>
        <v>0</v>
      </c>
      <c r="K47" s="148">
        <v>0</v>
      </c>
      <c r="L47" s="148">
        <v>0</v>
      </c>
      <c r="M47" s="148">
        <f t="shared" si="0"/>
        <v>0</v>
      </c>
      <c r="N47" s="146" t="e">
        <f t="shared" si="3"/>
        <v>#DIV/0!</v>
      </c>
      <c r="P47"/>
      <c r="Q47"/>
      <c r="R47"/>
      <c r="S47"/>
    </row>
    <row r="48" spans="1:19" x14ac:dyDescent="0.25">
      <c r="A48" s="92" t="s">
        <v>418</v>
      </c>
      <c r="B48" s="143"/>
      <c r="C48" s="92"/>
      <c r="D48" s="92"/>
      <c r="E48" s="92"/>
      <c r="F48" s="92"/>
      <c r="G48" s="92"/>
      <c r="H48" s="92"/>
      <c r="I48" s="148"/>
      <c r="J48" s="148">
        <f t="shared" si="2"/>
        <v>0</v>
      </c>
      <c r="K48" s="148">
        <v>0</v>
      </c>
      <c r="L48" s="148">
        <v>0</v>
      </c>
      <c r="M48" s="148">
        <f t="shared" si="0"/>
        <v>0</v>
      </c>
      <c r="N48" s="146" t="e">
        <f t="shared" si="3"/>
        <v>#DIV/0!</v>
      </c>
      <c r="P48"/>
      <c r="Q48" s="81"/>
    </row>
    <row r="49" spans="1:17" x14ac:dyDescent="0.25">
      <c r="A49" s="92" t="s">
        <v>418</v>
      </c>
      <c r="B49" s="143"/>
      <c r="C49" s="92"/>
      <c r="D49" s="92"/>
      <c r="E49" s="92"/>
      <c r="F49" s="92"/>
      <c r="G49" s="92"/>
      <c r="H49" s="92"/>
      <c r="I49" s="148"/>
      <c r="J49" s="148">
        <f t="shared" si="2"/>
        <v>0</v>
      </c>
      <c r="K49" s="148">
        <v>0</v>
      </c>
      <c r="L49" s="148">
        <v>0</v>
      </c>
      <c r="M49" s="148">
        <f t="shared" si="0"/>
        <v>0</v>
      </c>
      <c r="N49" s="146" t="e">
        <f t="shared" si="3"/>
        <v>#DIV/0!</v>
      </c>
      <c r="P49"/>
      <c r="Q49" s="81"/>
    </row>
    <row r="50" spans="1:17" x14ac:dyDescent="0.25">
      <c r="A50" s="92" t="s">
        <v>418</v>
      </c>
      <c r="B50" s="143"/>
      <c r="C50" s="92"/>
      <c r="D50" s="92"/>
      <c r="E50" s="92"/>
      <c r="F50" s="92"/>
      <c r="G50" s="92"/>
      <c r="H50" s="92"/>
      <c r="I50" s="148"/>
      <c r="J50" s="148">
        <f t="shared" si="2"/>
        <v>0</v>
      </c>
      <c r="K50" s="148">
        <v>0</v>
      </c>
      <c r="L50" s="148">
        <v>0</v>
      </c>
      <c r="M50" s="148">
        <f t="shared" si="0"/>
        <v>0</v>
      </c>
      <c r="N50" s="146" t="e">
        <f t="shared" si="3"/>
        <v>#DIV/0!</v>
      </c>
      <c r="P50"/>
      <c r="Q50" s="81"/>
    </row>
    <row r="51" spans="1:17" x14ac:dyDescent="0.25">
      <c r="A51" s="92" t="s">
        <v>418</v>
      </c>
      <c r="B51" s="143"/>
      <c r="C51" s="92"/>
      <c r="D51" s="92"/>
      <c r="E51" s="92"/>
      <c r="F51" s="92"/>
      <c r="G51" s="92"/>
      <c r="H51" s="92"/>
      <c r="I51" s="148"/>
      <c r="J51" s="148">
        <v>0</v>
      </c>
      <c r="K51" s="148">
        <v>0</v>
      </c>
      <c r="L51" s="148">
        <v>0</v>
      </c>
      <c r="M51" s="148">
        <f t="shared" si="0"/>
        <v>0</v>
      </c>
      <c r="N51" s="146" t="e">
        <f t="shared" si="3"/>
        <v>#DIV/0!</v>
      </c>
      <c r="P51"/>
      <c r="Q51" s="81"/>
    </row>
    <row r="52" spans="1:17" x14ac:dyDescent="0.25">
      <c r="A52" s="92" t="s">
        <v>418</v>
      </c>
      <c r="B52" s="143"/>
      <c r="C52" s="92"/>
      <c r="D52" s="92"/>
      <c r="E52" s="92"/>
      <c r="F52" s="92"/>
      <c r="G52" s="92"/>
      <c r="H52" s="92"/>
      <c r="I52" s="148"/>
      <c r="J52" s="148">
        <v>0</v>
      </c>
      <c r="K52" s="148">
        <v>0</v>
      </c>
      <c r="L52" s="148">
        <v>0</v>
      </c>
      <c r="M52" s="148">
        <f t="shared" si="0"/>
        <v>0</v>
      </c>
      <c r="N52" s="146" t="e">
        <f t="shared" si="3"/>
        <v>#DIV/0!</v>
      </c>
      <c r="P52"/>
      <c r="Q52" s="81"/>
    </row>
    <row r="53" spans="1:17" x14ac:dyDescent="0.25">
      <c r="A53" s="92" t="s">
        <v>418</v>
      </c>
      <c r="B53" s="143"/>
      <c r="C53" s="92"/>
      <c r="D53" s="92"/>
      <c r="E53" s="92"/>
      <c r="F53" s="92"/>
      <c r="G53" s="92"/>
      <c r="H53" s="92"/>
      <c r="I53" s="148"/>
      <c r="J53" s="148">
        <f t="shared" si="2"/>
        <v>0</v>
      </c>
      <c r="K53" s="148">
        <v>0</v>
      </c>
      <c r="L53" s="148">
        <v>0</v>
      </c>
      <c r="M53" s="148">
        <f t="shared" si="0"/>
        <v>0</v>
      </c>
      <c r="N53" s="146" t="e">
        <f t="shared" si="1"/>
        <v>#DIV/0!</v>
      </c>
      <c r="P53"/>
      <c r="Q53" s="81"/>
    </row>
    <row r="54" spans="1:17" x14ac:dyDescent="0.25">
      <c r="A54" s="92" t="s">
        <v>418</v>
      </c>
      <c r="B54" s="143"/>
      <c r="C54" s="92"/>
      <c r="D54" s="92"/>
      <c r="E54" s="92"/>
      <c r="F54" s="92"/>
      <c r="G54" s="92"/>
      <c r="H54" s="92"/>
      <c r="I54" s="148"/>
      <c r="J54" s="148">
        <v>0</v>
      </c>
      <c r="K54" s="148">
        <v>0</v>
      </c>
      <c r="L54" s="148">
        <v>0</v>
      </c>
      <c r="M54" s="148">
        <f t="shared" si="0"/>
        <v>0</v>
      </c>
      <c r="N54" s="146" t="e">
        <f t="shared" si="1"/>
        <v>#DIV/0!</v>
      </c>
      <c r="P54"/>
      <c r="Q54" s="81"/>
    </row>
    <row r="55" spans="1:17" x14ac:dyDescent="0.25">
      <c r="A55" s="92" t="s">
        <v>418</v>
      </c>
      <c r="B55" s="143"/>
      <c r="C55" s="92"/>
      <c r="D55" s="92"/>
      <c r="E55" s="92"/>
      <c r="F55" s="92"/>
      <c r="G55" s="92"/>
      <c r="H55" s="92"/>
      <c r="I55" s="148"/>
      <c r="J55" s="148">
        <v>0</v>
      </c>
      <c r="K55" s="148">
        <v>0</v>
      </c>
      <c r="L55" s="148">
        <v>0</v>
      </c>
      <c r="M55" s="148">
        <f t="shared" si="0"/>
        <v>0</v>
      </c>
      <c r="N55" s="146" t="e">
        <f t="shared" si="1"/>
        <v>#DIV/0!</v>
      </c>
      <c r="P55"/>
      <c r="Q55" s="81"/>
    </row>
    <row r="56" spans="1:17" ht="15.75" thickBot="1" x14ac:dyDescent="0.3">
      <c r="A56" s="92" t="s">
        <v>418</v>
      </c>
      <c r="B56" s="143"/>
      <c r="C56" s="92"/>
      <c r="D56" s="92"/>
      <c r="E56" s="92"/>
      <c r="F56" s="92"/>
      <c r="G56" s="92"/>
      <c r="H56" s="92"/>
      <c r="I56" s="148"/>
      <c r="J56" s="148">
        <v>0</v>
      </c>
      <c r="K56" s="148">
        <f>(I56-L56)*0.16</f>
        <v>0</v>
      </c>
      <c r="L56" s="148">
        <v>0</v>
      </c>
      <c r="M56" s="148">
        <f t="shared" si="0"/>
        <v>0</v>
      </c>
      <c r="N56" s="146" t="e">
        <f t="shared" si="1"/>
        <v>#DIV/0!</v>
      </c>
      <c r="P56"/>
      <c r="Q56" s="81"/>
    </row>
    <row r="57" spans="1:17" ht="15.75" thickBot="1" x14ac:dyDescent="0.3">
      <c r="F57" s="150" t="s">
        <v>401</v>
      </c>
      <c r="G57" s="151">
        <f>SUBTOTAL(9,G6:G56)</f>
        <v>0</v>
      </c>
      <c r="H57" s="151">
        <f t="shared" ref="H57:N57" si="4">SUBTOTAL(9,H6:H56)</f>
        <v>0</v>
      </c>
      <c r="I57" s="152">
        <f t="shared" si="4"/>
        <v>0</v>
      </c>
      <c r="J57" s="152">
        <f t="shared" si="4"/>
        <v>0</v>
      </c>
      <c r="K57" s="152">
        <f t="shared" si="4"/>
        <v>0</v>
      </c>
      <c r="L57" s="152">
        <f t="shared" si="4"/>
        <v>0</v>
      </c>
      <c r="M57" s="152">
        <f t="shared" si="4"/>
        <v>0</v>
      </c>
      <c r="N57" s="152" t="e">
        <f t="shared" si="4"/>
        <v>#DIV/0!</v>
      </c>
      <c r="P57"/>
      <c r="Q57" s="81"/>
    </row>
    <row r="58" spans="1:17" ht="15.75" thickTop="1" x14ac:dyDescent="0.25">
      <c r="P58"/>
      <c r="Q58" s="81"/>
    </row>
    <row r="59" spans="1:17" x14ac:dyDescent="0.25">
      <c r="P59"/>
      <c r="Q59" s="81"/>
    </row>
    <row r="60" spans="1:17" x14ac:dyDescent="0.25">
      <c r="P60"/>
      <c r="Q60" s="81"/>
    </row>
    <row r="61" spans="1:17" x14ac:dyDescent="0.25">
      <c r="P61"/>
      <c r="Q61" s="81"/>
    </row>
    <row r="62" spans="1:17" x14ac:dyDescent="0.25">
      <c r="P62"/>
      <c r="Q62" s="81"/>
    </row>
    <row r="63" spans="1:17" x14ac:dyDescent="0.25">
      <c r="P63"/>
      <c r="Q63" s="81"/>
    </row>
    <row r="64" spans="1:17" x14ac:dyDescent="0.25">
      <c r="P64"/>
      <c r="Q64" s="81"/>
    </row>
    <row r="65" spans="16:17" x14ac:dyDescent="0.25">
      <c r="P65"/>
      <c r="Q65" s="81"/>
    </row>
    <row r="66" spans="16:17" x14ac:dyDescent="0.25">
      <c r="P66"/>
      <c r="Q66" s="81"/>
    </row>
    <row r="67" spans="16:17" x14ac:dyDescent="0.25">
      <c r="P67"/>
      <c r="Q67" s="81"/>
    </row>
    <row r="68" spans="16:17" x14ac:dyDescent="0.25">
      <c r="P68"/>
      <c r="Q68" s="81"/>
    </row>
    <row r="69" spans="16:17" x14ac:dyDescent="0.25">
      <c r="P69"/>
      <c r="Q69" s="81"/>
    </row>
    <row r="70" spans="16:17" x14ac:dyDescent="0.25">
      <c r="P70"/>
      <c r="Q70" s="81"/>
    </row>
    <row r="71" spans="16:17" x14ac:dyDescent="0.25">
      <c r="P71"/>
      <c r="Q71" s="81"/>
    </row>
    <row r="72" spans="16:17" x14ac:dyDescent="0.25">
      <c r="P72"/>
      <c r="Q72" s="81"/>
    </row>
    <row r="73" spans="16:17" x14ac:dyDescent="0.25">
      <c r="P73"/>
      <c r="Q73" s="81"/>
    </row>
    <row r="74" spans="16:17" x14ac:dyDescent="0.25">
      <c r="P74"/>
      <c r="Q74" s="81"/>
    </row>
    <row r="75" spans="16:17" x14ac:dyDescent="0.25">
      <c r="P75"/>
      <c r="Q75" s="81"/>
    </row>
    <row r="76" spans="16:17" x14ac:dyDescent="0.25">
      <c r="P76"/>
      <c r="Q76" s="81"/>
    </row>
    <row r="77" spans="16:17" x14ac:dyDescent="0.25">
      <c r="P77"/>
      <c r="Q77" s="81"/>
    </row>
    <row r="78" spans="16:17" x14ac:dyDescent="0.25">
      <c r="P78"/>
      <c r="Q78" s="81"/>
    </row>
    <row r="79" spans="16:17" x14ac:dyDescent="0.25">
      <c r="P79"/>
      <c r="Q79" s="81"/>
    </row>
    <row r="80" spans="16:17" x14ac:dyDescent="0.25">
      <c r="P80"/>
      <c r="Q80" s="81"/>
    </row>
    <row r="81" spans="16:17" x14ac:dyDescent="0.25">
      <c r="P81"/>
      <c r="Q81" s="81"/>
    </row>
    <row r="82" spans="16:17" x14ac:dyDescent="0.25">
      <c r="P82"/>
      <c r="Q82" s="81"/>
    </row>
    <row r="83" spans="16:17" x14ac:dyDescent="0.25">
      <c r="P83"/>
      <c r="Q83" s="81"/>
    </row>
    <row r="84" spans="16:17" x14ac:dyDescent="0.25">
      <c r="P84"/>
      <c r="Q84" s="81"/>
    </row>
    <row r="85" spans="16:17" x14ac:dyDescent="0.25">
      <c r="P85"/>
      <c r="Q85" s="81"/>
    </row>
    <row r="86" spans="16:17" x14ac:dyDescent="0.25">
      <c r="P86"/>
      <c r="Q86" s="81"/>
    </row>
    <row r="87" spans="16:17" x14ac:dyDescent="0.25">
      <c r="P87"/>
      <c r="Q87" s="81"/>
    </row>
    <row r="88" spans="16:17" x14ac:dyDescent="0.25">
      <c r="P88"/>
      <c r="Q88" s="81"/>
    </row>
    <row r="89" spans="16:17" x14ac:dyDescent="0.25">
      <c r="P89"/>
      <c r="Q89" s="81"/>
    </row>
    <row r="90" spans="16:17" x14ac:dyDescent="0.25">
      <c r="P90"/>
      <c r="Q90" s="81"/>
    </row>
    <row r="91" spans="16:17" x14ac:dyDescent="0.25">
      <c r="P91"/>
      <c r="Q91" s="81"/>
    </row>
    <row r="92" spans="16:17" x14ac:dyDescent="0.25">
      <c r="P92"/>
      <c r="Q92" s="81"/>
    </row>
    <row r="93" spans="16:17" x14ac:dyDescent="0.25">
      <c r="P93"/>
      <c r="Q93" s="81"/>
    </row>
    <row r="94" spans="16:17" x14ac:dyDescent="0.25">
      <c r="P94"/>
      <c r="Q94" s="81"/>
    </row>
    <row r="95" spans="16:17" x14ac:dyDescent="0.25">
      <c r="P95"/>
      <c r="Q95" s="81"/>
    </row>
    <row r="96" spans="16:17" x14ac:dyDescent="0.25">
      <c r="P96"/>
      <c r="Q96" s="81"/>
    </row>
    <row r="97" spans="16:17" x14ac:dyDescent="0.25">
      <c r="P97"/>
      <c r="Q97" s="81"/>
    </row>
    <row r="98" spans="16:17" x14ac:dyDescent="0.25">
      <c r="P98"/>
      <c r="Q98" s="81"/>
    </row>
    <row r="99" spans="16:17" x14ac:dyDescent="0.25">
      <c r="P99"/>
      <c r="Q99" s="81"/>
    </row>
    <row r="100" spans="16:17" x14ac:dyDescent="0.25">
      <c r="P100"/>
      <c r="Q100" s="81"/>
    </row>
    <row r="101" spans="16:17" x14ac:dyDescent="0.25">
      <c r="P101"/>
      <c r="Q101" s="81"/>
    </row>
    <row r="102" spans="16:17" x14ac:dyDescent="0.25">
      <c r="P102"/>
      <c r="Q102" s="81"/>
    </row>
    <row r="103" spans="16:17" x14ac:dyDescent="0.25">
      <c r="P103"/>
      <c r="Q103" s="81"/>
    </row>
    <row r="104" spans="16:17" x14ac:dyDescent="0.25">
      <c r="P104"/>
      <c r="Q104" s="81"/>
    </row>
    <row r="105" spans="16:17" x14ac:dyDescent="0.25">
      <c r="P105"/>
      <c r="Q105" s="81"/>
    </row>
    <row r="106" spans="16:17" x14ac:dyDescent="0.25">
      <c r="P106"/>
      <c r="Q106" s="81"/>
    </row>
    <row r="107" spans="16:17" x14ac:dyDescent="0.25">
      <c r="P107"/>
      <c r="Q107" s="81"/>
    </row>
    <row r="108" spans="16:17" x14ac:dyDescent="0.25">
      <c r="P108"/>
      <c r="Q108" s="81"/>
    </row>
  </sheetData>
  <autoFilter ref="A5:N56" xr:uid="{00000000-0009-0000-0000-000001000000}"/>
  <dataValidations count="1">
    <dataValidation type="list" allowBlank="1" showInputMessage="1" showErrorMessage="1" sqref="E42:E56 E6:E40" xr:uid="{00000000-0002-0000-0100-000000000000}"/>
  </dataValidations>
  <pageMargins left="0.25" right="0.25" top="0.75" bottom="0.75" header="0.3" footer="0.3"/>
  <pageSetup scale="65" fitToHeight="0" orientation="landscape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"/>
  <sheetViews>
    <sheetView workbookViewId="0">
      <selection activeCell="E19" sqref="E19"/>
    </sheetView>
  </sheetViews>
  <sheetFormatPr baseColWidth="10" defaultRowHeight="12.75" x14ac:dyDescent="0.2"/>
  <cols>
    <col min="1" max="1" width="38" style="65" customWidth="1"/>
    <col min="2" max="2" width="11" style="65" customWidth="1"/>
    <col min="3" max="8" width="10.5703125" style="65" customWidth="1"/>
    <col min="9" max="9" width="11.85546875" style="65" customWidth="1"/>
    <col min="10" max="256" width="9.140625" style="65" customWidth="1"/>
    <col min="257" max="257" width="38" style="65" customWidth="1"/>
    <col min="258" max="264" width="10.5703125" style="65" customWidth="1"/>
    <col min="265" max="265" width="11.85546875" style="65" customWidth="1"/>
    <col min="266" max="512" width="9.140625" style="65" customWidth="1"/>
    <col min="513" max="513" width="38" style="65" customWidth="1"/>
    <col min="514" max="520" width="10.5703125" style="65" customWidth="1"/>
    <col min="521" max="521" width="11.85546875" style="65" customWidth="1"/>
    <col min="522" max="768" width="9.140625" style="65" customWidth="1"/>
    <col min="769" max="769" width="38" style="65" customWidth="1"/>
    <col min="770" max="776" width="10.5703125" style="65" customWidth="1"/>
    <col min="777" max="777" width="11.85546875" style="65" customWidth="1"/>
    <col min="778" max="1024" width="9.140625" style="65" customWidth="1"/>
    <col min="1025" max="1025" width="38" style="65" customWidth="1"/>
    <col min="1026" max="1032" width="10.5703125" style="65" customWidth="1"/>
    <col min="1033" max="1033" width="11.85546875" style="65" customWidth="1"/>
    <col min="1034" max="1280" width="9.140625" style="65" customWidth="1"/>
    <col min="1281" max="1281" width="38" style="65" customWidth="1"/>
    <col min="1282" max="1288" width="10.5703125" style="65" customWidth="1"/>
    <col min="1289" max="1289" width="11.85546875" style="65" customWidth="1"/>
    <col min="1290" max="1536" width="9.140625" style="65" customWidth="1"/>
    <col min="1537" max="1537" width="38" style="65" customWidth="1"/>
    <col min="1538" max="1544" width="10.5703125" style="65" customWidth="1"/>
    <col min="1545" max="1545" width="11.85546875" style="65" customWidth="1"/>
    <col min="1546" max="1792" width="9.140625" style="65" customWidth="1"/>
    <col min="1793" max="1793" width="38" style="65" customWidth="1"/>
    <col min="1794" max="1800" width="10.5703125" style="65" customWidth="1"/>
    <col min="1801" max="1801" width="11.85546875" style="65" customWidth="1"/>
    <col min="1802" max="2048" width="9.140625" style="65" customWidth="1"/>
    <col min="2049" max="2049" width="38" style="65" customWidth="1"/>
    <col min="2050" max="2056" width="10.5703125" style="65" customWidth="1"/>
    <col min="2057" max="2057" width="11.85546875" style="65" customWidth="1"/>
    <col min="2058" max="2304" width="9.140625" style="65" customWidth="1"/>
    <col min="2305" max="2305" width="38" style="65" customWidth="1"/>
    <col min="2306" max="2312" width="10.5703125" style="65" customWidth="1"/>
    <col min="2313" max="2313" width="11.85546875" style="65" customWidth="1"/>
    <col min="2314" max="2560" width="9.140625" style="65" customWidth="1"/>
    <col min="2561" max="2561" width="38" style="65" customWidth="1"/>
    <col min="2562" max="2568" width="10.5703125" style="65" customWidth="1"/>
    <col min="2569" max="2569" width="11.85546875" style="65" customWidth="1"/>
    <col min="2570" max="2816" width="9.140625" style="65" customWidth="1"/>
    <col min="2817" max="2817" width="38" style="65" customWidth="1"/>
    <col min="2818" max="2824" width="10.5703125" style="65" customWidth="1"/>
    <col min="2825" max="2825" width="11.85546875" style="65" customWidth="1"/>
    <col min="2826" max="3072" width="9.140625" style="65" customWidth="1"/>
    <col min="3073" max="3073" width="38" style="65" customWidth="1"/>
    <col min="3074" max="3080" width="10.5703125" style="65" customWidth="1"/>
    <col min="3081" max="3081" width="11.85546875" style="65" customWidth="1"/>
    <col min="3082" max="3328" width="9.140625" style="65" customWidth="1"/>
    <col min="3329" max="3329" width="38" style="65" customWidth="1"/>
    <col min="3330" max="3336" width="10.5703125" style="65" customWidth="1"/>
    <col min="3337" max="3337" width="11.85546875" style="65" customWidth="1"/>
    <col min="3338" max="3584" width="9.140625" style="65" customWidth="1"/>
    <col min="3585" max="3585" width="38" style="65" customWidth="1"/>
    <col min="3586" max="3592" width="10.5703125" style="65" customWidth="1"/>
    <col min="3593" max="3593" width="11.85546875" style="65" customWidth="1"/>
    <col min="3594" max="3840" width="9.140625" style="65" customWidth="1"/>
    <col min="3841" max="3841" width="38" style="65" customWidth="1"/>
    <col min="3842" max="3848" width="10.5703125" style="65" customWidth="1"/>
    <col min="3849" max="3849" width="11.85546875" style="65" customWidth="1"/>
    <col min="3850" max="4096" width="9.140625" style="65" customWidth="1"/>
    <col min="4097" max="4097" width="38" style="65" customWidth="1"/>
    <col min="4098" max="4104" width="10.5703125" style="65" customWidth="1"/>
    <col min="4105" max="4105" width="11.85546875" style="65" customWidth="1"/>
    <col min="4106" max="4352" width="9.140625" style="65" customWidth="1"/>
    <col min="4353" max="4353" width="38" style="65" customWidth="1"/>
    <col min="4354" max="4360" width="10.5703125" style="65" customWidth="1"/>
    <col min="4361" max="4361" width="11.85546875" style="65" customWidth="1"/>
    <col min="4362" max="4608" width="9.140625" style="65" customWidth="1"/>
    <col min="4609" max="4609" width="38" style="65" customWidth="1"/>
    <col min="4610" max="4616" width="10.5703125" style="65" customWidth="1"/>
    <col min="4617" max="4617" width="11.85546875" style="65" customWidth="1"/>
    <col min="4618" max="4864" width="9.140625" style="65" customWidth="1"/>
    <col min="4865" max="4865" width="38" style="65" customWidth="1"/>
    <col min="4866" max="4872" width="10.5703125" style="65" customWidth="1"/>
    <col min="4873" max="4873" width="11.85546875" style="65" customWidth="1"/>
    <col min="4874" max="5120" width="9.140625" style="65" customWidth="1"/>
    <col min="5121" max="5121" width="38" style="65" customWidth="1"/>
    <col min="5122" max="5128" width="10.5703125" style="65" customWidth="1"/>
    <col min="5129" max="5129" width="11.85546875" style="65" customWidth="1"/>
    <col min="5130" max="5376" width="9.140625" style="65" customWidth="1"/>
    <col min="5377" max="5377" width="38" style="65" customWidth="1"/>
    <col min="5378" max="5384" width="10.5703125" style="65" customWidth="1"/>
    <col min="5385" max="5385" width="11.85546875" style="65" customWidth="1"/>
    <col min="5386" max="5632" width="9.140625" style="65" customWidth="1"/>
    <col min="5633" max="5633" width="38" style="65" customWidth="1"/>
    <col min="5634" max="5640" width="10.5703125" style="65" customWidth="1"/>
    <col min="5641" max="5641" width="11.85546875" style="65" customWidth="1"/>
    <col min="5642" max="5888" width="9.140625" style="65" customWidth="1"/>
    <col min="5889" max="5889" width="38" style="65" customWidth="1"/>
    <col min="5890" max="5896" width="10.5703125" style="65" customWidth="1"/>
    <col min="5897" max="5897" width="11.85546875" style="65" customWidth="1"/>
    <col min="5898" max="6144" width="9.140625" style="65" customWidth="1"/>
    <col min="6145" max="6145" width="38" style="65" customWidth="1"/>
    <col min="6146" max="6152" width="10.5703125" style="65" customWidth="1"/>
    <col min="6153" max="6153" width="11.85546875" style="65" customWidth="1"/>
    <col min="6154" max="6400" width="9.140625" style="65" customWidth="1"/>
    <col min="6401" max="6401" width="38" style="65" customWidth="1"/>
    <col min="6402" max="6408" width="10.5703125" style="65" customWidth="1"/>
    <col min="6409" max="6409" width="11.85546875" style="65" customWidth="1"/>
    <col min="6410" max="6656" width="9.140625" style="65" customWidth="1"/>
    <col min="6657" max="6657" width="38" style="65" customWidth="1"/>
    <col min="6658" max="6664" width="10.5703125" style="65" customWidth="1"/>
    <col min="6665" max="6665" width="11.85546875" style="65" customWidth="1"/>
    <col min="6666" max="6912" width="9.140625" style="65" customWidth="1"/>
    <col min="6913" max="6913" width="38" style="65" customWidth="1"/>
    <col min="6914" max="6920" width="10.5703125" style="65" customWidth="1"/>
    <col min="6921" max="6921" width="11.85546875" style="65" customWidth="1"/>
    <col min="6922" max="7168" width="9.140625" style="65" customWidth="1"/>
    <col min="7169" max="7169" width="38" style="65" customWidth="1"/>
    <col min="7170" max="7176" width="10.5703125" style="65" customWidth="1"/>
    <col min="7177" max="7177" width="11.85546875" style="65" customWidth="1"/>
    <col min="7178" max="7424" width="9.140625" style="65" customWidth="1"/>
    <col min="7425" max="7425" width="38" style="65" customWidth="1"/>
    <col min="7426" max="7432" width="10.5703125" style="65" customWidth="1"/>
    <col min="7433" max="7433" width="11.85546875" style="65" customWidth="1"/>
    <col min="7434" max="7680" width="9.140625" style="65" customWidth="1"/>
    <col min="7681" max="7681" width="38" style="65" customWidth="1"/>
    <col min="7682" max="7688" width="10.5703125" style="65" customWidth="1"/>
    <col min="7689" max="7689" width="11.85546875" style="65" customWidth="1"/>
    <col min="7690" max="7936" width="9.140625" style="65" customWidth="1"/>
    <col min="7937" max="7937" width="38" style="65" customWidth="1"/>
    <col min="7938" max="7944" width="10.5703125" style="65" customWidth="1"/>
    <col min="7945" max="7945" width="11.85546875" style="65" customWidth="1"/>
    <col min="7946" max="8192" width="9.140625" style="65" customWidth="1"/>
    <col min="8193" max="8193" width="38" style="65" customWidth="1"/>
    <col min="8194" max="8200" width="10.5703125" style="65" customWidth="1"/>
    <col min="8201" max="8201" width="11.85546875" style="65" customWidth="1"/>
    <col min="8202" max="8448" width="9.140625" style="65" customWidth="1"/>
    <col min="8449" max="8449" width="38" style="65" customWidth="1"/>
    <col min="8450" max="8456" width="10.5703125" style="65" customWidth="1"/>
    <col min="8457" max="8457" width="11.85546875" style="65" customWidth="1"/>
    <col min="8458" max="8704" width="9.140625" style="65" customWidth="1"/>
    <col min="8705" max="8705" width="38" style="65" customWidth="1"/>
    <col min="8706" max="8712" width="10.5703125" style="65" customWidth="1"/>
    <col min="8713" max="8713" width="11.85546875" style="65" customWidth="1"/>
    <col min="8714" max="8960" width="9.140625" style="65" customWidth="1"/>
    <col min="8961" max="8961" width="38" style="65" customWidth="1"/>
    <col min="8962" max="8968" width="10.5703125" style="65" customWidth="1"/>
    <col min="8969" max="8969" width="11.85546875" style="65" customWidth="1"/>
    <col min="8970" max="9216" width="9.140625" style="65" customWidth="1"/>
    <col min="9217" max="9217" width="38" style="65" customWidth="1"/>
    <col min="9218" max="9224" width="10.5703125" style="65" customWidth="1"/>
    <col min="9225" max="9225" width="11.85546875" style="65" customWidth="1"/>
    <col min="9226" max="9472" width="9.140625" style="65" customWidth="1"/>
    <col min="9473" max="9473" width="38" style="65" customWidth="1"/>
    <col min="9474" max="9480" width="10.5703125" style="65" customWidth="1"/>
    <col min="9481" max="9481" width="11.85546875" style="65" customWidth="1"/>
    <col min="9482" max="9728" width="9.140625" style="65" customWidth="1"/>
    <col min="9729" max="9729" width="38" style="65" customWidth="1"/>
    <col min="9730" max="9736" width="10.5703125" style="65" customWidth="1"/>
    <col min="9737" max="9737" width="11.85546875" style="65" customWidth="1"/>
    <col min="9738" max="9984" width="9.140625" style="65" customWidth="1"/>
    <col min="9985" max="9985" width="38" style="65" customWidth="1"/>
    <col min="9986" max="9992" width="10.5703125" style="65" customWidth="1"/>
    <col min="9993" max="9993" width="11.85546875" style="65" customWidth="1"/>
    <col min="9994" max="10240" width="9.140625" style="65" customWidth="1"/>
    <col min="10241" max="10241" width="38" style="65" customWidth="1"/>
    <col min="10242" max="10248" width="10.5703125" style="65" customWidth="1"/>
    <col min="10249" max="10249" width="11.85546875" style="65" customWidth="1"/>
    <col min="10250" max="10496" width="9.140625" style="65" customWidth="1"/>
    <col min="10497" max="10497" width="38" style="65" customWidth="1"/>
    <col min="10498" max="10504" width="10.5703125" style="65" customWidth="1"/>
    <col min="10505" max="10505" width="11.85546875" style="65" customWidth="1"/>
    <col min="10506" max="10752" width="9.140625" style="65" customWidth="1"/>
    <col min="10753" max="10753" width="38" style="65" customWidth="1"/>
    <col min="10754" max="10760" width="10.5703125" style="65" customWidth="1"/>
    <col min="10761" max="10761" width="11.85546875" style="65" customWidth="1"/>
    <col min="10762" max="11008" width="9.140625" style="65" customWidth="1"/>
    <col min="11009" max="11009" width="38" style="65" customWidth="1"/>
    <col min="11010" max="11016" width="10.5703125" style="65" customWidth="1"/>
    <col min="11017" max="11017" width="11.85546875" style="65" customWidth="1"/>
    <col min="11018" max="11264" width="9.140625" style="65" customWidth="1"/>
    <col min="11265" max="11265" width="38" style="65" customWidth="1"/>
    <col min="11266" max="11272" width="10.5703125" style="65" customWidth="1"/>
    <col min="11273" max="11273" width="11.85546875" style="65" customWidth="1"/>
    <col min="11274" max="11520" width="9.140625" style="65" customWidth="1"/>
    <col min="11521" max="11521" width="38" style="65" customWidth="1"/>
    <col min="11522" max="11528" width="10.5703125" style="65" customWidth="1"/>
    <col min="11529" max="11529" width="11.85546875" style="65" customWidth="1"/>
    <col min="11530" max="11776" width="9.140625" style="65" customWidth="1"/>
    <col min="11777" max="11777" width="38" style="65" customWidth="1"/>
    <col min="11778" max="11784" width="10.5703125" style="65" customWidth="1"/>
    <col min="11785" max="11785" width="11.85546875" style="65" customWidth="1"/>
    <col min="11786" max="12032" width="9.140625" style="65" customWidth="1"/>
    <col min="12033" max="12033" width="38" style="65" customWidth="1"/>
    <col min="12034" max="12040" width="10.5703125" style="65" customWidth="1"/>
    <col min="12041" max="12041" width="11.85546875" style="65" customWidth="1"/>
    <col min="12042" max="12288" width="9.140625" style="65" customWidth="1"/>
    <col min="12289" max="12289" width="38" style="65" customWidth="1"/>
    <col min="12290" max="12296" width="10.5703125" style="65" customWidth="1"/>
    <col min="12297" max="12297" width="11.85546875" style="65" customWidth="1"/>
    <col min="12298" max="12544" width="9.140625" style="65" customWidth="1"/>
    <col min="12545" max="12545" width="38" style="65" customWidth="1"/>
    <col min="12546" max="12552" width="10.5703125" style="65" customWidth="1"/>
    <col min="12553" max="12553" width="11.85546875" style="65" customWidth="1"/>
    <col min="12554" max="12800" width="9.140625" style="65" customWidth="1"/>
    <col min="12801" max="12801" width="38" style="65" customWidth="1"/>
    <col min="12802" max="12808" width="10.5703125" style="65" customWidth="1"/>
    <col min="12809" max="12809" width="11.85546875" style="65" customWidth="1"/>
    <col min="12810" max="13056" width="9.140625" style="65" customWidth="1"/>
    <col min="13057" max="13057" width="38" style="65" customWidth="1"/>
    <col min="13058" max="13064" width="10.5703125" style="65" customWidth="1"/>
    <col min="13065" max="13065" width="11.85546875" style="65" customWidth="1"/>
    <col min="13066" max="13312" width="9.140625" style="65" customWidth="1"/>
    <col min="13313" max="13313" width="38" style="65" customWidth="1"/>
    <col min="13314" max="13320" width="10.5703125" style="65" customWidth="1"/>
    <col min="13321" max="13321" width="11.85546875" style="65" customWidth="1"/>
    <col min="13322" max="13568" width="9.140625" style="65" customWidth="1"/>
    <col min="13569" max="13569" width="38" style="65" customWidth="1"/>
    <col min="13570" max="13576" width="10.5703125" style="65" customWidth="1"/>
    <col min="13577" max="13577" width="11.85546875" style="65" customWidth="1"/>
    <col min="13578" max="13824" width="9.140625" style="65" customWidth="1"/>
    <col min="13825" max="13825" width="38" style="65" customWidth="1"/>
    <col min="13826" max="13832" width="10.5703125" style="65" customWidth="1"/>
    <col min="13833" max="13833" width="11.85546875" style="65" customWidth="1"/>
    <col min="13834" max="14080" width="9.140625" style="65" customWidth="1"/>
    <col min="14081" max="14081" width="38" style="65" customWidth="1"/>
    <col min="14082" max="14088" width="10.5703125" style="65" customWidth="1"/>
    <col min="14089" max="14089" width="11.85546875" style="65" customWidth="1"/>
    <col min="14090" max="14336" width="9.140625" style="65" customWidth="1"/>
    <col min="14337" max="14337" width="38" style="65" customWidth="1"/>
    <col min="14338" max="14344" width="10.5703125" style="65" customWidth="1"/>
    <col min="14345" max="14345" width="11.85546875" style="65" customWidth="1"/>
    <col min="14346" max="14592" width="9.140625" style="65" customWidth="1"/>
    <col min="14593" max="14593" width="38" style="65" customWidth="1"/>
    <col min="14594" max="14600" width="10.5703125" style="65" customWidth="1"/>
    <col min="14601" max="14601" width="11.85546875" style="65" customWidth="1"/>
    <col min="14602" max="14848" width="9.140625" style="65" customWidth="1"/>
    <col min="14849" max="14849" width="38" style="65" customWidth="1"/>
    <col min="14850" max="14856" width="10.5703125" style="65" customWidth="1"/>
    <col min="14857" max="14857" width="11.85546875" style="65" customWidth="1"/>
    <col min="14858" max="15104" width="9.140625" style="65" customWidth="1"/>
    <col min="15105" max="15105" width="38" style="65" customWidth="1"/>
    <col min="15106" max="15112" width="10.5703125" style="65" customWidth="1"/>
    <col min="15113" max="15113" width="11.85546875" style="65" customWidth="1"/>
    <col min="15114" max="15360" width="9.140625" style="65" customWidth="1"/>
    <col min="15361" max="15361" width="38" style="65" customWidth="1"/>
    <col min="15362" max="15368" width="10.5703125" style="65" customWidth="1"/>
    <col min="15369" max="15369" width="11.85546875" style="65" customWidth="1"/>
    <col min="15370" max="15616" width="9.140625" style="65" customWidth="1"/>
    <col min="15617" max="15617" width="38" style="65" customWidth="1"/>
    <col min="15618" max="15624" width="10.5703125" style="65" customWidth="1"/>
    <col min="15625" max="15625" width="11.85546875" style="65" customWidth="1"/>
    <col min="15626" max="15872" width="9.140625" style="65" customWidth="1"/>
    <col min="15873" max="15873" width="38" style="65" customWidth="1"/>
    <col min="15874" max="15880" width="10.5703125" style="65" customWidth="1"/>
    <col min="15881" max="15881" width="11.85546875" style="65" customWidth="1"/>
    <col min="15882" max="16128" width="9.140625" style="65" customWidth="1"/>
    <col min="16129" max="16129" width="38" style="65" customWidth="1"/>
    <col min="16130" max="16136" width="10.5703125" style="65" customWidth="1"/>
    <col min="16137" max="16137" width="11.85546875" style="65" customWidth="1"/>
    <col min="16138" max="16384" width="9.140625" style="65" customWidth="1"/>
  </cols>
  <sheetData>
    <row r="1" spans="1:11" ht="12.6" customHeight="1" x14ac:dyDescent="0.2">
      <c r="A1" s="69" t="s">
        <v>361</v>
      </c>
      <c r="B1" s="73" t="s">
        <v>381</v>
      </c>
      <c r="C1" s="69" t="s">
        <v>362</v>
      </c>
      <c r="D1" s="69" t="s">
        <v>363</v>
      </c>
      <c r="E1" s="69" t="s">
        <v>364</v>
      </c>
      <c r="F1" s="69" t="s">
        <v>365</v>
      </c>
      <c r="G1" s="69" t="s">
        <v>366</v>
      </c>
      <c r="H1" s="69" t="s">
        <v>367</v>
      </c>
      <c r="I1" s="70" t="s">
        <v>368</v>
      </c>
      <c r="J1" s="65" t="s">
        <v>382</v>
      </c>
    </row>
    <row r="2" spans="1:11" ht="15" customHeight="1" x14ac:dyDescent="0.2">
      <c r="A2" s="66" t="s">
        <v>369</v>
      </c>
      <c r="B2" s="72">
        <v>15</v>
      </c>
      <c r="C2" s="67">
        <v>135</v>
      </c>
      <c r="D2" s="67">
        <v>270</v>
      </c>
      <c r="E2" s="67">
        <v>75</v>
      </c>
      <c r="F2" s="67">
        <v>165</v>
      </c>
      <c r="G2" s="67">
        <v>60</v>
      </c>
      <c r="H2" s="67">
        <v>30</v>
      </c>
      <c r="I2" s="68">
        <f>C2+D2+E2+F2+G2+H2</f>
        <v>735</v>
      </c>
      <c r="J2" s="65">
        <f>I2/B2</f>
        <v>49</v>
      </c>
    </row>
    <row r="3" spans="1:11" ht="15" customHeight="1" x14ac:dyDescent="0.2">
      <c r="A3" s="66" t="s">
        <v>31</v>
      </c>
      <c r="B3" s="72">
        <v>20</v>
      </c>
      <c r="C3" s="67">
        <v>140</v>
      </c>
      <c r="D3" s="67">
        <v>420</v>
      </c>
      <c r="E3" s="67">
        <v>380</v>
      </c>
      <c r="F3" s="67">
        <v>400</v>
      </c>
      <c r="G3" s="67"/>
      <c r="H3" s="67">
        <v>40</v>
      </c>
      <c r="I3" s="68">
        <f t="shared" ref="I3:I15" si="0">C3+D3+E3+F3+G3+H3</f>
        <v>1380</v>
      </c>
      <c r="J3" s="65">
        <f t="shared" ref="J3:J14" si="1">I3/B3</f>
        <v>69</v>
      </c>
    </row>
    <row r="4" spans="1:11" ht="15" customHeight="1" x14ac:dyDescent="0.2">
      <c r="A4" s="66" t="s">
        <v>370</v>
      </c>
      <c r="B4" s="72">
        <v>25</v>
      </c>
      <c r="C4" s="67">
        <v>175</v>
      </c>
      <c r="D4" s="67">
        <v>500</v>
      </c>
      <c r="E4" s="67">
        <v>225</v>
      </c>
      <c r="F4" s="67">
        <v>375</v>
      </c>
      <c r="G4" s="67">
        <v>50</v>
      </c>
      <c r="H4" s="67"/>
      <c r="I4" s="68">
        <f t="shared" si="0"/>
        <v>1325</v>
      </c>
      <c r="J4" s="65">
        <f t="shared" si="1"/>
        <v>53</v>
      </c>
    </row>
    <row r="5" spans="1:11" ht="15" customHeight="1" x14ac:dyDescent="0.2">
      <c r="A5" s="165" t="s">
        <v>371</v>
      </c>
      <c r="B5" s="166">
        <v>22</v>
      </c>
      <c r="C5" s="164">
        <v>66</v>
      </c>
      <c r="D5" s="164">
        <v>44</v>
      </c>
      <c r="E5" s="164">
        <v>88</v>
      </c>
      <c r="F5" s="164">
        <v>110</v>
      </c>
      <c r="G5" s="164">
        <v>44</v>
      </c>
      <c r="H5" s="164">
        <v>66</v>
      </c>
      <c r="I5" s="167">
        <f>C5+D5+E5+F5+G5+H5</f>
        <v>418</v>
      </c>
      <c r="J5" s="168">
        <f t="shared" si="1"/>
        <v>19</v>
      </c>
      <c r="K5" s="350">
        <f>J5+J6</f>
        <v>47</v>
      </c>
    </row>
    <row r="6" spans="1:11" ht="15" customHeight="1" x14ac:dyDescent="0.2">
      <c r="A6" s="165" t="s">
        <v>373</v>
      </c>
      <c r="B6" s="166">
        <v>22</v>
      </c>
      <c r="C6" s="164">
        <v>88</v>
      </c>
      <c r="D6" s="164">
        <v>220</v>
      </c>
      <c r="E6" s="164">
        <v>44</v>
      </c>
      <c r="F6" s="164">
        <v>154</v>
      </c>
      <c r="G6" s="164">
        <v>88</v>
      </c>
      <c r="H6" s="164">
        <v>22</v>
      </c>
      <c r="I6" s="167">
        <f>C6+D6+E6+F6+G6+H6</f>
        <v>616</v>
      </c>
      <c r="J6" s="168">
        <f>I6/B6</f>
        <v>28</v>
      </c>
      <c r="K6" s="350"/>
    </row>
    <row r="7" spans="1:11" ht="15" customHeight="1" x14ac:dyDescent="0.2">
      <c r="A7" s="169" t="s">
        <v>372</v>
      </c>
      <c r="B7" s="170">
        <v>22</v>
      </c>
      <c r="C7" s="171"/>
      <c r="D7" s="171">
        <v>44</v>
      </c>
      <c r="E7" s="171">
        <v>22</v>
      </c>
      <c r="F7" s="171">
        <v>44</v>
      </c>
      <c r="G7" s="171">
        <v>44</v>
      </c>
      <c r="H7" s="171">
        <v>22</v>
      </c>
      <c r="I7" s="172">
        <f>C7+D7+E7+F7+G7+H7</f>
        <v>176</v>
      </c>
      <c r="J7" s="173">
        <f>I7/B7</f>
        <v>8</v>
      </c>
      <c r="K7" s="174">
        <v>8</v>
      </c>
    </row>
    <row r="9" spans="1:11" ht="15" customHeight="1" x14ac:dyDescent="0.2">
      <c r="A9" s="66" t="s">
        <v>374</v>
      </c>
      <c r="B9" s="72">
        <v>22</v>
      </c>
      <c r="C9" s="67">
        <v>44</v>
      </c>
      <c r="D9" s="67">
        <v>88</v>
      </c>
      <c r="E9" s="67">
        <v>44</v>
      </c>
      <c r="F9" s="67">
        <v>176</v>
      </c>
      <c r="G9" s="67">
        <v>22</v>
      </c>
      <c r="H9" s="67"/>
      <c r="I9" s="68">
        <f t="shared" si="0"/>
        <v>374</v>
      </c>
      <c r="J9" s="65">
        <f t="shared" si="1"/>
        <v>17</v>
      </c>
    </row>
    <row r="10" spans="1:11" ht="15" customHeight="1" x14ac:dyDescent="0.2">
      <c r="A10" s="66" t="s">
        <v>375</v>
      </c>
      <c r="B10" s="72">
        <v>15</v>
      </c>
      <c r="C10" s="67"/>
      <c r="D10" s="67">
        <v>180</v>
      </c>
      <c r="E10" s="67">
        <v>75</v>
      </c>
      <c r="F10" s="67">
        <v>120</v>
      </c>
      <c r="G10" s="67">
        <v>30</v>
      </c>
      <c r="H10" s="67"/>
      <c r="I10" s="68">
        <f t="shared" si="0"/>
        <v>405</v>
      </c>
      <c r="J10" s="65">
        <f t="shared" si="1"/>
        <v>27</v>
      </c>
    </row>
    <row r="11" spans="1:11" ht="15" customHeight="1" x14ac:dyDescent="0.2">
      <c r="A11" s="66" t="s">
        <v>376</v>
      </c>
      <c r="B11" s="72">
        <v>15</v>
      </c>
      <c r="C11" s="67"/>
      <c r="D11" s="67">
        <v>30</v>
      </c>
      <c r="E11" s="67">
        <v>30</v>
      </c>
      <c r="F11" s="67">
        <v>15</v>
      </c>
      <c r="G11" s="67"/>
      <c r="H11" s="67">
        <v>15</v>
      </c>
      <c r="I11" s="68">
        <f t="shared" si="0"/>
        <v>90</v>
      </c>
      <c r="J11" s="65">
        <f t="shared" si="1"/>
        <v>6</v>
      </c>
    </row>
    <row r="12" spans="1:11" ht="15" customHeight="1" x14ac:dyDescent="0.2">
      <c r="A12" s="66" t="s">
        <v>377</v>
      </c>
      <c r="B12" s="72">
        <v>25</v>
      </c>
      <c r="C12" s="67">
        <v>100</v>
      </c>
      <c r="D12" s="67">
        <v>125</v>
      </c>
      <c r="E12" s="67">
        <v>100</v>
      </c>
      <c r="F12" s="67">
        <v>225</v>
      </c>
      <c r="G12" s="67">
        <v>25</v>
      </c>
      <c r="H12" s="67"/>
      <c r="I12" s="68">
        <f t="shared" si="0"/>
        <v>575</v>
      </c>
      <c r="J12" s="65">
        <f t="shared" si="1"/>
        <v>23</v>
      </c>
    </row>
    <row r="13" spans="1:11" ht="15" customHeight="1" x14ac:dyDescent="0.2">
      <c r="A13" s="66" t="s">
        <v>378</v>
      </c>
      <c r="B13" s="72">
        <v>25</v>
      </c>
      <c r="C13" s="67">
        <v>50</v>
      </c>
      <c r="D13" s="67">
        <v>150</v>
      </c>
      <c r="E13" s="67">
        <v>100</v>
      </c>
      <c r="F13" s="67">
        <v>25</v>
      </c>
      <c r="G13" s="67">
        <v>50</v>
      </c>
      <c r="H13" s="67">
        <v>50</v>
      </c>
      <c r="I13" s="68">
        <f t="shared" si="0"/>
        <v>425</v>
      </c>
      <c r="J13" s="65">
        <f t="shared" si="1"/>
        <v>17</v>
      </c>
    </row>
    <row r="14" spans="1:11" ht="15" customHeight="1" x14ac:dyDescent="0.2">
      <c r="A14" s="66" t="s">
        <v>379</v>
      </c>
      <c r="B14" s="72">
        <v>1</v>
      </c>
      <c r="C14" s="67">
        <v>1</v>
      </c>
      <c r="D14" s="67"/>
      <c r="E14" s="67"/>
      <c r="F14" s="67"/>
      <c r="G14" s="67"/>
      <c r="H14" s="67"/>
      <c r="I14" s="68">
        <f t="shared" si="0"/>
        <v>1</v>
      </c>
      <c r="J14" s="65">
        <f t="shared" si="1"/>
        <v>1</v>
      </c>
    </row>
    <row r="15" spans="1:11" ht="15" customHeight="1" x14ac:dyDescent="0.2">
      <c r="A15" s="71" t="s">
        <v>380</v>
      </c>
      <c r="B15" s="71"/>
      <c r="C15" s="68">
        <v>799</v>
      </c>
      <c r="D15" s="68">
        <v>2071</v>
      </c>
      <c r="E15" s="68">
        <v>1183</v>
      </c>
      <c r="F15" s="68">
        <v>1809</v>
      </c>
      <c r="G15" s="68">
        <v>413</v>
      </c>
      <c r="H15" s="68">
        <v>245</v>
      </c>
      <c r="I15" s="68">
        <f t="shared" si="0"/>
        <v>6520</v>
      </c>
      <c r="J15" s="65">
        <f>SUM(J2:J14)</f>
        <v>317</v>
      </c>
    </row>
  </sheetData>
  <mergeCells count="1">
    <mergeCell ref="K5:K6"/>
  </mergeCells>
  <printOptions gridLines="1" gridLinesSet="0"/>
  <pageMargins left="0.75" right="0.75" top="1" bottom="1" header="0.5" footer="0.5"/>
  <pageSetup fitToWidth="0" fitToHeight="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J14"/>
  <sheetViews>
    <sheetView workbookViewId="0">
      <selection activeCell="H7" sqref="H7"/>
    </sheetView>
  </sheetViews>
  <sheetFormatPr baseColWidth="10" defaultRowHeight="12.75" x14ac:dyDescent="0.2"/>
  <cols>
    <col min="1" max="1" width="38" style="65" customWidth="1"/>
    <col min="2" max="2" width="14.7109375" style="160" customWidth="1"/>
    <col min="3" max="8" width="10.5703125" style="65" customWidth="1"/>
    <col min="9" max="9" width="11.85546875" style="65" customWidth="1"/>
    <col min="10" max="251" width="9.140625" style="65" customWidth="1"/>
    <col min="252" max="252" width="38" style="65" customWidth="1"/>
    <col min="253" max="264" width="10.5703125" style="65" customWidth="1"/>
    <col min="265" max="265" width="11.85546875" style="65" customWidth="1"/>
    <col min="266" max="507" width="9.140625" style="65" customWidth="1"/>
    <col min="508" max="508" width="38" style="65" customWidth="1"/>
    <col min="509" max="520" width="10.5703125" style="65" customWidth="1"/>
    <col min="521" max="521" width="11.85546875" style="65" customWidth="1"/>
    <col min="522" max="763" width="9.140625" style="65" customWidth="1"/>
    <col min="764" max="764" width="38" style="65" customWidth="1"/>
    <col min="765" max="776" width="10.5703125" style="65" customWidth="1"/>
    <col min="777" max="777" width="11.85546875" style="65" customWidth="1"/>
    <col min="778" max="1019" width="9.140625" style="65" customWidth="1"/>
    <col min="1020" max="1020" width="38" style="65" customWidth="1"/>
    <col min="1021" max="1032" width="10.5703125" style="65" customWidth="1"/>
    <col min="1033" max="1033" width="11.85546875" style="65" customWidth="1"/>
    <col min="1034" max="1275" width="9.140625" style="65" customWidth="1"/>
    <col min="1276" max="1276" width="38" style="65" customWidth="1"/>
    <col min="1277" max="1288" width="10.5703125" style="65" customWidth="1"/>
    <col min="1289" max="1289" width="11.85546875" style="65" customWidth="1"/>
    <col min="1290" max="1531" width="9.140625" style="65" customWidth="1"/>
    <col min="1532" max="1532" width="38" style="65" customWidth="1"/>
    <col min="1533" max="1544" width="10.5703125" style="65" customWidth="1"/>
    <col min="1545" max="1545" width="11.85546875" style="65" customWidth="1"/>
    <col min="1546" max="1787" width="9.140625" style="65" customWidth="1"/>
    <col min="1788" max="1788" width="38" style="65" customWidth="1"/>
    <col min="1789" max="1800" width="10.5703125" style="65" customWidth="1"/>
    <col min="1801" max="1801" width="11.85546875" style="65" customWidth="1"/>
    <col min="1802" max="2043" width="9.140625" style="65" customWidth="1"/>
    <col min="2044" max="2044" width="38" style="65" customWidth="1"/>
    <col min="2045" max="2056" width="10.5703125" style="65" customWidth="1"/>
    <col min="2057" max="2057" width="11.85546875" style="65" customWidth="1"/>
    <col min="2058" max="2299" width="9.140625" style="65" customWidth="1"/>
    <col min="2300" max="2300" width="38" style="65" customWidth="1"/>
    <col min="2301" max="2312" width="10.5703125" style="65" customWidth="1"/>
    <col min="2313" max="2313" width="11.85546875" style="65" customWidth="1"/>
    <col min="2314" max="2555" width="9.140625" style="65" customWidth="1"/>
    <col min="2556" max="2556" width="38" style="65" customWidth="1"/>
    <col min="2557" max="2568" width="10.5703125" style="65" customWidth="1"/>
    <col min="2569" max="2569" width="11.85546875" style="65" customWidth="1"/>
    <col min="2570" max="2811" width="9.140625" style="65" customWidth="1"/>
    <col min="2812" max="2812" width="38" style="65" customWidth="1"/>
    <col min="2813" max="2824" width="10.5703125" style="65" customWidth="1"/>
    <col min="2825" max="2825" width="11.85546875" style="65" customWidth="1"/>
    <col min="2826" max="3067" width="9.140625" style="65" customWidth="1"/>
    <col min="3068" max="3068" width="38" style="65" customWidth="1"/>
    <col min="3069" max="3080" width="10.5703125" style="65" customWidth="1"/>
    <col min="3081" max="3081" width="11.85546875" style="65" customWidth="1"/>
    <col min="3082" max="3323" width="9.140625" style="65" customWidth="1"/>
    <col min="3324" max="3324" width="38" style="65" customWidth="1"/>
    <col min="3325" max="3336" width="10.5703125" style="65" customWidth="1"/>
    <col min="3337" max="3337" width="11.85546875" style="65" customWidth="1"/>
    <col min="3338" max="3579" width="9.140625" style="65" customWidth="1"/>
    <col min="3580" max="3580" width="38" style="65" customWidth="1"/>
    <col min="3581" max="3592" width="10.5703125" style="65" customWidth="1"/>
    <col min="3593" max="3593" width="11.85546875" style="65" customWidth="1"/>
    <col min="3594" max="3835" width="9.140625" style="65" customWidth="1"/>
    <col min="3836" max="3836" width="38" style="65" customWidth="1"/>
    <col min="3837" max="3848" width="10.5703125" style="65" customWidth="1"/>
    <col min="3849" max="3849" width="11.85546875" style="65" customWidth="1"/>
    <col min="3850" max="4091" width="9.140625" style="65" customWidth="1"/>
    <col min="4092" max="4092" width="38" style="65" customWidth="1"/>
    <col min="4093" max="4104" width="10.5703125" style="65" customWidth="1"/>
    <col min="4105" max="4105" width="11.85546875" style="65" customWidth="1"/>
    <col min="4106" max="4347" width="9.140625" style="65" customWidth="1"/>
    <col min="4348" max="4348" width="38" style="65" customWidth="1"/>
    <col min="4349" max="4360" width="10.5703125" style="65" customWidth="1"/>
    <col min="4361" max="4361" width="11.85546875" style="65" customWidth="1"/>
    <col min="4362" max="4603" width="9.140625" style="65" customWidth="1"/>
    <col min="4604" max="4604" width="38" style="65" customWidth="1"/>
    <col min="4605" max="4616" width="10.5703125" style="65" customWidth="1"/>
    <col min="4617" max="4617" width="11.85546875" style="65" customWidth="1"/>
    <col min="4618" max="4859" width="9.140625" style="65" customWidth="1"/>
    <col min="4860" max="4860" width="38" style="65" customWidth="1"/>
    <col min="4861" max="4872" width="10.5703125" style="65" customWidth="1"/>
    <col min="4873" max="4873" width="11.85546875" style="65" customWidth="1"/>
    <col min="4874" max="5115" width="9.140625" style="65" customWidth="1"/>
    <col min="5116" max="5116" width="38" style="65" customWidth="1"/>
    <col min="5117" max="5128" width="10.5703125" style="65" customWidth="1"/>
    <col min="5129" max="5129" width="11.85546875" style="65" customWidth="1"/>
    <col min="5130" max="5371" width="9.140625" style="65" customWidth="1"/>
    <col min="5372" max="5372" width="38" style="65" customWidth="1"/>
    <col min="5373" max="5384" width="10.5703125" style="65" customWidth="1"/>
    <col min="5385" max="5385" width="11.85546875" style="65" customWidth="1"/>
    <col min="5386" max="5627" width="9.140625" style="65" customWidth="1"/>
    <col min="5628" max="5628" width="38" style="65" customWidth="1"/>
    <col min="5629" max="5640" width="10.5703125" style="65" customWidth="1"/>
    <col min="5641" max="5641" width="11.85546875" style="65" customWidth="1"/>
    <col min="5642" max="5883" width="9.140625" style="65" customWidth="1"/>
    <col min="5884" max="5884" width="38" style="65" customWidth="1"/>
    <col min="5885" max="5896" width="10.5703125" style="65" customWidth="1"/>
    <col min="5897" max="5897" width="11.85546875" style="65" customWidth="1"/>
    <col min="5898" max="6139" width="9.140625" style="65" customWidth="1"/>
    <col min="6140" max="6140" width="38" style="65" customWidth="1"/>
    <col min="6141" max="6152" width="10.5703125" style="65" customWidth="1"/>
    <col min="6153" max="6153" width="11.85546875" style="65" customWidth="1"/>
    <col min="6154" max="6395" width="9.140625" style="65" customWidth="1"/>
    <col min="6396" max="6396" width="38" style="65" customWidth="1"/>
    <col min="6397" max="6408" width="10.5703125" style="65" customWidth="1"/>
    <col min="6409" max="6409" width="11.85546875" style="65" customWidth="1"/>
    <col min="6410" max="6651" width="9.140625" style="65" customWidth="1"/>
    <col min="6652" max="6652" width="38" style="65" customWidth="1"/>
    <col min="6653" max="6664" width="10.5703125" style="65" customWidth="1"/>
    <col min="6665" max="6665" width="11.85546875" style="65" customWidth="1"/>
    <col min="6666" max="6907" width="9.140625" style="65" customWidth="1"/>
    <col min="6908" max="6908" width="38" style="65" customWidth="1"/>
    <col min="6909" max="6920" width="10.5703125" style="65" customWidth="1"/>
    <col min="6921" max="6921" width="11.85546875" style="65" customWidth="1"/>
    <col min="6922" max="7163" width="9.140625" style="65" customWidth="1"/>
    <col min="7164" max="7164" width="38" style="65" customWidth="1"/>
    <col min="7165" max="7176" width="10.5703125" style="65" customWidth="1"/>
    <col min="7177" max="7177" width="11.85546875" style="65" customWidth="1"/>
    <col min="7178" max="7419" width="9.140625" style="65" customWidth="1"/>
    <col min="7420" max="7420" width="38" style="65" customWidth="1"/>
    <col min="7421" max="7432" width="10.5703125" style="65" customWidth="1"/>
    <col min="7433" max="7433" width="11.85546875" style="65" customWidth="1"/>
    <col min="7434" max="7675" width="9.140625" style="65" customWidth="1"/>
    <col min="7676" max="7676" width="38" style="65" customWidth="1"/>
    <col min="7677" max="7688" width="10.5703125" style="65" customWidth="1"/>
    <col min="7689" max="7689" width="11.85546875" style="65" customWidth="1"/>
    <col min="7690" max="7931" width="9.140625" style="65" customWidth="1"/>
    <col min="7932" max="7932" width="38" style="65" customWidth="1"/>
    <col min="7933" max="7944" width="10.5703125" style="65" customWidth="1"/>
    <col min="7945" max="7945" width="11.85546875" style="65" customWidth="1"/>
    <col min="7946" max="8187" width="9.140625" style="65" customWidth="1"/>
    <col min="8188" max="8188" width="38" style="65" customWidth="1"/>
    <col min="8189" max="8200" width="10.5703125" style="65" customWidth="1"/>
    <col min="8201" max="8201" width="11.85546875" style="65" customWidth="1"/>
    <col min="8202" max="8443" width="9.140625" style="65" customWidth="1"/>
    <col min="8444" max="8444" width="38" style="65" customWidth="1"/>
    <col min="8445" max="8456" width="10.5703125" style="65" customWidth="1"/>
    <col min="8457" max="8457" width="11.85546875" style="65" customWidth="1"/>
    <col min="8458" max="8699" width="9.140625" style="65" customWidth="1"/>
    <col min="8700" max="8700" width="38" style="65" customWidth="1"/>
    <col min="8701" max="8712" width="10.5703125" style="65" customWidth="1"/>
    <col min="8713" max="8713" width="11.85546875" style="65" customWidth="1"/>
    <col min="8714" max="8955" width="9.140625" style="65" customWidth="1"/>
    <col min="8956" max="8956" width="38" style="65" customWidth="1"/>
    <col min="8957" max="8968" width="10.5703125" style="65" customWidth="1"/>
    <col min="8969" max="8969" width="11.85546875" style="65" customWidth="1"/>
    <col min="8970" max="9211" width="9.140625" style="65" customWidth="1"/>
    <col min="9212" max="9212" width="38" style="65" customWidth="1"/>
    <col min="9213" max="9224" width="10.5703125" style="65" customWidth="1"/>
    <col min="9225" max="9225" width="11.85546875" style="65" customWidth="1"/>
    <col min="9226" max="9467" width="9.140625" style="65" customWidth="1"/>
    <col min="9468" max="9468" width="38" style="65" customWidth="1"/>
    <col min="9469" max="9480" width="10.5703125" style="65" customWidth="1"/>
    <col min="9481" max="9481" width="11.85546875" style="65" customWidth="1"/>
    <col min="9482" max="9723" width="9.140625" style="65" customWidth="1"/>
    <col min="9724" max="9724" width="38" style="65" customWidth="1"/>
    <col min="9725" max="9736" width="10.5703125" style="65" customWidth="1"/>
    <col min="9737" max="9737" width="11.85546875" style="65" customWidth="1"/>
    <col min="9738" max="9979" width="9.140625" style="65" customWidth="1"/>
    <col min="9980" max="9980" width="38" style="65" customWidth="1"/>
    <col min="9981" max="9992" width="10.5703125" style="65" customWidth="1"/>
    <col min="9993" max="9993" width="11.85546875" style="65" customWidth="1"/>
    <col min="9994" max="10235" width="9.140625" style="65" customWidth="1"/>
    <col min="10236" max="10236" width="38" style="65" customWidth="1"/>
    <col min="10237" max="10248" width="10.5703125" style="65" customWidth="1"/>
    <col min="10249" max="10249" width="11.85546875" style="65" customWidth="1"/>
    <col min="10250" max="10491" width="9.140625" style="65" customWidth="1"/>
    <col min="10492" max="10492" width="38" style="65" customWidth="1"/>
    <col min="10493" max="10504" width="10.5703125" style="65" customWidth="1"/>
    <col min="10505" max="10505" width="11.85546875" style="65" customWidth="1"/>
    <col min="10506" max="10747" width="9.140625" style="65" customWidth="1"/>
    <col min="10748" max="10748" width="38" style="65" customWidth="1"/>
    <col min="10749" max="10760" width="10.5703125" style="65" customWidth="1"/>
    <col min="10761" max="10761" width="11.85546875" style="65" customWidth="1"/>
    <col min="10762" max="11003" width="9.140625" style="65" customWidth="1"/>
    <col min="11004" max="11004" width="38" style="65" customWidth="1"/>
    <col min="11005" max="11016" width="10.5703125" style="65" customWidth="1"/>
    <col min="11017" max="11017" width="11.85546875" style="65" customWidth="1"/>
    <col min="11018" max="11259" width="9.140625" style="65" customWidth="1"/>
    <col min="11260" max="11260" width="38" style="65" customWidth="1"/>
    <col min="11261" max="11272" width="10.5703125" style="65" customWidth="1"/>
    <col min="11273" max="11273" width="11.85546875" style="65" customWidth="1"/>
    <col min="11274" max="11515" width="9.140625" style="65" customWidth="1"/>
    <col min="11516" max="11516" width="38" style="65" customWidth="1"/>
    <col min="11517" max="11528" width="10.5703125" style="65" customWidth="1"/>
    <col min="11529" max="11529" width="11.85546875" style="65" customWidth="1"/>
    <col min="11530" max="11771" width="9.140625" style="65" customWidth="1"/>
    <col min="11772" max="11772" width="38" style="65" customWidth="1"/>
    <col min="11773" max="11784" width="10.5703125" style="65" customWidth="1"/>
    <col min="11785" max="11785" width="11.85546875" style="65" customWidth="1"/>
    <col min="11786" max="12027" width="9.140625" style="65" customWidth="1"/>
    <col min="12028" max="12028" width="38" style="65" customWidth="1"/>
    <col min="12029" max="12040" width="10.5703125" style="65" customWidth="1"/>
    <col min="12041" max="12041" width="11.85546875" style="65" customWidth="1"/>
    <col min="12042" max="12283" width="9.140625" style="65" customWidth="1"/>
    <col min="12284" max="12284" width="38" style="65" customWidth="1"/>
    <col min="12285" max="12296" width="10.5703125" style="65" customWidth="1"/>
    <col min="12297" max="12297" width="11.85546875" style="65" customWidth="1"/>
    <col min="12298" max="12539" width="9.140625" style="65" customWidth="1"/>
    <col min="12540" max="12540" width="38" style="65" customWidth="1"/>
    <col min="12541" max="12552" width="10.5703125" style="65" customWidth="1"/>
    <col min="12553" max="12553" width="11.85546875" style="65" customWidth="1"/>
    <col min="12554" max="12795" width="9.140625" style="65" customWidth="1"/>
    <col min="12796" max="12796" width="38" style="65" customWidth="1"/>
    <col min="12797" max="12808" width="10.5703125" style="65" customWidth="1"/>
    <col min="12809" max="12809" width="11.85546875" style="65" customWidth="1"/>
    <col min="12810" max="13051" width="9.140625" style="65" customWidth="1"/>
    <col min="13052" max="13052" width="38" style="65" customWidth="1"/>
    <col min="13053" max="13064" width="10.5703125" style="65" customWidth="1"/>
    <col min="13065" max="13065" width="11.85546875" style="65" customWidth="1"/>
    <col min="13066" max="13307" width="9.140625" style="65" customWidth="1"/>
    <col min="13308" max="13308" width="38" style="65" customWidth="1"/>
    <col min="13309" max="13320" width="10.5703125" style="65" customWidth="1"/>
    <col min="13321" max="13321" width="11.85546875" style="65" customWidth="1"/>
    <col min="13322" max="13563" width="9.140625" style="65" customWidth="1"/>
    <col min="13564" max="13564" width="38" style="65" customWidth="1"/>
    <col min="13565" max="13576" width="10.5703125" style="65" customWidth="1"/>
    <col min="13577" max="13577" width="11.85546875" style="65" customWidth="1"/>
    <col min="13578" max="13819" width="9.140625" style="65" customWidth="1"/>
    <col min="13820" max="13820" width="38" style="65" customWidth="1"/>
    <col min="13821" max="13832" width="10.5703125" style="65" customWidth="1"/>
    <col min="13833" max="13833" width="11.85546875" style="65" customWidth="1"/>
    <col min="13834" max="14075" width="9.140625" style="65" customWidth="1"/>
    <col min="14076" max="14076" width="38" style="65" customWidth="1"/>
    <col min="14077" max="14088" width="10.5703125" style="65" customWidth="1"/>
    <col min="14089" max="14089" width="11.85546875" style="65" customWidth="1"/>
    <col min="14090" max="14331" width="9.140625" style="65" customWidth="1"/>
    <col min="14332" max="14332" width="38" style="65" customWidth="1"/>
    <col min="14333" max="14344" width="10.5703125" style="65" customWidth="1"/>
    <col min="14345" max="14345" width="11.85546875" style="65" customWidth="1"/>
    <col min="14346" max="14587" width="9.140625" style="65" customWidth="1"/>
    <col min="14588" max="14588" width="38" style="65" customWidth="1"/>
    <col min="14589" max="14600" width="10.5703125" style="65" customWidth="1"/>
    <col min="14601" max="14601" width="11.85546875" style="65" customWidth="1"/>
    <col min="14602" max="14843" width="9.140625" style="65" customWidth="1"/>
    <col min="14844" max="14844" width="38" style="65" customWidth="1"/>
    <col min="14845" max="14856" width="10.5703125" style="65" customWidth="1"/>
    <col min="14857" max="14857" width="11.85546875" style="65" customWidth="1"/>
    <col min="14858" max="15099" width="9.140625" style="65" customWidth="1"/>
    <col min="15100" max="15100" width="38" style="65" customWidth="1"/>
    <col min="15101" max="15112" width="10.5703125" style="65" customWidth="1"/>
    <col min="15113" max="15113" width="11.85546875" style="65" customWidth="1"/>
    <col min="15114" max="15355" width="9.140625" style="65" customWidth="1"/>
    <col min="15356" max="15356" width="38" style="65" customWidth="1"/>
    <col min="15357" max="15368" width="10.5703125" style="65" customWidth="1"/>
    <col min="15369" max="15369" width="11.85546875" style="65" customWidth="1"/>
    <col min="15370" max="15611" width="9.140625" style="65" customWidth="1"/>
    <col min="15612" max="15612" width="38" style="65" customWidth="1"/>
    <col min="15613" max="15624" width="10.5703125" style="65" customWidth="1"/>
    <col min="15625" max="15625" width="11.85546875" style="65" customWidth="1"/>
    <col min="15626" max="15867" width="9.140625" style="65" customWidth="1"/>
    <col min="15868" max="15868" width="38" style="65" customWidth="1"/>
    <col min="15869" max="15880" width="10.5703125" style="65" customWidth="1"/>
    <col min="15881" max="15881" width="11.85546875" style="65" customWidth="1"/>
    <col min="15882" max="16123" width="9.140625" style="65" customWidth="1"/>
    <col min="16124" max="16124" width="38" style="65" customWidth="1"/>
    <col min="16125" max="16136" width="10.5703125" style="65" customWidth="1"/>
    <col min="16137" max="16137" width="11.85546875" style="65" customWidth="1"/>
    <col min="16138" max="16384" width="9.140625" style="65" customWidth="1"/>
  </cols>
  <sheetData>
    <row r="1" spans="1:10" ht="12.6" customHeight="1" x14ac:dyDescent="0.2">
      <c r="A1" s="69" t="s">
        <v>361</v>
      </c>
      <c r="B1" s="73" t="s">
        <v>381</v>
      </c>
      <c r="C1" s="69" t="s">
        <v>436</v>
      </c>
      <c r="D1" s="69" t="s">
        <v>437</v>
      </c>
      <c r="E1" s="69" t="s">
        <v>438</v>
      </c>
      <c r="F1" s="69" t="s">
        <v>439</v>
      </c>
      <c r="G1" s="69" t="s">
        <v>440</v>
      </c>
      <c r="H1" s="69" t="s">
        <v>441</v>
      </c>
      <c r="I1" s="70" t="s">
        <v>368</v>
      </c>
      <c r="J1" s="161" t="s">
        <v>382</v>
      </c>
    </row>
    <row r="2" spans="1:10" ht="15" hidden="1" customHeight="1" x14ac:dyDescent="0.2">
      <c r="A2" s="66" t="s">
        <v>369</v>
      </c>
      <c r="B2" s="72">
        <v>15</v>
      </c>
      <c r="C2" s="67">
        <v>30</v>
      </c>
      <c r="D2" s="67">
        <v>75</v>
      </c>
      <c r="E2" s="67">
        <v>15</v>
      </c>
      <c r="F2" s="67">
        <v>45</v>
      </c>
      <c r="G2" s="67">
        <v>75</v>
      </c>
      <c r="H2" s="67">
        <v>75</v>
      </c>
      <c r="I2" s="68">
        <f>C2+D2+E2+F2+G2+H2</f>
        <v>315</v>
      </c>
      <c r="J2" s="65">
        <f>I2/B2</f>
        <v>21</v>
      </c>
    </row>
    <row r="3" spans="1:10" ht="15" hidden="1" customHeight="1" x14ac:dyDescent="0.2">
      <c r="A3" s="66" t="s">
        <v>31</v>
      </c>
      <c r="B3" s="72">
        <v>20</v>
      </c>
      <c r="C3" s="67">
        <v>140</v>
      </c>
      <c r="D3" s="67"/>
      <c r="E3" s="67">
        <v>60</v>
      </c>
      <c r="F3" s="67">
        <v>80</v>
      </c>
      <c r="G3" s="67">
        <v>100</v>
      </c>
      <c r="H3" s="67">
        <v>100</v>
      </c>
      <c r="I3" s="68">
        <f t="shared" ref="I3:I14" si="0">C3+D3+E3+F3+G3+H3</f>
        <v>480</v>
      </c>
      <c r="J3" s="65">
        <f t="shared" ref="J3:J13" si="1">I3/B3</f>
        <v>24</v>
      </c>
    </row>
    <row r="4" spans="1:10" ht="15" hidden="1" customHeight="1" x14ac:dyDescent="0.2">
      <c r="A4" s="66" t="s">
        <v>370</v>
      </c>
      <c r="B4" s="72">
        <v>25</v>
      </c>
      <c r="C4" s="67">
        <v>125</v>
      </c>
      <c r="D4" s="67">
        <v>50</v>
      </c>
      <c r="E4" s="67"/>
      <c r="F4" s="67">
        <v>75</v>
      </c>
      <c r="G4" s="67">
        <v>50</v>
      </c>
      <c r="H4" s="67">
        <v>225</v>
      </c>
      <c r="I4" s="68">
        <f t="shared" si="0"/>
        <v>525</v>
      </c>
      <c r="J4" s="65">
        <f t="shared" si="1"/>
        <v>21</v>
      </c>
    </row>
    <row r="5" spans="1:10" ht="15" customHeight="1" x14ac:dyDescent="0.2">
      <c r="A5" s="66" t="s">
        <v>371</v>
      </c>
      <c r="B5" s="166">
        <v>22</v>
      </c>
      <c r="C5" s="164">
        <v>22</v>
      </c>
      <c r="D5" s="164"/>
      <c r="E5" s="164"/>
      <c r="F5" s="164">
        <v>44</v>
      </c>
      <c r="G5" s="164">
        <v>22</v>
      </c>
      <c r="H5" s="164">
        <v>22</v>
      </c>
      <c r="I5" s="167">
        <f t="shared" si="0"/>
        <v>110</v>
      </c>
      <c r="J5" s="168">
        <f t="shared" si="1"/>
        <v>5</v>
      </c>
    </row>
    <row r="6" spans="1:10" ht="15" customHeight="1" x14ac:dyDescent="0.2">
      <c r="A6" s="66" t="s">
        <v>372</v>
      </c>
      <c r="B6" s="170">
        <v>22</v>
      </c>
      <c r="C6" s="171">
        <v>22</v>
      </c>
      <c r="D6" s="171">
        <v>66</v>
      </c>
      <c r="E6" s="171">
        <v>44</v>
      </c>
      <c r="F6" s="171">
        <v>22</v>
      </c>
      <c r="G6" s="171">
        <v>22</v>
      </c>
      <c r="H6" s="171">
        <v>22</v>
      </c>
      <c r="I6" s="172">
        <f t="shared" si="0"/>
        <v>198</v>
      </c>
      <c r="J6" s="173">
        <f t="shared" si="1"/>
        <v>9</v>
      </c>
    </row>
    <row r="7" spans="1:10" ht="15" customHeight="1" x14ac:dyDescent="0.2">
      <c r="A7" s="66" t="s">
        <v>373</v>
      </c>
      <c r="B7" s="166">
        <v>22</v>
      </c>
      <c r="C7" s="164"/>
      <c r="D7" s="164">
        <v>88</v>
      </c>
      <c r="E7" s="164"/>
      <c r="F7" s="164"/>
      <c r="G7" s="164"/>
      <c r="H7" s="164"/>
      <c r="I7" s="167">
        <f t="shared" si="0"/>
        <v>88</v>
      </c>
      <c r="J7" s="168">
        <f t="shared" si="1"/>
        <v>4</v>
      </c>
    </row>
    <row r="8" spans="1:10" ht="15" hidden="1" customHeight="1" x14ac:dyDescent="0.2">
      <c r="A8" s="66" t="s">
        <v>374</v>
      </c>
      <c r="B8" s="72">
        <v>22</v>
      </c>
      <c r="C8" s="67"/>
      <c r="D8" s="67">
        <v>22</v>
      </c>
      <c r="E8" s="67"/>
      <c r="F8" s="67"/>
      <c r="G8" s="67">
        <v>44</v>
      </c>
      <c r="H8" s="67">
        <v>44</v>
      </c>
      <c r="I8" s="68">
        <f t="shared" si="0"/>
        <v>110</v>
      </c>
      <c r="J8" s="65">
        <f t="shared" si="1"/>
        <v>5</v>
      </c>
    </row>
    <row r="9" spans="1:10" ht="15" hidden="1" customHeight="1" x14ac:dyDescent="0.2">
      <c r="A9" s="66" t="s">
        <v>375</v>
      </c>
      <c r="B9" s="72">
        <v>15</v>
      </c>
      <c r="C9" s="67">
        <v>90</v>
      </c>
      <c r="D9" s="67">
        <v>30</v>
      </c>
      <c r="E9" s="67"/>
      <c r="F9" s="67">
        <v>30</v>
      </c>
      <c r="G9" s="67">
        <v>45</v>
      </c>
      <c r="H9" s="67">
        <v>60</v>
      </c>
      <c r="I9" s="68">
        <f t="shared" si="0"/>
        <v>255</v>
      </c>
      <c r="J9" s="65">
        <f t="shared" si="1"/>
        <v>17</v>
      </c>
    </row>
    <row r="10" spans="1:10" ht="15" hidden="1" customHeight="1" x14ac:dyDescent="0.2">
      <c r="A10" s="66" t="s">
        <v>376</v>
      </c>
      <c r="B10" s="72">
        <v>15</v>
      </c>
      <c r="C10" s="67">
        <v>30</v>
      </c>
      <c r="D10" s="67"/>
      <c r="E10" s="67"/>
      <c r="F10" s="67"/>
      <c r="G10" s="67"/>
      <c r="H10" s="67"/>
      <c r="I10" s="68">
        <f t="shared" si="0"/>
        <v>30</v>
      </c>
      <c r="J10" s="65">
        <f t="shared" si="1"/>
        <v>2</v>
      </c>
    </row>
    <row r="11" spans="1:10" ht="15" hidden="1" customHeight="1" x14ac:dyDescent="0.2">
      <c r="A11" s="66" t="s">
        <v>377</v>
      </c>
      <c r="B11" s="72">
        <v>25</v>
      </c>
      <c r="C11" s="67">
        <v>25</v>
      </c>
      <c r="D11" s="67">
        <v>50</v>
      </c>
      <c r="E11" s="67"/>
      <c r="F11" s="67">
        <v>25</v>
      </c>
      <c r="G11" s="67">
        <v>150</v>
      </c>
      <c r="H11" s="67">
        <v>175</v>
      </c>
      <c r="I11" s="68">
        <f t="shared" si="0"/>
        <v>425</v>
      </c>
      <c r="J11" s="65">
        <f t="shared" si="1"/>
        <v>17</v>
      </c>
    </row>
    <row r="12" spans="1:10" ht="15" hidden="1" customHeight="1" x14ac:dyDescent="0.2">
      <c r="A12" s="66" t="s">
        <v>378</v>
      </c>
      <c r="B12" s="72">
        <v>25</v>
      </c>
      <c r="C12" s="67">
        <v>25</v>
      </c>
      <c r="D12" s="67">
        <v>25</v>
      </c>
      <c r="E12" s="67"/>
      <c r="F12" s="67">
        <v>50</v>
      </c>
      <c r="G12" s="67">
        <v>75</v>
      </c>
      <c r="H12" s="67">
        <v>50</v>
      </c>
      <c r="I12" s="68">
        <f t="shared" si="0"/>
        <v>225</v>
      </c>
      <c r="J12" s="65">
        <f t="shared" si="1"/>
        <v>9</v>
      </c>
    </row>
    <row r="13" spans="1:10" ht="15" hidden="1" customHeight="1" x14ac:dyDescent="0.2">
      <c r="A13" s="66" t="s">
        <v>379</v>
      </c>
      <c r="B13" s="72">
        <v>1</v>
      </c>
      <c r="C13" s="67"/>
      <c r="D13" s="67"/>
      <c r="E13" s="67"/>
      <c r="F13" s="67"/>
      <c r="G13" s="67"/>
      <c r="H13" s="67"/>
      <c r="I13" s="68">
        <f t="shared" si="0"/>
        <v>0</v>
      </c>
      <c r="J13" s="65">
        <f t="shared" si="1"/>
        <v>0</v>
      </c>
    </row>
    <row r="14" spans="1:10" ht="15" hidden="1" customHeight="1" x14ac:dyDescent="0.2">
      <c r="A14" s="71" t="s">
        <v>380</v>
      </c>
      <c r="B14" s="159"/>
      <c r="C14" s="68">
        <v>509</v>
      </c>
      <c r="D14" s="68">
        <v>406</v>
      </c>
      <c r="E14" s="68">
        <v>119</v>
      </c>
      <c r="F14" s="68">
        <v>371</v>
      </c>
      <c r="G14" s="68">
        <v>583</v>
      </c>
      <c r="H14" s="68">
        <v>773</v>
      </c>
      <c r="I14" s="68">
        <f t="shared" si="0"/>
        <v>2761</v>
      </c>
      <c r="J14" s="65">
        <f>SUM(J2:J13)</f>
        <v>134</v>
      </c>
    </row>
  </sheetData>
  <autoFilter ref="A1:WVQ14" xr:uid="{00000000-0009-0000-0000-000003000000}">
    <filterColumn colId="0">
      <filters>
        <filter val="DEL VALLE DURAZNO LATA"/>
        <filter val="DEL VALLE FRUT GUAYABA 600ML"/>
        <filter val="DEL VALLE MANGO LATA"/>
      </filters>
    </filterColumn>
  </autoFilter>
  <printOptions gridLines="1" gridLinesSet="0"/>
  <pageMargins left="0.75" right="0.75" top="1" bottom="1" header="0.5" footer="0.5"/>
  <pageSetup fitToWidth="0" fitToHeight="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workbookViewId="0">
      <selection activeCell="F6" sqref="F6"/>
    </sheetView>
  </sheetViews>
  <sheetFormatPr baseColWidth="10" defaultRowHeight="12.75" x14ac:dyDescent="0.2"/>
  <cols>
    <col min="1" max="1" width="32" style="65" customWidth="1"/>
    <col min="2" max="2" width="10.42578125" style="160" customWidth="1"/>
    <col min="3" max="3" width="7.5703125" style="65" customWidth="1"/>
    <col min="4" max="4" width="10.5703125" style="65" customWidth="1"/>
    <col min="5" max="5" width="11.85546875" style="65" customWidth="1"/>
    <col min="6" max="245" width="9.140625" style="65" customWidth="1"/>
    <col min="246" max="246" width="38" style="65" customWidth="1"/>
    <col min="247" max="260" width="10.5703125" style="65" customWidth="1"/>
    <col min="261" max="261" width="11.85546875" style="65" customWidth="1"/>
    <col min="262" max="501" width="9.140625" style="65" customWidth="1"/>
    <col min="502" max="502" width="38" style="65" customWidth="1"/>
    <col min="503" max="516" width="10.5703125" style="65" customWidth="1"/>
    <col min="517" max="517" width="11.85546875" style="65" customWidth="1"/>
    <col min="518" max="757" width="9.140625" style="65" customWidth="1"/>
    <col min="758" max="758" width="38" style="65" customWidth="1"/>
    <col min="759" max="772" width="10.5703125" style="65" customWidth="1"/>
    <col min="773" max="773" width="11.85546875" style="65" customWidth="1"/>
    <col min="774" max="1013" width="9.140625" style="65" customWidth="1"/>
    <col min="1014" max="1014" width="38" style="65" customWidth="1"/>
    <col min="1015" max="1028" width="10.5703125" style="65" customWidth="1"/>
    <col min="1029" max="1029" width="11.85546875" style="65" customWidth="1"/>
    <col min="1030" max="1269" width="9.140625" style="65" customWidth="1"/>
    <col min="1270" max="1270" width="38" style="65" customWidth="1"/>
    <col min="1271" max="1284" width="10.5703125" style="65" customWidth="1"/>
    <col min="1285" max="1285" width="11.85546875" style="65" customWidth="1"/>
    <col min="1286" max="1525" width="9.140625" style="65" customWidth="1"/>
    <col min="1526" max="1526" width="38" style="65" customWidth="1"/>
    <col min="1527" max="1540" width="10.5703125" style="65" customWidth="1"/>
    <col min="1541" max="1541" width="11.85546875" style="65" customWidth="1"/>
    <col min="1542" max="1781" width="9.140625" style="65" customWidth="1"/>
    <col min="1782" max="1782" width="38" style="65" customWidth="1"/>
    <col min="1783" max="1796" width="10.5703125" style="65" customWidth="1"/>
    <col min="1797" max="1797" width="11.85546875" style="65" customWidth="1"/>
    <col min="1798" max="2037" width="9.140625" style="65" customWidth="1"/>
    <col min="2038" max="2038" width="38" style="65" customWidth="1"/>
    <col min="2039" max="2052" width="10.5703125" style="65" customWidth="1"/>
    <col min="2053" max="2053" width="11.85546875" style="65" customWidth="1"/>
    <col min="2054" max="2293" width="9.140625" style="65" customWidth="1"/>
    <col min="2294" max="2294" width="38" style="65" customWidth="1"/>
    <col min="2295" max="2308" width="10.5703125" style="65" customWidth="1"/>
    <col min="2309" max="2309" width="11.85546875" style="65" customWidth="1"/>
    <col min="2310" max="2549" width="9.140625" style="65" customWidth="1"/>
    <col min="2550" max="2550" width="38" style="65" customWidth="1"/>
    <col min="2551" max="2564" width="10.5703125" style="65" customWidth="1"/>
    <col min="2565" max="2565" width="11.85546875" style="65" customWidth="1"/>
    <col min="2566" max="2805" width="9.140625" style="65" customWidth="1"/>
    <col min="2806" max="2806" width="38" style="65" customWidth="1"/>
    <col min="2807" max="2820" width="10.5703125" style="65" customWidth="1"/>
    <col min="2821" max="2821" width="11.85546875" style="65" customWidth="1"/>
    <col min="2822" max="3061" width="9.140625" style="65" customWidth="1"/>
    <col min="3062" max="3062" width="38" style="65" customWidth="1"/>
    <col min="3063" max="3076" width="10.5703125" style="65" customWidth="1"/>
    <col min="3077" max="3077" width="11.85546875" style="65" customWidth="1"/>
    <col min="3078" max="3317" width="9.140625" style="65" customWidth="1"/>
    <col min="3318" max="3318" width="38" style="65" customWidth="1"/>
    <col min="3319" max="3332" width="10.5703125" style="65" customWidth="1"/>
    <col min="3333" max="3333" width="11.85546875" style="65" customWidth="1"/>
    <col min="3334" max="3573" width="9.140625" style="65" customWidth="1"/>
    <col min="3574" max="3574" width="38" style="65" customWidth="1"/>
    <col min="3575" max="3588" width="10.5703125" style="65" customWidth="1"/>
    <col min="3589" max="3589" width="11.85546875" style="65" customWidth="1"/>
    <col min="3590" max="3829" width="9.140625" style="65" customWidth="1"/>
    <col min="3830" max="3830" width="38" style="65" customWidth="1"/>
    <col min="3831" max="3844" width="10.5703125" style="65" customWidth="1"/>
    <col min="3845" max="3845" width="11.85546875" style="65" customWidth="1"/>
    <col min="3846" max="4085" width="9.140625" style="65" customWidth="1"/>
    <col min="4086" max="4086" width="38" style="65" customWidth="1"/>
    <col min="4087" max="4100" width="10.5703125" style="65" customWidth="1"/>
    <col min="4101" max="4101" width="11.85546875" style="65" customWidth="1"/>
    <col min="4102" max="4341" width="9.140625" style="65" customWidth="1"/>
    <col min="4342" max="4342" width="38" style="65" customWidth="1"/>
    <col min="4343" max="4356" width="10.5703125" style="65" customWidth="1"/>
    <col min="4357" max="4357" width="11.85546875" style="65" customWidth="1"/>
    <col min="4358" max="4597" width="9.140625" style="65" customWidth="1"/>
    <col min="4598" max="4598" width="38" style="65" customWidth="1"/>
    <col min="4599" max="4612" width="10.5703125" style="65" customWidth="1"/>
    <col min="4613" max="4613" width="11.85546875" style="65" customWidth="1"/>
    <col min="4614" max="4853" width="9.140625" style="65" customWidth="1"/>
    <col min="4854" max="4854" width="38" style="65" customWidth="1"/>
    <col min="4855" max="4868" width="10.5703125" style="65" customWidth="1"/>
    <col min="4869" max="4869" width="11.85546875" style="65" customWidth="1"/>
    <col min="4870" max="5109" width="9.140625" style="65" customWidth="1"/>
    <col min="5110" max="5110" width="38" style="65" customWidth="1"/>
    <col min="5111" max="5124" width="10.5703125" style="65" customWidth="1"/>
    <col min="5125" max="5125" width="11.85546875" style="65" customWidth="1"/>
    <col min="5126" max="5365" width="9.140625" style="65" customWidth="1"/>
    <col min="5366" max="5366" width="38" style="65" customWidth="1"/>
    <col min="5367" max="5380" width="10.5703125" style="65" customWidth="1"/>
    <col min="5381" max="5381" width="11.85546875" style="65" customWidth="1"/>
    <col min="5382" max="5621" width="9.140625" style="65" customWidth="1"/>
    <col min="5622" max="5622" width="38" style="65" customWidth="1"/>
    <col min="5623" max="5636" width="10.5703125" style="65" customWidth="1"/>
    <col min="5637" max="5637" width="11.85546875" style="65" customWidth="1"/>
    <col min="5638" max="5877" width="9.140625" style="65" customWidth="1"/>
    <col min="5878" max="5878" width="38" style="65" customWidth="1"/>
    <col min="5879" max="5892" width="10.5703125" style="65" customWidth="1"/>
    <col min="5893" max="5893" width="11.85546875" style="65" customWidth="1"/>
    <col min="5894" max="6133" width="9.140625" style="65" customWidth="1"/>
    <col min="6134" max="6134" width="38" style="65" customWidth="1"/>
    <col min="6135" max="6148" width="10.5703125" style="65" customWidth="1"/>
    <col min="6149" max="6149" width="11.85546875" style="65" customWidth="1"/>
    <col min="6150" max="6389" width="9.140625" style="65" customWidth="1"/>
    <col min="6390" max="6390" width="38" style="65" customWidth="1"/>
    <col min="6391" max="6404" width="10.5703125" style="65" customWidth="1"/>
    <col min="6405" max="6405" width="11.85546875" style="65" customWidth="1"/>
    <col min="6406" max="6645" width="9.140625" style="65" customWidth="1"/>
    <col min="6646" max="6646" width="38" style="65" customWidth="1"/>
    <col min="6647" max="6660" width="10.5703125" style="65" customWidth="1"/>
    <col min="6661" max="6661" width="11.85546875" style="65" customWidth="1"/>
    <col min="6662" max="6901" width="9.140625" style="65" customWidth="1"/>
    <col min="6902" max="6902" width="38" style="65" customWidth="1"/>
    <col min="6903" max="6916" width="10.5703125" style="65" customWidth="1"/>
    <col min="6917" max="6917" width="11.85546875" style="65" customWidth="1"/>
    <col min="6918" max="7157" width="9.140625" style="65" customWidth="1"/>
    <col min="7158" max="7158" width="38" style="65" customWidth="1"/>
    <col min="7159" max="7172" width="10.5703125" style="65" customWidth="1"/>
    <col min="7173" max="7173" width="11.85546875" style="65" customWidth="1"/>
    <col min="7174" max="7413" width="9.140625" style="65" customWidth="1"/>
    <col min="7414" max="7414" width="38" style="65" customWidth="1"/>
    <col min="7415" max="7428" width="10.5703125" style="65" customWidth="1"/>
    <col min="7429" max="7429" width="11.85546875" style="65" customWidth="1"/>
    <col min="7430" max="7669" width="9.140625" style="65" customWidth="1"/>
    <col min="7670" max="7670" width="38" style="65" customWidth="1"/>
    <col min="7671" max="7684" width="10.5703125" style="65" customWidth="1"/>
    <col min="7685" max="7685" width="11.85546875" style="65" customWidth="1"/>
    <col min="7686" max="7925" width="9.140625" style="65" customWidth="1"/>
    <col min="7926" max="7926" width="38" style="65" customWidth="1"/>
    <col min="7927" max="7940" width="10.5703125" style="65" customWidth="1"/>
    <col min="7941" max="7941" width="11.85546875" style="65" customWidth="1"/>
    <col min="7942" max="8181" width="9.140625" style="65" customWidth="1"/>
    <col min="8182" max="8182" width="38" style="65" customWidth="1"/>
    <col min="8183" max="8196" width="10.5703125" style="65" customWidth="1"/>
    <col min="8197" max="8197" width="11.85546875" style="65" customWidth="1"/>
    <col min="8198" max="8437" width="9.140625" style="65" customWidth="1"/>
    <col min="8438" max="8438" width="38" style="65" customWidth="1"/>
    <col min="8439" max="8452" width="10.5703125" style="65" customWidth="1"/>
    <col min="8453" max="8453" width="11.85546875" style="65" customWidth="1"/>
    <col min="8454" max="8693" width="9.140625" style="65" customWidth="1"/>
    <col min="8694" max="8694" width="38" style="65" customWidth="1"/>
    <col min="8695" max="8708" width="10.5703125" style="65" customWidth="1"/>
    <col min="8709" max="8709" width="11.85546875" style="65" customWidth="1"/>
    <col min="8710" max="8949" width="9.140625" style="65" customWidth="1"/>
    <col min="8950" max="8950" width="38" style="65" customWidth="1"/>
    <col min="8951" max="8964" width="10.5703125" style="65" customWidth="1"/>
    <col min="8965" max="8965" width="11.85546875" style="65" customWidth="1"/>
    <col min="8966" max="9205" width="9.140625" style="65" customWidth="1"/>
    <col min="9206" max="9206" width="38" style="65" customWidth="1"/>
    <col min="9207" max="9220" width="10.5703125" style="65" customWidth="1"/>
    <col min="9221" max="9221" width="11.85546875" style="65" customWidth="1"/>
    <col min="9222" max="9461" width="9.140625" style="65" customWidth="1"/>
    <col min="9462" max="9462" width="38" style="65" customWidth="1"/>
    <col min="9463" max="9476" width="10.5703125" style="65" customWidth="1"/>
    <col min="9477" max="9477" width="11.85546875" style="65" customWidth="1"/>
    <col min="9478" max="9717" width="9.140625" style="65" customWidth="1"/>
    <col min="9718" max="9718" width="38" style="65" customWidth="1"/>
    <col min="9719" max="9732" width="10.5703125" style="65" customWidth="1"/>
    <col min="9733" max="9733" width="11.85546875" style="65" customWidth="1"/>
    <col min="9734" max="9973" width="9.140625" style="65" customWidth="1"/>
    <col min="9974" max="9974" width="38" style="65" customWidth="1"/>
    <col min="9975" max="9988" width="10.5703125" style="65" customWidth="1"/>
    <col min="9989" max="9989" width="11.85546875" style="65" customWidth="1"/>
    <col min="9990" max="10229" width="9.140625" style="65" customWidth="1"/>
    <col min="10230" max="10230" width="38" style="65" customWidth="1"/>
    <col min="10231" max="10244" width="10.5703125" style="65" customWidth="1"/>
    <col min="10245" max="10245" width="11.85546875" style="65" customWidth="1"/>
    <col min="10246" max="10485" width="9.140625" style="65" customWidth="1"/>
    <col min="10486" max="10486" width="38" style="65" customWidth="1"/>
    <col min="10487" max="10500" width="10.5703125" style="65" customWidth="1"/>
    <col min="10501" max="10501" width="11.85546875" style="65" customWidth="1"/>
    <col min="10502" max="10741" width="9.140625" style="65" customWidth="1"/>
    <col min="10742" max="10742" width="38" style="65" customWidth="1"/>
    <col min="10743" max="10756" width="10.5703125" style="65" customWidth="1"/>
    <col min="10757" max="10757" width="11.85546875" style="65" customWidth="1"/>
    <col min="10758" max="10997" width="9.140625" style="65" customWidth="1"/>
    <col min="10998" max="10998" width="38" style="65" customWidth="1"/>
    <col min="10999" max="11012" width="10.5703125" style="65" customWidth="1"/>
    <col min="11013" max="11013" width="11.85546875" style="65" customWidth="1"/>
    <col min="11014" max="11253" width="9.140625" style="65" customWidth="1"/>
    <col min="11254" max="11254" width="38" style="65" customWidth="1"/>
    <col min="11255" max="11268" width="10.5703125" style="65" customWidth="1"/>
    <col min="11269" max="11269" width="11.85546875" style="65" customWidth="1"/>
    <col min="11270" max="11509" width="9.140625" style="65" customWidth="1"/>
    <col min="11510" max="11510" width="38" style="65" customWidth="1"/>
    <col min="11511" max="11524" width="10.5703125" style="65" customWidth="1"/>
    <col min="11525" max="11525" width="11.85546875" style="65" customWidth="1"/>
    <col min="11526" max="11765" width="9.140625" style="65" customWidth="1"/>
    <col min="11766" max="11766" width="38" style="65" customWidth="1"/>
    <col min="11767" max="11780" width="10.5703125" style="65" customWidth="1"/>
    <col min="11781" max="11781" width="11.85546875" style="65" customWidth="1"/>
    <col min="11782" max="12021" width="9.140625" style="65" customWidth="1"/>
    <col min="12022" max="12022" width="38" style="65" customWidth="1"/>
    <col min="12023" max="12036" width="10.5703125" style="65" customWidth="1"/>
    <col min="12037" max="12037" width="11.85546875" style="65" customWidth="1"/>
    <col min="12038" max="12277" width="9.140625" style="65" customWidth="1"/>
    <col min="12278" max="12278" width="38" style="65" customWidth="1"/>
    <col min="12279" max="12292" width="10.5703125" style="65" customWidth="1"/>
    <col min="12293" max="12293" width="11.85546875" style="65" customWidth="1"/>
    <col min="12294" max="12533" width="9.140625" style="65" customWidth="1"/>
    <col min="12534" max="12534" width="38" style="65" customWidth="1"/>
    <col min="12535" max="12548" width="10.5703125" style="65" customWidth="1"/>
    <col min="12549" max="12549" width="11.85546875" style="65" customWidth="1"/>
    <col min="12550" max="12789" width="9.140625" style="65" customWidth="1"/>
    <col min="12790" max="12790" width="38" style="65" customWidth="1"/>
    <col min="12791" max="12804" width="10.5703125" style="65" customWidth="1"/>
    <col min="12805" max="12805" width="11.85546875" style="65" customWidth="1"/>
    <col min="12806" max="13045" width="9.140625" style="65" customWidth="1"/>
    <col min="13046" max="13046" width="38" style="65" customWidth="1"/>
    <col min="13047" max="13060" width="10.5703125" style="65" customWidth="1"/>
    <col min="13061" max="13061" width="11.85546875" style="65" customWidth="1"/>
    <col min="13062" max="13301" width="9.140625" style="65" customWidth="1"/>
    <col min="13302" max="13302" width="38" style="65" customWidth="1"/>
    <col min="13303" max="13316" width="10.5703125" style="65" customWidth="1"/>
    <col min="13317" max="13317" width="11.85546875" style="65" customWidth="1"/>
    <col min="13318" max="13557" width="9.140625" style="65" customWidth="1"/>
    <col min="13558" max="13558" width="38" style="65" customWidth="1"/>
    <col min="13559" max="13572" width="10.5703125" style="65" customWidth="1"/>
    <col min="13573" max="13573" width="11.85546875" style="65" customWidth="1"/>
    <col min="13574" max="13813" width="9.140625" style="65" customWidth="1"/>
    <col min="13814" max="13814" width="38" style="65" customWidth="1"/>
    <col min="13815" max="13828" width="10.5703125" style="65" customWidth="1"/>
    <col min="13829" max="13829" width="11.85546875" style="65" customWidth="1"/>
    <col min="13830" max="14069" width="9.140625" style="65" customWidth="1"/>
    <col min="14070" max="14070" width="38" style="65" customWidth="1"/>
    <col min="14071" max="14084" width="10.5703125" style="65" customWidth="1"/>
    <col min="14085" max="14085" width="11.85546875" style="65" customWidth="1"/>
    <col min="14086" max="14325" width="9.140625" style="65" customWidth="1"/>
    <col min="14326" max="14326" width="38" style="65" customWidth="1"/>
    <col min="14327" max="14340" width="10.5703125" style="65" customWidth="1"/>
    <col min="14341" max="14341" width="11.85546875" style="65" customWidth="1"/>
    <col min="14342" max="14581" width="9.140625" style="65" customWidth="1"/>
    <col min="14582" max="14582" width="38" style="65" customWidth="1"/>
    <col min="14583" max="14596" width="10.5703125" style="65" customWidth="1"/>
    <col min="14597" max="14597" width="11.85546875" style="65" customWidth="1"/>
    <col min="14598" max="14837" width="9.140625" style="65" customWidth="1"/>
    <col min="14838" max="14838" width="38" style="65" customWidth="1"/>
    <col min="14839" max="14852" width="10.5703125" style="65" customWidth="1"/>
    <col min="14853" max="14853" width="11.85546875" style="65" customWidth="1"/>
    <col min="14854" max="15093" width="9.140625" style="65" customWidth="1"/>
    <col min="15094" max="15094" width="38" style="65" customWidth="1"/>
    <col min="15095" max="15108" width="10.5703125" style="65" customWidth="1"/>
    <col min="15109" max="15109" width="11.85546875" style="65" customWidth="1"/>
    <col min="15110" max="15349" width="9.140625" style="65" customWidth="1"/>
    <col min="15350" max="15350" width="38" style="65" customWidth="1"/>
    <col min="15351" max="15364" width="10.5703125" style="65" customWidth="1"/>
    <col min="15365" max="15365" width="11.85546875" style="65" customWidth="1"/>
    <col min="15366" max="15605" width="9.140625" style="65" customWidth="1"/>
    <col min="15606" max="15606" width="38" style="65" customWidth="1"/>
    <col min="15607" max="15620" width="10.5703125" style="65" customWidth="1"/>
    <col min="15621" max="15621" width="11.85546875" style="65" customWidth="1"/>
    <col min="15622" max="15861" width="9.140625" style="65" customWidth="1"/>
    <col min="15862" max="15862" width="38" style="65" customWidth="1"/>
    <col min="15863" max="15876" width="10.5703125" style="65" customWidth="1"/>
    <col min="15877" max="15877" width="11.85546875" style="65" customWidth="1"/>
    <col min="15878" max="16117" width="9.140625" style="65" customWidth="1"/>
    <col min="16118" max="16118" width="38" style="65" customWidth="1"/>
    <col min="16119" max="16132" width="10.5703125" style="65" customWidth="1"/>
    <col min="16133" max="16133" width="11.85546875" style="65" customWidth="1"/>
    <col min="16134" max="16384" width="9.140625" style="65" customWidth="1"/>
  </cols>
  <sheetData>
    <row r="1" spans="1:6" ht="12.6" customHeight="1" x14ac:dyDescent="0.2">
      <c r="A1" s="69" t="s">
        <v>361</v>
      </c>
      <c r="B1" s="73" t="s">
        <v>381</v>
      </c>
      <c r="C1" s="69" t="s">
        <v>442</v>
      </c>
      <c r="D1" s="69" t="s">
        <v>443</v>
      </c>
      <c r="E1" s="70" t="s">
        <v>368</v>
      </c>
      <c r="F1" s="163" t="s">
        <v>382</v>
      </c>
    </row>
    <row r="2" spans="1:6" ht="15" customHeight="1" x14ac:dyDescent="0.2">
      <c r="A2" s="66" t="s">
        <v>369</v>
      </c>
      <c r="B2" s="72">
        <v>15</v>
      </c>
      <c r="C2" s="67"/>
      <c r="D2" s="67">
        <v>210</v>
      </c>
      <c r="E2" s="68">
        <f>C2+D2</f>
        <v>210</v>
      </c>
      <c r="F2" s="65">
        <f>E2/B2</f>
        <v>14</v>
      </c>
    </row>
    <row r="3" spans="1:6" ht="15" customHeight="1" x14ac:dyDescent="0.2">
      <c r="A3" s="66" t="s">
        <v>31</v>
      </c>
      <c r="B3" s="72">
        <v>20</v>
      </c>
      <c r="C3" s="67"/>
      <c r="D3" s="67">
        <v>140</v>
      </c>
      <c r="E3" s="68">
        <f t="shared" ref="E3:E14" si="0">C3+D3</f>
        <v>140</v>
      </c>
      <c r="F3" s="65">
        <f t="shared" ref="F3:F13" si="1">E3/B3</f>
        <v>7</v>
      </c>
    </row>
    <row r="4" spans="1:6" ht="15" customHeight="1" x14ac:dyDescent="0.2">
      <c r="A4" s="66" t="s">
        <v>370</v>
      </c>
      <c r="B4" s="72">
        <v>25</v>
      </c>
      <c r="C4" s="67">
        <v>25</v>
      </c>
      <c r="D4" s="67">
        <v>25</v>
      </c>
      <c r="E4" s="68">
        <f t="shared" si="0"/>
        <v>50</v>
      </c>
      <c r="F4" s="65">
        <f t="shared" si="1"/>
        <v>2</v>
      </c>
    </row>
    <row r="5" spans="1:6" ht="15" customHeight="1" x14ac:dyDescent="0.2">
      <c r="A5" s="66" t="s">
        <v>371</v>
      </c>
      <c r="B5" s="72">
        <v>22</v>
      </c>
      <c r="C5" s="67"/>
      <c r="D5" s="67">
        <v>154</v>
      </c>
      <c r="E5" s="68">
        <f t="shared" si="0"/>
        <v>154</v>
      </c>
      <c r="F5" s="65">
        <f t="shared" si="1"/>
        <v>7</v>
      </c>
    </row>
    <row r="6" spans="1:6" ht="15" customHeight="1" x14ac:dyDescent="0.2">
      <c r="A6" s="66" t="s">
        <v>372</v>
      </c>
      <c r="B6" s="72">
        <v>22</v>
      </c>
      <c r="C6" s="67"/>
      <c r="D6" s="67">
        <v>132</v>
      </c>
      <c r="E6" s="68">
        <f t="shared" si="0"/>
        <v>132</v>
      </c>
      <c r="F6" s="65">
        <f t="shared" si="1"/>
        <v>6</v>
      </c>
    </row>
    <row r="7" spans="1:6" ht="15" customHeight="1" x14ac:dyDescent="0.2">
      <c r="A7" s="66" t="s">
        <v>373</v>
      </c>
      <c r="B7" s="72">
        <v>22</v>
      </c>
      <c r="C7" s="67"/>
      <c r="D7" s="67"/>
      <c r="E7" s="68">
        <f t="shared" si="0"/>
        <v>0</v>
      </c>
      <c r="F7" s="65">
        <f t="shared" si="1"/>
        <v>0</v>
      </c>
    </row>
    <row r="8" spans="1:6" ht="15" customHeight="1" x14ac:dyDescent="0.2">
      <c r="A8" s="66" t="s">
        <v>374</v>
      </c>
      <c r="B8" s="72">
        <v>22</v>
      </c>
      <c r="C8" s="67"/>
      <c r="D8" s="67">
        <v>154</v>
      </c>
      <c r="E8" s="68">
        <f t="shared" si="0"/>
        <v>154</v>
      </c>
      <c r="F8" s="65">
        <f t="shared" si="1"/>
        <v>7</v>
      </c>
    </row>
    <row r="9" spans="1:6" ht="15" customHeight="1" x14ac:dyDescent="0.2">
      <c r="A9" s="66" t="s">
        <v>375</v>
      </c>
      <c r="B9" s="72">
        <v>15</v>
      </c>
      <c r="C9" s="67"/>
      <c r="D9" s="67">
        <v>270</v>
      </c>
      <c r="E9" s="68">
        <f t="shared" si="0"/>
        <v>270</v>
      </c>
      <c r="F9" s="65">
        <f t="shared" si="1"/>
        <v>18</v>
      </c>
    </row>
    <row r="10" spans="1:6" ht="15" customHeight="1" x14ac:dyDescent="0.2">
      <c r="A10" s="66" t="s">
        <v>376</v>
      </c>
      <c r="B10" s="72">
        <v>15</v>
      </c>
      <c r="C10" s="67"/>
      <c r="D10" s="67"/>
      <c r="E10" s="68">
        <f t="shared" si="0"/>
        <v>0</v>
      </c>
      <c r="F10" s="65">
        <f t="shared" si="1"/>
        <v>0</v>
      </c>
    </row>
    <row r="11" spans="1:6" ht="15" customHeight="1" x14ac:dyDescent="0.2">
      <c r="A11" s="66" t="s">
        <v>377</v>
      </c>
      <c r="B11" s="72">
        <v>25</v>
      </c>
      <c r="C11" s="67"/>
      <c r="D11" s="67">
        <v>175</v>
      </c>
      <c r="E11" s="68">
        <f t="shared" si="0"/>
        <v>175</v>
      </c>
      <c r="F11" s="65">
        <f t="shared" si="1"/>
        <v>7</v>
      </c>
    </row>
    <row r="12" spans="1:6" ht="15" customHeight="1" x14ac:dyDescent="0.2">
      <c r="A12" s="66" t="s">
        <v>378</v>
      </c>
      <c r="B12" s="72">
        <v>25</v>
      </c>
      <c r="C12" s="67"/>
      <c r="D12" s="67">
        <v>175</v>
      </c>
      <c r="E12" s="68">
        <f t="shared" si="0"/>
        <v>175</v>
      </c>
      <c r="F12" s="65">
        <f t="shared" si="1"/>
        <v>7</v>
      </c>
    </row>
    <row r="13" spans="1:6" ht="15" customHeight="1" x14ac:dyDescent="0.2">
      <c r="A13" s="66" t="s">
        <v>379</v>
      </c>
      <c r="B13" s="72">
        <v>1</v>
      </c>
      <c r="C13" s="67"/>
      <c r="D13" s="67"/>
      <c r="E13" s="68">
        <f t="shared" si="0"/>
        <v>0</v>
      </c>
      <c r="F13" s="65">
        <f t="shared" si="1"/>
        <v>0</v>
      </c>
    </row>
    <row r="14" spans="1:6" ht="15" customHeight="1" x14ac:dyDescent="0.2">
      <c r="A14" s="71" t="s">
        <v>380</v>
      </c>
      <c r="B14" s="159"/>
      <c r="C14" s="68">
        <v>25</v>
      </c>
      <c r="D14" s="68">
        <v>1435</v>
      </c>
      <c r="E14" s="68">
        <f t="shared" si="0"/>
        <v>1460</v>
      </c>
      <c r="F14" s="65">
        <f>SUM(F2:F13)</f>
        <v>75</v>
      </c>
    </row>
  </sheetData>
  <printOptions gridLines="1" gridLinesSet="0"/>
  <pageMargins left="0.75" right="0.75" top="1" bottom="1" header="0.5" footer="0.5"/>
  <pageSetup fitToWidth="0" fitToHeight="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4"/>
  <sheetViews>
    <sheetView workbookViewId="0">
      <selection activeCell="E6" sqref="E6"/>
    </sheetView>
  </sheetViews>
  <sheetFormatPr baseColWidth="10" defaultRowHeight="12.75" x14ac:dyDescent="0.2"/>
  <cols>
    <col min="1" max="1" width="38" style="65" customWidth="1"/>
    <col min="2" max="2" width="16.140625" style="160" customWidth="1"/>
    <col min="3" max="8" width="10.5703125" style="65" customWidth="1"/>
    <col min="9" max="9" width="11.85546875" style="65" customWidth="1"/>
    <col min="10" max="243" width="9.140625" style="65" customWidth="1"/>
    <col min="244" max="244" width="38" style="65" customWidth="1"/>
    <col min="245" max="264" width="10.5703125" style="65" customWidth="1"/>
    <col min="265" max="265" width="11.85546875" style="65" customWidth="1"/>
    <col min="266" max="499" width="9.140625" style="65" customWidth="1"/>
    <col min="500" max="500" width="38" style="65" customWidth="1"/>
    <col min="501" max="520" width="10.5703125" style="65" customWidth="1"/>
    <col min="521" max="521" width="11.85546875" style="65" customWidth="1"/>
    <col min="522" max="755" width="9.140625" style="65" customWidth="1"/>
    <col min="756" max="756" width="38" style="65" customWidth="1"/>
    <col min="757" max="776" width="10.5703125" style="65" customWidth="1"/>
    <col min="777" max="777" width="11.85546875" style="65" customWidth="1"/>
    <col min="778" max="1011" width="9.140625" style="65" customWidth="1"/>
    <col min="1012" max="1012" width="38" style="65" customWidth="1"/>
    <col min="1013" max="1032" width="10.5703125" style="65" customWidth="1"/>
    <col min="1033" max="1033" width="11.85546875" style="65" customWidth="1"/>
    <col min="1034" max="1267" width="9.140625" style="65" customWidth="1"/>
    <col min="1268" max="1268" width="38" style="65" customWidth="1"/>
    <col min="1269" max="1288" width="10.5703125" style="65" customWidth="1"/>
    <col min="1289" max="1289" width="11.85546875" style="65" customWidth="1"/>
    <col min="1290" max="1523" width="9.140625" style="65" customWidth="1"/>
    <col min="1524" max="1524" width="38" style="65" customWidth="1"/>
    <col min="1525" max="1544" width="10.5703125" style="65" customWidth="1"/>
    <col min="1545" max="1545" width="11.85546875" style="65" customWidth="1"/>
    <col min="1546" max="1779" width="9.140625" style="65" customWidth="1"/>
    <col min="1780" max="1780" width="38" style="65" customWidth="1"/>
    <col min="1781" max="1800" width="10.5703125" style="65" customWidth="1"/>
    <col min="1801" max="1801" width="11.85546875" style="65" customWidth="1"/>
    <col min="1802" max="2035" width="9.140625" style="65" customWidth="1"/>
    <col min="2036" max="2036" width="38" style="65" customWidth="1"/>
    <col min="2037" max="2056" width="10.5703125" style="65" customWidth="1"/>
    <col min="2057" max="2057" width="11.85546875" style="65" customWidth="1"/>
    <col min="2058" max="2291" width="9.140625" style="65" customWidth="1"/>
    <col min="2292" max="2292" width="38" style="65" customWidth="1"/>
    <col min="2293" max="2312" width="10.5703125" style="65" customWidth="1"/>
    <col min="2313" max="2313" width="11.85546875" style="65" customWidth="1"/>
    <col min="2314" max="2547" width="9.140625" style="65" customWidth="1"/>
    <col min="2548" max="2548" width="38" style="65" customWidth="1"/>
    <col min="2549" max="2568" width="10.5703125" style="65" customWidth="1"/>
    <col min="2569" max="2569" width="11.85546875" style="65" customWidth="1"/>
    <col min="2570" max="2803" width="9.140625" style="65" customWidth="1"/>
    <col min="2804" max="2804" width="38" style="65" customWidth="1"/>
    <col min="2805" max="2824" width="10.5703125" style="65" customWidth="1"/>
    <col min="2825" max="2825" width="11.85546875" style="65" customWidth="1"/>
    <col min="2826" max="3059" width="9.140625" style="65" customWidth="1"/>
    <col min="3060" max="3060" width="38" style="65" customWidth="1"/>
    <col min="3061" max="3080" width="10.5703125" style="65" customWidth="1"/>
    <col min="3081" max="3081" width="11.85546875" style="65" customWidth="1"/>
    <col min="3082" max="3315" width="9.140625" style="65" customWidth="1"/>
    <col min="3316" max="3316" width="38" style="65" customWidth="1"/>
    <col min="3317" max="3336" width="10.5703125" style="65" customWidth="1"/>
    <col min="3337" max="3337" width="11.85546875" style="65" customWidth="1"/>
    <col min="3338" max="3571" width="9.140625" style="65" customWidth="1"/>
    <col min="3572" max="3572" width="38" style="65" customWidth="1"/>
    <col min="3573" max="3592" width="10.5703125" style="65" customWidth="1"/>
    <col min="3593" max="3593" width="11.85546875" style="65" customWidth="1"/>
    <col min="3594" max="3827" width="9.140625" style="65" customWidth="1"/>
    <col min="3828" max="3828" width="38" style="65" customWidth="1"/>
    <col min="3829" max="3848" width="10.5703125" style="65" customWidth="1"/>
    <col min="3849" max="3849" width="11.85546875" style="65" customWidth="1"/>
    <col min="3850" max="4083" width="9.140625" style="65" customWidth="1"/>
    <col min="4084" max="4084" width="38" style="65" customWidth="1"/>
    <col min="4085" max="4104" width="10.5703125" style="65" customWidth="1"/>
    <col min="4105" max="4105" width="11.85546875" style="65" customWidth="1"/>
    <col min="4106" max="4339" width="9.140625" style="65" customWidth="1"/>
    <col min="4340" max="4340" width="38" style="65" customWidth="1"/>
    <col min="4341" max="4360" width="10.5703125" style="65" customWidth="1"/>
    <col min="4361" max="4361" width="11.85546875" style="65" customWidth="1"/>
    <col min="4362" max="4595" width="9.140625" style="65" customWidth="1"/>
    <col min="4596" max="4596" width="38" style="65" customWidth="1"/>
    <col min="4597" max="4616" width="10.5703125" style="65" customWidth="1"/>
    <col min="4617" max="4617" width="11.85546875" style="65" customWidth="1"/>
    <col min="4618" max="4851" width="9.140625" style="65" customWidth="1"/>
    <col min="4852" max="4852" width="38" style="65" customWidth="1"/>
    <col min="4853" max="4872" width="10.5703125" style="65" customWidth="1"/>
    <col min="4873" max="4873" width="11.85546875" style="65" customWidth="1"/>
    <col min="4874" max="5107" width="9.140625" style="65" customWidth="1"/>
    <col min="5108" max="5108" width="38" style="65" customWidth="1"/>
    <col min="5109" max="5128" width="10.5703125" style="65" customWidth="1"/>
    <col min="5129" max="5129" width="11.85546875" style="65" customWidth="1"/>
    <col min="5130" max="5363" width="9.140625" style="65" customWidth="1"/>
    <col min="5364" max="5364" width="38" style="65" customWidth="1"/>
    <col min="5365" max="5384" width="10.5703125" style="65" customWidth="1"/>
    <col min="5385" max="5385" width="11.85546875" style="65" customWidth="1"/>
    <col min="5386" max="5619" width="9.140625" style="65" customWidth="1"/>
    <col min="5620" max="5620" width="38" style="65" customWidth="1"/>
    <col min="5621" max="5640" width="10.5703125" style="65" customWidth="1"/>
    <col min="5641" max="5641" width="11.85546875" style="65" customWidth="1"/>
    <col min="5642" max="5875" width="9.140625" style="65" customWidth="1"/>
    <col min="5876" max="5876" width="38" style="65" customWidth="1"/>
    <col min="5877" max="5896" width="10.5703125" style="65" customWidth="1"/>
    <col min="5897" max="5897" width="11.85546875" style="65" customWidth="1"/>
    <col min="5898" max="6131" width="9.140625" style="65" customWidth="1"/>
    <col min="6132" max="6132" width="38" style="65" customWidth="1"/>
    <col min="6133" max="6152" width="10.5703125" style="65" customWidth="1"/>
    <col min="6153" max="6153" width="11.85546875" style="65" customWidth="1"/>
    <col min="6154" max="6387" width="9.140625" style="65" customWidth="1"/>
    <col min="6388" max="6388" width="38" style="65" customWidth="1"/>
    <col min="6389" max="6408" width="10.5703125" style="65" customWidth="1"/>
    <col min="6409" max="6409" width="11.85546875" style="65" customWidth="1"/>
    <col min="6410" max="6643" width="9.140625" style="65" customWidth="1"/>
    <col min="6644" max="6644" width="38" style="65" customWidth="1"/>
    <col min="6645" max="6664" width="10.5703125" style="65" customWidth="1"/>
    <col min="6665" max="6665" width="11.85546875" style="65" customWidth="1"/>
    <col min="6666" max="6899" width="9.140625" style="65" customWidth="1"/>
    <col min="6900" max="6900" width="38" style="65" customWidth="1"/>
    <col min="6901" max="6920" width="10.5703125" style="65" customWidth="1"/>
    <col min="6921" max="6921" width="11.85546875" style="65" customWidth="1"/>
    <col min="6922" max="7155" width="9.140625" style="65" customWidth="1"/>
    <col min="7156" max="7156" width="38" style="65" customWidth="1"/>
    <col min="7157" max="7176" width="10.5703125" style="65" customWidth="1"/>
    <col min="7177" max="7177" width="11.85546875" style="65" customWidth="1"/>
    <col min="7178" max="7411" width="9.140625" style="65" customWidth="1"/>
    <col min="7412" max="7412" width="38" style="65" customWidth="1"/>
    <col min="7413" max="7432" width="10.5703125" style="65" customWidth="1"/>
    <col min="7433" max="7433" width="11.85546875" style="65" customWidth="1"/>
    <col min="7434" max="7667" width="9.140625" style="65" customWidth="1"/>
    <col min="7668" max="7668" width="38" style="65" customWidth="1"/>
    <col min="7669" max="7688" width="10.5703125" style="65" customWidth="1"/>
    <col min="7689" max="7689" width="11.85546875" style="65" customWidth="1"/>
    <col min="7690" max="7923" width="9.140625" style="65" customWidth="1"/>
    <col min="7924" max="7924" width="38" style="65" customWidth="1"/>
    <col min="7925" max="7944" width="10.5703125" style="65" customWidth="1"/>
    <col min="7945" max="7945" width="11.85546875" style="65" customWidth="1"/>
    <col min="7946" max="8179" width="9.140625" style="65" customWidth="1"/>
    <col min="8180" max="8180" width="38" style="65" customWidth="1"/>
    <col min="8181" max="8200" width="10.5703125" style="65" customWidth="1"/>
    <col min="8201" max="8201" width="11.85546875" style="65" customWidth="1"/>
    <col min="8202" max="8435" width="9.140625" style="65" customWidth="1"/>
    <col min="8436" max="8436" width="38" style="65" customWidth="1"/>
    <col min="8437" max="8456" width="10.5703125" style="65" customWidth="1"/>
    <col min="8457" max="8457" width="11.85546875" style="65" customWidth="1"/>
    <col min="8458" max="8691" width="9.140625" style="65" customWidth="1"/>
    <col min="8692" max="8692" width="38" style="65" customWidth="1"/>
    <col min="8693" max="8712" width="10.5703125" style="65" customWidth="1"/>
    <col min="8713" max="8713" width="11.85546875" style="65" customWidth="1"/>
    <col min="8714" max="8947" width="9.140625" style="65" customWidth="1"/>
    <col min="8948" max="8948" width="38" style="65" customWidth="1"/>
    <col min="8949" max="8968" width="10.5703125" style="65" customWidth="1"/>
    <col min="8969" max="8969" width="11.85546875" style="65" customWidth="1"/>
    <col min="8970" max="9203" width="9.140625" style="65" customWidth="1"/>
    <col min="9204" max="9204" width="38" style="65" customWidth="1"/>
    <col min="9205" max="9224" width="10.5703125" style="65" customWidth="1"/>
    <col min="9225" max="9225" width="11.85546875" style="65" customWidth="1"/>
    <col min="9226" max="9459" width="9.140625" style="65" customWidth="1"/>
    <col min="9460" max="9460" width="38" style="65" customWidth="1"/>
    <col min="9461" max="9480" width="10.5703125" style="65" customWidth="1"/>
    <col min="9481" max="9481" width="11.85546875" style="65" customWidth="1"/>
    <col min="9482" max="9715" width="9.140625" style="65" customWidth="1"/>
    <col min="9716" max="9716" width="38" style="65" customWidth="1"/>
    <col min="9717" max="9736" width="10.5703125" style="65" customWidth="1"/>
    <col min="9737" max="9737" width="11.85546875" style="65" customWidth="1"/>
    <col min="9738" max="9971" width="9.140625" style="65" customWidth="1"/>
    <col min="9972" max="9972" width="38" style="65" customWidth="1"/>
    <col min="9973" max="9992" width="10.5703125" style="65" customWidth="1"/>
    <col min="9993" max="9993" width="11.85546875" style="65" customWidth="1"/>
    <col min="9994" max="10227" width="9.140625" style="65" customWidth="1"/>
    <col min="10228" max="10228" width="38" style="65" customWidth="1"/>
    <col min="10229" max="10248" width="10.5703125" style="65" customWidth="1"/>
    <col min="10249" max="10249" width="11.85546875" style="65" customWidth="1"/>
    <col min="10250" max="10483" width="9.140625" style="65" customWidth="1"/>
    <col min="10484" max="10484" width="38" style="65" customWidth="1"/>
    <col min="10485" max="10504" width="10.5703125" style="65" customWidth="1"/>
    <col min="10505" max="10505" width="11.85546875" style="65" customWidth="1"/>
    <col min="10506" max="10739" width="9.140625" style="65" customWidth="1"/>
    <col min="10740" max="10740" width="38" style="65" customWidth="1"/>
    <col min="10741" max="10760" width="10.5703125" style="65" customWidth="1"/>
    <col min="10761" max="10761" width="11.85546875" style="65" customWidth="1"/>
    <col min="10762" max="10995" width="9.140625" style="65" customWidth="1"/>
    <col min="10996" max="10996" width="38" style="65" customWidth="1"/>
    <col min="10997" max="11016" width="10.5703125" style="65" customWidth="1"/>
    <col min="11017" max="11017" width="11.85546875" style="65" customWidth="1"/>
    <col min="11018" max="11251" width="9.140625" style="65" customWidth="1"/>
    <col min="11252" max="11252" width="38" style="65" customWidth="1"/>
    <col min="11253" max="11272" width="10.5703125" style="65" customWidth="1"/>
    <col min="11273" max="11273" width="11.85546875" style="65" customWidth="1"/>
    <col min="11274" max="11507" width="9.140625" style="65" customWidth="1"/>
    <col min="11508" max="11508" width="38" style="65" customWidth="1"/>
    <col min="11509" max="11528" width="10.5703125" style="65" customWidth="1"/>
    <col min="11529" max="11529" width="11.85546875" style="65" customWidth="1"/>
    <col min="11530" max="11763" width="9.140625" style="65" customWidth="1"/>
    <col min="11764" max="11764" width="38" style="65" customWidth="1"/>
    <col min="11765" max="11784" width="10.5703125" style="65" customWidth="1"/>
    <col min="11785" max="11785" width="11.85546875" style="65" customWidth="1"/>
    <col min="11786" max="12019" width="9.140625" style="65" customWidth="1"/>
    <col min="12020" max="12020" width="38" style="65" customWidth="1"/>
    <col min="12021" max="12040" width="10.5703125" style="65" customWidth="1"/>
    <col min="12041" max="12041" width="11.85546875" style="65" customWidth="1"/>
    <col min="12042" max="12275" width="9.140625" style="65" customWidth="1"/>
    <col min="12276" max="12276" width="38" style="65" customWidth="1"/>
    <col min="12277" max="12296" width="10.5703125" style="65" customWidth="1"/>
    <col min="12297" max="12297" width="11.85546875" style="65" customWidth="1"/>
    <col min="12298" max="12531" width="9.140625" style="65" customWidth="1"/>
    <col min="12532" max="12532" width="38" style="65" customWidth="1"/>
    <col min="12533" max="12552" width="10.5703125" style="65" customWidth="1"/>
    <col min="12553" max="12553" width="11.85546875" style="65" customWidth="1"/>
    <col min="12554" max="12787" width="9.140625" style="65" customWidth="1"/>
    <col min="12788" max="12788" width="38" style="65" customWidth="1"/>
    <col min="12789" max="12808" width="10.5703125" style="65" customWidth="1"/>
    <col min="12809" max="12809" width="11.85546875" style="65" customWidth="1"/>
    <col min="12810" max="13043" width="9.140625" style="65" customWidth="1"/>
    <col min="13044" max="13044" width="38" style="65" customWidth="1"/>
    <col min="13045" max="13064" width="10.5703125" style="65" customWidth="1"/>
    <col min="13065" max="13065" width="11.85546875" style="65" customWidth="1"/>
    <col min="13066" max="13299" width="9.140625" style="65" customWidth="1"/>
    <col min="13300" max="13300" width="38" style="65" customWidth="1"/>
    <col min="13301" max="13320" width="10.5703125" style="65" customWidth="1"/>
    <col min="13321" max="13321" width="11.85546875" style="65" customWidth="1"/>
    <col min="13322" max="13555" width="9.140625" style="65" customWidth="1"/>
    <col min="13556" max="13556" width="38" style="65" customWidth="1"/>
    <col min="13557" max="13576" width="10.5703125" style="65" customWidth="1"/>
    <col min="13577" max="13577" width="11.85546875" style="65" customWidth="1"/>
    <col min="13578" max="13811" width="9.140625" style="65" customWidth="1"/>
    <col min="13812" max="13812" width="38" style="65" customWidth="1"/>
    <col min="13813" max="13832" width="10.5703125" style="65" customWidth="1"/>
    <col min="13833" max="13833" width="11.85546875" style="65" customWidth="1"/>
    <col min="13834" max="14067" width="9.140625" style="65" customWidth="1"/>
    <col min="14068" max="14068" width="38" style="65" customWidth="1"/>
    <col min="14069" max="14088" width="10.5703125" style="65" customWidth="1"/>
    <col min="14089" max="14089" width="11.85546875" style="65" customWidth="1"/>
    <col min="14090" max="14323" width="9.140625" style="65" customWidth="1"/>
    <col min="14324" max="14324" width="38" style="65" customWidth="1"/>
    <col min="14325" max="14344" width="10.5703125" style="65" customWidth="1"/>
    <col min="14345" max="14345" width="11.85546875" style="65" customWidth="1"/>
    <col min="14346" max="14579" width="9.140625" style="65" customWidth="1"/>
    <col min="14580" max="14580" width="38" style="65" customWidth="1"/>
    <col min="14581" max="14600" width="10.5703125" style="65" customWidth="1"/>
    <col min="14601" max="14601" width="11.85546875" style="65" customWidth="1"/>
    <col min="14602" max="14835" width="9.140625" style="65" customWidth="1"/>
    <col min="14836" max="14836" width="38" style="65" customWidth="1"/>
    <col min="14837" max="14856" width="10.5703125" style="65" customWidth="1"/>
    <col min="14857" max="14857" width="11.85546875" style="65" customWidth="1"/>
    <col min="14858" max="15091" width="9.140625" style="65" customWidth="1"/>
    <col min="15092" max="15092" width="38" style="65" customWidth="1"/>
    <col min="15093" max="15112" width="10.5703125" style="65" customWidth="1"/>
    <col min="15113" max="15113" width="11.85546875" style="65" customWidth="1"/>
    <col min="15114" max="15347" width="9.140625" style="65" customWidth="1"/>
    <col min="15348" max="15348" width="38" style="65" customWidth="1"/>
    <col min="15349" max="15368" width="10.5703125" style="65" customWidth="1"/>
    <col min="15369" max="15369" width="11.85546875" style="65" customWidth="1"/>
    <col min="15370" max="15603" width="9.140625" style="65" customWidth="1"/>
    <col min="15604" max="15604" width="38" style="65" customWidth="1"/>
    <col min="15605" max="15624" width="10.5703125" style="65" customWidth="1"/>
    <col min="15625" max="15625" width="11.85546875" style="65" customWidth="1"/>
    <col min="15626" max="15859" width="9.140625" style="65" customWidth="1"/>
    <col min="15860" max="15860" width="38" style="65" customWidth="1"/>
    <col min="15861" max="15880" width="10.5703125" style="65" customWidth="1"/>
    <col min="15881" max="15881" width="11.85546875" style="65" customWidth="1"/>
    <col min="15882" max="16115" width="9.140625" style="65" customWidth="1"/>
    <col min="16116" max="16116" width="38" style="65" customWidth="1"/>
    <col min="16117" max="16136" width="10.5703125" style="65" customWidth="1"/>
    <col min="16137" max="16137" width="11.85546875" style="65" customWidth="1"/>
    <col min="16138" max="16384" width="9.140625" style="65" customWidth="1"/>
  </cols>
  <sheetData>
    <row r="1" spans="1:10" ht="12.6" customHeight="1" x14ac:dyDescent="0.2">
      <c r="A1" s="69" t="s">
        <v>361</v>
      </c>
      <c r="B1" s="73" t="s">
        <v>381</v>
      </c>
      <c r="C1" s="69" t="s">
        <v>444</v>
      </c>
      <c r="D1" s="69" t="s">
        <v>445</v>
      </c>
      <c r="E1" s="69" t="s">
        <v>446</v>
      </c>
      <c r="F1" s="69" t="s">
        <v>447</v>
      </c>
      <c r="G1" s="69" t="s">
        <v>448</v>
      </c>
      <c r="H1" s="69" t="s">
        <v>449</v>
      </c>
      <c r="I1" s="70" t="s">
        <v>368</v>
      </c>
      <c r="J1" s="65" t="s">
        <v>382</v>
      </c>
    </row>
    <row r="2" spans="1:10" ht="15" customHeight="1" x14ac:dyDescent="0.2">
      <c r="A2" s="66" t="s">
        <v>369</v>
      </c>
      <c r="B2" s="72">
        <v>15</v>
      </c>
      <c r="C2" s="67"/>
      <c r="D2" s="67">
        <v>90</v>
      </c>
      <c r="E2" s="67">
        <v>1230</v>
      </c>
      <c r="F2" s="67">
        <v>60</v>
      </c>
      <c r="G2" s="67"/>
      <c r="H2" s="67"/>
      <c r="I2" s="68">
        <f>C2+D2+E2+F2+G2+H2</f>
        <v>1380</v>
      </c>
      <c r="J2" s="65">
        <f>I2/B2</f>
        <v>92</v>
      </c>
    </row>
    <row r="3" spans="1:10" ht="15" customHeight="1" x14ac:dyDescent="0.2">
      <c r="A3" s="66" t="s">
        <v>31</v>
      </c>
      <c r="B3" s="72">
        <v>20</v>
      </c>
      <c r="C3" s="67"/>
      <c r="D3" s="67"/>
      <c r="E3" s="67"/>
      <c r="F3" s="67"/>
      <c r="G3" s="67"/>
      <c r="H3" s="67"/>
      <c r="I3" s="68">
        <f t="shared" ref="I3:I14" si="0">C3+D3+E3+F3+G3+H3</f>
        <v>0</v>
      </c>
      <c r="J3" s="65">
        <f t="shared" ref="J3:J13" si="1">I3/B3</f>
        <v>0</v>
      </c>
    </row>
    <row r="4" spans="1:10" ht="15" customHeight="1" x14ac:dyDescent="0.2">
      <c r="A4" s="66" t="s">
        <v>370</v>
      </c>
      <c r="B4" s="72">
        <v>25</v>
      </c>
      <c r="C4" s="67">
        <v>100</v>
      </c>
      <c r="D4" s="67"/>
      <c r="E4" s="67">
        <v>575</v>
      </c>
      <c r="F4" s="67">
        <v>275</v>
      </c>
      <c r="G4" s="67">
        <v>100</v>
      </c>
      <c r="H4" s="67">
        <v>525</v>
      </c>
      <c r="I4" s="68">
        <f t="shared" si="0"/>
        <v>1575</v>
      </c>
      <c r="J4" s="65">
        <f t="shared" si="1"/>
        <v>63</v>
      </c>
    </row>
    <row r="5" spans="1:10" ht="15" customHeight="1" x14ac:dyDescent="0.2">
      <c r="A5" s="66" t="s">
        <v>371</v>
      </c>
      <c r="B5" s="72">
        <v>22</v>
      </c>
      <c r="C5" s="67"/>
      <c r="D5" s="67"/>
      <c r="E5" s="67">
        <v>22</v>
      </c>
      <c r="F5" s="67"/>
      <c r="G5" s="67"/>
      <c r="H5" s="67"/>
      <c r="I5" s="68">
        <f t="shared" si="0"/>
        <v>22</v>
      </c>
      <c r="J5" s="65">
        <f t="shared" si="1"/>
        <v>1</v>
      </c>
    </row>
    <row r="6" spans="1:10" ht="15" customHeight="1" x14ac:dyDescent="0.2">
      <c r="A6" s="66" t="s">
        <v>372</v>
      </c>
      <c r="B6" s="72">
        <v>22</v>
      </c>
      <c r="C6" s="67">
        <v>22</v>
      </c>
      <c r="D6" s="67"/>
      <c r="E6" s="67">
        <v>110</v>
      </c>
      <c r="F6" s="67"/>
      <c r="G6" s="67"/>
      <c r="H6" s="67"/>
      <c r="I6" s="68">
        <f t="shared" si="0"/>
        <v>132</v>
      </c>
      <c r="J6" s="65">
        <f t="shared" si="1"/>
        <v>6</v>
      </c>
    </row>
    <row r="7" spans="1:10" ht="15" customHeight="1" x14ac:dyDescent="0.2">
      <c r="A7" s="66" t="s">
        <v>373</v>
      </c>
      <c r="B7" s="72">
        <v>22</v>
      </c>
      <c r="C7" s="67"/>
      <c r="D7" s="67"/>
      <c r="E7" s="67"/>
      <c r="F7" s="67"/>
      <c r="G7" s="67"/>
      <c r="H7" s="67"/>
      <c r="I7" s="68">
        <f t="shared" si="0"/>
        <v>0</v>
      </c>
      <c r="J7" s="65">
        <f t="shared" si="1"/>
        <v>0</v>
      </c>
    </row>
    <row r="8" spans="1:10" ht="15" customHeight="1" x14ac:dyDescent="0.2">
      <c r="A8" s="66" t="s">
        <v>374</v>
      </c>
      <c r="B8" s="72">
        <v>22</v>
      </c>
      <c r="C8" s="67"/>
      <c r="D8" s="67"/>
      <c r="E8" s="67"/>
      <c r="F8" s="67"/>
      <c r="G8" s="67"/>
      <c r="H8" s="67"/>
      <c r="I8" s="68">
        <f t="shared" si="0"/>
        <v>0</v>
      </c>
      <c r="J8" s="65">
        <f t="shared" si="1"/>
        <v>0</v>
      </c>
    </row>
    <row r="9" spans="1:10" ht="15" customHeight="1" x14ac:dyDescent="0.2">
      <c r="A9" s="66" t="s">
        <v>375</v>
      </c>
      <c r="B9" s="72">
        <v>15</v>
      </c>
      <c r="C9" s="67"/>
      <c r="D9" s="67">
        <v>75</v>
      </c>
      <c r="E9" s="67">
        <v>120</v>
      </c>
      <c r="F9" s="67">
        <v>165</v>
      </c>
      <c r="G9" s="67">
        <v>30</v>
      </c>
      <c r="H9" s="67"/>
      <c r="I9" s="68">
        <f t="shared" si="0"/>
        <v>390</v>
      </c>
      <c r="J9" s="65">
        <f t="shared" si="1"/>
        <v>26</v>
      </c>
    </row>
    <row r="10" spans="1:10" ht="15" customHeight="1" x14ac:dyDescent="0.2">
      <c r="A10" s="66" t="s">
        <v>376</v>
      </c>
      <c r="B10" s="72">
        <v>15</v>
      </c>
      <c r="C10" s="67"/>
      <c r="D10" s="67"/>
      <c r="E10" s="67"/>
      <c r="F10" s="67"/>
      <c r="G10" s="67"/>
      <c r="H10" s="67"/>
      <c r="I10" s="68">
        <f t="shared" si="0"/>
        <v>0</v>
      </c>
      <c r="J10" s="65">
        <f t="shared" si="1"/>
        <v>0</v>
      </c>
    </row>
    <row r="11" spans="1:10" ht="15" customHeight="1" x14ac:dyDescent="0.2">
      <c r="A11" s="66" t="s">
        <v>377</v>
      </c>
      <c r="B11" s="72">
        <v>25</v>
      </c>
      <c r="C11" s="67"/>
      <c r="D11" s="67"/>
      <c r="E11" s="67">
        <v>25</v>
      </c>
      <c r="F11" s="67"/>
      <c r="G11" s="67"/>
      <c r="H11" s="67"/>
      <c r="I11" s="68">
        <f t="shared" si="0"/>
        <v>25</v>
      </c>
      <c r="J11" s="65">
        <f t="shared" si="1"/>
        <v>1</v>
      </c>
    </row>
    <row r="12" spans="1:10" ht="15" customHeight="1" x14ac:dyDescent="0.2">
      <c r="A12" s="66" t="s">
        <v>378</v>
      </c>
      <c r="B12" s="72">
        <v>25</v>
      </c>
      <c r="C12" s="67"/>
      <c r="D12" s="67"/>
      <c r="E12" s="67">
        <v>400</v>
      </c>
      <c r="F12" s="67">
        <v>25</v>
      </c>
      <c r="G12" s="67"/>
      <c r="H12" s="67"/>
      <c r="I12" s="68">
        <f t="shared" si="0"/>
        <v>425</v>
      </c>
      <c r="J12" s="65">
        <f t="shared" si="1"/>
        <v>17</v>
      </c>
    </row>
    <row r="13" spans="1:10" ht="15" customHeight="1" x14ac:dyDescent="0.2">
      <c r="A13" s="66" t="s">
        <v>379</v>
      </c>
      <c r="B13" s="72">
        <v>1</v>
      </c>
      <c r="C13" s="67"/>
      <c r="D13" s="67"/>
      <c r="E13" s="67"/>
      <c r="F13" s="67"/>
      <c r="G13" s="67"/>
      <c r="H13" s="67"/>
      <c r="I13" s="68">
        <f t="shared" si="0"/>
        <v>0</v>
      </c>
      <c r="J13" s="65">
        <f t="shared" si="1"/>
        <v>0</v>
      </c>
    </row>
    <row r="14" spans="1:10" ht="15" customHeight="1" x14ac:dyDescent="0.2">
      <c r="A14" s="71" t="s">
        <v>380</v>
      </c>
      <c r="B14" s="159"/>
      <c r="C14" s="68">
        <v>122</v>
      </c>
      <c r="D14" s="68">
        <v>165</v>
      </c>
      <c r="E14" s="68">
        <v>2482</v>
      </c>
      <c r="F14" s="68">
        <v>525</v>
      </c>
      <c r="G14" s="68">
        <v>130</v>
      </c>
      <c r="H14" s="68">
        <v>525</v>
      </c>
      <c r="I14" s="68">
        <f t="shared" si="0"/>
        <v>3949</v>
      </c>
      <c r="J14" s="65">
        <f>SUM(J2:J13)</f>
        <v>206</v>
      </c>
    </row>
  </sheetData>
  <printOptions gridLines="1" gridLinesSet="0"/>
  <pageMargins left="0.75" right="0.75" top="1" bottom="1" header="0.5" footer="0.5"/>
  <pageSetup fitToWidth="0" fitToHeight="0" orientation="portrait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4"/>
  <sheetViews>
    <sheetView workbookViewId="0">
      <selection activeCell="J24" sqref="J24"/>
    </sheetView>
  </sheetViews>
  <sheetFormatPr baseColWidth="10" defaultRowHeight="12.75" x14ac:dyDescent="0.2"/>
  <cols>
    <col min="1" max="1" width="38" style="175" customWidth="1"/>
    <col min="2" max="2" width="9.85546875" style="185" customWidth="1"/>
    <col min="3" max="4" width="10.5703125" style="175" customWidth="1"/>
    <col min="5" max="5" width="11.85546875" style="175" customWidth="1"/>
    <col min="6" max="237" width="9.140625" style="175" customWidth="1"/>
    <col min="238" max="238" width="38" style="175" customWidth="1"/>
    <col min="239" max="260" width="10.5703125" style="175" customWidth="1"/>
    <col min="261" max="261" width="11.85546875" style="175" customWidth="1"/>
    <col min="262" max="493" width="9.140625" style="175" customWidth="1"/>
    <col min="494" max="494" width="38" style="175" customWidth="1"/>
    <col min="495" max="516" width="10.5703125" style="175" customWidth="1"/>
    <col min="517" max="517" width="11.85546875" style="175" customWidth="1"/>
    <col min="518" max="749" width="9.140625" style="175" customWidth="1"/>
    <col min="750" max="750" width="38" style="175" customWidth="1"/>
    <col min="751" max="772" width="10.5703125" style="175" customWidth="1"/>
    <col min="773" max="773" width="11.85546875" style="175" customWidth="1"/>
    <col min="774" max="1005" width="9.140625" style="175" customWidth="1"/>
    <col min="1006" max="1006" width="38" style="175" customWidth="1"/>
    <col min="1007" max="1028" width="10.5703125" style="175" customWidth="1"/>
    <col min="1029" max="1029" width="11.85546875" style="175" customWidth="1"/>
    <col min="1030" max="1261" width="9.140625" style="175" customWidth="1"/>
    <col min="1262" max="1262" width="38" style="175" customWidth="1"/>
    <col min="1263" max="1284" width="10.5703125" style="175" customWidth="1"/>
    <col min="1285" max="1285" width="11.85546875" style="175" customWidth="1"/>
    <col min="1286" max="1517" width="9.140625" style="175" customWidth="1"/>
    <col min="1518" max="1518" width="38" style="175" customWidth="1"/>
    <col min="1519" max="1540" width="10.5703125" style="175" customWidth="1"/>
    <col min="1541" max="1541" width="11.85546875" style="175" customWidth="1"/>
    <col min="1542" max="1773" width="9.140625" style="175" customWidth="1"/>
    <col min="1774" max="1774" width="38" style="175" customWidth="1"/>
    <col min="1775" max="1796" width="10.5703125" style="175" customWidth="1"/>
    <col min="1797" max="1797" width="11.85546875" style="175" customWidth="1"/>
    <col min="1798" max="2029" width="9.140625" style="175" customWidth="1"/>
    <col min="2030" max="2030" width="38" style="175" customWidth="1"/>
    <col min="2031" max="2052" width="10.5703125" style="175" customWidth="1"/>
    <col min="2053" max="2053" width="11.85546875" style="175" customWidth="1"/>
    <col min="2054" max="2285" width="9.140625" style="175" customWidth="1"/>
    <col min="2286" max="2286" width="38" style="175" customWidth="1"/>
    <col min="2287" max="2308" width="10.5703125" style="175" customWidth="1"/>
    <col min="2309" max="2309" width="11.85546875" style="175" customWidth="1"/>
    <col min="2310" max="2541" width="9.140625" style="175" customWidth="1"/>
    <col min="2542" max="2542" width="38" style="175" customWidth="1"/>
    <col min="2543" max="2564" width="10.5703125" style="175" customWidth="1"/>
    <col min="2565" max="2565" width="11.85546875" style="175" customWidth="1"/>
    <col min="2566" max="2797" width="9.140625" style="175" customWidth="1"/>
    <col min="2798" max="2798" width="38" style="175" customWidth="1"/>
    <col min="2799" max="2820" width="10.5703125" style="175" customWidth="1"/>
    <col min="2821" max="2821" width="11.85546875" style="175" customWidth="1"/>
    <col min="2822" max="3053" width="9.140625" style="175" customWidth="1"/>
    <col min="3054" max="3054" width="38" style="175" customWidth="1"/>
    <col min="3055" max="3076" width="10.5703125" style="175" customWidth="1"/>
    <col min="3077" max="3077" width="11.85546875" style="175" customWidth="1"/>
    <col min="3078" max="3309" width="9.140625" style="175" customWidth="1"/>
    <col min="3310" max="3310" width="38" style="175" customWidth="1"/>
    <col min="3311" max="3332" width="10.5703125" style="175" customWidth="1"/>
    <col min="3333" max="3333" width="11.85546875" style="175" customWidth="1"/>
    <col min="3334" max="3565" width="9.140625" style="175" customWidth="1"/>
    <col min="3566" max="3566" width="38" style="175" customWidth="1"/>
    <col min="3567" max="3588" width="10.5703125" style="175" customWidth="1"/>
    <col min="3589" max="3589" width="11.85546875" style="175" customWidth="1"/>
    <col min="3590" max="3821" width="9.140625" style="175" customWidth="1"/>
    <col min="3822" max="3822" width="38" style="175" customWidth="1"/>
    <col min="3823" max="3844" width="10.5703125" style="175" customWidth="1"/>
    <col min="3845" max="3845" width="11.85546875" style="175" customWidth="1"/>
    <col min="3846" max="4077" width="9.140625" style="175" customWidth="1"/>
    <col min="4078" max="4078" width="38" style="175" customWidth="1"/>
    <col min="4079" max="4100" width="10.5703125" style="175" customWidth="1"/>
    <col min="4101" max="4101" width="11.85546875" style="175" customWidth="1"/>
    <col min="4102" max="4333" width="9.140625" style="175" customWidth="1"/>
    <col min="4334" max="4334" width="38" style="175" customWidth="1"/>
    <col min="4335" max="4356" width="10.5703125" style="175" customWidth="1"/>
    <col min="4357" max="4357" width="11.85546875" style="175" customWidth="1"/>
    <col min="4358" max="4589" width="9.140625" style="175" customWidth="1"/>
    <col min="4590" max="4590" width="38" style="175" customWidth="1"/>
    <col min="4591" max="4612" width="10.5703125" style="175" customWidth="1"/>
    <col min="4613" max="4613" width="11.85546875" style="175" customWidth="1"/>
    <col min="4614" max="4845" width="9.140625" style="175" customWidth="1"/>
    <col min="4846" max="4846" width="38" style="175" customWidth="1"/>
    <col min="4847" max="4868" width="10.5703125" style="175" customWidth="1"/>
    <col min="4869" max="4869" width="11.85546875" style="175" customWidth="1"/>
    <col min="4870" max="5101" width="9.140625" style="175" customWidth="1"/>
    <col min="5102" max="5102" width="38" style="175" customWidth="1"/>
    <col min="5103" max="5124" width="10.5703125" style="175" customWidth="1"/>
    <col min="5125" max="5125" width="11.85546875" style="175" customWidth="1"/>
    <col min="5126" max="5357" width="9.140625" style="175" customWidth="1"/>
    <col min="5358" max="5358" width="38" style="175" customWidth="1"/>
    <col min="5359" max="5380" width="10.5703125" style="175" customWidth="1"/>
    <col min="5381" max="5381" width="11.85546875" style="175" customWidth="1"/>
    <col min="5382" max="5613" width="9.140625" style="175" customWidth="1"/>
    <col min="5614" max="5614" width="38" style="175" customWidth="1"/>
    <col min="5615" max="5636" width="10.5703125" style="175" customWidth="1"/>
    <col min="5637" max="5637" width="11.85546875" style="175" customWidth="1"/>
    <col min="5638" max="5869" width="9.140625" style="175" customWidth="1"/>
    <col min="5870" max="5870" width="38" style="175" customWidth="1"/>
    <col min="5871" max="5892" width="10.5703125" style="175" customWidth="1"/>
    <col min="5893" max="5893" width="11.85546875" style="175" customWidth="1"/>
    <col min="5894" max="6125" width="9.140625" style="175" customWidth="1"/>
    <col min="6126" max="6126" width="38" style="175" customWidth="1"/>
    <col min="6127" max="6148" width="10.5703125" style="175" customWidth="1"/>
    <col min="6149" max="6149" width="11.85546875" style="175" customWidth="1"/>
    <col min="6150" max="6381" width="9.140625" style="175" customWidth="1"/>
    <col min="6382" max="6382" width="38" style="175" customWidth="1"/>
    <col min="6383" max="6404" width="10.5703125" style="175" customWidth="1"/>
    <col min="6405" max="6405" width="11.85546875" style="175" customWidth="1"/>
    <col min="6406" max="6637" width="9.140625" style="175" customWidth="1"/>
    <col min="6638" max="6638" width="38" style="175" customWidth="1"/>
    <col min="6639" max="6660" width="10.5703125" style="175" customWidth="1"/>
    <col min="6661" max="6661" width="11.85546875" style="175" customWidth="1"/>
    <col min="6662" max="6893" width="9.140625" style="175" customWidth="1"/>
    <col min="6894" max="6894" width="38" style="175" customWidth="1"/>
    <col min="6895" max="6916" width="10.5703125" style="175" customWidth="1"/>
    <col min="6917" max="6917" width="11.85546875" style="175" customWidth="1"/>
    <col min="6918" max="7149" width="9.140625" style="175" customWidth="1"/>
    <col min="7150" max="7150" width="38" style="175" customWidth="1"/>
    <col min="7151" max="7172" width="10.5703125" style="175" customWidth="1"/>
    <col min="7173" max="7173" width="11.85546875" style="175" customWidth="1"/>
    <col min="7174" max="7405" width="9.140625" style="175" customWidth="1"/>
    <col min="7406" max="7406" width="38" style="175" customWidth="1"/>
    <col min="7407" max="7428" width="10.5703125" style="175" customWidth="1"/>
    <col min="7429" max="7429" width="11.85546875" style="175" customWidth="1"/>
    <col min="7430" max="7661" width="9.140625" style="175" customWidth="1"/>
    <col min="7662" max="7662" width="38" style="175" customWidth="1"/>
    <col min="7663" max="7684" width="10.5703125" style="175" customWidth="1"/>
    <col min="7685" max="7685" width="11.85546875" style="175" customWidth="1"/>
    <col min="7686" max="7917" width="9.140625" style="175" customWidth="1"/>
    <col min="7918" max="7918" width="38" style="175" customWidth="1"/>
    <col min="7919" max="7940" width="10.5703125" style="175" customWidth="1"/>
    <col min="7941" max="7941" width="11.85546875" style="175" customWidth="1"/>
    <col min="7942" max="8173" width="9.140625" style="175" customWidth="1"/>
    <col min="8174" max="8174" width="38" style="175" customWidth="1"/>
    <col min="8175" max="8196" width="10.5703125" style="175" customWidth="1"/>
    <col min="8197" max="8197" width="11.85546875" style="175" customWidth="1"/>
    <col min="8198" max="8429" width="9.140625" style="175" customWidth="1"/>
    <col min="8430" max="8430" width="38" style="175" customWidth="1"/>
    <col min="8431" max="8452" width="10.5703125" style="175" customWidth="1"/>
    <col min="8453" max="8453" width="11.85546875" style="175" customWidth="1"/>
    <col min="8454" max="8685" width="9.140625" style="175" customWidth="1"/>
    <col min="8686" max="8686" width="38" style="175" customWidth="1"/>
    <col min="8687" max="8708" width="10.5703125" style="175" customWidth="1"/>
    <col min="8709" max="8709" width="11.85546875" style="175" customWidth="1"/>
    <col min="8710" max="8941" width="9.140625" style="175" customWidth="1"/>
    <col min="8942" max="8942" width="38" style="175" customWidth="1"/>
    <col min="8943" max="8964" width="10.5703125" style="175" customWidth="1"/>
    <col min="8965" max="8965" width="11.85546875" style="175" customWidth="1"/>
    <col min="8966" max="9197" width="9.140625" style="175" customWidth="1"/>
    <col min="9198" max="9198" width="38" style="175" customWidth="1"/>
    <col min="9199" max="9220" width="10.5703125" style="175" customWidth="1"/>
    <col min="9221" max="9221" width="11.85546875" style="175" customWidth="1"/>
    <col min="9222" max="9453" width="9.140625" style="175" customWidth="1"/>
    <col min="9454" max="9454" width="38" style="175" customWidth="1"/>
    <col min="9455" max="9476" width="10.5703125" style="175" customWidth="1"/>
    <col min="9477" max="9477" width="11.85546875" style="175" customWidth="1"/>
    <col min="9478" max="9709" width="9.140625" style="175" customWidth="1"/>
    <col min="9710" max="9710" width="38" style="175" customWidth="1"/>
    <col min="9711" max="9732" width="10.5703125" style="175" customWidth="1"/>
    <col min="9733" max="9733" width="11.85546875" style="175" customWidth="1"/>
    <col min="9734" max="9965" width="9.140625" style="175" customWidth="1"/>
    <col min="9966" max="9966" width="38" style="175" customWidth="1"/>
    <col min="9967" max="9988" width="10.5703125" style="175" customWidth="1"/>
    <col min="9989" max="9989" width="11.85546875" style="175" customWidth="1"/>
    <col min="9990" max="10221" width="9.140625" style="175" customWidth="1"/>
    <col min="10222" max="10222" width="38" style="175" customWidth="1"/>
    <col min="10223" max="10244" width="10.5703125" style="175" customWidth="1"/>
    <col min="10245" max="10245" width="11.85546875" style="175" customWidth="1"/>
    <col min="10246" max="10477" width="9.140625" style="175" customWidth="1"/>
    <col min="10478" max="10478" width="38" style="175" customWidth="1"/>
    <col min="10479" max="10500" width="10.5703125" style="175" customWidth="1"/>
    <col min="10501" max="10501" width="11.85546875" style="175" customWidth="1"/>
    <col min="10502" max="10733" width="9.140625" style="175" customWidth="1"/>
    <col min="10734" max="10734" width="38" style="175" customWidth="1"/>
    <col min="10735" max="10756" width="10.5703125" style="175" customWidth="1"/>
    <col min="10757" max="10757" width="11.85546875" style="175" customWidth="1"/>
    <col min="10758" max="10989" width="9.140625" style="175" customWidth="1"/>
    <col min="10990" max="10990" width="38" style="175" customWidth="1"/>
    <col min="10991" max="11012" width="10.5703125" style="175" customWidth="1"/>
    <col min="11013" max="11013" width="11.85546875" style="175" customWidth="1"/>
    <col min="11014" max="11245" width="9.140625" style="175" customWidth="1"/>
    <col min="11246" max="11246" width="38" style="175" customWidth="1"/>
    <col min="11247" max="11268" width="10.5703125" style="175" customWidth="1"/>
    <col min="11269" max="11269" width="11.85546875" style="175" customWidth="1"/>
    <col min="11270" max="11501" width="9.140625" style="175" customWidth="1"/>
    <col min="11502" max="11502" width="38" style="175" customWidth="1"/>
    <col min="11503" max="11524" width="10.5703125" style="175" customWidth="1"/>
    <col min="11525" max="11525" width="11.85546875" style="175" customWidth="1"/>
    <col min="11526" max="11757" width="9.140625" style="175" customWidth="1"/>
    <col min="11758" max="11758" width="38" style="175" customWidth="1"/>
    <col min="11759" max="11780" width="10.5703125" style="175" customWidth="1"/>
    <col min="11781" max="11781" width="11.85546875" style="175" customWidth="1"/>
    <col min="11782" max="12013" width="9.140625" style="175" customWidth="1"/>
    <col min="12014" max="12014" width="38" style="175" customWidth="1"/>
    <col min="12015" max="12036" width="10.5703125" style="175" customWidth="1"/>
    <col min="12037" max="12037" width="11.85546875" style="175" customWidth="1"/>
    <col min="12038" max="12269" width="9.140625" style="175" customWidth="1"/>
    <col min="12270" max="12270" width="38" style="175" customWidth="1"/>
    <col min="12271" max="12292" width="10.5703125" style="175" customWidth="1"/>
    <col min="12293" max="12293" width="11.85546875" style="175" customWidth="1"/>
    <col min="12294" max="12525" width="9.140625" style="175" customWidth="1"/>
    <col min="12526" max="12526" width="38" style="175" customWidth="1"/>
    <col min="12527" max="12548" width="10.5703125" style="175" customWidth="1"/>
    <col min="12549" max="12549" width="11.85546875" style="175" customWidth="1"/>
    <col min="12550" max="12781" width="9.140625" style="175" customWidth="1"/>
    <col min="12782" max="12782" width="38" style="175" customWidth="1"/>
    <col min="12783" max="12804" width="10.5703125" style="175" customWidth="1"/>
    <col min="12805" max="12805" width="11.85546875" style="175" customWidth="1"/>
    <col min="12806" max="13037" width="9.140625" style="175" customWidth="1"/>
    <col min="13038" max="13038" width="38" style="175" customWidth="1"/>
    <col min="13039" max="13060" width="10.5703125" style="175" customWidth="1"/>
    <col min="13061" max="13061" width="11.85546875" style="175" customWidth="1"/>
    <col min="13062" max="13293" width="9.140625" style="175" customWidth="1"/>
    <col min="13294" max="13294" width="38" style="175" customWidth="1"/>
    <col min="13295" max="13316" width="10.5703125" style="175" customWidth="1"/>
    <col min="13317" max="13317" width="11.85546875" style="175" customWidth="1"/>
    <col min="13318" max="13549" width="9.140625" style="175" customWidth="1"/>
    <col min="13550" max="13550" width="38" style="175" customWidth="1"/>
    <col min="13551" max="13572" width="10.5703125" style="175" customWidth="1"/>
    <col min="13573" max="13573" width="11.85546875" style="175" customWidth="1"/>
    <col min="13574" max="13805" width="9.140625" style="175" customWidth="1"/>
    <col min="13806" max="13806" width="38" style="175" customWidth="1"/>
    <col min="13807" max="13828" width="10.5703125" style="175" customWidth="1"/>
    <col min="13829" max="13829" width="11.85546875" style="175" customWidth="1"/>
    <col min="13830" max="14061" width="9.140625" style="175" customWidth="1"/>
    <col min="14062" max="14062" width="38" style="175" customWidth="1"/>
    <col min="14063" max="14084" width="10.5703125" style="175" customWidth="1"/>
    <col min="14085" max="14085" width="11.85546875" style="175" customWidth="1"/>
    <col min="14086" max="14317" width="9.140625" style="175" customWidth="1"/>
    <col min="14318" max="14318" width="38" style="175" customWidth="1"/>
    <col min="14319" max="14340" width="10.5703125" style="175" customWidth="1"/>
    <col min="14341" max="14341" width="11.85546875" style="175" customWidth="1"/>
    <col min="14342" max="14573" width="9.140625" style="175" customWidth="1"/>
    <col min="14574" max="14574" width="38" style="175" customWidth="1"/>
    <col min="14575" max="14596" width="10.5703125" style="175" customWidth="1"/>
    <col min="14597" max="14597" width="11.85546875" style="175" customWidth="1"/>
    <col min="14598" max="14829" width="9.140625" style="175" customWidth="1"/>
    <col min="14830" max="14830" width="38" style="175" customWidth="1"/>
    <col min="14831" max="14852" width="10.5703125" style="175" customWidth="1"/>
    <col min="14853" max="14853" width="11.85546875" style="175" customWidth="1"/>
    <col min="14854" max="15085" width="9.140625" style="175" customWidth="1"/>
    <col min="15086" max="15086" width="38" style="175" customWidth="1"/>
    <col min="15087" max="15108" width="10.5703125" style="175" customWidth="1"/>
    <col min="15109" max="15109" width="11.85546875" style="175" customWidth="1"/>
    <col min="15110" max="15341" width="9.140625" style="175" customWidth="1"/>
    <col min="15342" max="15342" width="38" style="175" customWidth="1"/>
    <col min="15343" max="15364" width="10.5703125" style="175" customWidth="1"/>
    <col min="15365" max="15365" width="11.85546875" style="175" customWidth="1"/>
    <col min="15366" max="15597" width="9.140625" style="175" customWidth="1"/>
    <col min="15598" max="15598" width="38" style="175" customWidth="1"/>
    <col min="15599" max="15620" width="10.5703125" style="175" customWidth="1"/>
    <col min="15621" max="15621" width="11.85546875" style="175" customWidth="1"/>
    <col min="15622" max="15853" width="9.140625" style="175" customWidth="1"/>
    <col min="15854" max="15854" width="38" style="175" customWidth="1"/>
    <col min="15855" max="15876" width="10.5703125" style="175" customWidth="1"/>
    <col min="15877" max="15877" width="11.85546875" style="175" customWidth="1"/>
    <col min="15878" max="16109" width="9.140625" style="175" customWidth="1"/>
    <col min="16110" max="16110" width="38" style="175" customWidth="1"/>
    <col min="16111" max="16132" width="10.5703125" style="175" customWidth="1"/>
    <col min="16133" max="16133" width="11.85546875" style="175" customWidth="1"/>
    <col min="16134" max="16384" width="9.140625" style="175" customWidth="1"/>
  </cols>
  <sheetData>
    <row r="1" spans="1:6" ht="12.6" customHeight="1" x14ac:dyDescent="0.2">
      <c r="A1" s="179" t="s">
        <v>361</v>
      </c>
      <c r="B1" s="182" t="s">
        <v>381</v>
      </c>
      <c r="C1" s="179" t="s">
        <v>451</v>
      </c>
      <c r="D1" s="179" t="s">
        <v>452</v>
      </c>
      <c r="E1" s="180" t="s">
        <v>368</v>
      </c>
      <c r="F1" s="186" t="s">
        <v>382</v>
      </c>
    </row>
    <row r="2" spans="1:6" ht="15" customHeight="1" x14ac:dyDescent="0.2">
      <c r="A2" s="176" t="s">
        <v>369</v>
      </c>
      <c r="B2" s="183">
        <v>15</v>
      </c>
      <c r="C2" s="177"/>
      <c r="D2" s="177"/>
      <c r="E2" s="178">
        <f>C2+D2</f>
        <v>0</v>
      </c>
      <c r="F2" s="175">
        <f>E2/B2</f>
        <v>0</v>
      </c>
    </row>
    <row r="3" spans="1:6" ht="15" customHeight="1" x14ac:dyDescent="0.2">
      <c r="A3" s="176" t="s">
        <v>31</v>
      </c>
      <c r="B3" s="183">
        <v>20</v>
      </c>
      <c r="C3" s="177"/>
      <c r="D3" s="177"/>
      <c r="E3" s="178">
        <f t="shared" ref="E3:E14" si="0">C3+D3</f>
        <v>0</v>
      </c>
      <c r="F3" s="175">
        <f t="shared" ref="F3:F13" si="1">E3/B3</f>
        <v>0</v>
      </c>
    </row>
    <row r="4" spans="1:6" ht="15" customHeight="1" x14ac:dyDescent="0.2">
      <c r="A4" s="176" t="s">
        <v>370</v>
      </c>
      <c r="B4" s="183">
        <v>25</v>
      </c>
      <c r="C4" s="177">
        <v>475</v>
      </c>
      <c r="D4" s="177">
        <v>725</v>
      </c>
      <c r="E4" s="178">
        <f t="shared" si="0"/>
        <v>1200</v>
      </c>
      <c r="F4" s="175">
        <f t="shared" si="1"/>
        <v>48</v>
      </c>
    </row>
    <row r="5" spans="1:6" ht="15" customHeight="1" x14ac:dyDescent="0.2">
      <c r="A5" s="176" t="s">
        <v>371</v>
      </c>
      <c r="B5" s="183">
        <v>22</v>
      </c>
      <c r="C5" s="177"/>
      <c r="D5" s="177"/>
      <c r="E5" s="178">
        <f t="shared" si="0"/>
        <v>0</v>
      </c>
      <c r="F5" s="175">
        <f t="shared" si="1"/>
        <v>0</v>
      </c>
    </row>
    <row r="6" spans="1:6" ht="15" customHeight="1" x14ac:dyDescent="0.2">
      <c r="A6" s="176" t="s">
        <v>372</v>
      </c>
      <c r="B6" s="183">
        <v>22</v>
      </c>
      <c r="C6" s="177"/>
      <c r="D6" s="177"/>
      <c r="E6" s="178">
        <f t="shared" si="0"/>
        <v>0</v>
      </c>
      <c r="F6" s="175">
        <f t="shared" si="1"/>
        <v>0</v>
      </c>
    </row>
    <row r="7" spans="1:6" ht="15" customHeight="1" x14ac:dyDescent="0.2">
      <c r="A7" s="176" t="s">
        <v>373</v>
      </c>
      <c r="B7" s="183">
        <v>22</v>
      </c>
      <c r="C7" s="177"/>
      <c r="D7" s="177"/>
      <c r="E7" s="178">
        <f t="shared" si="0"/>
        <v>0</v>
      </c>
      <c r="F7" s="175">
        <f t="shared" si="1"/>
        <v>0</v>
      </c>
    </row>
    <row r="8" spans="1:6" ht="15" customHeight="1" x14ac:dyDescent="0.2">
      <c r="A8" s="176" t="s">
        <v>374</v>
      </c>
      <c r="B8" s="183">
        <v>22</v>
      </c>
      <c r="C8" s="177"/>
      <c r="D8" s="177"/>
      <c r="E8" s="178">
        <f t="shared" si="0"/>
        <v>0</v>
      </c>
      <c r="F8" s="175">
        <f t="shared" si="1"/>
        <v>0</v>
      </c>
    </row>
    <row r="9" spans="1:6" ht="15" customHeight="1" x14ac:dyDescent="0.2">
      <c r="A9" s="176" t="s">
        <v>375</v>
      </c>
      <c r="B9" s="183">
        <v>15</v>
      </c>
      <c r="C9" s="177"/>
      <c r="D9" s="177"/>
      <c r="E9" s="178">
        <f t="shared" si="0"/>
        <v>0</v>
      </c>
      <c r="F9" s="175">
        <f t="shared" si="1"/>
        <v>0</v>
      </c>
    </row>
    <row r="10" spans="1:6" ht="15" customHeight="1" x14ac:dyDescent="0.2">
      <c r="A10" s="176" t="s">
        <v>376</v>
      </c>
      <c r="B10" s="183">
        <v>15</v>
      </c>
      <c r="C10" s="177"/>
      <c r="D10" s="177"/>
      <c r="E10" s="178">
        <f t="shared" si="0"/>
        <v>0</v>
      </c>
      <c r="F10" s="175">
        <f t="shared" si="1"/>
        <v>0</v>
      </c>
    </row>
    <row r="11" spans="1:6" ht="15" customHeight="1" x14ac:dyDescent="0.2">
      <c r="A11" s="176" t="s">
        <v>377</v>
      </c>
      <c r="B11" s="183">
        <v>25</v>
      </c>
      <c r="C11" s="177"/>
      <c r="D11" s="177"/>
      <c r="E11" s="178">
        <f t="shared" si="0"/>
        <v>0</v>
      </c>
      <c r="F11" s="175">
        <f t="shared" si="1"/>
        <v>0</v>
      </c>
    </row>
    <row r="12" spans="1:6" ht="15" customHeight="1" x14ac:dyDescent="0.2">
      <c r="A12" s="176" t="s">
        <v>378</v>
      </c>
      <c r="B12" s="183">
        <v>25</v>
      </c>
      <c r="C12" s="177"/>
      <c r="D12" s="177"/>
      <c r="E12" s="178">
        <f t="shared" si="0"/>
        <v>0</v>
      </c>
      <c r="F12" s="175">
        <f t="shared" si="1"/>
        <v>0</v>
      </c>
    </row>
    <row r="13" spans="1:6" ht="15" customHeight="1" x14ac:dyDescent="0.2">
      <c r="A13" s="176" t="s">
        <v>379</v>
      </c>
      <c r="B13" s="183">
        <v>1</v>
      </c>
      <c r="C13" s="177"/>
      <c r="D13" s="177"/>
      <c r="E13" s="178">
        <f t="shared" si="0"/>
        <v>0</v>
      </c>
      <c r="F13" s="175">
        <f t="shared" si="1"/>
        <v>0</v>
      </c>
    </row>
    <row r="14" spans="1:6" ht="15" customHeight="1" x14ac:dyDescent="0.2">
      <c r="A14" s="181" t="s">
        <v>380</v>
      </c>
      <c r="B14" s="184"/>
      <c r="C14" s="178">
        <v>475</v>
      </c>
      <c r="D14" s="178">
        <v>725</v>
      </c>
      <c r="E14" s="178">
        <f t="shared" si="0"/>
        <v>1200</v>
      </c>
      <c r="F14" s="175">
        <f>SUM(F2:F13)</f>
        <v>48</v>
      </c>
    </row>
  </sheetData>
  <printOptions gridLines="1" gridLinesSet="0"/>
  <pageMargins left="0.75" right="0.75" top="1" bottom="1" header="0.5" footer="0.5"/>
  <pageSetup fitToWidth="0" fitToHeight="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fitToPage="1"/>
  </sheetPr>
  <dimension ref="A1:Q133"/>
  <sheetViews>
    <sheetView workbookViewId="0">
      <selection activeCell="C11" sqref="C11"/>
    </sheetView>
  </sheetViews>
  <sheetFormatPr baseColWidth="10" defaultColWidth="13.140625" defaultRowHeight="15" x14ac:dyDescent="0.25"/>
  <cols>
    <col min="1" max="1" width="11.28515625" style="81" customWidth="1"/>
    <col min="2" max="2" width="9.7109375" style="82" customWidth="1"/>
    <col min="3" max="3" width="12.140625" style="81" customWidth="1"/>
    <col min="4" max="4" width="10.85546875" style="81" customWidth="1"/>
    <col min="5" max="5" width="54.28515625" bestFit="1" customWidth="1"/>
    <col min="6" max="6" width="20" bestFit="1" customWidth="1"/>
    <col min="7" max="7" width="22.28515625" bestFit="1" customWidth="1"/>
    <col min="8" max="8" width="13.140625" style="78" customWidth="1"/>
    <col min="9" max="9" width="14.28515625" style="79" hidden="1" customWidth="1"/>
    <col min="10" max="10" width="15.85546875" style="79" hidden="1" customWidth="1"/>
    <col min="11" max="11" width="5.140625" style="79" hidden="1" customWidth="1"/>
    <col min="12" max="12" width="4" style="79" customWidth="1"/>
    <col min="13" max="13" width="18.42578125" bestFit="1" customWidth="1"/>
    <col min="14" max="14" width="18.7109375" style="80" bestFit="1" customWidth="1"/>
    <col min="15" max="16" width="7.85546875" customWidth="1"/>
    <col min="17" max="17" width="14.28515625" style="80" bestFit="1" customWidth="1"/>
  </cols>
  <sheetData>
    <row r="1" spans="1:17" ht="15.75" x14ac:dyDescent="0.25">
      <c r="A1" s="74" t="s">
        <v>0</v>
      </c>
      <c r="B1" s="75"/>
      <c r="C1" s="76"/>
      <c r="D1" s="74"/>
      <c r="E1" s="74"/>
      <c r="F1" s="74"/>
      <c r="G1" s="77"/>
      <c r="Q1"/>
    </row>
    <row r="2" spans="1:17" ht="15.75" x14ac:dyDescent="0.25">
      <c r="A2" s="74" t="s">
        <v>1</v>
      </c>
      <c r="B2" s="75"/>
      <c r="C2" s="76"/>
      <c r="D2" s="74"/>
      <c r="E2" s="74"/>
      <c r="F2" s="74"/>
      <c r="G2" s="77"/>
      <c r="Q2"/>
    </row>
    <row r="3" spans="1:17" ht="15.75" x14ac:dyDescent="0.25">
      <c r="A3" s="74" t="s">
        <v>383</v>
      </c>
      <c r="B3" s="75"/>
      <c r="C3" s="76"/>
      <c r="D3" s="74"/>
      <c r="E3" s="74"/>
      <c r="F3" s="74"/>
      <c r="G3" s="77"/>
      <c r="Q3"/>
    </row>
    <row r="4" spans="1:17" ht="15.75" x14ac:dyDescent="0.25">
      <c r="A4" s="74" t="s">
        <v>426</v>
      </c>
      <c r="B4" s="75"/>
      <c r="C4" s="76"/>
      <c r="D4" s="74"/>
      <c r="E4" s="74"/>
      <c r="F4" s="74"/>
      <c r="G4" s="74"/>
      <c r="Q4"/>
    </row>
    <row r="5" spans="1:17" x14ac:dyDescent="0.25">
      <c r="M5" t="s">
        <v>384</v>
      </c>
      <c r="N5" t="s">
        <v>385</v>
      </c>
      <c r="Q5"/>
    </row>
    <row r="6" spans="1:17" ht="15.75" x14ac:dyDescent="0.25">
      <c r="A6" s="83"/>
      <c r="G6" s="84" t="s">
        <v>386</v>
      </c>
      <c r="I6" s="2" t="s">
        <v>387</v>
      </c>
      <c r="J6" s="2" t="s">
        <v>388</v>
      </c>
      <c r="K6" s="2" t="s">
        <v>389</v>
      </c>
      <c r="Q6"/>
    </row>
    <row r="7" spans="1:17" ht="17.25" customHeight="1" x14ac:dyDescent="0.25">
      <c r="A7" s="85" t="s">
        <v>384</v>
      </c>
      <c r="B7" s="86" t="s">
        <v>390</v>
      </c>
      <c r="C7" s="87" t="s">
        <v>382</v>
      </c>
      <c r="D7" s="85" t="s">
        <v>391</v>
      </c>
      <c r="E7" s="88" t="s">
        <v>4</v>
      </c>
      <c r="F7" s="88" t="s">
        <v>392</v>
      </c>
      <c r="G7" s="85" t="s">
        <v>393</v>
      </c>
      <c r="I7" s="7" t="s">
        <v>394</v>
      </c>
      <c r="J7" s="7" t="s">
        <v>395</v>
      </c>
      <c r="K7" s="7" t="s">
        <v>396</v>
      </c>
      <c r="M7" t="s">
        <v>397</v>
      </c>
      <c r="N7" t="s">
        <v>398</v>
      </c>
      <c r="Q7"/>
    </row>
    <row r="8" spans="1:17" ht="18" customHeight="1" x14ac:dyDescent="0.25">
      <c r="A8" s="89">
        <v>46113</v>
      </c>
      <c r="B8" s="90">
        <v>42</v>
      </c>
      <c r="C8" s="91">
        <v>1</v>
      </c>
      <c r="D8" s="91" t="s">
        <v>389</v>
      </c>
      <c r="E8" s="23" t="s">
        <v>68</v>
      </c>
      <c r="F8" s="92" t="s">
        <v>394</v>
      </c>
      <c r="G8" s="92" t="s">
        <v>395</v>
      </c>
      <c r="I8" s="2"/>
      <c r="J8" s="2"/>
      <c r="K8" s="2"/>
      <c r="M8" s="80" t="s">
        <v>399</v>
      </c>
      <c r="N8"/>
      <c r="Q8"/>
    </row>
    <row r="9" spans="1:17" ht="18" customHeight="1" x14ac:dyDescent="0.25">
      <c r="A9" s="89"/>
      <c r="B9" s="90"/>
      <c r="C9" s="91"/>
      <c r="D9" s="91"/>
      <c r="E9" s="92"/>
      <c r="F9" s="92"/>
      <c r="G9" s="93"/>
      <c r="H9" s="94"/>
      <c r="M9" s="80" t="s">
        <v>400</v>
      </c>
      <c r="N9"/>
      <c r="Q9"/>
    </row>
    <row r="10" spans="1:17" ht="18" customHeight="1" x14ac:dyDescent="0.25">
      <c r="A10" s="89"/>
      <c r="B10" s="90"/>
      <c r="C10" s="91"/>
      <c r="D10" s="91"/>
      <c r="E10" s="92"/>
      <c r="F10" s="92"/>
      <c r="G10" s="93"/>
      <c r="H10" s="94"/>
      <c r="N10"/>
      <c r="Q10"/>
    </row>
    <row r="11" spans="1:17" ht="18" customHeight="1" x14ac:dyDescent="0.25">
      <c r="A11" s="89"/>
      <c r="B11" s="90"/>
      <c r="C11" s="91"/>
      <c r="D11" s="91"/>
      <c r="E11" s="92"/>
      <c r="F11" s="92"/>
      <c r="H11" s="94"/>
      <c r="N11"/>
      <c r="Q11"/>
    </row>
    <row r="12" spans="1:17" ht="18" customHeight="1" x14ac:dyDescent="0.25">
      <c r="A12" s="89"/>
      <c r="B12" s="90"/>
      <c r="C12" s="91"/>
      <c r="D12" s="91"/>
      <c r="E12" s="92"/>
      <c r="F12" s="92"/>
      <c r="G12" s="93"/>
      <c r="H12" s="94"/>
      <c r="N12"/>
      <c r="Q12"/>
    </row>
    <row r="13" spans="1:17" ht="18" customHeight="1" x14ac:dyDescent="0.25">
      <c r="A13" s="89"/>
      <c r="B13" s="90"/>
      <c r="C13" s="91"/>
      <c r="D13" s="91"/>
      <c r="E13" s="92"/>
      <c r="F13" s="92"/>
      <c r="G13" s="92"/>
      <c r="H13" s="94"/>
      <c r="N13"/>
      <c r="Q13"/>
    </row>
    <row r="14" spans="1:17" ht="18" customHeight="1" x14ac:dyDescent="0.25">
      <c r="A14" s="89"/>
      <c r="B14" s="90"/>
      <c r="C14" s="91"/>
      <c r="D14" s="91"/>
      <c r="E14" s="92"/>
      <c r="F14" s="92"/>
      <c r="G14" s="92"/>
      <c r="H14" s="94"/>
      <c r="N14"/>
      <c r="Q14"/>
    </row>
    <row r="15" spans="1:17" ht="18" customHeight="1" x14ac:dyDescent="0.25">
      <c r="A15" s="89"/>
      <c r="B15" s="90"/>
      <c r="C15" s="91"/>
      <c r="D15" s="91"/>
      <c r="E15" s="92"/>
      <c r="F15" s="92"/>
      <c r="G15" s="92"/>
      <c r="H15" s="94"/>
      <c r="N15"/>
      <c r="Q15"/>
    </row>
    <row r="16" spans="1:17" ht="18" customHeight="1" x14ac:dyDescent="0.25">
      <c r="A16" s="89"/>
      <c r="B16" s="90"/>
      <c r="C16" s="91"/>
      <c r="D16" s="91"/>
      <c r="E16" s="92"/>
      <c r="F16" s="92"/>
      <c r="G16" s="92"/>
      <c r="H16" s="94"/>
      <c r="N16"/>
      <c r="Q16"/>
    </row>
    <row r="17" spans="1:17" ht="18" customHeight="1" x14ac:dyDescent="0.25">
      <c r="A17" s="89"/>
      <c r="B17" s="90"/>
      <c r="C17" s="91"/>
      <c r="D17" s="91"/>
      <c r="E17" s="92"/>
      <c r="F17" s="92"/>
      <c r="G17" s="92"/>
      <c r="H17" s="94"/>
      <c r="N17"/>
      <c r="Q17"/>
    </row>
    <row r="18" spans="1:17" ht="18" customHeight="1" x14ac:dyDescent="0.25">
      <c r="A18" s="89"/>
      <c r="B18" s="90"/>
      <c r="C18" s="91"/>
      <c r="D18" s="91"/>
      <c r="E18" s="92"/>
      <c r="F18" s="92"/>
      <c r="G18" s="92"/>
      <c r="N18"/>
      <c r="Q18"/>
    </row>
    <row r="19" spans="1:17" ht="18" customHeight="1" x14ac:dyDescent="0.25">
      <c r="A19" s="89"/>
      <c r="B19" s="90"/>
      <c r="C19" s="91"/>
      <c r="D19" s="91"/>
      <c r="E19" s="92"/>
      <c r="F19" s="92"/>
      <c r="G19" s="92"/>
      <c r="N19"/>
      <c r="Q19"/>
    </row>
    <row r="20" spans="1:17" ht="18" customHeight="1" x14ac:dyDescent="0.25">
      <c r="A20" s="89"/>
      <c r="B20" s="90"/>
      <c r="C20" s="91"/>
      <c r="D20" s="91"/>
      <c r="E20" s="92"/>
      <c r="F20" s="92"/>
      <c r="G20" s="92"/>
      <c r="N20"/>
      <c r="Q20"/>
    </row>
    <row r="21" spans="1:17" ht="18" customHeight="1" x14ac:dyDescent="0.25">
      <c r="A21" s="89"/>
      <c r="B21" s="90"/>
      <c r="C21" s="91"/>
      <c r="D21" s="91"/>
      <c r="E21" s="92"/>
      <c r="F21" s="92"/>
      <c r="G21" s="92"/>
      <c r="N21"/>
      <c r="Q21"/>
    </row>
    <row r="22" spans="1:17" ht="18" customHeight="1" x14ac:dyDescent="0.25">
      <c r="A22" s="89"/>
      <c r="B22" s="90"/>
      <c r="C22" s="91"/>
      <c r="D22" s="91"/>
      <c r="E22" s="92"/>
      <c r="F22" s="92"/>
      <c r="G22" s="92"/>
      <c r="N22"/>
      <c r="Q22"/>
    </row>
    <row r="23" spans="1:17" ht="18" customHeight="1" x14ac:dyDescent="0.25">
      <c r="A23" s="89"/>
      <c r="B23" s="90"/>
      <c r="C23" s="91"/>
      <c r="D23" s="91"/>
      <c r="E23" s="92"/>
      <c r="F23" s="92"/>
      <c r="G23" s="92"/>
      <c r="N23"/>
      <c r="Q23"/>
    </row>
    <row r="24" spans="1:17" x14ac:dyDescent="0.25">
      <c r="A24" s="89"/>
      <c r="B24" s="90"/>
      <c r="C24" s="91"/>
      <c r="D24" s="91"/>
      <c r="E24" s="92"/>
      <c r="F24" s="92"/>
      <c r="G24" s="92"/>
      <c r="N24"/>
      <c r="Q24"/>
    </row>
    <row r="25" spans="1:17" x14ac:dyDescent="0.25">
      <c r="A25" s="83"/>
      <c r="B25" s="82" t="s">
        <v>401</v>
      </c>
      <c r="C25" s="82">
        <f>SUBTOTAL(9,C8:C24)</f>
        <v>1</v>
      </c>
      <c r="Q25"/>
    </row>
    <row r="26" spans="1:17" x14ac:dyDescent="0.25">
      <c r="A26" s="83"/>
      <c r="C26" s="82"/>
      <c r="Q26"/>
    </row>
    <row r="27" spans="1:17" x14ac:dyDescent="0.25">
      <c r="A27" s="83"/>
      <c r="Q27"/>
    </row>
    <row r="28" spans="1:17" x14ac:dyDescent="0.25">
      <c r="A28" s="83"/>
      <c r="Q28"/>
    </row>
    <row r="29" spans="1:17" x14ac:dyDescent="0.25">
      <c r="A29" s="83"/>
      <c r="Q29"/>
    </row>
    <row r="30" spans="1:17" x14ac:dyDescent="0.25">
      <c r="A30" s="83"/>
      <c r="Q30"/>
    </row>
    <row r="31" spans="1:17" x14ac:dyDescent="0.25">
      <c r="A31" s="83"/>
      <c r="Q31"/>
    </row>
    <row r="32" spans="1:17" x14ac:dyDescent="0.25">
      <c r="A32" s="83"/>
      <c r="Q32"/>
    </row>
    <row r="33" spans="1:17" x14ac:dyDescent="0.25">
      <c r="A33" s="83"/>
      <c r="Q33"/>
    </row>
    <row r="34" spans="1:17" x14ac:dyDescent="0.25">
      <c r="A34" s="83"/>
      <c r="Q34"/>
    </row>
    <row r="35" spans="1:17" x14ac:dyDescent="0.25">
      <c r="A35" s="83"/>
      <c r="Q35"/>
    </row>
    <row r="36" spans="1:17" x14ac:dyDescent="0.25">
      <c r="A36" s="83"/>
      <c r="Q36"/>
    </row>
    <row r="37" spans="1:17" x14ac:dyDescent="0.25">
      <c r="A37" s="83"/>
      <c r="Q37"/>
    </row>
    <row r="38" spans="1:17" x14ac:dyDescent="0.25">
      <c r="A38" s="83"/>
    </row>
    <row r="39" spans="1:17" x14ac:dyDescent="0.25">
      <c r="A39" s="83"/>
    </row>
    <row r="40" spans="1:17" x14ac:dyDescent="0.25">
      <c r="A40" s="83"/>
    </row>
    <row r="41" spans="1:17" x14ac:dyDescent="0.25">
      <c r="A41" s="83"/>
    </row>
    <row r="42" spans="1:17" x14ac:dyDescent="0.25">
      <c r="A42" s="83"/>
    </row>
    <row r="43" spans="1:17" x14ac:dyDescent="0.25">
      <c r="A43" s="83"/>
    </row>
    <row r="44" spans="1:17" x14ac:dyDescent="0.25">
      <c r="A44" s="83"/>
    </row>
    <row r="45" spans="1:17" x14ac:dyDescent="0.25">
      <c r="A45" s="83"/>
    </row>
    <row r="46" spans="1:17" x14ac:dyDescent="0.25">
      <c r="A46" s="83"/>
    </row>
    <row r="47" spans="1:17" x14ac:dyDescent="0.25">
      <c r="A47" s="83"/>
    </row>
    <row r="48" spans="1:17" x14ac:dyDescent="0.25">
      <c r="A48" s="83"/>
    </row>
    <row r="49" spans="1:1" x14ac:dyDescent="0.25">
      <c r="A49" s="83"/>
    </row>
    <row r="50" spans="1:1" x14ac:dyDescent="0.25">
      <c r="A50" s="83"/>
    </row>
    <row r="51" spans="1:1" x14ac:dyDescent="0.25">
      <c r="A51" s="83"/>
    </row>
    <row r="52" spans="1:1" x14ac:dyDescent="0.25">
      <c r="A52" s="83"/>
    </row>
    <row r="53" spans="1:1" x14ac:dyDescent="0.25">
      <c r="A53" s="83"/>
    </row>
    <row r="54" spans="1:1" x14ac:dyDescent="0.25">
      <c r="A54" s="83"/>
    </row>
    <row r="55" spans="1:1" x14ac:dyDescent="0.25">
      <c r="A55" s="83"/>
    </row>
    <row r="56" spans="1:1" x14ac:dyDescent="0.25">
      <c r="A56" s="83"/>
    </row>
    <row r="57" spans="1:1" x14ac:dyDescent="0.25">
      <c r="A57" s="83"/>
    </row>
    <row r="58" spans="1:1" x14ac:dyDescent="0.25">
      <c r="A58" s="83"/>
    </row>
    <row r="59" spans="1:1" x14ac:dyDescent="0.25">
      <c r="A59" s="83"/>
    </row>
    <row r="60" spans="1:1" x14ac:dyDescent="0.25">
      <c r="A60" s="83"/>
    </row>
    <row r="61" spans="1:1" x14ac:dyDescent="0.25">
      <c r="A61" s="83"/>
    </row>
    <row r="62" spans="1:1" x14ac:dyDescent="0.25">
      <c r="A62" s="83"/>
    </row>
    <row r="63" spans="1:1" x14ac:dyDescent="0.25">
      <c r="A63" s="83"/>
    </row>
    <row r="64" spans="1:1" x14ac:dyDescent="0.25">
      <c r="A64" s="83"/>
    </row>
    <row r="65" spans="1:1" x14ac:dyDescent="0.25">
      <c r="A65" s="83"/>
    </row>
    <row r="66" spans="1:1" x14ac:dyDescent="0.25">
      <c r="A66" s="83"/>
    </row>
    <row r="67" spans="1:1" x14ac:dyDescent="0.25">
      <c r="A67" s="83"/>
    </row>
    <row r="68" spans="1:1" x14ac:dyDescent="0.25">
      <c r="A68" s="83"/>
    </row>
    <row r="69" spans="1:1" x14ac:dyDescent="0.25">
      <c r="A69" s="83"/>
    </row>
    <row r="70" spans="1:1" x14ac:dyDescent="0.25">
      <c r="A70" s="83"/>
    </row>
    <row r="71" spans="1:1" x14ac:dyDescent="0.25">
      <c r="A71" s="83"/>
    </row>
    <row r="72" spans="1:1" x14ac:dyDescent="0.25">
      <c r="A72" s="83"/>
    </row>
    <row r="73" spans="1:1" x14ac:dyDescent="0.25">
      <c r="A73" s="83"/>
    </row>
    <row r="74" spans="1:1" x14ac:dyDescent="0.25">
      <c r="A74" s="83"/>
    </row>
    <row r="75" spans="1:1" x14ac:dyDescent="0.25">
      <c r="A75" s="83"/>
    </row>
    <row r="76" spans="1:1" x14ac:dyDescent="0.25">
      <c r="A76" s="83"/>
    </row>
    <row r="77" spans="1:1" x14ac:dyDescent="0.25">
      <c r="A77" s="83"/>
    </row>
    <row r="78" spans="1:1" x14ac:dyDescent="0.25">
      <c r="A78" s="83"/>
    </row>
    <row r="79" spans="1:1" x14ac:dyDescent="0.25">
      <c r="A79" s="83"/>
    </row>
    <row r="80" spans="1:1" x14ac:dyDescent="0.25">
      <c r="A80" s="83"/>
    </row>
    <row r="81" spans="1:1" x14ac:dyDescent="0.25">
      <c r="A81" s="83"/>
    </row>
    <row r="82" spans="1:1" x14ac:dyDescent="0.25">
      <c r="A82" s="83"/>
    </row>
    <row r="83" spans="1:1" x14ac:dyDescent="0.25">
      <c r="A83" s="83"/>
    </row>
    <row r="84" spans="1:1" x14ac:dyDescent="0.25">
      <c r="A84" s="83"/>
    </row>
    <row r="85" spans="1:1" x14ac:dyDescent="0.25">
      <c r="A85" s="83"/>
    </row>
    <row r="86" spans="1:1" x14ac:dyDescent="0.25">
      <c r="A86" s="83"/>
    </row>
    <row r="87" spans="1:1" x14ac:dyDescent="0.25">
      <c r="A87" s="83"/>
    </row>
    <row r="88" spans="1:1" x14ac:dyDescent="0.25">
      <c r="A88" s="83"/>
    </row>
    <row r="89" spans="1:1" x14ac:dyDescent="0.25">
      <c r="A89" s="83"/>
    </row>
    <row r="90" spans="1:1" x14ac:dyDescent="0.25">
      <c r="A90" s="83"/>
    </row>
    <row r="91" spans="1:1" x14ac:dyDescent="0.25">
      <c r="A91" s="83"/>
    </row>
    <row r="92" spans="1:1" x14ac:dyDescent="0.25">
      <c r="A92" s="83"/>
    </row>
    <row r="93" spans="1:1" x14ac:dyDescent="0.25">
      <c r="A93" s="83"/>
    </row>
    <row r="94" spans="1:1" x14ac:dyDescent="0.25">
      <c r="A94" s="83"/>
    </row>
    <row r="95" spans="1:1" x14ac:dyDescent="0.25">
      <c r="A95" s="83"/>
    </row>
    <row r="96" spans="1:1" x14ac:dyDescent="0.25">
      <c r="A96" s="83"/>
    </row>
    <row r="97" spans="1:1" x14ac:dyDescent="0.25">
      <c r="A97" s="83"/>
    </row>
    <row r="98" spans="1:1" x14ac:dyDescent="0.25">
      <c r="A98" s="83"/>
    </row>
    <row r="99" spans="1:1" x14ac:dyDescent="0.25">
      <c r="A99" s="83"/>
    </row>
    <row r="100" spans="1:1" x14ac:dyDescent="0.25">
      <c r="A100" s="83"/>
    </row>
    <row r="101" spans="1:1" x14ac:dyDescent="0.25">
      <c r="A101" s="83"/>
    </row>
    <row r="102" spans="1:1" x14ac:dyDescent="0.25">
      <c r="A102" s="83"/>
    </row>
    <row r="103" spans="1:1" x14ac:dyDescent="0.25">
      <c r="A103" s="83"/>
    </row>
    <row r="104" spans="1:1" x14ac:dyDescent="0.25">
      <c r="A104" s="83"/>
    </row>
    <row r="105" spans="1:1" x14ac:dyDescent="0.25">
      <c r="A105" s="83"/>
    </row>
    <row r="106" spans="1:1" x14ac:dyDescent="0.25">
      <c r="A106" s="83"/>
    </row>
    <row r="107" spans="1:1" x14ac:dyDescent="0.25">
      <c r="A107" s="83"/>
    </row>
    <row r="108" spans="1:1" x14ac:dyDescent="0.25">
      <c r="A108" s="83"/>
    </row>
    <row r="109" spans="1:1" x14ac:dyDescent="0.25">
      <c r="A109" s="83"/>
    </row>
    <row r="110" spans="1:1" x14ac:dyDescent="0.25">
      <c r="A110" s="83"/>
    </row>
    <row r="111" spans="1:1" x14ac:dyDescent="0.25">
      <c r="A111" s="83"/>
    </row>
    <row r="112" spans="1:1" x14ac:dyDescent="0.25">
      <c r="A112" s="83"/>
    </row>
    <row r="113" spans="1:1" x14ac:dyDescent="0.25">
      <c r="A113" s="83"/>
    </row>
    <row r="114" spans="1:1" x14ac:dyDescent="0.25">
      <c r="A114" s="83"/>
    </row>
    <row r="115" spans="1:1" x14ac:dyDescent="0.25">
      <c r="A115" s="83"/>
    </row>
    <row r="116" spans="1:1" x14ac:dyDescent="0.25">
      <c r="A116" s="83"/>
    </row>
    <row r="117" spans="1:1" x14ac:dyDescent="0.25">
      <c r="A117" s="83"/>
    </row>
    <row r="118" spans="1:1" x14ac:dyDescent="0.25">
      <c r="A118" s="83"/>
    </row>
    <row r="119" spans="1:1" x14ac:dyDescent="0.25">
      <c r="A119" s="83"/>
    </row>
    <row r="120" spans="1:1" x14ac:dyDescent="0.25">
      <c r="A120" s="83"/>
    </row>
    <row r="121" spans="1:1" x14ac:dyDescent="0.25">
      <c r="A121" s="83"/>
    </row>
    <row r="122" spans="1:1" x14ac:dyDescent="0.25">
      <c r="A122" s="83"/>
    </row>
    <row r="123" spans="1:1" x14ac:dyDescent="0.25">
      <c r="A123" s="83"/>
    </row>
    <row r="124" spans="1:1" x14ac:dyDescent="0.25">
      <c r="A124" s="83"/>
    </row>
    <row r="125" spans="1:1" x14ac:dyDescent="0.25">
      <c r="A125" s="83"/>
    </row>
    <row r="126" spans="1:1" x14ac:dyDescent="0.25">
      <c r="A126" s="83"/>
    </row>
    <row r="127" spans="1:1" x14ac:dyDescent="0.25">
      <c r="A127" s="83"/>
    </row>
    <row r="128" spans="1:1" x14ac:dyDescent="0.25">
      <c r="A128" s="83"/>
    </row>
    <row r="129" spans="1:1" x14ac:dyDescent="0.25">
      <c r="A129" s="83"/>
    </row>
    <row r="130" spans="1:1" x14ac:dyDescent="0.25">
      <c r="A130" s="83"/>
    </row>
    <row r="131" spans="1:1" x14ac:dyDescent="0.25">
      <c r="A131" s="83"/>
    </row>
    <row r="132" spans="1:1" x14ac:dyDescent="0.25">
      <c r="A132" s="83"/>
    </row>
    <row r="133" spans="1:1" x14ac:dyDescent="0.25">
      <c r="A133" s="83"/>
    </row>
  </sheetData>
  <autoFilter ref="A7:G24" xr:uid="{00000000-0009-0000-0000-000007000000}"/>
  <dataValidations count="5">
    <dataValidation type="list" allowBlank="1" showInputMessage="1" showErrorMessage="1" sqref="D28:D272 D25:D26 D12:D23 D6:D10" xr:uid="{00000000-0002-0000-0700-000000000000}">
      <formula1>$K$6:$K$7</formula1>
    </dataValidation>
    <dataValidation type="date" allowBlank="1" showInputMessage="1" showErrorMessage="1" sqref="A25:A133" xr:uid="{00000000-0002-0000-0700-000001000000}">
      <formula1>45658</formula1>
      <formula2>45688</formula2>
    </dataValidation>
    <dataValidation type="list" allowBlank="1" showInputMessage="1" showErrorMessage="1" sqref="G25:G256 G12:G15 G7:G10" xr:uid="{00000000-0002-0000-0700-000002000000}">
      <formula1>$J$6:$J$8</formula1>
    </dataValidation>
    <dataValidation type="list" allowBlank="1" showInputMessage="1" showErrorMessage="1" sqref="F12:F256 F6:F10" xr:uid="{00000000-0002-0000-0700-000003000000}">
      <formula1>$I$6:$I$7</formula1>
    </dataValidation>
    <dataValidation type="list" allowBlank="1" showInputMessage="1" showErrorMessage="1" sqref="E8:E24" xr:uid="{00000000-0002-0000-0700-000004000000}"/>
  </dataValidations>
  <pageMargins left="0.25" right="0.25" top="0.75" bottom="0.75" header="0.3" footer="0.3"/>
  <pageSetup scale="99" fitToHeight="0" orientation="landscape" r:id="rId2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  <pageSetUpPr fitToPage="1"/>
  </sheetPr>
  <dimension ref="A1:J14"/>
  <sheetViews>
    <sheetView workbookViewId="0">
      <selection activeCell="C15" sqref="C15"/>
    </sheetView>
  </sheetViews>
  <sheetFormatPr baseColWidth="10" defaultColWidth="13.140625" defaultRowHeight="15" x14ac:dyDescent="0.25"/>
  <cols>
    <col min="1" max="1" width="13" style="96" bestFit="1" customWidth="1"/>
    <col min="2" max="2" width="6.85546875" style="81" bestFit="1" customWidth="1"/>
    <col min="3" max="3" width="43.5703125" bestFit="1" customWidth="1"/>
    <col min="4" max="4" width="10.28515625" style="97" bestFit="1" customWidth="1"/>
    <col min="6" max="6" width="37.5703125" bestFit="1" customWidth="1"/>
    <col min="8" max="8" width="13.5703125" bestFit="1" customWidth="1"/>
    <col min="9" max="10" width="14.28515625" bestFit="1" customWidth="1"/>
  </cols>
  <sheetData>
    <row r="1" spans="1:10" ht="15.75" x14ac:dyDescent="0.25">
      <c r="A1" s="95" t="s">
        <v>0</v>
      </c>
      <c r="B1" s="75"/>
      <c r="C1" s="76"/>
      <c r="D1" s="74"/>
      <c r="E1" s="74"/>
      <c r="F1" s="74"/>
      <c r="G1" s="77"/>
    </row>
    <row r="2" spans="1:10" ht="15.75" x14ac:dyDescent="0.25">
      <c r="A2" s="95" t="s">
        <v>1</v>
      </c>
      <c r="B2" s="75"/>
      <c r="C2" s="76"/>
      <c r="D2" s="74"/>
      <c r="E2" s="74"/>
      <c r="F2" s="74"/>
      <c r="G2" s="77"/>
    </row>
    <row r="3" spans="1:10" ht="15.75" x14ac:dyDescent="0.25">
      <c r="A3" s="95" t="s">
        <v>425</v>
      </c>
      <c r="B3" s="75"/>
      <c r="C3" s="76"/>
      <c r="D3" s="74"/>
      <c r="E3" s="74"/>
      <c r="F3" s="74"/>
      <c r="G3" s="77"/>
    </row>
    <row r="4" spans="1:10" ht="15.75" thickBot="1" x14ac:dyDescent="0.3">
      <c r="F4" s="98" t="s">
        <v>402</v>
      </c>
    </row>
    <row r="5" spans="1:10" s="102" customFormat="1" ht="15.75" thickBot="1" x14ac:dyDescent="0.3">
      <c r="A5" s="99" t="s">
        <v>384</v>
      </c>
      <c r="B5" s="100" t="s">
        <v>390</v>
      </c>
      <c r="C5" s="100" t="s">
        <v>4</v>
      </c>
      <c r="D5" s="101" t="s">
        <v>382</v>
      </c>
      <c r="E5" s="100" t="s">
        <v>391</v>
      </c>
      <c r="F5" s="100" t="s">
        <v>403</v>
      </c>
      <c r="H5"/>
      <c r="I5"/>
      <c r="J5"/>
    </row>
    <row r="6" spans="1:10" x14ac:dyDescent="0.25">
      <c r="A6" s="103"/>
      <c r="B6" s="104"/>
      <c r="C6" s="105"/>
      <c r="D6" s="106"/>
      <c r="E6" s="105"/>
      <c r="F6" s="107"/>
    </row>
    <row r="7" spans="1:10" x14ac:dyDescent="0.25">
      <c r="A7" s="108"/>
      <c r="B7" s="109"/>
      <c r="C7" s="110"/>
      <c r="D7" s="91"/>
      <c r="E7" s="92"/>
      <c r="F7" s="111"/>
    </row>
    <row r="8" spans="1:10" x14ac:dyDescent="0.25">
      <c r="A8" s="108"/>
      <c r="B8" s="109"/>
      <c r="C8" s="110"/>
      <c r="D8" s="91"/>
      <c r="E8" s="92"/>
      <c r="F8" s="111"/>
    </row>
    <row r="9" spans="1:10" x14ac:dyDescent="0.25">
      <c r="A9" s="108"/>
      <c r="B9" s="109"/>
      <c r="C9" s="110"/>
      <c r="D9" s="91"/>
      <c r="E9" s="92"/>
      <c r="F9" s="111"/>
    </row>
    <row r="10" spans="1:10" x14ac:dyDescent="0.25">
      <c r="A10" s="108"/>
      <c r="B10" s="109"/>
      <c r="C10" s="92"/>
      <c r="D10" s="112"/>
      <c r="E10" s="92"/>
      <c r="F10" s="111"/>
    </row>
    <row r="11" spans="1:10" x14ac:dyDescent="0.25">
      <c r="A11" s="113"/>
      <c r="B11" s="114"/>
      <c r="C11" s="92"/>
      <c r="D11" s="112"/>
      <c r="E11" s="115"/>
      <c r="F11" s="116"/>
    </row>
    <row r="12" spans="1:10" x14ac:dyDescent="0.25">
      <c r="A12" s="108"/>
      <c r="B12" s="109"/>
      <c r="C12" s="92"/>
      <c r="D12" s="112"/>
      <c r="E12" s="92"/>
      <c r="F12" s="111"/>
    </row>
    <row r="13" spans="1:10" ht="15.75" thickBot="1" x14ac:dyDescent="0.3">
      <c r="A13" s="117"/>
      <c r="B13" s="118"/>
      <c r="C13" s="119"/>
      <c r="D13" s="120"/>
      <c r="E13" s="119"/>
      <c r="F13" s="121"/>
    </row>
    <row r="14" spans="1:10" ht="15.75" customHeight="1" x14ac:dyDescent="0.25">
      <c r="C14" s="98" t="s">
        <v>360</v>
      </c>
      <c r="D14" s="97">
        <f>SUBTOTAL(9,D6:D13)</f>
        <v>0</v>
      </c>
    </row>
  </sheetData>
  <autoFilter ref="A5:G13" xr:uid="{00000000-0009-0000-0000-000008000000}"/>
  <dataValidations count="2">
    <dataValidation type="date" allowBlank="1" showInputMessage="1" showErrorMessage="1" sqref="A6:A9" xr:uid="{00000000-0002-0000-0800-000000000000}">
      <formula1>45658</formula1>
      <formula2>46022</formula2>
    </dataValidation>
    <dataValidation type="list" allowBlank="1" showInputMessage="1" showErrorMessage="1" sqref="C6:C13" xr:uid="{00000000-0002-0000-0800-000001000000}"/>
  </dataValidations>
  <pageMargins left="0.25" right="0.25" top="0.75" bottom="0.75" header="0.3" footer="0.3"/>
  <pageSetup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3</vt:i4>
      </vt:variant>
    </vt:vector>
  </HeadingPairs>
  <TitlesOfParts>
    <vt:vector size="16" baseType="lpstr">
      <vt:lpstr>INV. FINAL HERRAMIENTAS</vt:lpstr>
      <vt:lpstr>PAPEL TRABAJO AUX ABRIL</vt:lpstr>
      <vt:lpstr>INV. FINAL</vt:lpstr>
      <vt:lpstr>Hoja1</vt:lpstr>
      <vt:lpstr>MENSUAL</vt:lpstr>
      <vt:lpstr>ENTRADAS</vt:lpstr>
      <vt:lpstr>SEMANA S1</vt:lpstr>
      <vt:lpstr>SEMANA S2</vt:lpstr>
      <vt:lpstr>SEMANA S3</vt:lpstr>
      <vt:lpstr>SEMANA S4</vt:lpstr>
      <vt:lpstr>SEMANA S5</vt:lpstr>
      <vt:lpstr>BITACORA</vt:lpstr>
      <vt:lpstr>MERMAS</vt:lpstr>
      <vt:lpstr>ENTRADAS!Títulos_a_imprimir</vt:lpstr>
      <vt:lpstr>'INV. FINAL'!Títulos_a_imprimir</vt:lpstr>
      <vt:lpstr>MENSUAL!Títulos_a_imprimir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</dc:creator>
  <cp:lastModifiedBy>Saul Meza</cp:lastModifiedBy>
  <cp:lastPrinted>2026-04-27T17:04:53Z</cp:lastPrinted>
  <dcterms:created xsi:type="dcterms:W3CDTF">2026-04-07T15:51:39Z</dcterms:created>
  <dcterms:modified xsi:type="dcterms:W3CDTF">2026-05-07T23:28:10Z</dcterms:modified>
</cp:coreProperties>
</file>