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39644a82a9faca/Desktop/ABRIL/TIENDA DE RECUERDOS/"/>
    </mc:Choice>
  </mc:AlternateContent>
  <xr:revisionPtr revIDLastSave="196" documentId="11_B5256AF012CECB4B81D787F0A1CAF1570B38C71F" xr6:coauthVersionLast="47" xr6:coauthVersionMax="47" xr10:uidLastSave="{2371DF37-AD31-492D-85EB-425B832949A1}"/>
  <bookViews>
    <workbookView xWindow="-120" yWindow="-120" windowWidth="19440" windowHeight="14880" xr2:uid="{00000000-000D-0000-FFFF-FFFF00000000}"/>
  </bookViews>
  <sheets>
    <sheet name="INV. FINAL " sheetId="11" r:id="rId1"/>
    <sheet name="PAPEL DE TRABAJO ABRIL" sheetId="12" r:id="rId2"/>
    <sheet name="INVENTARIO MENSUAL " sheetId="3" r:id="rId3"/>
    <sheet name="ENTRADAS" sheetId="4" r:id="rId4"/>
    <sheet name="SEMANA S1" sheetId="2" r:id="rId5"/>
    <sheet name="SEMANA S2" sheetId="5" r:id="rId6"/>
    <sheet name="SEMANA S3" sheetId="6" r:id="rId7"/>
    <sheet name="SEMANA S4" sheetId="7" r:id="rId8"/>
    <sheet name="SEMANA S5" sheetId="8" r:id="rId9"/>
  </sheets>
  <externalReferences>
    <externalReference r:id="rId10"/>
  </externalReferences>
  <definedNames>
    <definedName name="_xlnm._FilterDatabase" localSheetId="3" hidden="1">ENTRADAS!$A$5:$M$25</definedName>
    <definedName name="_xlnm._FilterDatabase" localSheetId="0" hidden="1">'INV. FINAL '!$B$9:$U$95</definedName>
    <definedName name="_xlnm._FilterDatabase" localSheetId="2" hidden="1">'INVENTARIO MENSUAL '!$A$10:$AV$96</definedName>
    <definedName name="_xlnm._FilterDatabase" localSheetId="1" hidden="1">'PAPEL DE TRABAJO ABRIL'!$A$2:$Z$51</definedName>
    <definedName name="_xlnm.Print_Titles" localSheetId="3">ENTRADAS!$5:$5</definedName>
  </definedNames>
  <calcPr calcId="191029"/>
  <pivotCaches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2" l="1"/>
  <c r="AF3" i="12" s="1"/>
  <c r="AE4" i="12"/>
  <c r="AF4" i="12" s="1"/>
  <c r="AE5" i="12"/>
  <c r="AF5" i="12" s="1"/>
  <c r="AE6" i="12"/>
  <c r="AF6" i="12" s="1"/>
  <c r="AE7" i="12"/>
  <c r="AF7" i="12" s="1"/>
  <c r="AE8" i="12"/>
  <c r="AF8" i="12" s="1"/>
  <c r="AE9" i="12"/>
  <c r="AF9" i="12" s="1"/>
  <c r="AE10" i="12"/>
  <c r="AF10" i="12" s="1"/>
  <c r="AE11" i="12"/>
  <c r="AF11" i="12" s="1"/>
  <c r="AE12" i="12"/>
  <c r="AF12" i="12" s="1"/>
  <c r="AE13" i="12"/>
  <c r="AF13" i="12" s="1"/>
  <c r="AE14" i="12"/>
  <c r="AF14" i="12" s="1"/>
  <c r="AE15" i="12"/>
  <c r="AE16" i="12"/>
  <c r="AF16" i="12" s="1"/>
  <c r="AE17" i="12"/>
  <c r="AF17" i="12" s="1"/>
  <c r="AE18" i="12"/>
  <c r="AF18" i="12" s="1"/>
  <c r="AE19" i="12"/>
  <c r="AF19" i="12" s="1"/>
  <c r="AE20" i="12"/>
  <c r="AF20" i="12" s="1"/>
  <c r="AE21" i="12"/>
  <c r="AF21" i="12" s="1"/>
  <c r="B22" i="12"/>
  <c r="AE22" i="12"/>
  <c r="AF22" i="12" s="1"/>
  <c r="AE23" i="12"/>
  <c r="AF23" i="12" s="1"/>
  <c r="AE24" i="12"/>
  <c r="AF24" i="12" s="1"/>
  <c r="AE25" i="12"/>
  <c r="AF25" i="12" s="1"/>
  <c r="AE26" i="12"/>
  <c r="AF26" i="12" s="1"/>
  <c r="AE27" i="12"/>
  <c r="AF27" i="12" s="1"/>
  <c r="AE28" i="12"/>
  <c r="AF28" i="12"/>
  <c r="AE29" i="12"/>
  <c r="AF29" i="12" s="1"/>
  <c r="AE30" i="12"/>
  <c r="AF30" i="12" s="1"/>
  <c r="AE31" i="12"/>
  <c r="AF31" i="12" s="1"/>
  <c r="AE32" i="12"/>
  <c r="AF32" i="12" s="1"/>
  <c r="AE33" i="12"/>
  <c r="AF33" i="12" s="1"/>
  <c r="AE34" i="12"/>
  <c r="AF34" i="12" s="1"/>
  <c r="AE35" i="12"/>
  <c r="AF35" i="12" s="1"/>
  <c r="AE36" i="12"/>
  <c r="AF36" i="12" s="1"/>
  <c r="B37" i="12"/>
  <c r="AE37" i="12"/>
  <c r="AF37" i="12" s="1"/>
  <c r="AE38" i="12"/>
  <c r="AF38" i="12" s="1"/>
  <c r="AE39" i="12"/>
  <c r="AF39" i="12" s="1"/>
  <c r="AE40" i="12"/>
  <c r="AF40" i="12" s="1"/>
  <c r="AE41" i="12"/>
  <c r="AF41" i="12" s="1"/>
  <c r="AE42" i="12"/>
  <c r="AF42" i="12" s="1"/>
  <c r="AE43" i="12"/>
  <c r="AF43" i="12" s="1"/>
  <c r="AE44" i="12"/>
  <c r="AF44" i="12" s="1"/>
  <c r="AE45" i="12"/>
  <c r="AF45" i="12" s="1"/>
  <c r="AE46" i="12"/>
  <c r="AF46" i="12" s="1"/>
  <c r="AE47" i="12"/>
  <c r="AF47" i="12" s="1"/>
  <c r="AE48" i="12"/>
  <c r="AF48" i="12" s="1"/>
  <c r="AE49" i="12"/>
  <c r="AF49" i="12" s="1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E51" i="12" s="1"/>
  <c r="AB51" i="12"/>
  <c r="AC51" i="12"/>
  <c r="AD51" i="12"/>
  <c r="C54" i="12"/>
  <c r="K10" i="11"/>
  <c r="M10" i="11"/>
  <c r="O10" i="11"/>
  <c r="Q10" i="11"/>
  <c r="R10" i="11"/>
  <c r="S10" i="11"/>
  <c r="T10" i="11"/>
  <c r="U10" i="11"/>
  <c r="W10" i="11" s="1"/>
  <c r="V10" i="11"/>
  <c r="K11" i="11"/>
  <c r="M11" i="11"/>
  <c r="O11" i="11"/>
  <c r="Q11" i="11"/>
  <c r="R11" i="11"/>
  <c r="S11" i="11"/>
  <c r="T11" i="11"/>
  <c r="V11" i="11"/>
  <c r="K12" i="11"/>
  <c r="M12" i="11" s="1"/>
  <c r="O12" i="11"/>
  <c r="Q12" i="11"/>
  <c r="R12" i="11"/>
  <c r="S12" i="11"/>
  <c r="T12" i="11"/>
  <c r="U12" i="11" s="1"/>
  <c r="V12" i="11"/>
  <c r="K13" i="11"/>
  <c r="M13" i="11" s="1"/>
  <c r="O13" i="11"/>
  <c r="Q13" i="11"/>
  <c r="R13" i="11"/>
  <c r="S13" i="11"/>
  <c r="T13" i="11"/>
  <c r="U13" i="11"/>
  <c r="V13" i="11"/>
  <c r="K14" i="11"/>
  <c r="M14" i="11" s="1"/>
  <c r="O14" i="11"/>
  <c r="Q14" i="11"/>
  <c r="R14" i="11"/>
  <c r="S14" i="11"/>
  <c r="T14" i="11"/>
  <c r="U14" i="11"/>
  <c r="V14" i="11"/>
  <c r="W14" i="11" s="1"/>
  <c r="K15" i="11"/>
  <c r="M15" i="11" s="1"/>
  <c r="O15" i="11"/>
  <c r="Q15" i="11"/>
  <c r="R15" i="11"/>
  <c r="S15" i="11"/>
  <c r="T15" i="11"/>
  <c r="U15" i="11"/>
  <c r="V15" i="11"/>
  <c r="K16" i="11"/>
  <c r="M16" i="11" s="1"/>
  <c r="O16" i="11"/>
  <c r="Q16" i="11"/>
  <c r="R16" i="11"/>
  <c r="S16" i="11"/>
  <c r="T16" i="11"/>
  <c r="U16" i="11"/>
  <c r="V16" i="11"/>
  <c r="K17" i="11"/>
  <c r="M17" i="11" s="1"/>
  <c r="O17" i="11"/>
  <c r="Q17" i="11"/>
  <c r="R17" i="11"/>
  <c r="S17" i="11"/>
  <c r="T17" i="11"/>
  <c r="U17" i="11"/>
  <c r="V17" i="11"/>
  <c r="K18" i="11"/>
  <c r="M18" i="11" s="1"/>
  <c r="O18" i="11"/>
  <c r="Q18" i="11"/>
  <c r="R18" i="11"/>
  <c r="S18" i="11"/>
  <c r="T18" i="11"/>
  <c r="U18" i="11"/>
  <c r="V18" i="11"/>
  <c r="K19" i="11"/>
  <c r="M19" i="11" s="1"/>
  <c r="O19" i="11"/>
  <c r="Q19" i="11"/>
  <c r="R19" i="11"/>
  <c r="S19" i="11"/>
  <c r="T19" i="11"/>
  <c r="U19" i="11"/>
  <c r="V19" i="11"/>
  <c r="K20" i="11"/>
  <c r="O20" i="11"/>
  <c r="Q20" i="11"/>
  <c r="R20" i="11"/>
  <c r="S20" i="11"/>
  <c r="T20" i="11"/>
  <c r="U20" i="11"/>
  <c r="K21" i="11"/>
  <c r="M21" i="11" s="1"/>
  <c r="O21" i="11"/>
  <c r="Q21" i="11"/>
  <c r="R21" i="11"/>
  <c r="S21" i="11"/>
  <c r="T21" i="11"/>
  <c r="U21" i="11"/>
  <c r="V21" i="11"/>
  <c r="W21" i="11" s="1"/>
  <c r="K22" i="11"/>
  <c r="M22" i="11" s="1"/>
  <c r="O22" i="11"/>
  <c r="Q22" i="11"/>
  <c r="R22" i="11"/>
  <c r="S22" i="11"/>
  <c r="T22" i="11"/>
  <c r="U22" i="11"/>
  <c r="V22" i="11"/>
  <c r="W22" i="11" s="1"/>
  <c r="K23" i="11"/>
  <c r="M23" i="11" s="1"/>
  <c r="O23" i="11"/>
  <c r="Q23" i="11"/>
  <c r="R23" i="11"/>
  <c r="S23" i="11"/>
  <c r="T23" i="11"/>
  <c r="U23" i="11"/>
  <c r="V23" i="11"/>
  <c r="W23" i="11" s="1"/>
  <c r="K24" i="11"/>
  <c r="M24" i="11" s="1"/>
  <c r="O24" i="11"/>
  <c r="Q24" i="11"/>
  <c r="R24" i="11"/>
  <c r="S24" i="11"/>
  <c r="T24" i="11"/>
  <c r="U24" i="11"/>
  <c r="V24" i="11"/>
  <c r="W24" i="11" s="1"/>
  <c r="K25" i="11"/>
  <c r="M25" i="11" s="1"/>
  <c r="O25" i="11"/>
  <c r="Q25" i="11"/>
  <c r="R25" i="11"/>
  <c r="S25" i="11"/>
  <c r="T25" i="11"/>
  <c r="U25" i="11"/>
  <c r="V25" i="11"/>
  <c r="K26" i="11"/>
  <c r="M26" i="11" s="1"/>
  <c r="O26" i="11"/>
  <c r="Q26" i="11"/>
  <c r="R26" i="11"/>
  <c r="S26" i="11"/>
  <c r="T26" i="11"/>
  <c r="U26" i="11"/>
  <c r="V26" i="11"/>
  <c r="K27" i="11"/>
  <c r="M27" i="11" s="1"/>
  <c r="O27" i="11"/>
  <c r="Q27" i="11"/>
  <c r="R27" i="11"/>
  <c r="S27" i="11"/>
  <c r="T27" i="11"/>
  <c r="U27" i="11"/>
  <c r="V27" i="11"/>
  <c r="K28" i="11"/>
  <c r="M28" i="11" s="1"/>
  <c r="O28" i="11"/>
  <c r="Q28" i="11"/>
  <c r="R28" i="11"/>
  <c r="S28" i="11"/>
  <c r="T28" i="11"/>
  <c r="U28" i="11"/>
  <c r="V28" i="11"/>
  <c r="W28" i="11" s="1"/>
  <c r="K29" i="11"/>
  <c r="M29" i="11" s="1"/>
  <c r="O29" i="11"/>
  <c r="Q29" i="11"/>
  <c r="R29" i="11"/>
  <c r="S29" i="11"/>
  <c r="T29" i="11"/>
  <c r="U29" i="11"/>
  <c r="V29" i="11"/>
  <c r="W29" i="11" s="1"/>
  <c r="K30" i="11"/>
  <c r="M30" i="11" s="1"/>
  <c r="O30" i="11"/>
  <c r="Q30" i="11"/>
  <c r="R30" i="11"/>
  <c r="S30" i="11"/>
  <c r="T30" i="11"/>
  <c r="U30" i="11"/>
  <c r="V30" i="11"/>
  <c r="K31" i="11"/>
  <c r="M31" i="11" s="1"/>
  <c r="O31" i="11"/>
  <c r="Q31" i="11"/>
  <c r="R31" i="11"/>
  <c r="S31" i="11"/>
  <c r="T31" i="11"/>
  <c r="U31" i="11"/>
  <c r="V31" i="11"/>
  <c r="K32" i="11"/>
  <c r="M32" i="11" s="1"/>
  <c r="O32" i="11"/>
  <c r="Q32" i="11"/>
  <c r="R32" i="11"/>
  <c r="S32" i="11"/>
  <c r="T32" i="11"/>
  <c r="U32" i="11"/>
  <c r="V32" i="11"/>
  <c r="K33" i="11"/>
  <c r="M33" i="11" s="1"/>
  <c r="O33" i="11"/>
  <c r="Q33" i="11"/>
  <c r="R33" i="11"/>
  <c r="S33" i="11"/>
  <c r="T33" i="11"/>
  <c r="U33" i="11"/>
  <c r="V33" i="11"/>
  <c r="K34" i="11"/>
  <c r="M34" i="11" s="1"/>
  <c r="O34" i="11"/>
  <c r="Q34" i="11"/>
  <c r="R34" i="11"/>
  <c r="S34" i="11"/>
  <c r="T34" i="11"/>
  <c r="U34" i="11"/>
  <c r="V34" i="11"/>
  <c r="K35" i="11"/>
  <c r="O35" i="11"/>
  <c r="Q35" i="11"/>
  <c r="R35" i="11"/>
  <c r="S35" i="11"/>
  <c r="T35" i="11"/>
  <c r="U35" i="11"/>
  <c r="K36" i="11"/>
  <c r="M36" i="11" s="1"/>
  <c r="O36" i="11"/>
  <c r="Q36" i="11"/>
  <c r="R36" i="11"/>
  <c r="S36" i="11"/>
  <c r="T36" i="11"/>
  <c r="U36" i="11"/>
  <c r="V36" i="11"/>
  <c r="W36" i="11" s="1"/>
  <c r="K37" i="11"/>
  <c r="M37" i="11" s="1"/>
  <c r="O37" i="11"/>
  <c r="Q37" i="11"/>
  <c r="R37" i="11"/>
  <c r="S37" i="11"/>
  <c r="T37" i="11"/>
  <c r="U37" i="11"/>
  <c r="V37" i="11"/>
  <c r="W37" i="11" s="1"/>
  <c r="K38" i="11"/>
  <c r="M38" i="11" s="1"/>
  <c r="O38" i="11"/>
  <c r="Q38" i="11"/>
  <c r="R38" i="11"/>
  <c r="S38" i="11"/>
  <c r="T38" i="11"/>
  <c r="U38" i="11"/>
  <c r="V38" i="11"/>
  <c r="W38" i="11" s="1"/>
  <c r="K39" i="11"/>
  <c r="M39" i="11" s="1"/>
  <c r="O39" i="11"/>
  <c r="Q39" i="11"/>
  <c r="R39" i="11"/>
  <c r="S39" i="11"/>
  <c r="T39" i="11"/>
  <c r="U39" i="11"/>
  <c r="V39" i="11"/>
  <c r="W39" i="11" s="1"/>
  <c r="K40" i="11"/>
  <c r="M40" i="11" s="1"/>
  <c r="O40" i="11"/>
  <c r="Q40" i="11"/>
  <c r="R40" i="11"/>
  <c r="S40" i="11"/>
  <c r="T40" i="11"/>
  <c r="U40" i="11"/>
  <c r="V40" i="11"/>
  <c r="W40" i="11" s="1"/>
  <c r="K41" i="11"/>
  <c r="M41" i="11" s="1"/>
  <c r="O41" i="11"/>
  <c r="Q41" i="11"/>
  <c r="R41" i="11"/>
  <c r="S41" i="11"/>
  <c r="T41" i="11"/>
  <c r="U41" i="11"/>
  <c r="V41" i="11"/>
  <c r="W41" i="11" s="1"/>
  <c r="K42" i="11"/>
  <c r="M42" i="11" s="1"/>
  <c r="O42" i="11"/>
  <c r="Q42" i="11"/>
  <c r="R42" i="11"/>
  <c r="S42" i="11"/>
  <c r="T42" i="11"/>
  <c r="U42" i="11"/>
  <c r="V42" i="11"/>
  <c r="W42" i="11" s="1"/>
  <c r="K43" i="11"/>
  <c r="M43" i="11" s="1"/>
  <c r="O43" i="11"/>
  <c r="Q43" i="11"/>
  <c r="R43" i="11"/>
  <c r="S43" i="11"/>
  <c r="T43" i="11"/>
  <c r="U43" i="11"/>
  <c r="V43" i="11"/>
  <c r="W43" i="11" s="1"/>
  <c r="K44" i="11"/>
  <c r="M44" i="11" s="1"/>
  <c r="O44" i="11"/>
  <c r="Q44" i="11"/>
  <c r="R44" i="11"/>
  <c r="S44" i="11"/>
  <c r="T44" i="11"/>
  <c r="U44" i="11"/>
  <c r="V44" i="11"/>
  <c r="W44" i="11" s="1"/>
  <c r="K45" i="11"/>
  <c r="M45" i="11" s="1"/>
  <c r="O45" i="11"/>
  <c r="Q45" i="11"/>
  <c r="R45" i="11"/>
  <c r="S45" i="11"/>
  <c r="T45" i="11"/>
  <c r="U45" i="11"/>
  <c r="V45" i="11"/>
  <c r="W45" i="11" s="1"/>
  <c r="K46" i="11"/>
  <c r="M46" i="11"/>
  <c r="O46" i="11"/>
  <c r="Q46" i="11"/>
  <c r="R46" i="11"/>
  <c r="S46" i="11"/>
  <c r="T46" i="11"/>
  <c r="U46" i="11"/>
  <c r="V46" i="11"/>
  <c r="W46" i="11"/>
  <c r="K47" i="11"/>
  <c r="M47" i="11"/>
  <c r="O47" i="11"/>
  <c r="Q47" i="11"/>
  <c r="R47" i="11"/>
  <c r="S47" i="11"/>
  <c r="T47" i="11"/>
  <c r="U47" i="11"/>
  <c r="V47" i="11"/>
  <c r="W47" i="11"/>
  <c r="K48" i="11"/>
  <c r="M48" i="11"/>
  <c r="O48" i="11"/>
  <c r="Q48" i="11"/>
  <c r="R48" i="11"/>
  <c r="S48" i="11"/>
  <c r="T48" i="11"/>
  <c r="U48" i="11"/>
  <c r="V48" i="11"/>
  <c r="W48" i="11"/>
  <c r="K49" i="11"/>
  <c r="M49" i="11"/>
  <c r="O49" i="11"/>
  <c r="Q49" i="11"/>
  <c r="R49" i="11"/>
  <c r="S49" i="11"/>
  <c r="T49" i="11"/>
  <c r="U49" i="11"/>
  <c r="V49" i="11"/>
  <c r="W49" i="11"/>
  <c r="K50" i="11"/>
  <c r="M50" i="11"/>
  <c r="O50" i="11"/>
  <c r="Q50" i="11"/>
  <c r="R50" i="11"/>
  <c r="S50" i="11"/>
  <c r="T50" i="11"/>
  <c r="U50" i="11"/>
  <c r="V50" i="11"/>
  <c r="W50" i="11"/>
  <c r="K51" i="11"/>
  <c r="M51" i="11"/>
  <c r="O51" i="11"/>
  <c r="Q51" i="11"/>
  <c r="R51" i="11"/>
  <c r="S51" i="11"/>
  <c r="T51" i="11"/>
  <c r="U51" i="11"/>
  <c r="V51" i="11"/>
  <c r="W51" i="11" s="1"/>
  <c r="K52" i="11"/>
  <c r="O52" i="11"/>
  <c r="Q52" i="11"/>
  <c r="R52" i="11"/>
  <c r="S52" i="11"/>
  <c r="T52" i="11"/>
  <c r="U52" i="11" s="1"/>
  <c r="V52" i="11"/>
  <c r="W52" i="11" s="1"/>
  <c r="K53" i="11"/>
  <c r="M53" i="11" s="1"/>
  <c r="O53" i="11"/>
  <c r="Q53" i="11"/>
  <c r="R53" i="11"/>
  <c r="S53" i="11"/>
  <c r="T53" i="11"/>
  <c r="U53" i="11"/>
  <c r="V53" i="11"/>
  <c r="K54" i="11"/>
  <c r="M54" i="11" s="1"/>
  <c r="O54" i="11"/>
  <c r="Q54" i="11"/>
  <c r="R54" i="11"/>
  <c r="S54" i="11"/>
  <c r="T54" i="11"/>
  <c r="U54" i="11"/>
  <c r="V54" i="11"/>
  <c r="W54" i="11" s="1"/>
  <c r="K55" i="11"/>
  <c r="M55" i="11" s="1"/>
  <c r="O55" i="11"/>
  <c r="Q55" i="11"/>
  <c r="R55" i="11"/>
  <c r="S55" i="11"/>
  <c r="T55" i="11"/>
  <c r="U55" i="11"/>
  <c r="V55" i="11"/>
  <c r="W55" i="11" s="1"/>
  <c r="K56" i="11"/>
  <c r="M56" i="11" s="1"/>
  <c r="O56" i="11"/>
  <c r="Q56" i="11"/>
  <c r="R56" i="11"/>
  <c r="S56" i="11"/>
  <c r="T56" i="11"/>
  <c r="U56" i="11"/>
  <c r="V56" i="11"/>
  <c r="W56" i="11" s="1"/>
  <c r="K57" i="11"/>
  <c r="M57" i="11" s="1"/>
  <c r="O57" i="11"/>
  <c r="Q57" i="11"/>
  <c r="R57" i="11"/>
  <c r="S57" i="11"/>
  <c r="T57" i="11"/>
  <c r="U57" i="11" s="1"/>
  <c r="W57" i="11" s="1"/>
  <c r="V57" i="11"/>
  <c r="K58" i="11"/>
  <c r="M58" i="11" s="1"/>
  <c r="O58" i="11"/>
  <c r="Q58" i="11"/>
  <c r="R58" i="11"/>
  <c r="S58" i="11"/>
  <c r="T58" i="11"/>
  <c r="U58" i="11"/>
  <c r="V58" i="11"/>
  <c r="K59" i="11"/>
  <c r="M59" i="11" s="1"/>
  <c r="O59" i="11"/>
  <c r="Q59" i="11"/>
  <c r="R59" i="11"/>
  <c r="S59" i="11"/>
  <c r="T59" i="11"/>
  <c r="U59" i="11"/>
  <c r="V59" i="11"/>
  <c r="K60" i="11"/>
  <c r="O60" i="11"/>
  <c r="Q60" i="11"/>
  <c r="R60" i="11"/>
  <c r="S60" i="11"/>
  <c r="T60" i="11"/>
  <c r="K61" i="11"/>
  <c r="M61" i="11" s="1"/>
  <c r="O61" i="11"/>
  <c r="Q61" i="11"/>
  <c r="R61" i="11"/>
  <c r="S61" i="11"/>
  <c r="T61" i="11"/>
  <c r="U61" i="11"/>
  <c r="V61" i="11"/>
  <c r="W61" i="11" s="1"/>
  <c r="K62" i="11"/>
  <c r="M62" i="11" s="1"/>
  <c r="O62" i="11"/>
  <c r="Q62" i="11"/>
  <c r="R62" i="11"/>
  <c r="S62" i="11"/>
  <c r="T62" i="11"/>
  <c r="U62" i="11"/>
  <c r="V62" i="11"/>
  <c r="W62" i="11" s="1"/>
  <c r="K63" i="11"/>
  <c r="M63" i="11" s="1"/>
  <c r="O63" i="11"/>
  <c r="Q63" i="11"/>
  <c r="R63" i="11"/>
  <c r="S63" i="11"/>
  <c r="T63" i="11"/>
  <c r="U63" i="11"/>
  <c r="V63" i="11"/>
  <c r="W63" i="11" s="1"/>
  <c r="K64" i="11"/>
  <c r="M64" i="11" s="1"/>
  <c r="O64" i="11"/>
  <c r="Q64" i="11"/>
  <c r="R64" i="11"/>
  <c r="S64" i="11"/>
  <c r="T64" i="11"/>
  <c r="U64" i="11"/>
  <c r="V64" i="11"/>
  <c r="W64" i="11" s="1"/>
  <c r="K65" i="11"/>
  <c r="M65" i="11" s="1"/>
  <c r="O65" i="11"/>
  <c r="Q65" i="11"/>
  <c r="R65" i="11"/>
  <c r="S65" i="11"/>
  <c r="T65" i="11"/>
  <c r="U65" i="11" s="1"/>
  <c r="V65" i="11"/>
  <c r="K66" i="11"/>
  <c r="M66" i="11" s="1"/>
  <c r="O66" i="11"/>
  <c r="Q66" i="11"/>
  <c r="R66" i="11"/>
  <c r="S66" i="11"/>
  <c r="T66" i="11"/>
  <c r="U66" i="11"/>
  <c r="V66" i="11"/>
  <c r="W66" i="11" s="1"/>
  <c r="K67" i="11"/>
  <c r="M67" i="11" s="1"/>
  <c r="O67" i="11"/>
  <c r="Q67" i="11"/>
  <c r="R67" i="11"/>
  <c r="S67" i="11"/>
  <c r="T67" i="11"/>
  <c r="U67" i="11"/>
  <c r="W67" i="11" s="1"/>
  <c r="V67" i="11"/>
  <c r="K68" i="11"/>
  <c r="M68" i="11" s="1"/>
  <c r="O68" i="11"/>
  <c r="Q68" i="11"/>
  <c r="R68" i="11"/>
  <c r="S68" i="11"/>
  <c r="T68" i="11"/>
  <c r="U68" i="11"/>
  <c r="V68" i="11"/>
  <c r="W68" i="11" s="1"/>
  <c r="K69" i="11"/>
  <c r="M69" i="11" s="1"/>
  <c r="O69" i="11"/>
  <c r="Q69" i="11"/>
  <c r="R69" i="11"/>
  <c r="S69" i="11"/>
  <c r="T69" i="11"/>
  <c r="U69" i="11"/>
  <c r="V69" i="11"/>
  <c r="W69" i="11" s="1"/>
  <c r="K70" i="11"/>
  <c r="M70" i="11" s="1"/>
  <c r="O70" i="11"/>
  <c r="Q70" i="11"/>
  <c r="R70" i="11"/>
  <c r="S70" i="11"/>
  <c r="T70" i="11"/>
  <c r="U70" i="11"/>
  <c r="V70" i="11"/>
  <c r="W70" i="11" s="1"/>
  <c r="K71" i="11"/>
  <c r="O71" i="11"/>
  <c r="U71" i="11" s="1"/>
  <c r="Q71" i="11"/>
  <c r="R71" i="11"/>
  <c r="S71" i="11"/>
  <c r="T71" i="11"/>
  <c r="K72" i="11"/>
  <c r="M72" i="11"/>
  <c r="O72" i="11"/>
  <c r="Q72" i="11"/>
  <c r="R72" i="11"/>
  <c r="S72" i="11"/>
  <c r="T72" i="11"/>
  <c r="U72" i="11"/>
  <c r="V72" i="11"/>
  <c r="W72" i="11"/>
  <c r="K73" i="11"/>
  <c r="M73" i="11"/>
  <c r="O73" i="11"/>
  <c r="Q73" i="11"/>
  <c r="R73" i="11"/>
  <c r="S73" i="11"/>
  <c r="T73" i="11"/>
  <c r="U73" i="11"/>
  <c r="V73" i="11"/>
  <c r="W73" i="11"/>
  <c r="K74" i="11"/>
  <c r="M74" i="11"/>
  <c r="O74" i="11"/>
  <c r="Q74" i="11"/>
  <c r="R74" i="11"/>
  <c r="S74" i="11"/>
  <c r="T74" i="11"/>
  <c r="U74" i="11"/>
  <c r="V74" i="11"/>
  <c r="W74" i="11"/>
  <c r="K75" i="11"/>
  <c r="M75" i="11"/>
  <c r="O75" i="11"/>
  <c r="Q75" i="11"/>
  <c r="R75" i="11"/>
  <c r="S75" i="11"/>
  <c r="T75" i="11"/>
  <c r="U75" i="11"/>
  <c r="V75" i="11"/>
  <c r="W75" i="11"/>
  <c r="K76" i="11"/>
  <c r="M76" i="11"/>
  <c r="O76" i="11"/>
  <c r="Q76" i="11"/>
  <c r="R76" i="11"/>
  <c r="S76" i="11"/>
  <c r="T76" i="11"/>
  <c r="U76" i="11"/>
  <c r="V76" i="11"/>
  <c r="W76" i="11"/>
  <c r="K77" i="11"/>
  <c r="M77" i="11"/>
  <c r="O77" i="11"/>
  <c r="Q77" i="11"/>
  <c r="R77" i="11"/>
  <c r="S77" i="11"/>
  <c r="T77" i="11"/>
  <c r="U77" i="11"/>
  <c r="V77" i="11"/>
  <c r="W77" i="11"/>
  <c r="K78" i="11"/>
  <c r="M78" i="11"/>
  <c r="O78" i="11"/>
  <c r="Q78" i="11"/>
  <c r="R78" i="11"/>
  <c r="S78" i="11"/>
  <c r="T78" i="11"/>
  <c r="U78" i="11"/>
  <c r="V78" i="11"/>
  <c r="W78" i="11"/>
  <c r="K79" i="11"/>
  <c r="M79" i="11"/>
  <c r="O79" i="11"/>
  <c r="Q79" i="11"/>
  <c r="R79" i="11"/>
  <c r="S79" i="11"/>
  <c r="T79" i="11"/>
  <c r="U79" i="11"/>
  <c r="V79" i="11"/>
  <c r="K80" i="11"/>
  <c r="M80" i="11"/>
  <c r="O80" i="11"/>
  <c r="Q80" i="11"/>
  <c r="R80" i="11"/>
  <c r="S80" i="11"/>
  <c r="T80" i="11"/>
  <c r="V80" i="11"/>
  <c r="K81" i="11"/>
  <c r="M81" i="11" s="1"/>
  <c r="O81" i="11"/>
  <c r="Q81" i="11"/>
  <c r="R81" i="11"/>
  <c r="S81" i="11"/>
  <c r="T81" i="11"/>
  <c r="V81" i="11"/>
  <c r="K82" i="11"/>
  <c r="M82" i="11" s="1"/>
  <c r="O82" i="11"/>
  <c r="Q82" i="11"/>
  <c r="R82" i="11"/>
  <c r="S82" i="11"/>
  <c r="T82" i="11"/>
  <c r="U82" i="11" s="1"/>
  <c r="V82" i="11"/>
  <c r="W82" i="11" s="1"/>
  <c r="K83" i="11"/>
  <c r="M83" i="11" s="1"/>
  <c r="O83" i="11"/>
  <c r="Q83" i="11"/>
  <c r="R83" i="11"/>
  <c r="S83" i="11"/>
  <c r="T83" i="11"/>
  <c r="U83" i="11"/>
  <c r="V83" i="11"/>
  <c r="W83" i="11" s="1"/>
  <c r="K84" i="11"/>
  <c r="M84" i="11" s="1"/>
  <c r="O84" i="11"/>
  <c r="Q84" i="11"/>
  <c r="R84" i="11"/>
  <c r="S84" i="11"/>
  <c r="T84" i="11"/>
  <c r="U84" i="11"/>
  <c r="V84" i="11"/>
  <c r="W84" i="11" s="1"/>
  <c r="K85" i="11"/>
  <c r="O85" i="11"/>
  <c r="Q85" i="11"/>
  <c r="R85" i="11"/>
  <c r="S85" i="11"/>
  <c r="T85" i="11"/>
  <c r="U85" i="11"/>
  <c r="K86" i="11"/>
  <c r="M86" i="11"/>
  <c r="O86" i="11"/>
  <c r="Q86" i="11"/>
  <c r="R86" i="11"/>
  <c r="S86" i="11"/>
  <c r="T86" i="11"/>
  <c r="U86" i="11"/>
  <c r="V86" i="11"/>
  <c r="W86" i="11"/>
  <c r="K87" i="11"/>
  <c r="M87" i="11"/>
  <c r="O87" i="11"/>
  <c r="Q87" i="11"/>
  <c r="R87" i="11"/>
  <c r="S87" i="11"/>
  <c r="T87" i="11"/>
  <c r="U87" i="11"/>
  <c r="V87" i="11"/>
  <c r="W87" i="11"/>
  <c r="K88" i="11"/>
  <c r="M88" i="11"/>
  <c r="O88" i="11"/>
  <c r="Q88" i="11"/>
  <c r="R88" i="11"/>
  <c r="S88" i="11"/>
  <c r="T88" i="11"/>
  <c r="U88" i="11"/>
  <c r="V88" i="11"/>
  <c r="W88" i="11"/>
  <c r="K89" i="11"/>
  <c r="M89" i="11"/>
  <c r="O89" i="11"/>
  <c r="Q89" i="11"/>
  <c r="R89" i="11"/>
  <c r="S89" i="11"/>
  <c r="T89" i="11"/>
  <c r="U89" i="11"/>
  <c r="V89" i="11"/>
  <c r="W89" i="11"/>
  <c r="K90" i="11"/>
  <c r="M90" i="11"/>
  <c r="O90" i="11"/>
  <c r="Q90" i="11"/>
  <c r="R90" i="11"/>
  <c r="S90" i="11"/>
  <c r="T90" i="11"/>
  <c r="U90" i="11"/>
  <c r="V90" i="11"/>
  <c r="W90" i="11"/>
  <c r="K91" i="11"/>
  <c r="M91" i="11"/>
  <c r="O91" i="11"/>
  <c r="Q91" i="11"/>
  <c r="R91" i="11"/>
  <c r="S91" i="11"/>
  <c r="T91" i="11"/>
  <c r="U91" i="11"/>
  <c r="V91" i="11"/>
  <c r="W91" i="11"/>
  <c r="K92" i="11"/>
  <c r="M92" i="11"/>
  <c r="O92" i="11"/>
  <c r="Q92" i="11"/>
  <c r="R92" i="11"/>
  <c r="S92" i="11"/>
  <c r="T92" i="11"/>
  <c r="U92" i="11"/>
  <c r="V92" i="11"/>
  <c r="W92" i="11"/>
  <c r="K93" i="11"/>
  <c r="M93" i="11"/>
  <c r="O93" i="11"/>
  <c r="Q93" i="11"/>
  <c r="R93" i="11"/>
  <c r="S93" i="11"/>
  <c r="T93" i="11"/>
  <c r="U93" i="11"/>
  <c r="V93" i="11"/>
  <c r="W93" i="11" s="1"/>
  <c r="K94" i="11"/>
  <c r="M94" i="11" s="1"/>
  <c r="O94" i="11"/>
  <c r="Q94" i="11"/>
  <c r="R94" i="11"/>
  <c r="S94" i="11"/>
  <c r="T94" i="11"/>
  <c r="U94" i="11"/>
  <c r="V94" i="11"/>
  <c r="W94" i="11" s="1"/>
  <c r="G95" i="11"/>
  <c r="H95" i="11"/>
  <c r="I95" i="11"/>
  <c r="J95" i="11"/>
  <c r="L95" i="11"/>
  <c r="P95" i="11"/>
  <c r="AR13" i="3"/>
  <c r="AT13" i="3" s="1"/>
  <c r="AR14" i="3"/>
  <c r="AR15" i="3"/>
  <c r="AR16" i="3"/>
  <c r="AT16" i="3" s="1"/>
  <c r="AR17" i="3"/>
  <c r="AR18" i="3"/>
  <c r="AR19" i="3"/>
  <c r="AR20" i="3"/>
  <c r="AT20" i="3" s="1"/>
  <c r="AR21" i="3"/>
  <c r="AR22" i="3"/>
  <c r="AR23" i="3"/>
  <c r="AR24" i="3"/>
  <c r="AT24" i="3" s="1"/>
  <c r="AR25" i="3"/>
  <c r="AR26" i="3"/>
  <c r="AR27" i="3"/>
  <c r="AR28" i="3"/>
  <c r="AT28" i="3" s="1"/>
  <c r="AR29" i="3"/>
  <c r="AR30" i="3"/>
  <c r="AT30" i="3" s="1"/>
  <c r="AR31" i="3"/>
  <c r="AT31" i="3" s="1"/>
  <c r="AR32" i="3"/>
  <c r="AT32" i="3" s="1"/>
  <c r="AR33" i="3"/>
  <c r="AT33" i="3" s="1"/>
  <c r="AR34" i="3"/>
  <c r="AT34" i="3" s="1"/>
  <c r="AR35" i="3"/>
  <c r="AT35" i="3" s="1"/>
  <c r="AR36" i="3"/>
  <c r="AT36" i="3" s="1"/>
  <c r="AR37" i="3"/>
  <c r="AT37" i="3" s="1"/>
  <c r="AR38" i="3"/>
  <c r="AT38" i="3" s="1"/>
  <c r="AR39" i="3"/>
  <c r="AT39" i="3" s="1"/>
  <c r="AR40" i="3"/>
  <c r="AT40" i="3" s="1"/>
  <c r="AR41" i="3"/>
  <c r="AT41" i="3" s="1"/>
  <c r="AR42" i="3"/>
  <c r="AT42" i="3" s="1"/>
  <c r="AR43" i="3"/>
  <c r="AT43" i="3" s="1"/>
  <c r="AR44" i="3"/>
  <c r="AT44" i="3" s="1"/>
  <c r="AR45" i="3"/>
  <c r="AT45" i="3" s="1"/>
  <c r="AR46" i="3"/>
  <c r="AT46" i="3" s="1"/>
  <c r="AR47" i="3"/>
  <c r="AT47" i="3" s="1"/>
  <c r="AR48" i="3"/>
  <c r="AT48" i="3" s="1"/>
  <c r="AR49" i="3"/>
  <c r="AT49" i="3" s="1"/>
  <c r="AR50" i="3"/>
  <c r="AT50" i="3" s="1"/>
  <c r="AR51" i="3"/>
  <c r="AT51" i="3" s="1"/>
  <c r="AR52" i="3"/>
  <c r="AT52" i="3" s="1"/>
  <c r="AR53" i="3"/>
  <c r="AT53" i="3" s="1"/>
  <c r="AR54" i="3"/>
  <c r="AT54" i="3" s="1"/>
  <c r="AR55" i="3"/>
  <c r="AT55" i="3" s="1"/>
  <c r="AR56" i="3"/>
  <c r="AT56" i="3" s="1"/>
  <c r="AR57" i="3"/>
  <c r="AT57" i="3" s="1"/>
  <c r="AR58" i="3"/>
  <c r="AT58" i="3" s="1"/>
  <c r="AR59" i="3"/>
  <c r="AT59" i="3" s="1"/>
  <c r="AR60" i="3"/>
  <c r="AT60" i="3" s="1"/>
  <c r="AR61" i="3"/>
  <c r="AT61" i="3" s="1"/>
  <c r="AR62" i="3"/>
  <c r="AT62" i="3" s="1"/>
  <c r="AR63" i="3"/>
  <c r="AT63" i="3" s="1"/>
  <c r="AR64" i="3"/>
  <c r="AT64" i="3" s="1"/>
  <c r="AR65" i="3"/>
  <c r="AT65" i="3" s="1"/>
  <c r="AR66" i="3"/>
  <c r="AT66" i="3" s="1"/>
  <c r="AR67" i="3"/>
  <c r="AT67" i="3" s="1"/>
  <c r="AR68" i="3"/>
  <c r="AT68" i="3" s="1"/>
  <c r="AR69" i="3"/>
  <c r="AT69" i="3" s="1"/>
  <c r="AR70" i="3"/>
  <c r="AT70" i="3" s="1"/>
  <c r="AR71" i="3"/>
  <c r="AT71" i="3" s="1"/>
  <c r="AR72" i="3"/>
  <c r="AT72" i="3" s="1"/>
  <c r="AR73" i="3"/>
  <c r="AT73" i="3" s="1"/>
  <c r="AR74" i="3"/>
  <c r="AT74" i="3" s="1"/>
  <c r="AR75" i="3"/>
  <c r="AT75" i="3" s="1"/>
  <c r="AR76" i="3"/>
  <c r="AT76" i="3" s="1"/>
  <c r="AR77" i="3"/>
  <c r="AT77" i="3" s="1"/>
  <c r="AR78" i="3"/>
  <c r="AT78" i="3" s="1"/>
  <c r="AR79" i="3"/>
  <c r="AT79" i="3" s="1"/>
  <c r="AR80" i="3"/>
  <c r="AT80" i="3" s="1"/>
  <c r="AR81" i="3"/>
  <c r="AT81" i="3" s="1"/>
  <c r="AR82" i="3"/>
  <c r="AT82" i="3" s="1"/>
  <c r="AR83" i="3"/>
  <c r="AT83" i="3" s="1"/>
  <c r="AR84" i="3"/>
  <c r="AT84" i="3" s="1"/>
  <c r="AR85" i="3"/>
  <c r="AT85" i="3" s="1"/>
  <c r="AR86" i="3"/>
  <c r="AT86" i="3" s="1"/>
  <c r="AR87" i="3"/>
  <c r="AT87" i="3" s="1"/>
  <c r="AR88" i="3"/>
  <c r="AT88" i="3" s="1"/>
  <c r="AR89" i="3"/>
  <c r="AT89" i="3" s="1"/>
  <c r="AR90" i="3"/>
  <c r="AT90" i="3" s="1"/>
  <c r="AR91" i="3"/>
  <c r="AT91" i="3" s="1"/>
  <c r="AR92" i="3"/>
  <c r="AT92" i="3" s="1"/>
  <c r="AR93" i="3"/>
  <c r="AT93" i="3" s="1"/>
  <c r="AR94" i="3"/>
  <c r="AT94" i="3" s="1"/>
  <c r="AR95" i="3"/>
  <c r="AT95" i="3" s="1"/>
  <c r="AR12" i="3"/>
  <c r="AT12" i="3"/>
  <c r="AT14" i="3"/>
  <c r="AT15" i="3"/>
  <c r="AT17" i="3"/>
  <c r="AT18" i="3"/>
  <c r="AT19" i="3"/>
  <c r="AT21" i="3"/>
  <c r="AT22" i="3"/>
  <c r="AT23" i="3"/>
  <c r="AT25" i="3"/>
  <c r="AT26" i="3"/>
  <c r="AT27" i="3"/>
  <c r="AT29" i="3"/>
  <c r="AR11" i="3"/>
  <c r="AT11" i="3" s="1"/>
  <c r="G3" i="8"/>
  <c r="G4" i="8"/>
  <c r="G5" i="8"/>
  <c r="G6" i="8"/>
  <c r="G7" i="8"/>
  <c r="G8" i="8"/>
  <c r="F3" i="8"/>
  <c r="F4" i="8"/>
  <c r="F5" i="8"/>
  <c r="F6" i="8"/>
  <c r="F7" i="8"/>
  <c r="F8" i="8"/>
  <c r="F9" i="8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F23" i="8"/>
  <c r="F24" i="8"/>
  <c r="G24" i="8" s="1"/>
  <c r="F25" i="8"/>
  <c r="F26" i="8"/>
  <c r="G26" i="8" s="1"/>
  <c r="F27" i="8"/>
  <c r="F28" i="8"/>
  <c r="F29" i="8"/>
  <c r="F30" i="8"/>
  <c r="G30" i="8" s="1"/>
  <c r="F31" i="8"/>
  <c r="F32" i="8"/>
  <c r="F33" i="8"/>
  <c r="G33" i="8" s="1"/>
  <c r="F34" i="8"/>
  <c r="F35" i="8"/>
  <c r="F36" i="8"/>
  <c r="G36" i="8" s="1"/>
  <c r="F37" i="8"/>
  <c r="G37" i="8" s="1"/>
  <c r="F38" i="8"/>
  <c r="G38" i="8" s="1"/>
  <c r="F39" i="8"/>
  <c r="G39" i="8" s="1"/>
  <c r="F40" i="8"/>
  <c r="F2" i="8"/>
  <c r="G2" i="8" s="1"/>
  <c r="G40" i="8" s="1"/>
  <c r="U11" i="11" l="1"/>
  <c r="W11" i="11" s="1"/>
  <c r="W12" i="11"/>
  <c r="W15" i="11"/>
  <c r="W17" i="11"/>
  <c r="W19" i="11"/>
  <c r="W30" i="11"/>
  <c r="W31" i="11"/>
  <c r="W33" i="11"/>
  <c r="W25" i="11"/>
  <c r="W26" i="11"/>
  <c r="W34" i="11"/>
  <c r="W59" i="11"/>
  <c r="U60" i="11"/>
  <c r="W53" i="11"/>
  <c r="O95" i="11"/>
  <c r="R95" i="11"/>
  <c r="W58" i="11"/>
  <c r="T95" i="11"/>
  <c r="W79" i="11"/>
  <c r="U80" i="11"/>
  <c r="U81" i="11"/>
  <c r="W81" i="11" s="1"/>
  <c r="W13" i="11"/>
  <c r="W16" i="11"/>
  <c r="W18" i="11"/>
  <c r="W27" i="11"/>
  <c r="W32" i="11"/>
  <c r="S95" i="11"/>
  <c r="Q95" i="11"/>
  <c r="M20" i="11"/>
  <c r="V20" i="11"/>
  <c r="W20" i="11" s="1"/>
  <c r="V71" i="11"/>
  <c r="W71" i="11" s="1"/>
  <c r="M71" i="11"/>
  <c r="W65" i="11"/>
  <c r="C55" i="12"/>
  <c r="AF50" i="12"/>
  <c r="V35" i="11"/>
  <c r="W35" i="11" s="1"/>
  <c r="M35" i="11"/>
  <c r="M95" i="11" s="1"/>
  <c r="K95" i="11"/>
  <c r="M52" i="11"/>
  <c r="V60" i="11"/>
  <c r="W60" i="11" s="1"/>
  <c r="M60" i="11"/>
  <c r="V85" i="11"/>
  <c r="W85" i="11" s="1"/>
  <c r="M85" i="11"/>
  <c r="J3" i="7"/>
  <c r="J4" i="7"/>
  <c r="J5" i="7"/>
  <c r="J6" i="7"/>
  <c r="J7" i="7"/>
  <c r="J8" i="7"/>
  <c r="J9" i="7"/>
  <c r="J10" i="7"/>
  <c r="J12" i="7"/>
  <c r="J13" i="7"/>
  <c r="J14" i="7"/>
  <c r="J15" i="7"/>
  <c r="J16" i="7"/>
  <c r="J22" i="7"/>
  <c r="J23" i="7"/>
  <c r="J24" i="7"/>
  <c r="J25" i="7"/>
  <c r="J26" i="7"/>
  <c r="J27" i="7"/>
  <c r="J28" i="7"/>
  <c r="J29" i="7"/>
  <c r="J30" i="7"/>
  <c r="J32" i="7"/>
  <c r="J33" i="7"/>
  <c r="J34" i="7"/>
  <c r="J35" i="7"/>
  <c r="I3" i="7"/>
  <c r="I4" i="7"/>
  <c r="I5" i="7"/>
  <c r="I6" i="7"/>
  <c r="I7" i="7"/>
  <c r="I8" i="7"/>
  <c r="I9" i="7"/>
  <c r="I10" i="7"/>
  <c r="I11" i="7"/>
  <c r="J11" i="7" s="1"/>
  <c r="I12" i="7"/>
  <c r="I13" i="7"/>
  <c r="I14" i="7"/>
  <c r="I15" i="7"/>
  <c r="I16" i="7"/>
  <c r="I17" i="7"/>
  <c r="J17" i="7" s="1"/>
  <c r="I18" i="7"/>
  <c r="J18" i="7" s="1"/>
  <c r="I19" i="7"/>
  <c r="J19" i="7" s="1"/>
  <c r="I20" i="7"/>
  <c r="J20" i="7" s="1"/>
  <c r="I21" i="7"/>
  <c r="J21" i="7" s="1"/>
  <c r="I22" i="7"/>
  <c r="I23" i="7"/>
  <c r="I24" i="7"/>
  <c r="I25" i="7"/>
  <c r="I26" i="7"/>
  <c r="I27" i="7"/>
  <c r="I28" i="7"/>
  <c r="I29" i="7"/>
  <c r="I30" i="7"/>
  <c r="I31" i="7"/>
  <c r="J31" i="7" s="1"/>
  <c r="I32" i="7"/>
  <c r="I33" i="7"/>
  <c r="I34" i="7"/>
  <c r="I35" i="7"/>
  <c r="I36" i="7"/>
  <c r="J36" i="7" s="1"/>
  <c r="I37" i="7"/>
  <c r="J37" i="7" s="1"/>
  <c r="I38" i="7"/>
  <c r="J38" i="7" s="1"/>
  <c r="I39" i="7"/>
  <c r="J39" i="7" s="1"/>
  <c r="I40" i="7"/>
  <c r="I2" i="7"/>
  <c r="J2" i="7" s="1"/>
  <c r="J40" i="7" s="1"/>
  <c r="W80" i="11" l="1"/>
  <c r="U95" i="11"/>
  <c r="J29" i="6"/>
  <c r="J30" i="6"/>
  <c r="J31" i="6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I30" i="6"/>
  <c r="I31" i="6"/>
  <c r="I32" i="6"/>
  <c r="J32" i="6" s="1"/>
  <c r="I33" i="6"/>
  <c r="J33" i="6" s="1"/>
  <c r="I34" i="6"/>
  <c r="J34" i="6" s="1"/>
  <c r="I35" i="6"/>
  <c r="J35" i="6" s="1"/>
  <c r="I36" i="6"/>
  <c r="I2" i="6"/>
  <c r="J2" i="6" s="1"/>
  <c r="J36" i="6" s="1"/>
  <c r="P96" i="3" l="1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6" i="5"/>
  <c r="J27" i="5"/>
  <c r="J28" i="5"/>
  <c r="J29" i="5"/>
  <c r="J30" i="5"/>
  <c r="J31" i="5"/>
  <c r="J32" i="5"/>
  <c r="J33" i="5"/>
  <c r="J34" i="5"/>
  <c r="J35" i="5"/>
  <c r="J2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2" i="5"/>
  <c r="J36" i="5" l="1"/>
  <c r="AN96" i="3"/>
  <c r="AL96" i="3"/>
  <c r="AJ96" i="3"/>
  <c r="AI96" i="3"/>
  <c r="M26" i="4" l="1"/>
  <c r="K26" i="4"/>
  <c r="I26" i="4"/>
  <c r="H26" i="4"/>
  <c r="G26" i="4"/>
  <c r="M25" i="4"/>
  <c r="J25" i="4"/>
  <c r="L25" i="4" s="1"/>
  <c r="M24" i="4"/>
  <c r="J24" i="4"/>
  <c r="L24" i="4" s="1"/>
  <c r="M23" i="4"/>
  <c r="J23" i="4"/>
  <c r="L23" i="4" s="1"/>
  <c r="M22" i="4"/>
  <c r="J22" i="4"/>
  <c r="L22" i="4" s="1"/>
  <c r="M21" i="4"/>
  <c r="J21" i="4"/>
  <c r="L21" i="4" s="1"/>
  <c r="M20" i="4"/>
  <c r="J20" i="4"/>
  <c r="L20" i="4" s="1"/>
  <c r="M19" i="4"/>
  <c r="J19" i="4"/>
  <c r="L19" i="4" s="1"/>
  <c r="M18" i="4"/>
  <c r="J18" i="4"/>
  <c r="L18" i="4" s="1"/>
  <c r="M17" i="4"/>
  <c r="J17" i="4"/>
  <c r="L17" i="4" s="1"/>
  <c r="M16" i="4"/>
  <c r="J16" i="4"/>
  <c r="L16" i="4" s="1"/>
  <c r="M15" i="4"/>
  <c r="J15" i="4"/>
  <c r="L15" i="4" s="1"/>
  <c r="M14" i="4"/>
  <c r="J14" i="4"/>
  <c r="L14" i="4" s="1"/>
  <c r="M13" i="4"/>
  <c r="J13" i="4"/>
  <c r="L13" i="4" s="1"/>
  <c r="M12" i="4"/>
  <c r="J12" i="4"/>
  <c r="L12" i="4" s="1"/>
  <c r="M11" i="4"/>
  <c r="L11" i="4"/>
  <c r="J11" i="4"/>
  <c r="M10" i="4"/>
  <c r="J10" i="4"/>
  <c r="L10" i="4" s="1"/>
  <c r="M9" i="4"/>
  <c r="J9" i="4"/>
  <c r="L9" i="4" s="1"/>
  <c r="M8" i="4"/>
  <c r="J8" i="4"/>
  <c r="L8" i="4" s="1"/>
  <c r="M7" i="4"/>
  <c r="J7" i="4"/>
  <c r="L7" i="4" s="1"/>
  <c r="L26" i="4" s="1"/>
  <c r="M6" i="4"/>
  <c r="J6" i="4"/>
  <c r="L6" i="4" s="1"/>
  <c r="J26" i="4" l="1"/>
  <c r="I96" i="3" l="1"/>
  <c r="AG96" i="3"/>
  <c r="AE96" i="3"/>
  <c r="AC96" i="3"/>
  <c r="AB96" i="3"/>
  <c r="Z96" i="3"/>
  <c r="X96" i="3"/>
  <c r="W96" i="3"/>
  <c r="V96" i="3"/>
  <c r="U96" i="3"/>
  <c r="S96" i="3"/>
  <c r="Q96" i="3"/>
  <c r="O96" i="3"/>
  <c r="N96" i="3"/>
  <c r="L96" i="3"/>
  <c r="J96" i="3"/>
  <c r="H96" i="3"/>
  <c r="G96" i="3"/>
  <c r="E96" i="3"/>
  <c r="D96" i="3"/>
  <c r="AV95" i="3"/>
  <c r="AS95" i="3"/>
  <c r="AQ95" i="3"/>
  <c r="AP95" i="3"/>
  <c r="K95" i="3"/>
  <c r="R95" i="3" s="1"/>
  <c r="T95" i="3" s="1"/>
  <c r="AV94" i="3"/>
  <c r="AS94" i="3"/>
  <c r="AQ94" i="3"/>
  <c r="AP94" i="3"/>
  <c r="K94" i="3"/>
  <c r="M94" i="3" s="1"/>
  <c r="AU93" i="3"/>
  <c r="AS93" i="3"/>
  <c r="AQ93" i="3"/>
  <c r="AP93" i="3"/>
  <c r="K93" i="3"/>
  <c r="M93" i="3" s="1"/>
  <c r="AU92" i="3"/>
  <c r="AV92" i="3" s="1"/>
  <c r="AS92" i="3"/>
  <c r="AQ92" i="3"/>
  <c r="AP92" i="3"/>
  <c r="K92" i="3"/>
  <c r="AU91" i="3"/>
  <c r="AV91" i="3" s="1"/>
  <c r="AS91" i="3"/>
  <c r="AQ91" i="3"/>
  <c r="AP91" i="3"/>
  <c r="K91" i="3"/>
  <c r="M91" i="3" s="1"/>
  <c r="AV90" i="3"/>
  <c r="AS90" i="3"/>
  <c r="AQ90" i="3"/>
  <c r="AP90" i="3"/>
  <c r="K90" i="3"/>
  <c r="AU89" i="3"/>
  <c r="AS89" i="3"/>
  <c r="AQ89" i="3"/>
  <c r="AP89" i="3"/>
  <c r="K89" i="3"/>
  <c r="AU88" i="3"/>
  <c r="AV88" i="3" s="1"/>
  <c r="AS88" i="3"/>
  <c r="AQ88" i="3"/>
  <c r="AP88" i="3"/>
  <c r="K88" i="3"/>
  <c r="AU87" i="3"/>
  <c r="AV87" i="3" s="1"/>
  <c r="AS87" i="3"/>
  <c r="AQ87" i="3"/>
  <c r="AP87" i="3"/>
  <c r="K87" i="3"/>
  <c r="M87" i="3" s="1"/>
  <c r="AU86" i="3"/>
  <c r="AS86" i="3"/>
  <c r="AQ86" i="3"/>
  <c r="AP86" i="3"/>
  <c r="K86" i="3"/>
  <c r="M86" i="3" s="1"/>
  <c r="AU85" i="3"/>
  <c r="AS85" i="3"/>
  <c r="AQ85" i="3"/>
  <c r="AP85" i="3"/>
  <c r="K85" i="3"/>
  <c r="R85" i="3" s="1"/>
  <c r="AV84" i="3"/>
  <c r="AS84" i="3"/>
  <c r="AQ84" i="3"/>
  <c r="AP84" i="3"/>
  <c r="K84" i="3"/>
  <c r="AU83" i="3"/>
  <c r="AS83" i="3"/>
  <c r="AQ83" i="3"/>
  <c r="AP83" i="3"/>
  <c r="K83" i="3"/>
  <c r="R83" i="3" s="1"/>
  <c r="AU82" i="3"/>
  <c r="AV82" i="3" s="1"/>
  <c r="AS82" i="3"/>
  <c r="AQ82" i="3"/>
  <c r="AP82" i="3"/>
  <c r="K82" i="3"/>
  <c r="R82" i="3" s="1"/>
  <c r="T82" i="3" s="1"/>
  <c r="AU81" i="3"/>
  <c r="AS81" i="3"/>
  <c r="AQ81" i="3"/>
  <c r="AP81" i="3"/>
  <c r="K81" i="3"/>
  <c r="M81" i="3" s="1"/>
  <c r="AU80" i="3"/>
  <c r="AV80" i="3" s="1"/>
  <c r="AS80" i="3"/>
  <c r="AQ80" i="3"/>
  <c r="AP80" i="3"/>
  <c r="K80" i="3"/>
  <c r="M80" i="3" s="1"/>
  <c r="AU79" i="3"/>
  <c r="AS79" i="3"/>
  <c r="AQ79" i="3"/>
  <c r="AP79" i="3"/>
  <c r="K79" i="3"/>
  <c r="R79" i="3" s="1"/>
  <c r="Y79" i="3" s="1"/>
  <c r="AV78" i="3"/>
  <c r="AS78" i="3"/>
  <c r="AQ78" i="3"/>
  <c r="AP78" i="3"/>
  <c r="K78" i="3"/>
  <c r="M78" i="3" s="1"/>
  <c r="AU77" i="3"/>
  <c r="AS77" i="3"/>
  <c r="AQ77" i="3"/>
  <c r="AP77" i="3"/>
  <c r="K77" i="3"/>
  <c r="AU76" i="3"/>
  <c r="AV76" i="3" s="1"/>
  <c r="AS76" i="3"/>
  <c r="AQ76" i="3"/>
  <c r="AP76" i="3"/>
  <c r="K76" i="3"/>
  <c r="M76" i="3" s="1"/>
  <c r="AU75" i="3"/>
  <c r="AS75" i="3"/>
  <c r="AQ75" i="3"/>
  <c r="AP75" i="3"/>
  <c r="K75" i="3"/>
  <c r="M75" i="3" s="1"/>
  <c r="AU74" i="3"/>
  <c r="AS74" i="3"/>
  <c r="AQ74" i="3"/>
  <c r="AP74" i="3"/>
  <c r="K74" i="3"/>
  <c r="R74" i="3" s="1"/>
  <c r="AU73" i="3"/>
  <c r="AV73" i="3" s="1"/>
  <c r="AS73" i="3"/>
  <c r="AQ73" i="3"/>
  <c r="AP73" i="3"/>
  <c r="K73" i="3"/>
  <c r="AU72" i="3"/>
  <c r="AV72" i="3" s="1"/>
  <c r="AS72" i="3"/>
  <c r="AQ72" i="3"/>
  <c r="AP72" i="3"/>
  <c r="K72" i="3"/>
  <c r="AU71" i="3"/>
  <c r="AV71" i="3" s="1"/>
  <c r="AS71" i="3"/>
  <c r="AQ71" i="3"/>
  <c r="AP71" i="3"/>
  <c r="K71" i="3"/>
  <c r="M71" i="3" s="1"/>
  <c r="AV70" i="3"/>
  <c r="AS70" i="3"/>
  <c r="AQ70" i="3"/>
  <c r="AP70" i="3"/>
  <c r="K70" i="3"/>
  <c r="R70" i="3" s="1"/>
  <c r="T70" i="3" s="1"/>
  <c r="AU69" i="3"/>
  <c r="AS69" i="3"/>
  <c r="AQ69" i="3"/>
  <c r="AP69" i="3"/>
  <c r="K69" i="3"/>
  <c r="R69" i="3" s="1"/>
  <c r="T69" i="3" s="1"/>
  <c r="AV68" i="3"/>
  <c r="AS68" i="3"/>
  <c r="AQ68" i="3"/>
  <c r="AP68" i="3"/>
  <c r="K68" i="3"/>
  <c r="M68" i="3" s="1"/>
  <c r="AU67" i="3"/>
  <c r="AV67" i="3" s="1"/>
  <c r="AS67" i="3"/>
  <c r="AQ67" i="3"/>
  <c r="AP67" i="3"/>
  <c r="K67" i="3"/>
  <c r="AU66" i="3"/>
  <c r="AV66" i="3" s="1"/>
  <c r="AS66" i="3"/>
  <c r="AQ66" i="3"/>
  <c r="AP66" i="3"/>
  <c r="K66" i="3"/>
  <c r="M66" i="3" s="1"/>
  <c r="AU65" i="3"/>
  <c r="AV65" i="3" s="1"/>
  <c r="AS65" i="3"/>
  <c r="AQ65" i="3"/>
  <c r="AP65" i="3"/>
  <c r="K65" i="3"/>
  <c r="R65" i="3" s="1"/>
  <c r="T65" i="3" s="1"/>
  <c r="AV64" i="3"/>
  <c r="AS64" i="3"/>
  <c r="AQ64" i="3"/>
  <c r="AP64" i="3"/>
  <c r="K64" i="3"/>
  <c r="M64" i="3" s="1"/>
  <c r="AU63" i="3"/>
  <c r="AS63" i="3"/>
  <c r="AQ63" i="3"/>
  <c r="AP63" i="3"/>
  <c r="K63" i="3"/>
  <c r="M63" i="3" s="1"/>
  <c r="AU62" i="3"/>
  <c r="AV62" i="3" s="1"/>
  <c r="AS62" i="3"/>
  <c r="AQ62" i="3"/>
  <c r="AP62" i="3"/>
  <c r="K62" i="3"/>
  <c r="M62" i="3" s="1"/>
  <c r="AU61" i="3"/>
  <c r="AS61" i="3"/>
  <c r="AQ61" i="3"/>
  <c r="AP61" i="3"/>
  <c r="K61" i="3"/>
  <c r="M61" i="3" s="1"/>
  <c r="AV60" i="3"/>
  <c r="AS60" i="3"/>
  <c r="AQ60" i="3"/>
  <c r="AP60" i="3"/>
  <c r="K60" i="3"/>
  <c r="R60" i="3" s="1"/>
  <c r="T60" i="3" s="1"/>
  <c r="AU59" i="3"/>
  <c r="AS59" i="3"/>
  <c r="AQ59" i="3"/>
  <c r="AP59" i="3"/>
  <c r="K59" i="3"/>
  <c r="AU58" i="3"/>
  <c r="AS58" i="3"/>
  <c r="AQ58" i="3"/>
  <c r="AP58" i="3"/>
  <c r="K58" i="3"/>
  <c r="R58" i="3" s="1"/>
  <c r="AU57" i="3"/>
  <c r="AS57" i="3"/>
  <c r="AQ57" i="3"/>
  <c r="AP57" i="3"/>
  <c r="K57" i="3"/>
  <c r="R57" i="3" s="1"/>
  <c r="Y57" i="3" s="1"/>
  <c r="AU56" i="3"/>
  <c r="AS56" i="3"/>
  <c r="AQ56" i="3"/>
  <c r="AP56" i="3"/>
  <c r="K56" i="3"/>
  <c r="M56" i="3" s="1"/>
  <c r="AU55" i="3"/>
  <c r="AV55" i="3" s="1"/>
  <c r="AS55" i="3"/>
  <c r="AQ55" i="3"/>
  <c r="AP55" i="3"/>
  <c r="K55" i="3"/>
  <c r="AU54" i="3"/>
  <c r="AS54" i="3"/>
  <c r="AQ54" i="3"/>
  <c r="AP54" i="3"/>
  <c r="K54" i="3"/>
  <c r="R54" i="3" s="1"/>
  <c r="Y54" i="3" s="1"/>
  <c r="AU53" i="3"/>
  <c r="AS53" i="3"/>
  <c r="AQ53" i="3"/>
  <c r="AP53" i="3"/>
  <c r="K53" i="3"/>
  <c r="M53" i="3" s="1"/>
  <c r="AU52" i="3"/>
  <c r="AS52" i="3"/>
  <c r="AQ52" i="3"/>
  <c r="AP52" i="3"/>
  <c r="K52" i="3"/>
  <c r="R52" i="3" s="1"/>
  <c r="AU51" i="3"/>
  <c r="AS51" i="3"/>
  <c r="AQ51" i="3"/>
  <c r="AP51" i="3"/>
  <c r="K51" i="3"/>
  <c r="AV50" i="3"/>
  <c r="AS50" i="3"/>
  <c r="AQ50" i="3"/>
  <c r="AP50" i="3"/>
  <c r="K50" i="3"/>
  <c r="M50" i="3" s="1"/>
  <c r="AV49" i="3"/>
  <c r="AS49" i="3"/>
  <c r="AQ49" i="3"/>
  <c r="AP49" i="3"/>
  <c r="K49" i="3"/>
  <c r="AV48" i="3"/>
  <c r="AS48" i="3"/>
  <c r="AQ48" i="3"/>
  <c r="AP48" i="3"/>
  <c r="K48" i="3"/>
  <c r="M48" i="3" s="1"/>
  <c r="AU47" i="3"/>
  <c r="AS47" i="3"/>
  <c r="AQ47" i="3"/>
  <c r="AP47" i="3"/>
  <c r="K47" i="3"/>
  <c r="M47" i="3" s="1"/>
  <c r="AV46" i="3"/>
  <c r="AS46" i="3"/>
  <c r="AQ46" i="3"/>
  <c r="AP46" i="3"/>
  <c r="K46" i="3"/>
  <c r="R46" i="3" s="1"/>
  <c r="Y46" i="3" s="1"/>
  <c r="AF46" i="3" s="1"/>
  <c r="AV45" i="3"/>
  <c r="AS45" i="3"/>
  <c r="AQ45" i="3"/>
  <c r="AP45" i="3"/>
  <c r="K45" i="3"/>
  <c r="R45" i="3" s="1"/>
  <c r="AU44" i="3"/>
  <c r="AS44" i="3"/>
  <c r="AQ44" i="3"/>
  <c r="AP44" i="3"/>
  <c r="K44" i="3"/>
  <c r="M44" i="3" s="1"/>
  <c r="AU43" i="3"/>
  <c r="AS43" i="3"/>
  <c r="AQ43" i="3"/>
  <c r="AP43" i="3"/>
  <c r="K43" i="3"/>
  <c r="AU42" i="3"/>
  <c r="AS42" i="3"/>
  <c r="AQ42" i="3"/>
  <c r="AP42" i="3"/>
  <c r="K42" i="3"/>
  <c r="M42" i="3" s="1"/>
  <c r="AU41" i="3"/>
  <c r="AS41" i="3"/>
  <c r="AQ41" i="3"/>
  <c r="AP41" i="3"/>
  <c r="K41" i="3"/>
  <c r="M41" i="3" s="1"/>
  <c r="AU40" i="3"/>
  <c r="AS40" i="3"/>
  <c r="AQ40" i="3"/>
  <c r="AP40" i="3"/>
  <c r="K40" i="3"/>
  <c r="M40" i="3" s="1"/>
  <c r="AU39" i="3"/>
  <c r="AS39" i="3"/>
  <c r="AQ39" i="3"/>
  <c r="AP39" i="3"/>
  <c r="K39" i="3"/>
  <c r="R39" i="3" s="1"/>
  <c r="Y39" i="3" s="1"/>
  <c r="AF39" i="3" s="1"/>
  <c r="AU38" i="3"/>
  <c r="AS38" i="3"/>
  <c r="AQ38" i="3"/>
  <c r="AP38" i="3"/>
  <c r="K38" i="3"/>
  <c r="M38" i="3" s="1"/>
  <c r="AU37" i="3"/>
  <c r="AS37" i="3"/>
  <c r="AQ37" i="3"/>
  <c r="AP37" i="3"/>
  <c r="K37" i="3"/>
  <c r="M37" i="3" s="1"/>
  <c r="AV36" i="3"/>
  <c r="AS36" i="3"/>
  <c r="AQ36" i="3"/>
  <c r="AP36" i="3"/>
  <c r="K36" i="3"/>
  <c r="R36" i="3" s="1"/>
  <c r="Y36" i="3" s="1"/>
  <c r="AU35" i="3"/>
  <c r="AS35" i="3"/>
  <c r="AQ35" i="3"/>
  <c r="AP35" i="3"/>
  <c r="K35" i="3"/>
  <c r="M35" i="3" s="1"/>
  <c r="AV34" i="3"/>
  <c r="AS34" i="3"/>
  <c r="AQ34" i="3"/>
  <c r="AP34" i="3"/>
  <c r="K34" i="3"/>
  <c r="R34" i="3" s="1"/>
  <c r="AV33" i="3"/>
  <c r="AS33" i="3"/>
  <c r="AQ33" i="3"/>
  <c r="AP33" i="3"/>
  <c r="K33" i="3"/>
  <c r="AV32" i="3"/>
  <c r="AS32" i="3"/>
  <c r="AQ32" i="3"/>
  <c r="AP32" i="3"/>
  <c r="K32" i="3"/>
  <c r="R32" i="3" s="1"/>
  <c r="AU31" i="3"/>
  <c r="AS31" i="3"/>
  <c r="AQ31" i="3"/>
  <c r="AP31" i="3"/>
  <c r="K31" i="3"/>
  <c r="M31" i="3" s="1"/>
  <c r="AV30" i="3"/>
  <c r="AS30" i="3"/>
  <c r="AQ30" i="3"/>
  <c r="AP30" i="3"/>
  <c r="K30" i="3"/>
  <c r="R30" i="3" s="1"/>
  <c r="AU29" i="3"/>
  <c r="AS29" i="3"/>
  <c r="AQ29" i="3"/>
  <c r="AP29" i="3"/>
  <c r="K29" i="3"/>
  <c r="AU28" i="3"/>
  <c r="AS28" i="3"/>
  <c r="AQ28" i="3"/>
  <c r="AP28" i="3"/>
  <c r="K28" i="3"/>
  <c r="M28" i="3" s="1"/>
  <c r="AU27" i="3"/>
  <c r="AS27" i="3"/>
  <c r="AQ27" i="3"/>
  <c r="AP27" i="3"/>
  <c r="K27" i="3"/>
  <c r="R27" i="3" s="1"/>
  <c r="Y27" i="3" s="1"/>
  <c r="AU26" i="3"/>
  <c r="AS26" i="3"/>
  <c r="AQ26" i="3"/>
  <c r="AP26" i="3"/>
  <c r="K26" i="3"/>
  <c r="AU25" i="3"/>
  <c r="AV25" i="3" s="1"/>
  <c r="AS25" i="3"/>
  <c r="AQ25" i="3"/>
  <c r="AP25" i="3"/>
  <c r="K25" i="3"/>
  <c r="M25" i="3" s="1"/>
  <c r="AU24" i="3"/>
  <c r="AV24" i="3" s="1"/>
  <c r="AS24" i="3"/>
  <c r="AQ24" i="3"/>
  <c r="AP24" i="3"/>
  <c r="K24" i="3"/>
  <c r="R24" i="3" s="1"/>
  <c r="AV23" i="3"/>
  <c r="AS23" i="3"/>
  <c r="AQ23" i="3"/>
  <c r="AP23" i="3"/>
  <c r="K23" i="3"/>
  <c r="M23" i="3" s="1"/>
  <c r="AU22" i="3"/>
  <c r="AS22" i="3"/>
  <c r="AQ22" i="3"/>
  <c r="AP22" i="3"/>
  <c r="K22" i="3"/>
  <c r="R22" i="3" s="1"/>
  <c r="AU21" i="3"/>
  <c r="AS21" i="3"/>
  <c r="AQ21" i="3"/>
  <c r="AP21" i="3"/>
  <c r="K21" i="3"/>
  <c r="R21" i="3" s="1"/>
  <c r="AU20" i="3"/>
  <c r="AS20" i="3"/>
  <c r="AQ20" i="3"/>
  <c r="AP20" i="3"/>
  <c r="K20" i="3"/>
  <c r="R20" i="3" s="1"/>
  <c r="AU19" i="3"/>
  <c r="AV19" i="3" s="1"/>
  <c r="AS19" i="3"/>
  <c r="AQ19" i="3"/>
  <c r="AP19" i="3"/>
  <c r="K19" i="3"/>
  <c r="R19" i="3" s="1"/>
  <c r="AU18" i="3"/>
  <c r="AS18" i="3"/>
  <c r="AQ18" i="3"/>
  <c r="AP18" i="3"/>
  <c r="K18" i="3"/>
  <c r="R18" i="3" s="1"/>
  <c r="AV17" i="3"/>
  <c r="AS17" i="3"/>
  <c r="AQ17" i="3"/>
  <c r="AP17" i="3"/>
  <c r="K17" i="3"/>
  <c r="M17" i="3" s="1"/>
  <c r="AU16" i="3"/>
  <c r="AS16" i="3"/>
  <c r="AQ16" i="3"/>
  <c r="AP16" i="3"/>
  <c r="K16" i="3"/>
  <c r="R16" i="3" s="1"/>
  <c r="Y16" i="3" s="1"/>
  <c r="AU15" i="3"/>
  <c r="AV15" i="3" s="1"/>
  <c r="AS15" i="3"/>
  <c r="AQ15" i="3"/>
  <c r="AP15" i="3"/>
  <c r="K15" i="3"/>
  <c r="R15" i="3" s="1"/>
  <c r="AU14" i="3"/>
  <c r="AS14" i="3"/>
  <c r="AQ14" i="3"/>
  <c r="AP14" i="3"/>
  <c r="K14" i="3"/>
  <c r="M14" i="3" s="1"/>
  <c r="AU13" i="3"/>
  <c r="AS13" i="3"/>
  <c r="AQ13" i="3"/>
  <c r="AP13" i="3"/>
  <c r="K13" i="3"/>
  <c r="R13" i="3" s="1"/>
  <c r="Y13" i="3" s="1"/>
  <c r="AV12" i="3"/>
  <c r="AS12" i="3"/>
  <c r="AQ12" i="3"/>
  <c r="AP12" i="3"/>
  <c r="K12" i="3"/>
  <c r="R12" i="3" s="1"/>
  <c r="AV11" i="3"/>
  <c r="AS11" i="3"/>
  <c r="AQ11" i="3"/>
  <c r="AP11" i="3"/>
  <c r="K11" i="3"/>
  <c r="R11" i="3" s="1"/>
  <c r="AQ96" i="3" l="1"/>
  <c r="R43" i="3"/>
  <c r="Y43" i="3" s="1"/>
  <c r="AF43" i="3" s="1"/>
  <c r="M43" i="3"/>
  <c r="M33" i="3"/>
  <c r="R33" i="3"/>
  <c r="Y33" i="3" s="1"/>
  <c r="R29" i="3"/>
  <c r="M29" i="3"/>
  <c r="AH39" i="3"/>
  <c r="AM39" i="3"/>
  <c r="AO39" i="3" s="1"/>
  <c r="AH43" i="3"/>
  <c r="AM43" i="3"/>
  <c r="AO43" i="3" s="1"/>
  <c r="AH46" i="3"/>
  <c r="AM46" i="3"/>
  <c r="AO46" i="3" s="1"/>
  <c r="Y65" i="3"/>
  <c r="AF65" i="3" s="1"/>
  <c r="M82" i="3"/>
  <c r="M32" i="3"/>
  <c r="M34" i="3"/>
  <c r="R35" i="3"/>
  <c r="Y35" i="3" s="1"/>
  <c r="AA35" i="3" s="1"/>
  <c r="R93" i="3"/>
  <c r="T93" i="3" s="1"/>
  <c r="T46" i="3"/>
  <c r="Y82" i="3"/>
  <c r="AF82" i="3" s="1"/>
  <c r="M15" i="3"/>
  <c r="M20" i="3"/>
  <c r="M27" i="3"/>
  <c r="R28" i="3"/>
  <c r="Y28" i="3" s="1"/>
  <c r="AA28" i="3" s="1"/>
  <c r="R68" i="3"/>
  <c r="R76" i="3"/>
  <c r="T76" i="3" s="1"/>
  <c r="R91" i="3"/>
  <c r="M16" i="3"/>
  <c r="R17" i="3"/>
  <c r="M12" i="3"/>
  <c r="M13" i="3"/>
  <c r="R14" i="3"/>
  <c r="Y14" i="3" s="1"/>
  <c r="AF14" i="3" s="1"/>
  <c r="M22" i="3"/>
  <c r="M39" i="3"/>
  <c r="R44" i="3"/>
  <c r="T44" i="3" s="1"/>
  <c r="R50" i="3"/>
  <c r="Y50" i="3" s="1"/>
  <c r="R75" i="3"/>
  <c r="R86" i="3"/>
  <c r="Y86" i="3" s="1"/>
  <c r="AF86" i="3" s="1"/>
  <c r="R31" i="3"/>
  <c r="Y31" i="3" s="1"/>
  <c r="AA31" i="3" s="1"/>
  <c r="R94" i="3"/>
  <c r="Y94" i="3" s="1"/>
  <c r="Y19" i="3"/>
  <c r="AA19" i="3" s="1"/>
  <c r="T19" i="3"/>
  <c r="Y11" i="3"/>
  <c r="AA11" i="3" s="1"/>
  <c r="T11" i="3"/>
  <c r="Y58" i="3"/>
  <c r="T58" i="3"/>
  <c r="T34" i="3"/>
  <c r="Y34" i="3"/>
  <c r="T74" i="3"/>
  <c r="Y74" i="3"/>
  <c r="Y83" i="3"/>
  <c r="T83" i="3"/>
  <c r="T85" i="3"/>
  <c r="Y85" i="3"/>
  <c r="Y22" i="3"/>
  <c r="AF22" i="3" s="1"/>
  <c r="T22" i="3"/>
  <c r="Y52" i="3"/>
  <c r="AF52" i="3" s="1"/>
  <c r="AV52" i="3" s="1"/>
  <c r="T52" i="3"/>
  <c r="Y45" i="3"/>
  <c r="AF45" i="3" s="1"/>
  <c r="T45" i="3"/>
  <c r="R41" i="3"/>
  <c r="AA43" i="3"/>
  <c r="M46" i="3"/>
  <c r="R48" i="3"/>
  <c r="Y48" i="3" s="1"/>
  <c r="R61" i="3"/>
  <c r="R64" i="3"/>
  <c r="Y64" i="3" s="1"/>
  <c r="M65" i="3"/>
  <c r="R66" i="3"/>
  <c r="R78" i="3"/>
  <c r="R87" i="3"/>
  <c r="M11" i="3"/>
  <c r="T13" i="3"/>
  <c r="T16" i="3"/>
  <c r="M19" i="3"/>
  <c r="R23" i="3"/>
  <c r="Y23" i="3" s="1"/>
  <c r="AF23" i="3" s="1"/>
  <c r="T27" i="3"/>
  <c r="T33" i="3"/>
  <c r="R37" i="3"/>
  <c r="Y37" i="3" s="1"/>
  <c r="R38" i="3"/>
  <c r="T38" i="3" s="1"/>
  <c r="T39" i="3"/>
  <c r="M45" i="3"/>
  <c r="AA46" i="3"/>
  <c r="M52" i="3"/>
  <c r="M54" i="3"/>
  <c r="M57" i="3"/>
  <c r="M58" i="3"/>
  <c r="M60" i="3"/>
  <c r="M69" i="3"/>
  <c r="M70" i="3"/>
  <c r="R71" i="3"/>
  <c r="M74" i="3"/>
  <c r="R80" i="3"/>
  <c r="Y80" i="3" s="1"/>
  <c r="M83" i="3"/>
  <c r="M85" i="3"/>
  <c r="R25" i="3"/>
  <c r="Y25" i="3" s="1"/>
  <c r="AA25" i="3" s="1"/>
  <c r="R47" i="3"/>
  <c r="R53" i="3"/>
  <c r="R56" i="3"/>
  <c r="Y56" i="3" s="1"/>
  <c r="T57" i="3"/>
  <c r="Y60" i="3"/>
  <c r="AF60" i="3" s="1"/>
  <c r="Y69" i="3"/>
  <c r="AA69" i="3" s="1"/>
  <c r="T79" i="3"/>
  <c r="AF16" i="3"/>
  <c r="AA16" i="3"/>
  <c r="AA33" i="3"/>
  <c r="AF33" i="3"/>
  <c r="T21" i="3"/>
  <c r="Y21" i="3"/>
  <c r="T30" i="3"/>
  <c r="Y30" i="3"/>
  <c r="AF36" i="3"/>
  <c r="AA36" i="3"/>
  <c r="AF27" i="3"/>
  <c r="AA27" i="3"/>
  <c r="T12" i="3"/>
  <c r="Y12" i="3"/>
  <c r="AF19" i="3"/>
  <c r="T29" i="3"/>
  <c r="Y29" i="3"/>
  <c r="T32" i="3"/>
  <c r="Y32" i="3"/>
  <c r="AF13" i="3"/>
  <c r="AA13" i="3"/>
  <c r="AF31" i="3"/>
  <c r="AF11" i="3"/>
  <c r="AM11" i="3" s="1"/>
  <c r="T15" i="3"/>
  <c r="Y15" i="3"/>
  <c r="T18" i="3"/>
  <c r="Y18" i="3"/>
  <c r="T20" i="3"/>
  <c r="Y20" i="3"/>
  <c r="T24" i="3"/>
  <c r="Y24" i="3"/>
  <c r="AF35" i="3"/>
  <c r="R77" i="3"/>
  <c r="M77" i="3"/>
  <c r="AR96" i="3"/>
  <c r="M18" i="3"/>
  <c r="M21" i="3"/>
  <c r="M24" i="3"/>
  <c r="M26" i="3"/>
  <c r="M30" i="3"/>
  <c r="M36" i="3"/>
  <c r="AA39" i="3"/>
  <c r="R40" i="3"/>
  <c r="Y53" i="3"/>
  <c r="T53" i="3"/>
  <c r="AF54" i="3"/>
  <c r="AA54" i="3"/>
  <c r="M59" i="3"/>
  <c r="R59" i="3"/>
  <c r="M73" i="3"/>
  <c r="R73" i="3"/>
  <c r="T80" i="3"/>
  <c r="AF79" i="3"/>
  <c r="AA79" i="3"/>
  <c r="AS96" i="3"/>
  <c r="R26" i="3"/>
  <c r="T36" i="3"/>
  <c r="R51" i="3"/>
  <c r="M51" i="3"/>
  <c r="R55" i="3"/>
  <c r="M55" i="3"/>
  <c r="AF57" i="3"/>
  <c r="AM57" i="3" s="1"/>
  <c r="AO57" i="3" s="1"/>
  <c r="AA57" i="3"/>
  <c r="R72" i="3"/>
  <c r="M72" i="3"/>
  <c r="M89" i="3"/>
  <c r="R89" i="3"/>
  <c r="R67" i="3"/>
  <c r="M67" i="3"/>
  <c r="M84" i="3"/>
  <c r="R84" i="3"/>
  <c r="K96" i="3"/>
  <c r="AP96" i="3"/>
  <c r="R42" i="3"/>
  <c r="T43" i="3"/>
  <c r="R49" i="3"/>
  <c r="M49" i="3"/>
  <c r="T54" i="3"/>
  <c r="Y70" i="3"/>
  <c r="R88" i="3"/>
  <c r="M88" i="3"/>
  <c r="AV39" i="3"/>
  <c r="AV43" i="3"/>
  <c r="M95" i="3"/>
  <c r="R62" i="3"/>
  <c r="R63" i="3"/>
  <c r="AA65" i="3"/>
  <c r="M79" i="3"/>
  <c r="R81" i="3"/>
  <c r="R90" i="3"/>
  <c r="M90" i="3"/>
  <c r="R92" i="3"/>
  <c r="M92" i="3"/>
  <c r="Y95" i="3"/>
  <c r="Y68" i="3" l="1"/>
  <c r="AF68" i="3" s="1"/>
  <c r="T68" i="3"/>
  <c r="T91" i="3"/>
  <c r="Y91" i="3"/>
  <c r="Y17" i="3"/>
  <c r="AF17" i="3" s="1"/>
  <c r="T17" i="3"/>
  <c r="Y75" i="3"/>
  <c r="T75" i="3"/>
  <c r="AA86" i="3"/>
  <c r="AA68" i="3"/>
  <c r="AA52" i="3"/>
  <c r="AA17" i="3"/>
  <c r="AH79" i="3"/>
  <c r="AM79" i="3"/>
  <c r="AO79" i="3" s="1"/>
  <c r="Y76" i="3"/>
  <c r="AH75" i="3"/>
  <c r="AM75" i="3"/>
  <c r="AO75" i="3" s="1"/>
  <c r="AF69" i="3"/>
  <c r="AH68" i="3"/>
  <c r="AM68" i="3"/>
  <c r="AO68" i="3" s="1"/>
  <c r="AH65" i="3"/>
  <c r="AM65" i="3"/>
  <c r="AO65" i="3" s="1"/>
  <c r="AH54" i="3"/>
  <c r="AM54" i="3"/>
  <c r="AO54" i="3" s="1"/>
  <c r="AH52" i="3"/>
  <c r="AM52" i="3"/>
  <c r="AO52" i="3" s="1"/>
  <c r="AH35" i="3"/>
  <c r="AM35" i="3"/>
  <c r="AO35" i="3" s="1"/>
  <c r="T35" i="3"/>
  <c r="AH33" i="3"/>
  <c r="AM33" i="3"/>
  <c r="AO33" i="3" s="1"/>
  <c r="AH31" i="3"/>
  <c r="AM31" i="3"/>
  <c r="AO31" i="3" s="1"/>
  <c r="AH27" i="3"/>
  <c r="AM27" i="3"/>
  <c r="AO27" i="3" s="1"/>
  <c r="AH22" i="3"/>
  <c r="AM22" i="3"/>
  <c r="AO22" i="3" s="1"/>
  <c r="AH16" i="3"/>
  <c r="AM16" i="3"/>
  <c r="AO16" i="3" s="1"/>
  <c r="AH14" i="3"/>
  <c r="AM14" i="3"/>
  <c r="AO14" i="3" s="1"/>
  <c r="AH13" i="3"/>
  <c r="AM13" i="3"/>
  <c r="AO13" i="3" s="1"/>
  <c r="AH86" i="3"/>
  <c r="AM86" i="3"/>
  <c r="AO86" i="3" s="1"/>
  <c r="Y93" i="3"/>
  <c r="AH82" i="3"/>
  <c r="AM82" i="3"/>
  <c r="AO82" i="3" s="1"/>
  <c r="AH60" i="3"/>
  <c r="AM60" i="3"/>
  <c r="AO60" i="3" s="1"/>
  <c r="AH45" i="3"/>
  <c r="AM45" i="3"/>
  <c r="AO45" i="3" s="1"/>
  <c r="AH36" i="3"/>
  <c r="AM36" i="3"/>
  <c r="AO36" i="3" s="1"/>
  <c r="AH23" i="3"/>
  <c r="AM23" i="3"/>
  <c r="AO23" i="3" s="1"/>
  <c r="AH19" i="3"/>
  <c r="AM19" i="3"/>
  <c r="AO19" i="3" s="1"/>
  <c r="AH17" i="3"/>
  <c r="AM17" i="3"/>
  <c r="AO17" i="3" s="1"/>
  <c r="AO11" i="3"/>
  <c r="AA60" i="3"/>
  <c r="AA14" i="3"/>
  <c r="AA82" i="3"/>
  <c r="Y44" i="3"/>
  <c r="AA44" i="3" s="1"/>
  <c r="T25" i="3"/>
  <c r="T50" i="3"/>
  <c r="T31" i="3"/>
  <c r="AV27" i="3"/>
  <c r="AV35" i="3"/>
  <c r="AV13" i="3"/>
  <c r="T86" i="3"/>
  <c r="AV86" i="3"/>
  <c r="AV79" i="3"/>
  <c r="AV22" i="3"/>
  <c r="T48" i="3"/>
  <c r="AV14" i="3"/>
  <c r="T94" i="3"/>
  <c r="T14" i="3"/>
  <c r="AF25" i="3"/>
  <c r="AF28" i="3"/>
  <c r="AV54" i="3"/>
  <c r="AV31" i="3"/>
  <c r="T28" i="3"/>
  <c r="AA23" i="3"/>
  <c r="T71" i="3"/>
  <c r="Y71" i="3"/>
  <c r="AA34" i="3"/>
  <c r="AF34" i="3"/>
  <c r="AF37" i="3"/>
  <c r="AA37" i="3"/>
  <c r="T87" i="3"/>
  <c r="Y87" i="3"/>
  <c r="T37" i="3"/>
  <c r="T64" i="3"/>
  <c r="T56" i="3"/>
  <c r="AA22" i="3"/>
  <c r="Y47" i="3"/>
  <c r="T47" i="3"/>
  <c r="Y78" i="3"/>
  <c r="T78" i="3"/>
  <c r="Y61" i="3"/>
  <c r="T61" i="3"/>
  <c r="Y41" i="3"/>
  <c r="T41" i="3"/>
  <c r="AA85" i="3"/>
  <c r="AF85" i="3"/>
  <c r="AM85" i="3" s="1"/>
  <c r="AO85" i="3" s="1"/>
  <c r="AA74" i="3"/>
  <c r="AF74" i="3"/>
  <c r="AM74" i="3" s="1"/>
  <c r="AO74" i="3" s="1"/>
  <c r="Y38" i="3"/>
  <c r="AA38" i="3" s="1"/>
  <c r="AA83" i="3"/>
  <c r="AF83" i="3"/>
  <c r="AV69" i="3"/>
  <c r="M96" i="3"/>
  <c r="AA45" i="3"/>
  <c r="T23" i="3"/>
  <c r="Y66" i="3"/>
  <c r="T66" i="3"/>
  <c r="AA58" i="3"/>
  <c r="AF58" i="3"/>
  <c r="AM58" i="3" s="1"/>
  <c r="AO58" i="3" s="1"/>
  <c r="T49" i="3"/>
  <c r="Y49" i="3"/>
  <c r="Y89" i="3"/>
  <c r="T89" i="3"/>
  <c r="AH57" i="3"/>
  <c r="AV57" i="3"/>
  <c r="AF80" i="3"/>
  <c r="AA80" i="3"/>
  <c r="AF20" i="3"/>
  <c r="AA20" i="3"/>
  <c r="AF32" i="3"/>
  <c r="AA32" i="3"/>
  <c r="AF30" i="3"/>
  <c r="AA30" i="3"/>
  <c r="AF95" i="3"/>
  <c r="AA95" i="3"/>
  <c r="Y90" i="3"/>
  <c r="T90" i="3"/>
  <c r="Y81" i="3"/>
  <c r="T81" i="3"/>
  <c r="AA94" i="3"/>
  <c r="AF94" i="3"/>
  <c r="AF70" i="3"/>
  <c r="AA70" i="3"/>
  <c r="Y84" i="3"/>
  <c r="T84" i="3"/>
  <c r="AA48" i="3"/>
  <c r="AF48" i="3"/>
  <c r="T26" i="3"/>
  <c r="Y26" i="3"/>
  <c r="Y59" i="3"/>
  <c r="T59" i="3"/>
  <c r="T77" i="3"/>
  <c r="Y77" i="3"/>
  <c r="AF24" i="3"/>
  <c r="AA24" i="3"/>
  <c r="AF15" i="3"/>
  <c r="AA15" i="3"/>
  <c r="AF12" i="3"/>
  <c r="AA12" i="3"/>
  <c r="AA93" i="3"/>
  <c r="AF93" i="3"/>
  <c r="T51" i="3"/>
  <c r="Y51" i="3"/>
  <c r="AH11" i="3"/>
  <c r="AA50" i="3"/>
  <c r="AF50" i="3"/>
  <c r="Y67" i="3"/>
  <c r="T67" i="3"/>
  <c r="AF64" i="3"/>
  <c r="AA64" i="3"/>
  <c r="AA56" i="3"/>
  <c r="AF56" i="3"/>
  <c r="AM56" i="3" s="1"/>
  <c r="AO56" i="3" s="1"/>
  <c r="AF18" i="3"/>
  <c r="AM18" i="3" s="1"/>
  <c r="AO18" i="3" s="1"/>
  <c r="AA18" i="3"/>
  <c r="AF29" i="3"/>
  <c r="AM29" i="3" s="1"/>
  <c r="AO29" i="3" s="1"/>
  <c r="AA29" i="3"/>
  <c r="R96" i="3"/>
  <c r="AF21" i="3"/>
  <c r="AM21" i="3" s="1"/>
  <c r="AO21" i="3" s="1"/>
  <c r="AA21" i="3"/>
  <c r="Y62" i="3"/>
  <c r="T72" i="3"/>
  <c r="Y72" i="3"/>
  <c r="T55" i="3"/>
  <c r="Y55" i="3"/>
  <c r="AA53" i="3"/>
  <c r="AF53" i="3"/>
  <c r="AM53" i="3" s="1"/>
  <c r="AO53" i="3" s="1"/>
  <c r="AA91" i="3"/>
  <c r="AF91" i="3"/>
  <c r="Y92" i="3"/>
  <c r="T92" i="3"/>
  <c r="T63" i="3"/>
  <c r="Y63" i="3"/>
  <c r="T88" i="3"/>
  <c r="Y88" i="3"/>
  <c r="T42" i="3"/>
  <c r="Y42" i="3"/>
  <c r="Y73" i="3"/>
  <c r="T73" i="3"/>
  <c r="T40" i="3"/>
  <c r="Y40" i="3"/>
  <c r="AV16" i="3"/>
  <c r="AA75" i="3" l="1"/>
  <c r="AF75" i="3"/>
  <c r="AV75" i="3" s="1"/>
  <c r="AA76" i="3"/>
  <c r="AF76" i="3"/>
  <c r="AH76" i="3"/>
  <c r="AM76" i="3"/>
  <c r="AO76" i="3" s="1"/>
  <c r="AH69" i="3"/>
  <c r="AM69" i="3"/>
  <c r="AO69" i="3" s="1"/>
  <c r="AH37" i="3"/>
  <c r="AM37" i="3"/>
  <c r="AO37" i="3" s="1"/>
  <c r="AH32" i="3"/>
  <c r="AM32" i="3"/>
  <c r="AO32" i="3" s="1"/>
  <c r="AH28" i="3"/>
  <c r="AM28" i="3"/>
  <c r="AO28" i="3" s="1"/>
  <c r="AH20" i="3"/>
  <c r="AM20" i="3"/>
  <c r="AO20" i="3" s="1"/>
  <c r="AH83" i="3"/>
  <c r="AM83" i="3"/>
  <c r="AO83" i="3" s="1"/>
  <c r="AH93" i="3"/>
  <c r="AM93" i="3"/>
  <c r="AO93" i="3" s="1"/>
  <c r="AH95" i="3"/>
  <c r="AM95" i="3"/>
  <c r="AO95" i="3" s="1"/>
  <c r="AH94" i="3"/>
  <c r="AM94" i="3"/>
  <c r="AO94" i="3" s="1"/>
  <c r="AH91" i="3"/>
  <c r="AM91" i="3"/>
  <c r="AO91" i="3" s="1"/>
  <c r="AH80" i="3"/>
  <c r="AM80" i="3"/>
  <c r="AO80" i="3" s="1"/>
  <c r="AH70" i="3"/>
  <c r="AM70" i="3"/>
  <c r="AO70" i="3" s="1"/>
  <c r="AH64" i="3"/>
  <c r="AM64" i="3"/>
  <c r="AO64" i="3" s="1"/>
  <c r="AH50" i="3"/>
  <c r="AM50" i="3"/>
  <c r="AO50" i="3" s="1"/>
  <c r="AH48" i="3"/>
  <c r="AM48" i="3"/>
  <c r="AO48" i="3" s="1"/>
  <c r="AH34" i="3"/>
  <c r="AM34" i="3"/>
  <c r="AO34" i="3" s="1"/>
  <c r="AH30" i="3"/>
  <c r="AM30" i="3"/>
  <c r="AO30" i="3" s="1"/>
  <c r="AH25" i="3"/>
  <c r="AM25" i="3"/>
  <c r="AO25" i="3" s="1"/>
  <c r="AH24" i="3"/>
  <c r="AM24" i="3"/>
  <c r="AO24" i="3" s="1"/>
  <c r="AH15" i="3"/>
  <c r="AM15" i="3"/>
  <c r="AO15" i="3" s="1"/>
  <c r="AH12" i="3"/>
  <c r="AM12" i="3"/>
  <c r="AF44" i="3"/>
  <c r="AM44" i="3" s="1"/>
  <c r="AO44" i="3" s="1"/>
  <c r="AF38" i="3"/>
  <c r="AV37" i="3"/>
  <c r="AV28" i="3"/>
  <c r="AF78" i="3"/>
  <c r="AA78" i="3"/>
  <c r="AH85" i="3"/>
  <c r="AV85" i="3"/>
  <c r="AF71" i="3"/>
  <c r="AA71" i="3"/>
  <c r="AH58" i="3"/>
  <c r="AV58" i="3"/>
  <c r="AA66" i="3"/>
  <c r="AF66" i="3"/>
  <c r="AF61" i="3"/>
  <c r="AA61" i="3"/>
  <c r="AF47" i="3"/>
  <c r="AA47" i="3"/>
  <c r="AF41" i="3"/>
  <c r="AA41" i="3"/>
  <c r="AH74" i="3"/>
  <c r="AV74" i="3"/>
  <c r="AF87" i="3"/>
  <c r="AA87" i="3"/>
  <c r="AV83" i="3"/>
  <c r="AA42" i="3"/>
  <c r="AF42" i="3"/>
  <c r="AF67" i="3"/>
  <c r="AA67" i="3"/>
  <c r="AF90" i="3"/>
  <c r="AA90" i="3"/>
  <c r="AA62" i="3"/>
  <c r="AF62" i="3"/>
  <c r="AH18" i="3"/>
  <c r="AV18" i="3"/>
  <c r="AF77" i="3"/>
  <c r="AA77" i="3"/>
  <c r="AH44" i="3"/>
  <c r="AV44" i="3"/>
  <c r="AF26" i="3"/>
  <c r="AM26" i="3" s="1"/>
  <c r="AO26" i="3" s="1"/>
  <c r="AA26" i="3"/>
  <c r="AF88" i="3"/>
  <c r="AA88" i="3"/>
  <c r="AH53" i="3"/>
  <c r="AV53" i="3"/>
  <c r="AF72" i="3"/>
  <c r="AA72" i="3"/>
  <c r="AH29" i="3"/>
  <c r="AV29" i="3"/>
  <c r="AV20" i="3"/>
  <c r="AF51" i="3"/>
  <c r="AA51" i="3"/>
  <c r="T96" i="3"/>
  <c r="AA81" i="3"/>
  <c r="AF81" i="3"/>
  <c r="AM81" i="3" s="1"/>
  <c r="AO81" i="3" s="1"/>
  <c r="AA89" i="3"/>
  <c r="AF89" i="3"/>
  <c r="AM89" i="3" s="1"/>
  <c r="AO89" i="3" s="1"/>
  <c r="AA40" i="3"/>
  <c r="AF40" i="3"/>
  <c r="AF63" i="3"/>
  <c r="AA63" i="3"/>
  <c r="AF55" i="3"/>
  <c r="AA55" i="3"/>
  <c r="AA59" i="3"/>
  <c r="AF59" i="3"/>
  <c r="AA73" i="3"/>
  <c r="AF73" i="3"/>
  <c r="AF92" i="3"/>
  <c r="AA92" i="3"/>
  <c r="AH21" i="3"/>
  <c r="AV21" i="3"/>
  <c r="Y96" i="3"/>
  <c r="AH56" i="3"/>
  <c r="AV56" i="3"/>
  <c r="AV38" i="3"/>
  <c r="AA84" i="3"/>
  <c r="AF84" i="3"/>
  <c r="AF49" i="3"/>
  <c r="AA49" i="3"/>
  <c r="AV93" i="3"/>
  <c r="AH77" i="3" l="1"/>
  <c r="AM77" i="3"/>
  <c r="AO77" i="3" s="1"/>
  <c r="AH73" i="3"/>
  <c r="AM73" i="3"/>
  <c r="AO73" i="3" s="1"/>
  <c r="AH67" i="3"/>
  <c r="AM67" i="3"/>
  <c r="AO67" i="3" s="1"/>
  <c r="AH66" i="3"/>
  <c r="AM66" i="3"/>
  <c r="AO66" i="3" s="1"/>
  <c r="AH63" i="3"/>
  <c r="AM63" i="3"/>
  <c r="AO63" i="3" s="1"/>
  <c r="AH61" i="3"/>
  <c r="AM61" i="3"/>
  <c r="AO61" i="3" s="1"/>
  <c r="AH59" i="3"/>
  <c r="AM59" i="3"/>
  <c r="AO59" i="3" s="1"/>
  <c r="AH51" i="3"/>
  <c r="AM51" i="3"/>
  <c r="AO51" i="3" s="1"/>
  <c r="AH47" i="3"/>
  <c r="AM47" i="3"/>
  <c r="AO47" i="3" s="1"/>
  <c r="AH42" i="3"/>
  <c r="AM42" i="3"/>
  <c r="AO42" i="3" s="1"/>
  <c r="AH41" i="3"/>
  <c r="AM41" i="3"/>
  <c r="AO41" i="3" s="1"/>
  <c r="AH40" i="3"/>
  <c r="AM40" i="3"/>
  <c r="AO40" i="3" s="1"/>
  <c r="AH38" i="3"/>
  <c r="AM38" i="3"/>
  <c r="AO38" i="3" s="1"/>
  <c r="AH92" i="3"/>
  <c r="AM92" i="3"/>
  <c r="AO92" i="3" s="1"/>
  <c r="AH90" i="3"/>
  <c r="AM90" i="3"/>
  <c r="AO90" i="3" s="1"/>
  <c r="AH88" i="3"/>
  <c r="AM88" i="3"/>
  <c r="AO88" i="3" s="1"/>
  <c r="AH87" i="3"/>
  <c r="AM87" i="3"/>
  <c r="AO87" i="3" s="1"/>
  <c r="AH84" i="3"/>
  <c r="AM84" i="3"/>
  <c r="AO84" i="3" s="1"/>
  <c r="AH78" i="3"/>
  <c r="AM78" i="3"/>
  <c r="AO78" i="3" s="1"/>
  <c r="AH72" i="3"/>
  <c r="AM72" i="3"/>
  <c r="AO72" i="3" s="1"/>
  <c r="AH71" i="3"/>
  <c r="AM71" i="3"/>
  <c r="AO71" i="3" s="1"/>
  <c r="AH62" i="3"/>
  <c r="AM62" i="3"/>
  <c r="AO62" i="3" s="1"/>
  <c r="AH55" i="3"/>
  <c r="AM55" i="3"/>
  <c r="AO55" i="3" s="1"/>
  <c r="AH49" i="3"/>
  <c r="AM49" i="3"/>
  <c r="AO49" i="3" s="1"/>
  <c r="AO12" i="3"/>
  <c r="AV47" i="3"/>
  <c r="AV40" i="3"/>
  <c r="AV41" i="3"/>
  <c r="AA96" i="3"/>
  <c r="AV77" i="3"/>
  <c r="AV61" i="3"/>
  <c r="AV63" i="3"/>
  <c r="AH89" i="3"/>
  <c r="AV89" i="3"/>
  <c r="AV42" i="3"/>
  <c r="AH26" i="3"/>
  <c r="AV26" i="3"/>
  <c r="AF96" i="3"/>
  <c r="AV59" i="3"/>
  <c r="AH81" i="3"/>
  <c r="AV81" i="3"/>
  <c r="AV51" i="3"/>
  <c r="AM96" i="3" l="1"/>
  <c r="AO96" i="3"/>
  <c r="AT96" i="3"/>
  <c r="AV96" i="3"/>
  <c r="AH96" i="3"/>
  <c r="J10" i="2" l="1"/>
  <c r="J11" i="2"/>
  <c r="J12" i="2"/>
  <c r="J13" i="2"/>
  <c r="J14" i="2"/>
  <c r="J15" i="2"/>
  <c r="J16" i="2"/>
  <c r="J18" i="2"/>
  <c r="J19" i="2"/>
  <c r="J26" i="2"/>
  <c r="J27" i="2"/>
  <c r="J28" i="2"/>
  <c r="J29" i="2"/>
  <c r="J30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I11" i="2"/>
  <c r="I12" i="2"/>
  <c r="I13" i="2"/>
  <c r="I14" i="2"/>
  <c r="I15" i="2"/>
  <c r="I16" i="2"/>
  <c r="I17" i="2"/>
  <c r="J17" i="2" s="1"/>
  <c r="I18" i="2"/>
  <c r="I19" i="2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I27" i="2"/>
  <c r="I28" i="2"/>
  <c r="I29" i="2"/>
  <c r="I30" i="2"/>
  <c r="I31" i="2"/>
  <c r="J31" i="2" s="1"/>
  <c r="I32" i="2"/>
  <c r="I2" i="2"/>
  <c r="J2" i="2" s="1"/>
  <c r="J32" i="2" l="1"/>
</calcChain>
</file>

<file path=xl/sharedStrings.xml><?xml version="1.0" encoding="utf-8"?>
<sst xmlns="http://schemas.openxmlformats.org/spreadsheetml/2006/main" count="767" uniqueCount="343">
  <si>
    <t>COMISION DE PARQUES Y BIODIVERSIDAD DE TAMAULIPAS</t>
  </si>
  <si>
    <t>DIRECCION DE AREA: ZOOLOGICO Y PARQUE RECREATIVO TAMATAN</t>
  </si>
  <si>
    <t xml:space="preserve">INVENTARIO TIENDA DE RECUERDOS </t>
  </si>
  <si>
    <t>DEL 01 AL 08 DE DICIEMBRE</t>
  </si>
  <si>
    <t>CODIGO</t>
  </si>
  <si>
    <t>DESCRIPCION</t>
  </si>
  <si>
    <t>INVENTARIO INICIAL</t>
  </si>
  <si>
    <t>ENTRADA</t>
  </si>
  <si>
    <t>AJUSTE ENTRADA</t>
  </si>
  <si>
    <t>SALIDA</t>
  </si>
  <si>
    <t>AJUSTE  SALIDA</t>
  </si>
  <si>
    <t>INVENTARIO FINAL</t>
  </si>
  <si>
    <t>INVENTARIO FÍSICO</t>
  </si>
  <si>
    <t>DIFERENCIAS</t>
  </si>
  <si>
    <t>T-2380001</t>
  </si>
  <si>
    <t>ALCANCIA PUERQUITO</t>
  </si>
  <si>
    <t>T-2380002</t>
  </si>
  <si>
    <t>ANIMAL JUNGLA GDE.</t>
  </si>
  <si>
    <t>T-2380003</t>
  </si>
  <si>
    <t>ANIMAL MINI</t>
  </si>
  <si>
    <t>T-2380004</t>
  </si>
  <si>
    <t>ANIMALITO KEYDA OSO</t>
  </si>
  <si>
    <t>T-2380005</t>
  </si>
  <si>
    <t>ATRAPASUEÑOS</t>
  </si>
  <si>
    <t>T-2380061</t>
  </si>
  <si>
    <t>AUTO SAFARI</t>
  </si>
  <si>
    <t>T-2380006</t>
  </si>
  <si>
    <t>BINOCULARES</t>
  </si>
  <si>
    <t>T-2380007</t>
  </si>
  <si>
    <t xml:space="preserve">BOA DE PELUCHE </t>
  </si>
  <si>
    <t>T-2380083</t>
  </si>
  <si>
    <t>BOLSA ECOLOGICA</t>
  </si>
  <si>
    <t>T-2380008</t>
  </si>
  <si>
    <t>BOLSA FELINO</t>
  </si>
  <si>
    <t>T-2380009</t>
  </si>
  <si>
    <t>BOLSA LEON-TIGRE</t>
  </si>
  <si>
    <t>T-2380032</t>
  </si>
  <si>
    <t>BOLSA OSO NEGRO</t>
  </si>
  <si>
    <t>T-2380011</t>
  </si>
  <si>
    <t>CALCA PARA CARRO</t>
  </si>
  <si>
    <t>T-2380012</t>
  </si>
  <si>
    <t>CANGURERA</t>
  </si>
  <si>
    <t>T-2380013</t>
  </si>
  <si>
    <t>CANGURO BB</t>
  </si>
  <si>
    <t>T-2380014</t>
  </si>
  <si>
    <t>CEBRA DE PELUCHE</t>
  </si>
  <si>
    <t>T-2380015</t>
  </si>
  <si>
    <t>CHANGO CAFE</t>
  </si>
  <si>
    <t>T-2380070</t>
  </si>
  <si>
    <t>CHANGO COLGANTE COLORES (CAFÉ,AZUL Y ROSA)</t>
  </si>
  <si>
    <t>T-2380016</t>
  </si>
  <si>
    <t>COCO CH</t>
  </si>
  <si>
    <t>T-2380017</t>
  </si>
  <si>
    <t>ENCENDEDOR COLOR</t>
  </si>
  <si>
    <t>T-2380062</t>
  </si>
  <si>
    <t>FELINO DE PELUCHE</t>
  </si>
  <si>
    <t>T-2380065</t>
  </si>
  <si>
    <t>GORRA DE BEBE</t>
  </si>
  <si>
    <t>T-2380064</t>
  </si>
  <si>
    <t xml:space="preserve">GORRA DE NIÑO </t>
  </si>
  <si>
    <t>T-2380018</t>
  </si>
  <si>
    <t>GORRA DIV.MODELOS</t>
  </si>
  <si>
    <t>T-2380058</t>
  </si>
  <si>
    <t>IMAN</t>
  </si>
  <si>
    <t>T-2380075</t>
  </si>
  <si>
    <t>IMAN MADERA /DIFERENTE MODELOS)</t>
  </si>
  <si>
    <t>T-2380019</t>
  </si>
  <si>
    <t>JIRAFA HECHADA</t>
  </si>
  <si>
    <t>T-2380020</t>
  </si>
  <si>
    <t>JIRAFA MINI</t>
  </si>
  <si>
    <t>T-2380021</t>
  </si>
  <si>
    <t>JIRAFA PARADA</t>
  </si>
  <si>
    <t>T-2380022</t>
  </si>
  <si>
    <t xml:space="preserve">LAPICERA </t>
  </si>
  <si>
    <t>T-2380066</t>
  </si>
  <si>
    <t>LAPICERA PELUCHE (VARIOS MODELOS)</t>
  </si>
  <si>
    <t>T-2380023</t>
  </si>
  <si>
    <t>LAPIZ IMPRESO</t>
  </si>
  <si>
    <t>T-2380024</t>
  </si>
  <si>
    <t>LENTES</t>
  </si>
  <si>
    <t>T-2380025</t>
  </si>
  <si>
    <t>LIBRETA COLOREAR</t>
  </si>
  <si>
    <t>T-2380026</t>
  </si>
  <si>
    <t>LIBRETA ECOSALVAJE</t>
  </si>
  <si>
    <t>T-2380027</t>
  </si>
  <si>
    <t>LLAVERO CALADO (COLOR)</t>
  </si>
  <si>
    <t>T-2380028</t>
  </si>
  <si>
    <t>LLAVERO CARICATURA METAL</t>
  </si>
  <si>
    <t>T-2380076</t>
  </si>
  <si>
    <t>LLAVERO DESTAPADOR</t>
  </si>
  <si>
    <t>T-2380084</t>
  </si>
  <si>
    <t xml:space="preserve">LLAVERO MADERA </t>
  </si>
  <si>
    <t>T-2380068</t>
  </si>
  <si>
    <t>LLAVERO METAL</t>
  </si>
  <si>
    <t>T-2380067</t>
  </si>
  <si>
    <t>LLAVERO PELUCHE (VARIOS MODELOS)</t>
  </si>
  <si>
    <t>T-2380029</t>
  </si>
  <si>
    <t>LLAVERO PELUCHE CON SONIDO</t>
  </si>
  <si>
    <t>T-2380030</t>
  </si>
  <si>
    <t>LLAVERO PLASTISOL</t>
  </si>
  <si>
    <t>T-2380031</t>
  </si>
  <si>
    <t>LLAVERO ZOO</t>
  </si>
  <si>
    <t>T-2380010</t>
  </si>
  <si>
    <t>MOCHILA DIVERSOS MODELOS</t>
  </si>
  <si>
    <t>T-2380033</t>
  </si>
  <si>
    <t>OSO NEGRO GD</t>
  </si>
  <si>
    <t>T-2380059</t>
  </si>
  <si>
    <t>PARAGUAS MANGO DE PLASTICO 98 CM  DIF COLOR</t>
  </si>
  <si>
    <t>T-2380034</t>
  </si>
  <si>
    <t>PELUCHE ARENA</t>
  </si>
  <si>
    <t>T-2380035</t>
  </si>
  <si>
    <t>PELUCHE ARENA CON SONIDO</t>
  </si>
  <si>
    <t>T-2380069</t>
  </si>
  <si>
    <t>PELUCHE ESTÁNDAR (VARIOS MODELOS)</t>
  </si>
  <si>
    <t>T-2380036</t>
  </si>
  <si>
    <t>PELUCHE SONAJA</t>
  </si>
  <si>
    <t>T-2380037</t>
  </si>
  <si>
    <t>PLAYERA  ALGODÓN ADULTO MANGA CORTA</t>
  </si>
  <si>
    <t>T-2380060</t>
  </si>
  <si>
    <t>PLAYERA ADULTO MANGA LARGA</t>
  </si>
  <si>
    <t>T-2380038</t>
  </si>
  <si>
    <t>PLAYERA ALGODÓN NIÑO MANGA CORTA DIF COLOR</t>
  </si>
  <si>
    <t>T-2380082</t>
  </si>
  <si>
    <t>PLAYERA DULL PRINT MANGA CORTA NIÑO</t>
  </si>
  <si>
    <t>T-2380080</t>
  </si>
  <si>
    <t>PLAYERA DULL PRINT MANGA LARGA NIÑO</t>
  </si>
  <si>
    <t>T-2380081</t>
  </si>
  <si>
    <t>PLAYERA FULL PRINT MANGA CORTA ADULTO</t>
  </si>
  <si>
    <t>T-2380079</t>
  </si>
  <si>
    <t>PLAYERA FULL PRINT MANGA LARGA ADULTO</t>
  </si>
  <si>
    <t>T-2380039</t>
  </si>
  <si>
    <t>PLUMA ANIMALITOS</t>
  </si>
  <si>
    <t>T-2380074</t>
  </si>
  <si>
    <t>PLUMA ZOO</t>
  </si>
  <si>
    <t>T-2380077</t>
  </si>
  <si>
    <t>PORTA GAFET</t>
  </si>
  <si>
    <t>T-2380078</t>
  </si>
  <si>
    <t>PORTA LLAVES</t>
  </si>
  <si>
    <t>T-2380040</t>
  </si>
  <si>
    <t>PORTA VISERA</t>
  </si>
  <si>
    <t>T-2380041</t>
  </si>
  <si>
    <t>ROMPECABEZAS FOMI</t>
  </si>
  <si>
    <t>T-2380042</t>
  </si>
  <si>
    <t>SET DE REGLA</t>
  </si>
  <si>
    <t>T-2380043</t>
  </si>
  <si>
    <t>SOMBRERO CAZADOR</t>
  </si>
  <si>
    <t>T-2380044</t>
  </si>
  <si>
    <t>TARRO PELTRE</t>
  </si>
  <si>
    <t>T-2380045</t>
  </si>
  <si>
    <t>TAZA BLANCA</t>
  </si>
  <si>
    <t>T-2380046</t>
  </si>
  <si>
    <t>TAZA CEBRA.JIRAFA</t>
  </si>
  <si>
    <t>T-2380047</t>
  </si>
  <si>
    <t>TAZA COLOR</t>
  </si>
  <si>
    <t>T-2380048</t>
  </si>
  <si>
    <t>TAZA CONICA IMPRESA</t>
  </si>
  <si>
    <t>T-2380071</t>
  </si>
  <si>
    <t>TAZA GLITTER</t>
  </si>
  <si>
    <t>T-2380049</t>
  </si>
  <si>
    <t>TAZA KUBO</t>
  </si>
  <si>
    <t>T-2380072</t>
  </si>
  <si>
    <t>TAZA MAGICA</t>
  </si>
  <si>
    <t>T-2380050</t>
  </si>
  <si>
    <t>TAZA NORIA</t>
  </si>
  <si>
    <t>T-2380051</t>
  </si>
  <si>
    <t>TAZA RUSTICA</t>
  </si>
  <si>
    <t>T-2380054</t>
  </si>
  <si>
    <t>TEQUILERO ANIMALITOS</t>
  </si>
  <si>
    <t>T-2380052</t>
  </si>
  <si>
    <t>TEQUILERO IMPRESO</t>
  </si>
  <si>
    <t>T-2380053</t>
  </si>
  <si>
    <t>TEQUILERO SAN BLAS</t>
  </si>
  <si>
    <t>T-2380055</t>
  </si>
  <si>
    <t>THERMO ZOO</t>
  </si>
  <si>
    <t>T-2380073</t>
  </si>
  <si>
    <t>VASO POPOTE</t>
  </si>
  <si>
    <t>T-2380063</t>
  </si>
  <si>
    <t>VASO TERMICO DE ACERO INOXIDABLE</t>
  </si>
  <si>
    <t>T-2380056</t>
  </si>
  <si>
    <t>VIBORA DE MADERA</t>
  </si>
  <si>
    <t>VIBORA DE PELUCHE</t>
  </si>
  <si>
    <t>T-2380057</t>
  </si>
  <si>
    <t>ZOOFANTASTICA</t>
  </si>
  <si>
    <t>TOTAL</t>
  </si>
  <si>
    <t>ARTICULO</t>
  </si>
  <si>
    <t>01 - MIE</t>
  </si>
  <si>
    <t>02 - JUE</t>
  </si>
  <si>
    <t>03 - VIE</t>
  </si>
  <si>
    <t>04 - SAB</t>
  </si>
  <si>
    <t>05 - DOM</t>
  </si>
  <si>
    <t>06 - LUN</t>
  </si>
  <si>
    <t xml:space="preserve">Total </t>
  </si>
  <si>
    <t xml:space="preserve">ALCANCIA PUERQUITO </t>
  </si>
  <si>
    <t>ANIMAL JUNGLA GDE</t>
  </si>
  <si>
    <t>ATRAPASUEÃ‘OS</t>
  </si>
  <si>
    <t>CALCA P/CARRO</t>
  </si>
  <si>
    <t>IMAN MDF</t>
  </si>
  <si>
    <t>LLAVERO CALADO</t>
  </si>
  <si>
    <t>LLAVERO MADERA</t>
  </si>
  <si>
    <t>LLAVERO METAL (VARIOS MODELOS)</t>
  </si>
  <si>
    <t>PELUCHE ESTANDAR (VARIOS MODELOS)</t>
  </si>
  <si>
    <t>PLAYERA ALGODOM M.C DE NINO</t>
  </si>
  <si>
    <t>PLAYERA ALGODON M.C. DE ADULTO</t>
  </si>
  <si>
    <t>PORTA GAFETE</t>
  </si>
  <si>
    <t xml:space="preserve">SOMBRERO CAZADOR </t>
  </si>
  <si>
    <t xml:space="preserve">TAZA COLOR </t>
  </si>
  <si>
    <t>VIBORA PELUCHE</t>
  </si>
  <si>
    <t>Gran Total</t>
  </si>
  <si>
    <t>PRECIOS</t>
  </si>
  <si>
    <t>CANTIDAD</t>
  </si>
  <si>
    <t>ABRIL 2026</t>
  </si>
  <si>
    <t>MENSUAL</t>
  </si>
  <si>
    <t>DEL 09 AL 15 DE DICIEMBRE</t>
  </si>
  <si>
    <t>DEL 16 AL 22 DE DICIEMBRE</t>
  </si>
  <si>
    <t>DEL 23 AL 31 DE DICIEMBRE</t>
  </si>
  <si>
    <t>DEL 01 AL 06 DE ABRIL</t>
  </si>
  <si>
    <t>ZOOLOGICO Y PARQUE RECREATIVO TAMATAN</t>
  </si>
  <si>
    <t>FECHA</t>
  </si>
  <si>
    <t>(en blanco)</t>
  </si>
  <si>
    <t>CI-3</t>
  </si>
  <si>
    <t>S</t>
  </si>
  <si>
    <t>PROVEEDOR</t>
  </si>
  <si>
    <t>FACTURA</t>
  </si>
  <si>
    <t>ARTICULO INVENTARIO</t>
  </si>
  <si>
    <t>IMPORTE</t>
  </si>
  <si>
    <t>IEPS 8%</t>
  </si>
  <si>
    <t>IVA</t>
  </si>
  <si>
    <t>DESCUENTO</t>
  </si>
  <si>
    <t>COSTO UNITARIO</t>
  </si>
  <si>
    <t>Etiquetas de fila</t>
  </si>
  <si>
    <t>Suma de CANTIDAD</t>
  </si>
  <si>
    <t>Total general</t>
  </si>
  <si>
    <t>SUBTOTAL</t>
  </si>
  <si>
    <t>COMPRAS DE TIENDA DE RECUERDOS DEL MES DE ABRIL 2026</t>
  </si>
  <si>
    <t>INVENTARIO FINAL 07/04/2026</t>
  </si>
  <si>
    <t>DEL 07 AL 12 DE ABRIL</t>
  </si>
  <si>
    <t>INVENTARIO FINAL 14/04/2026</t>
  </si>
  <si>
    <t xml:space="preserve">DEL 14 AL 19 DE ABRIL </t>
  </si>
  <si>
    <t>INVENTARIO FINAL 21/04/2026</t>
  </si>
  <si>
    <t>DEL 21 AL  26 DE ABRIL</t>
  </si>
  <si>
    <t>INVENTARIO FINAL  28/04/2026</t>
  </si>
  <si>
    <t>DEL 28 AL 30 DE ABRIL</t>
  </si>
  <si>
    <t>INVENTARIO FINAL  30/04/2026</t>
  </si>
  <si>
    <t>INVENTARIO FÍSICO 
30-ABRIL-2026</t>
  </si>
  <si>
    <t>07 - MAR</t>
  </si>
  <si>
    <t>08 - MIE</t>
  </si>
  <si>
    <t>09 - JUE</t>
  </si>
  <si>
    <t>10 - VIE</t>
  </si>
  <si>
    <t>11 - SAB</t>
  </si>
  <si>
    <t>12 - DOM</t>
  </si>
  <si>
    <t>CANGURERA NEGRA</t>
  </si>
  <si>
    <t>GORRA DIV MODELOS</t>
  </si>
  <si>
    <t>MOCHILA DIV MODELOS</t>
  </si>
  <si>
    <t>14 - MAR</t>
  </si>
  <si>
    <t>15 - MIE</t>
  </si>
  <si>
    <t>16 - JUE</t>
  </si>
  <si>
    <t>17 - VIE</t>
  </si>
  <si>
    <t>18 - SAB</t>
  </si>
  <si>
    <t>19 - DOM</t>
  </si>
  <si>
    <t>21 - MAR</t>
  </si>
  <si>
    <t>22 - MIE</t>
  </si>
  <si>
    <t>23 - JUE</t>
  </si>
  <si>
    <t>24 - VIE</t>
  </si>
  <si>
    <t>25 - SAB</t>
  </si>
  <si>
    <t>26 - DOM</t>
  </si>
  <si>
    <t>GORRA BEBE</t>
  </si>
  <si>
    <t>PLAYERA FULL PRINT M.C NINO</t>
  </si>
  <si>
    <t>PLAYERA FULL PRINT M.L ADULTO</t>
  </si>
  <si>
    <t>PLAYERA FULL PRINT M.L NINO</t>
  </si>
  <si>
    <t>28 - MAR</t>
  </si>
  <si>
    <t>29 - MIE</t>
  </si>
  <si>
    <t>30 - JUE</t>
  </si>
  <si>
    <t>e</t>
  </si>
  <si>
    <t>SALIDAS</t>
  </si>
  <si>
    <t>COSTO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</si>
  <si>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</si>
  <si>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</si>
  <si>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</si>
  <si>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</si>
  <si>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</si>
  <si>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</si>
  <si>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</si>
  <si>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</si>
  <si>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</si>
  <si>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</si>
  <si>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</si>
  <si>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</si>
  <si>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14/04/2026</t>
  </si>
  <si>
    <t>15/04/2026</t>
  </si>
  <si>
    <t>16/04/2026</t>
  </si>
  <si>
    <t>17/04/2026</t>
  </si>
  <si>
    <t>18/04/2026</t>
  </si>
  <si>
    <t>19/04/2026</t>
  </si>
  <si>
    <t>Columna28</t>
  </si>
  <si>
    <t xml:space="preserve">ALCANCIA DE PUERQUITO </t>
  </si>
  <si>
    <t xml:space="preserve">ANIMAL DE LA JUNGLA GRANDE </t>
  </si>
  <si>
    <t xml:space="preserve">BIOCULARES </t>
  </si>
  <si>
    <t xml:space="preserve">CALCA PARA CARRO </t>
  </si>
  <si>
    <t>CHANGO COLGANTE COLORES</t>
  </si>
  <si>
    <t>GORRA NIÑO DIV MODELOS</t>
  </si>
  <si>
    <r>
      <t xml:space="preserve">LLAVERO ZOO </t>
    </r>
    <r>
      <rPr>
        <sz val="11"/>
        <color rgb="FFFF0000"/>
        <rFont val="Tahoma"/>
        <family val="2"/>
      </rPr>
      <t>(madera)</t>
    </r>
  </si>
  <si>
    <t>PLAYERA ALGODÓN MANGA CORTA NIÑO</t>
  </si>
  <si>
    <t>PLAYERA ALGODÓN MANGA LARGA ADULTO</t>
  </si>
  <si>
    <t>PLAYERA ALGODÓN MANGA CORTA ADULTO</t>
  </si>
  <si>
    <t>PLAYERA FULL PRINT MANGA CORTA NINO</t>
  </si>
  <si>
    <t>PLAYERA FULL PRINT MANGA LARGA NINO</t>
  </si>
  <si>
    <t>PARAGUAS DIF COLORES</t>
  </si>
  <si>
    <t xml:space="preserve">SOMBRERO DE CAZADOR </t>
  </si>
  <si>
    <t>VASO TERMICO</t>
  </si>
  <si>
    <t>ZOOFANTASTICA CORTESIA</t>
  </si>
  <si>
    <t>CANTIDAD DE ARTICULIOS POR TICKET</t>
  </si>
  <si>
    <t>IMPORTE TICKET</t>
  </si>
  <si>
    <t>COSTO SALIDA+IVA</t>
  </si>
  <si>
    <t>UTILIDAD</t>
  </si>
  <si>
    <t xml:space="preserve">INVENTARIO TIENDA DE RECUERDOS  ABRIL 2026 </t>
  </si>
  <si>
    <t xml:space="preserve">COSTO PROMEDIO
31-03-2026 </t>
  </si>
  <si>
    <t xml:space="preserve">INVENTARIO FÍSICO 
</t>
  </si>
  <si>
    <t>AJUSTE COSTO PROMEDIO</t>
  </si>
  <si>
    <t>COSTO ENTRADA</t>
  </si>
  <si>
    <t>AJUSTE
ENTRADAS</t>
  </si>
  <si>
    <t>COSTO 
SALIDA</t>
  </si>
  <si>
    <t>AJUSTE
SALIDAS</t>
  </si>
  <si>
    <t>T-2380085</t>
  </si>
  <si>
    <t>ELABORÓ</t>
  </si>
  <si>
    <t>REVISÓ</t>
  </si>
  <si>
    <t>AUTORIZÓ</t>
  </si>
  <si>
    <t>C.P. IVONNE PATRICIA GONZALEZ BALDAZO</t>
  </si>
  <si>
    <t>ING. JUAN CARLOS VALLES DORIA</t>
  </si>
  <si>
    <t>DR. FEDERICO GABRIEL NAVARRO DE LA PIEDRA</t>
  </si>
  <si>
    <t>JEFE DE DEPARTAMENTO DE RECURSOS Y SERVICIOS</t>
  </si>
  <si>
    <t xml:space="preserve">SUBDIRECTOR ADMINISTRATIVO DEL ZOOLÓGICO Y PARQUE RECREATIVO TAMATÁN </t>
  </si>
  <si>
    <t>DIRECTOR DEL ZOOLÓGICO Y PARQUE RECREATIVO TAMATÁN</t>
  </si>
  <si>
    <t>INVENTARIO AL 30 DE ABRIL</t>
  </si>
  <si>
    <t xml:space="preserve">COSTO PROMEDIO
30-04-2026 </t>
  </si>
  <si>
    <t>21/04/2026</t>
  </si>
  <si>
    <t>22/04/2026</t>
  </si>
  <si>
    <t>23/04/2026</t>
  </si>
  <si>
    <t>24/04/2026</t>
  </si>
  <si>
    <t>25/04/2026</t>
  </si>
  <si>
    <t>26/04/2026</t>
  </si>
  <si>
    <t>28/04/2026</t>
  </si>
  <si>
    <t>29/04/2026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</si>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</sst>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###,###.00"/>
    <numFmt numFmtId="166" formatCode="[$-1540A]dd\-mmm\-yy;@"/>
    <numFmt numFmtId="167" formatCode="dd\-mm\-yy;@"/>
    <numFmt numFmtId="168" formatCode="#,##0.00_ ;[Red]\-#,##0.00\ "/>
    <numFmt numFmtId="169" formatCode="_-[$$-80A]* #,##0.00_-;\-[$$-80A]* #,##0.00_-;_-[$$-80A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 Nova"/>
      <family val="2"/>
    </font>
    <font>
      <sz val="11"/>
      <color theme="1"/>
      <name val="Arial"/>
      <family val="2"/>
    </font>
    <font>
      <b/>
      <sz val="10"/>
      <color theme="1"/>
      <name val="Arial Nova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MT"/>
      <family val="2"/>
    </font>
    <font>
      <sz val="10"/>
      <name val="Arial"/>
      <family val="2"/>
    </font>
    <font>
      <sz val="10"/>
      <color indexed="63"/>
      <name val="Tahoma"/>
      <family val="2"/>
    </font>
    <font>
      <b/>
      <sz val="10"/>
      <color indexed="61"/>
      <name val="Tahoma"/>
      <family val="2"/>
    </font>
    <font>
      <sz val="9"/>
      <color indexed="61"/>
      <name val="Tahoma"/>
      <family val="2"/>
    </font>
    <font>
      <b/>
      <sz val="8"/>
      <color indexed="6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Arial Nova"/>
      <family val="2"/>
    </font>
    <font>
      <b/>
      <sz val="8"/>
      <name val="Arial Nova"/>
      <family val="2"/>
    </font>
    <font>
      <b/>
      <sz val="9"/>
      <name val="Arial Nova"/>
      <family val="2"/>
    </font>
    <font>
      <b/>
      <sz val="10"/>
      <name val="Arial Nova"/>
      <family val="2"/>
    </font>
    <font>
      <sz val="10"/>
      <name val="Arial"/>
    </font>
    <font>
      <sz val="10"/>
      <color indexed="63"/>
      <name val="Tahoma"/>
    </font>
    <font>
      <b/>
      <sz val="10"/>
      <color indexed="61"/>
      <name val="Tahoma"/>
    </font>
    <font>
      <sz val="9"/>
      <color indexed="61"/>
      <name val="Tahoma"/>
    </font>
    <font>
      <b/>
      <sz val="8"/>
      <color indexed="61"/>
      <name val="Tahoma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9"/>
      <name val="Tahoma"/>
      <family val="2"/>
    </font>
    <font>
      <sz val="8"/>
      <color theme="1"/>
      <name val="Calibri"/>
      <family val="2"/>
      <scheme val="minor"/>
    </font>
    <font>
      <sz val="11"/>
      <name val="Tahoma"/>
      <family val="2"/>
    </font>
    <font>
      <sz val="10"/>
      <name val="Tahoma"/>
      <family val="2"/>
    </font>
    <font>
      <sz val="14"/>
      <color theme="1"/>
      <name val="Calibri"/>
      <family val="2"/>
      <scheme val="minor"/>
    </font>
    <font>
      <sz val="11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11">
    <xf numFmtId="0" fontId="0" fillId="0" borderId="0"/>
    <xf numFmtId="0" fontId="1" fillId="0" borderId="0"/>
    <xf numFmtId="0" fontId="13" fillId="0" borderId="0"/>
    <xf numFmtId="0" fontId="14" fillId="0" borderId="0"/>
    <xf numFmtId="44" fontId="1" fillId="0" borderId="0" applyFont="0" applyFill="0" applyBorder="0" applyAlignment="0" applyProtection="0"/>
    <xf numFmtId="0" fontId="2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1" applyFont="1" applyAlignment="1">
      <alignment horizontal="center" vertical="center" wrapText="1"/>
    </xf>
    <xf numFmtId="0" fontId="4" fillId="0" borderId="0" xfId="1" applyFont="1"/>
    <xf numFmtId="0" fontId="2" fillId="0" borderId="0" xfId="1" applyFont="1" applyAlignment="1">
      <alignment vertical="center" wrapText="1"/>
    </xf>
    <xf numFmtId="164" fontId="3" fillId="0" borderId="0" xfId="1" applyNumberFormat="1" applyFont="1" applyAlignment="1">
      <alignment horizontal="center"/>
    </xf>
    <xf numFmtId="0" fontId="5" fillId="0" borderId="0" xfId="1" applyFont="1" applyAlignment="1">
      <alignment horizont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wrapText="1"/>
    </xf>
    <xf numFmtId="14" fontId="8" fillId="4" borderId="2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0" fillId="0" borderId="2" xfId="1" applyFont="1" applyBorder="1" applyAlignment="1">
      <alignment horizontal="right" vertical="center"/>
    </xf>
    <xf numFmtId="0" fontId="10" fillId="0" borderId="2" xfId="1" applyFont="1" applyBorder="1" applyAlignment="1">
      <alignment vertical="center" wrapText="1"/>
    </xf>
    <xf numFmtId="164" fontId="10" fillId="0" borderId="2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0" fillId="0" borderId="0" xfId="1" applyFont="1"/>
    <xf numFmtId="0" fontId="10" fillId="0" borderId="2" xfId="2" applyFont="1" applyBorder="1" applyAlignment="1">
      <alignment horizontal="left" vertical="center" wrapText="1"/>
    </xf>
    <xf numFmtId="164" fontId="11" fillId="0" borderId="2" xfId="2" applyNumberFormat="1" applyFont="1" applyBorder="1" applyAlignment="1">
      <alignment horizontal="center" vertical="center" wrapText="1"/>
    </xf>
    <xf numFmtId="164" fontId="11" fillId="0" borderId="2" xfId="1" applyNumberFormat="1" applyFont="1" applyBorder="1" applyAlignment="1">
      <alignment horizontal="center" vertical="center" wrapText="1"/>
    </xf>
    <xf numFmtId="164" fontId="10" fillId="0" borderId="2" xfId="2" applyNumberFormat="1" applyFont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right" vertical="center"/>
    </xf>
    <xf numFmtId="0" fontId="10" fillId="0" borderId="3" xfId="1" applyFont="1" applyBorder="1" applyAlignment="1">
      <alignment vertical="center" wrapText="1"/>
    </xf>
    <xf numFmtId="164" fontId="10" fillId="0" borderId="3" xfId="1" applyNumberFormat="1" applyFont="1" applyBorder="1" applyAlignment="1">
      <alignment horizontal="center" vertical="center" wrapText="1"/>
    </xf>
    <xf numFmtId="0" fontId="10" fillId="0" borderId="4" xfId="1" applyFont="1" applyBorder="1" applyAlignment="1">
      <alignment vertical="center" wrapText="1"/>
    </xf>
    <xf numFmtId="164" fontId="10" fillId="0" borderId="4" xfId="1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right" vertical="center"/>
    </xf>
    <xf numFmtId="0" fontId="11" fillId="0" borderId="3" xfId="1" applyFont="1" applyBorder="1" applyAlignment="1">
      <alignment horizontal="center" vertical="center" wrapText="1"/>
    </xf>
    <xf numFmtId="0" fontId="4" fillId="6" borderId="0" xfId="1" applyFont="1" applyFill="1"/>
    <xf numFmtId="0" fontId="2" fillId="6" borderId="5" xfId="1" applyFont="1" applyFill="1" applyBorder="1" applyAlignment="1">
      <alignment horizontal="centerContinuous" vertical="center"/>
    </xf>
    <xf numFmtId="0" fontId="2" fillId="6" borderId="6" xfId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1" fontId="2" fillId="6" borderId="6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4" fillId="0" borderId="0" xfId="3"/>
    <xf numFmtId="49" fontId="17" fillId="0" borderId="0" xfId="3" applyNumberFormat="1" applyFont="1" applyAlignment="1">
      <alignment horizontal="left" vertical="top" wrapText="1"/>
    </xf>
    <xf numFmtId="165" fontId="17" fillId="0" borderId="0" xfId="3" applyNumberFormat="1" applyFont="1" applyAlignment="1">
      <alignment horizontal="right" vertical="top"/>
    </xf>
    <xf numFmtId="165" fontId="18" fillId="0" borderId="0" xfId="3" applyNumberFormat="1" applyFont="1" applyAlignment="1">
      <alignment horizontal="right" vertical="top"/>
    </xf>
    <xf numFmtId="49" fontId="15" fillId="0" borderId="0" xfId="3" applyNumberFormat="1" applyFont="1" applyAlignment="1">
      <alignment horizontal="center" vertical="top" wrapText="1"/>
    </xf>
    <xf numFmtId="49" fontId="16" fillId="0" borderId="0" xfId="3" applyNumberFormat="1" applyFont="1" applyAlignment="1">
      <alignment horizontal="center" vertical="top" wrapText="1"/>
    </xf>
    <xf numFmtId="49" fontId="16" fillId="0" borderId="0" xfId="3" applyNumberFormat="1" applyFont="1" applyAlignment="1">
      <alignment horizontal="right" vertical="top" wrapText="1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4" fontId="15" fillId="0" borderId="0" xfId="4" applyFont="1" applyFill="1" applyAlignment="1">
      <alignment horizontal="center" vertical="top" wrapText="1"/>
    </xf>
    <xf numFmtId="44" fontId="17" fillId="0" borderId="0" xfId="4" applyFont="1" applyAlignment="1">
      <alignment horizontal="left" vertical="top" wrapText="1"/>
    </xf>
    <xf numFmtId="44" fontId="16" fillId="0" borderId="0" xfId="4" applyFont="1" applyFill="1" applyAlignment="1">
      <alignment horizontal="right" vertical="top" wrapText="1"/>
    </xf>
    <xf numFmtId="44" fontId="14" fillId="0" borderId="0" xfId="4" applyFont="1"/>
    <xf numFmtId="0" fontId="6" fillId="13" borderId="0" xfId="1" applyFont="1" applyFill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centerContinuous"/>
    </xf>
    <xf numFmtId="167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/>
    </xf>
    <xf numFmtId="4" fontId="0" fillId="0" borderId="0" xfId="0" applyNumberFormat="1" applyAlignment="1">
      <alignment horizontal="centerContinuous"/>
    </xf>
    <xf numFmtId="2" fontId="0" fillId="0" borderId="0" xfId="0" applyNumberFormat="1"/>
    <xf numFmtId="168" fontId="0" fillId="0" borderId="0" xfId="0" applyNumberFormat="1"/>
    <xf numFmtId="0" fontId="0" fillId="0" borderId="7" xfId="0" applyBorder="1"/>
    <xf numFmtId="167" fontId="0" fillId="0" borderId="0" xfId="0" applyNumberFormat="1"/>
    <xf numFmtId="0" fontId="0" fillId="0" borderId="0" xfId="0" applyAlignment="1">
      <alignment horizontal="center"/>
    </xf>
    <xf numFmtId="0" fontId="19" fillId="0" borderId="0" xfId="0" applyFont="1" applyAlignment="1">
      <alignment horizontal="right"/>
    </xf>
    <xf numFmtId="0" fontId="5" fillId="5" borderId="8" xfId="0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 shrinkToFit="1"/>
    </xf>
    <xf numFmtId="0" fontId="23" fillId="5" borderId="8" xfId="0" applyFont="1" applyFill="1" applyBorder="1" applyAlignment="1">
      <alignment horizontal="center" vertical="center" wrapText="1" shrinkToFit="1"/>
    </xf>
    <xf numFmtId="0" fontId="0" fillId="0" borderId="2" xfId="0" applyBorder="1"/>
    <xf numFmtId="0" fontId="0" fillId="0" borderId="9" xfId="0" applyBorder="1"/>
    <xf numFmtId="169" fontId="0" fillId="0" borderId="9" xfId="0" applyNumberFormat="1" applyBorder="1"/>
    <xf numFmtId="169" fontId="0" fillId="0" borderId="2" xfId="0" applyNumberFormat="1" applyBorder="1"/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6" xfId="0" applyBorder="1"/>
    <xf numFmtId="8" fontId="0" fillId="0" borderId="6" xfId="0" applyNumberFormat="1" applyBorder="1"/>
    <xf numFmtId="2" fontId="14" fillId="0" borderId="0" xfId="3" applyNumberFormat="1"/>
    <xf numFmtId="0" fontId="24" fillId="0" borderId="0" xfId="5"/>
    <xf numFmtId="49" fontId="27" fillId="0" borderId="0" xfId="5" applyNumberFormat="1" applyFont="1" applyAlignment="1">
      <alignment horizontal="left" vertical="top" wrapText="1"/>
    </xf>
    <xf numFmtId="165" fontId="27" fillId="0" borderId="0" xfId="5" applyNumberFormat="1" applyFont="1" applyAlignment="1">
      <alignment horizontal="right" vertical="top"/>
    </xf>
    <xf numFmtId="165" fontId="28" fillId="0" borderId="0" xfId="5" applyNumberFormat="1" applyFont="1" applyAlignment="1">
      <alignment horizontal="right" vertical="top"/>
    </xf>
    <xf numFmtId="49" fontId="25" fillId="0" borderId="0" xfId="5" applyNumberFormat="1" applyFont="1" applyAlignment="1">
      <alignment horizontal="center" vertical="top" wrapText="1"/>
    </xf>
    <xf numFmtId="49" fontId="26" fillId="0" borderId="0" xfId="5" applyNumberFormat="1" applyFont="1" applyAlignment="1">
      <alignment horizontal="center" vertical="top" wrapText="1"/>
    </xf>
    <xf numFmtId="49" fontId="26" fillId="0" borderId="0" xfId="5" applyNumberFormat="1" applyFont="1" applyAlignment="1">
      <alignment horizontal="right" vertical="top" wrapText="1"/>
    </xf>
    <xf numFmtId="44" fontId="25" fillId="0" borderId="0" xfId="4" applyFont="1" applyFill="1" applyAlignment="1">
      <alignment horizontal="center" vertical="top" wrapText="1"/>
    </xf>
    <xf numFmtId="44" fontId="27" fillId="0" borderId="0" xfId="4" applyFont="1" applyAlignment="1">
      <alignment horizontal="left" vertical="top" wrapText="1"/>
    </xf>
    <xf numFmtId="44" fontId="26" fillId="0" borderId="0" xfId="4" applyFont="1" applyFill="1" applyAlignment="1">
      <alignment horizontal="right" vertical="top" wrapText="1"/>
    </xf>
    <xf numFmtId="44" fontId="24" fillId="0" borderId="0" xfId="4" applyFont="1"/>
    <xf numFmtId="0" fontId="11" fillId="0" borderId="0" xfId="5" applyFont="1"/>
    <xf numFmtId="2" fontId="24" fillId="0" borderId="0" xfId="5" applyNumberFormat="1"/>
    <xf numFmtId="2" fontId="11" fillId="0" borderId="0" xfId="5" applyNumberFormat="1" applyFont="1"/>
    <xf numFmtId="49" fontId="31" fillId="15" borderId="11" xfId="6" applyNumberFormat="1" applyFont="1" applyFill="1" applyBorder="1" applyAlignment="1">
      <alignment horizontal="center" vertical="center" wrapText="1"/>
    </xf>
    <xf numFmtId="49" fontId="31" fillId="15" borderId="12" xfId="6" applyNumberFormat="1" applyFont="1" applyFill="1" applyBorder="1" applyAlignment="1">
      <alignment horizontal="center" vertical="center" wrapText="1"/>
    </xf>
    <xf numFmtId="14" fontId="31" fillId="15" borderId="12" xfId="4" applyNumberFormat="1" applyFont="1" applyFill="1" applyBorder="1" applyAlignment="1">
      <alignment horizontal="center" vertical="center" wrapText="1"/>
    </xf>
    <xf numFmtId="14" fontId="31" fillId="15" borderId="13" xfId="4" applyNumberFormat="1" applyFont="1" applyFill="1" applyBorder="1" applyAlignment="1">
      <alignment horizontal="center" vertical="center" wrapText="1"/>
    </xf>
    <xf numFmtId="14" fontId="32" fillId="15" borderId="13" xfId="0" applyNumberFormat="1" applyFont="1" applyFill="1" applyBorder="1" applyAlignment="1">
      <alignment horizontal="center" vertical="center"/>
    </xf>
    <xf numFmtId="49" fontId="33" fillId="0" borderId="14" xfId="7" applyNumberFormat="1" applyFont="1" applyBorder="1" applyAlignment="1">
      <alignment horizontal="left" vertical="center" wrapText="1"/>
    </xf>
    <xf numFmtId="44" fontId="34" fillId="0" borderId="2" xfId="4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44" fontId="0" fillId="0" borderId="0" xfId="0" applyNumberFormat="1"/>
    <xf numFmtId="0" fontId="35" fillId="5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33" fillId="7" borderId="14" xfId="7" applyNumberFormat="1" applyFont="1" applyFill="1" applyBorder="1" applyAlignment="1">
      <alignment horizontal="left" vertical="center" wrapText="1"/>
    </xf>
    <xf numFmtId="44" fontId="34" fillId="7" borderId="2" xfId="4" applyFont="1" applyFill="1" applyBorder="1" applyAlignment="1">
      <alignment horizontal="center" vertical="center"/>
    </xf>
    <xf numFmtId="49" fontId="33" fillId="16" borderId="14" xfId="8" applyNumberFormat="1" applyFont="1" applyFill="1" applyBorder="1" applyAlignment="1">
      <alignment horizontal="left" vertical="top" wrapText="1"/>
    </xf>
    <xf numFmtId="44" fontId="33" fillId="16" borderId="2" xfId="4" applyFont="1" applyFill="1" applyBorder="1" applyAlignment="1">
      <alignment horizontal="left" vertical="top" wrapText="1"/>
    </xf>
    <xf numFmtId="49" fontId="33" fillId="16" borderId="14" xfId="7" applyNumberFormat="1" applyFont="1" applyFill="1" applyBorder="1" applyAlignment="1">
      <alignment horizontal="left" vertical="center" wrapText="1"/>
    </xf>
    <xf numFmtId="44" fontId="34" fillId="16" borderId="2" xfId="4" applyFont="1" applyFill="1" applyBorder="1" applyAlignment="1">
      <alignment horizontal="center" vertical="center"/>
    </xf>
    <xf numFmtId="44" fontId="35" fillId="0" borderId="2" xfId="0" applyNumberFormat="1" applyFont="1" applyBorder="1" applyAlignment="1">
      <alignment horizontal="center" vertical="center"/>
    </xf>
    <xf numFmtId="44" fontId="34" fillId="0" borderId="2" xfId="4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/>
    </xf>
    <xf numFmtId="49" fontId="33" fillId="0" borderId="17" xfId="7" applyNumberFormat="1" applyFont="1" applyBorder="1" applyAlignment="1">
      <alignment horizontal="left" vertical="center" wrapText="1"/>
    </xf>
    <xf numFmtId="44" fontId="34" fillId="0" borderId="3" xfId="4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44" fontId="0" fillId="5" borderId="0" xfId="0" applyNumberFormat="1" applyFill="1" applyAlignment="1">
      <alignment horizontal="center" vertical="center"/>
    </xf>
    <xf numFmtId="44" fontId="0" fillId="17" borderId="0" xfId="0" applyNumberForma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38" fillId="0" borderId="2" xfId="0" applyNumberFormat="1" applyFont="1" applyBorder="1" applyAlignment="1">
      <alignment horizontal="center" vertical="center"/>
    </xf>
    <xf numFmtId="44" fontId="0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44" fontId="0" fillId="0" borderId="0" xfId="4" applyFont="1" applyAlignment="1">
      <alignment vertical="center" wrapText="1"/>
    </xf>
    <xf numFmtId="0" fontId="0" fillId="0" borderId="0" xfId="1" applyFont="1"/>
    <xf numFmtId="0" fontId="0" fillId="0" borderId="0" xfId="1" applyFont="1" applyAlignment="1">
      <alignment horizontal="center" vertical="center"/>
    </xf>
    <xf numFmtId="0" fontId="19" fillId="0" borderId="0" xfId="1" applyFont="1" applyAlignment="1">
      <alignment horizontal="center"/>
    </xf>
    <xf numFmtId="0" fontId="19" fillId="0" borderId="0" xfId="1" applyFont="1" applyAlignment="1">
      <alignment vertical="center" wrapText="1"/>
    </xf>
    <xf numFmtId="44" fontId="19" fillId="0" borderId="0" xfId="4" applyFont="1" applyAlignment="1">
      <alignment horizontal="center"/>
    </xf>
    <xf numFmtId="0" fontId="40" fillId="0" borderId="0" xfId="1" applyFont="1" applyAlignment="1">
      <alignment horizontal="center" wrapText="1"/>
    </xf>
    <xf numFmtId="0" fontId="42" fillId="0" borderId="0" xfId="1" applyFont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44" fontId="42" fillId="0" borderId="0" xfId="4" applyFont="1" applyAlignment="1">
      <alignment horizontal="center" vertical="center" wrapText="1"/>
    </xf>
    <xf numFmtId="0" fontId="43" fillId="4" borderId="2" xfId="1" applyFont="1" applyFill="1" applyBorder="1" applyAlignment="1">
      <alignment horizontal="center" vertical="center"/>
    </xf>
    <xf numFmtId="0" fontId="43" fillId="4" borderId="2" xfId="1" applyFont="1" applyFill="1" applyBorder="1" applyAlignment="1">
      <alignment horizontal="center" vertical="center" wrapText="1"/>
    </xf>
    <xf numFmtId="44" fontId="44" fillId="4" borderId="2" xfId="4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/>
    </xf>
    <xf numFmtId="0" fontId="45" fillId="0" borderId="2" xfId="1" applyFont="1" applyBorder="1" applyAlignment="1">
      <alignment horizontal="right" vertical="center"/>
    </xf>
    <xf numFmtId="0" fontId="45" fillId="0" borderId="2" xfId="1" applyFont="1" applyBorder="1" applyAlignment="1">
      <alignment vertical="center" wrapText="1"/>
    </xf>
    <xf numFmtId="44" fontId="45" fillId="0" borderId="2" xfId="4" applyFont="1" applyBorder="1" applyAlignment="1">
      <alignment vertical="center" wrapText="1"/>
    </xf>
    <xf numFmtId="0" fontId="46" fillId="0" borderId="2" xfId="1" applyFont="1" applyBorder="1" applyAlignment="1">
      <alignment horizontal="center" vertical="center" wrapText="1"/>
    </xf>
    <xf numFmtId="0" fontId="45" fillId="0" borderId="0" xfId="1" applyFont="1"/>
    <xf numFmtId="4" fontId="45" fillId="0" borderId="2" xfId="1" applyNumberFormat="1" applyFont="1" applyBorder="1" applyAlignment="1">
      <alignment horizontal="center" vertical="center"/>
    </xf>
    <xf numFmtId="44" fontId="45" fillId="0" borderId="0" xfId="1" applyNumberFormat="1" applyFont="1"/>
    <xf numFmtId="44" fontId="45" fillId="0" borderId="2" xfId="4" applyFont="1" applyBorder="1" applyAlignment="1">
      <alignment horizontal="center" vertical="center"/>
    </xf>
    <xf numFmtId="0" fontId="45" fillId="0" borderId="2" xfId="2" applyFont="1" applyBorder="1" applyAlignment="1">
      <alignment horizontal="left" vertical="center" wrapText="1"/>
    </xf>
    <xf numFmtId="0" fontId="45" fillId="0" borderId="3" xfId="1" applyFont="1" applyBorder="1" applyAlignment="1">
      <alignment horizontal="right" vertical="center"/>
    </xf>
    <xf numFmtId="0" fontId="45" fillId="0" borderId="3" xfId="1" applyFont="1" applyBorder="1" applyAlignment="1">
      <alignment vertical="center" wrapText="1"/>
    </xf>
    <xf numFmtId="0" fontId="46" fillId="0" borderId="3" xfId="1" applyFont="1" applyBorder="1" applyAlignment="1">
      <alignment horizontal="center" vertical="center" wrapText="1"/>
    </xf>
    <xf numFmtId="2" fontId="2" fillId="6" borderId="6" xfId="1" applyNumberFormat="1" applyFont="1" applyFill="1" applyBorder="1" applyAlignment="1">
      <alignment horizontal="center" vertical="center"/>
    </xf>
    <xf numFmtId="2" fontId="2" fillId="6" borderId="6" xfId="1" applyNumberFormat="1" applyFont="1" applyFill="1" applyBorder="1" applyAlignment="1">
      <alignment horizontal="center" vertical="center" wrapText="1"/>
    </xf>
    <xf numFmtId="4" fontId="2" fillId="6" borderId="19" xfId="1" applyNumberFormat="1" applyFont="1" applyFill="1" applyBorder="1" applyAlignment="1">
      <alignment horizontal="center" vertical="center" wrapText="1"/>
    </xf>
    <xf numFmtId="44" fontId="2" fillId="6" borderId="20" xfId="4" applyFont="1" applyFill="1" applyBorder="1" applyAlignment="1">
      <alignment vertical="center" wrapText="1"/>
    </xf>
    <xf numFmtId="0" fontId="47" fillId="0" borderId="0" xfId="1" applyFont="1" applyAlignment="1">
      <alignment horizontal="center" vertical="center" wrapText="1"/>
    </xf>
    <xf numFmtId="0" fontId="48" fillId="0" borderId="0" xfId="9" applyFont="1" applyAlignment="1">
      <alignment vertical="center"/>
    </xf>
    <xf numFmtId="0" fontId="49" fillId="0" borderId="0" xfId="8" applyFont="1" applyAlignment="1">
      <alignment vertical="center"/>
    </xf>
    <xf numFmtId="44" fontId="49" fillId="0" borderId="0" xfId="10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9" fillId="0" borderId="0" xfId="8" applyFont="1"/>
    <xf numFmtId="0" fontId="49" fillId="0" borderId="0" xfId="9" applyFont="1" applyAlignment="1">
      <alignment horizontal="center"/>
    </xf>
    <xf numFmtId="44" fontId="49" fillId="0" borderId="0" xfId="10" applyFont="1"/>
    <xf numFmtId="0" fontId="49" fillId="0" borderId="0" xfId="9" applyFont="1"/>
    <xf numFmtId="44" fontId="4" fillId="0" borderId="0" xfId="4" applyFont="1" applyAlignment="1">
      <alignment vertical="center" wrapText="1"/>
    </xf>
    <xf numFmtId="44" fontId="4" fillId="0" borderId="0" xfId="4" applyFont="1" applyAlignment="1">
      <alignment horizontal="center"/>
    </xf>
    <xf numFmtId="0" fontId="30" fillId="14" borderId="7" xfId="0" applyFont="1" applyFill="1" applyBorder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29" fillId="14" borderId="15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 vertical="center"/>
    </xf>
    <xf numFmtId="0" fontId="29" fillId="14" borderId="2" xfId="0" applyFont="1" applyFill="1" applyBorder="1" applyAlignment="1">
      <alignment horizontal="center" vertical="center"/>
    </xf>
    <xf numFmtId="44" fontId="0" fillId="0" borderId="0" xfId="4" applyFont="1" applyAlignment="1">
      <alignment horizontal="center" vertical="center" wrapText="1"/>
    </xf>
    <xf numFmtId="0" fontId="19" fillId="0" borderId="0" xfId="1" applyFont="1" applyAlignment="1">
      <alignment horizontal="center" wrapText="1"/>
    </xf>
    <xf numFmtId="0" fontId="19" fillId="0" borderId="0" xfId="1" applyFont="1" applyAlignment="1">
      <alignment horizontal="center"/>
    </xf>
    <xf numFmtId="0" fontId="41" fillId="0" borderId="0" xfId="1" applyFont="1" applyAlignment="1">
      <alignment horizontal="center"/>
    </xf>
    <xf numFmtId="0" fontId="0" fillId="0" borderId="0" xfId="1" applyFont="1" applyAlignment="1">
      <alignment horizontal="center"/>
    </xf>
    <xf numFmtId="0" fontId="2" fillId="6" borderId="5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48" fillId="0" borderId="0" xfId="9" applyFont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0" fontId="0" fillId="0" borderId="1" xfId="9" applyFont="1" applyBorder="1" applyAlignment="1">
      <alignment horizontal="center"/>
    </xf>
    <xf numFmtId="44" fontId="49" fillId="0" borderId="1" xfId="4" applyFont="1" applyBorder="1" applyAlignment="1">
      <alignment horizontal="center"/>
    </xf>
    <xf numFmtId="0" fontId="49" fillId="0" borderId="1" xfId="9" applyFont="1" applyBorder="1" applyAlignment="1">
      <alignment horizontal="center"/>
    </xf>
    <xf numFmtId="0" fontId="42" fillId="0" borderId="4" xfId="1" applyFont="1" applyBorder="1" applyAlignment="1">
      <alignment horizontal="center"/>
    </xf>
    <xf numFmtId="0" fontId="42" fillId="0" borderId="0" xfId="1" applyFont="1" applyAlignment="1">
      <alignment horizontal="center" wrapText="1"/>
    </xf>
    <xf numFmtId="0" fontId="42" fillId="0" borderId="0" xfId="9" applyFont="1" applyAlignment="1">
      <alignment horizontal="center" vertical="top" wrapText="1"/>
    </xf>
    <xf numFmtId="0" fontId="5" fillId="2" borderId="0" xfId="1" applyFont="1" applyFill="1" applyAlignment="1">
      <alignment horizontal="center" wrapText="1"/>
    </xf>
    <xf numFmtId="0" fontId="2" fillId="8" borderId="0" xfId="1" applyFont="1" applyFill="1" applyAlignment="1">
      <alignment horizontal="center"/>
    </xf>
    <xf numFmtId="0" fontId="4" fillId="9" borderId="0" xfId="1" applyFont="1" applyFill="1" applyAlignment="1">
      <alignment horizontal="center"/>
    </xf>
    <xf numFmtId="0" fontId="6" fillId="3" borderId="1" xfId="1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46" fillId="0" borderId="2" xfId="1" applyFont="1" applyFill="1" applyBorder="1" applyAlignment="1">
      <alignment horizontal="center" vertical="center" wrapText="1"/>
    </xf>
  </cellXfs>
  <cellStyles count="11">
    <cellStyle name="Moneda" xfId="4" builtinId="4"/>
    <cellStyle name="Moneda 2" xfId="10" xr:uid="{B42A9527-239E-4446-A2A9-9684EC2F7715}"/>
    <cellStyle name="Normal" xfId="0" builtinId="0"/>
    <cellStyle name="Normal 11" xfId="1" xr:uid="{00000000-0005-0000-0000-000002000000}"/>
    <cellStyle name="Normal 2" xfId="2" xr:uid="{00000000-0005-0000-0000-000003000000}"/>
    <cellStyle name="Normal 2 4 2" xfId="6" xr:uid="{46A0FFC9-E3B9-4144-B236-10BF5589ECEC}"/>
    <cellStyle name="Normal 3" xfId="3" xr:uid="{00000000-0005-0000-0000-000004000000}"/>
    <cellStyle name="Normal 3 2" xfId="9" xr:uid="{7CF27F49-1314-4867-8280-1BBF506CECCB}"/>
    <cellStyle name="Normal 3 3" xfId="7" xr:uid="{18D035E1-17CD-4FF9-9399-E474321CE415}"/>
    <cellStyle name="Normal 4" xfId="5" xr:uid="{00000000-0005-0000-0000-000005000000}"/>
    <cellStyle name="Normal 4 2" xfId="8" xr:uid="{5827A67D-1417-4D5D-81BB-47622B1E69C3}"/>
  </cellStyles>
  <dxfs count="50"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9" formatCode="dd/mm/yyyy"/>
      <fill>
        <patternFill patternType="solid">
          <fgColor indexed="64"/>
          <bgColor rgb="FFCC66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133351</xdr:rowOff>
    </xdr:from>
    <xdr:ext cx="2314575" cy="638174"/>
    <xdr:pic>
      <xdr:nvPicPr>
        <xdr:cNvPr id="2" name="Imagen 2" descr="C:\Users\lidia.martinez\Downloads\thumbnail_image.png">
          <a:extLst>
            <a:ext uri="{FF2B5EF4-FFF2-40B4-BE49-F238E27FC236}">
              <a16:creationId xmlns:a16="http://schemas.microsoft.com/office/drawing/2014/main" id="{074A724E-AA11-4EBD-8982-A78F7D07E1F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20" t="14179" b="14179"/>
        <a:stretch/>
      </xdr:blipFill>
      <xdr:spPr bwMode="auto">
        <a:xfrm>
          <a:off x="876300" y="133351"/>
          <a:ext cx="2314575" cy="638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18</xdr:col>
      <xdr:colOff>560296</xdr:colOff>
      <xdr:row>0</xdr:row>
      <xdr:rowOff>123265</xdr:rowOff>
    </xdr:from>
    <xdr:ext cx="1763248" cy="978093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865E2CC9-C028-4F22-8187-25D54836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6296" y="123265"/>
          <a:ext cx="1763248" cy="978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161925</xdr:rowOff>
    </xdr:from>
    <xdr:ext cx="2438400" cy="962025"/>
    <xdr:pic>
      <xdr:nvPicPr>
        <xdr:cNvPr id="2" name="Imagen 2" descr="C:\Users\lidia.martinez\Downloads\thumbnail_image.png">
          <a:extLst>
            <a:ext uri="{FF2B5EF4-FFF2-40B4-BE49-F238E27FC236}">
              <a16:creationId xmlns:a16="http://schemas.microsoft.com/office/drawing/2014/main" id="{FFDC7C2E-07B3-4842-9B17-BBA1B1A6BDE1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20" t="14179" b="14179"/>
        <a:stretch/>
      </xdr:blipFill>
      <xdr:spPr bwMode="auto">
        <a:xfrm>
          <a:off x="152400" y="161925"/>
          <a:ext cx="2438400" cy="9620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215900</xdr:colOff>
      <xdr:row>0</xdr:row>
      <xdr:rowOff>79375</xdr:rowOff>
    </xdr:from>
    <xdr:ext cx="1991848" cy="1104900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FD05228D-3CDC-4F1D-B3CF-9BBCBD7B6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0175" y="79375"/>
          <a:ext cx="1991848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0</xdr:row>
      <xdr:rowOff>47624</xdr:rowOff>
    </xdr:from>
    <xdr:ext cx="1514475" cy="523875"/>
    <xdr:pic>
      <xdr:nvPicPr>
        <xdr:cNvPr id="2" name="Imagen 1" descr="C:\Users\lidia.martinez\Downloads\thumbnail_image.png">
          <a:extLst>
            <a:ext uri="{FF2B5EF4-FFF2-40B4-BE49-F238E27FC236}">
              <a16:creationId xmlns:a16="http://schemas.microsoft.com/office/drawing/2014/main" id="{BF066A8B-DC72-40E6-9B18-608A47A5427A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3794" r="2166" b="14654"/>
        <a:stretch/>
      </xdr:blipFill>
      <xdr:spPr bwMode="auto">
        <a:xfrm>
          <a:off x="238125" y="47624"/>
          <a:ext cx="1514475" cy="523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3562349</xdr:colOff>
      <xdr:row>0</xdr:row>
      <xdr:rowOff>85725</xdr:rowOff>
    </xdr:from>
    <xdr:ext cx="1114425" cy="609600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F207BB3F-D550-45FF-9942-54DEB841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49" y="85725"/>
          <a:ext cx="11144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b39644a82a9faca/Desktop/ABRIL/TIENDA%20DE%20RECUERDOS/04.ABRIL.2026.INVENTARIO.TIENDARECUERDOS.TRABAJADO.xlsx" TargetMode="External"/><Relationship Id="rId1" Type="http://schemas.openxmlformats.org/officeDocument/2006/relationships/externalLinkPath" Target="04.ABRIL.2026.INVENTARIO.TIENDARECUERDOS.TRABAJ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. FINAL "/>
      <sheetName val="PAPEL DE TRABAJO ABRIL"/>
      <sheetName val="INVENTARIO MENSUAL "/>
      <sheetName val="ENTRADAS"/>
      <sheetName val="SEMANA S1"/>
      <sheetName val="SEMANA S2"/>
    </sheetNames>
    <sheetDataSet>
      <sheetData sheetId="0">
        <row r="95">
          <cell r="S95">
            <v>36048.47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/Users/Olga/AppData/Local/Microsoft/Olk/Attachments/ooa-9fc0e822-d478-4dbe-b916-0eacdb478803/a2abfe5f65cb8a12af6ba9952d688c25ca12dc7a9ad43ed4c3d8b025f44bdb02/03.MARZO.2026%20INVENTARIO%20DE%20TIENDA.xlsx?1D89EC89" TargetMode="External"/><Relationship Id="rId2" Type="http://schemas.openxmlformats.org/officeDocument/2006/relationships/externalLinkPath" Target="file:///\\1D89EC89\03.MARZO.2026%20INVENTARIO%20DE%20TIEND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" refreshedDate="45997.646988773151" createdVersion="8" refreshedVersion="8" minRefreshableVersion="3" recordCount="27" xr:uid="{00000000-000A-0000-FFFF-FFFF00000000}">
  <cacheSource type="worksheet">
    <worksheetSource ref="A5:M25" sheet="ENTRADAS" r:id="rId2"/>
  </cacheSource>
  <cacheFields count="14">
    <cacheField name="S" numFmtId="0">
      <sharedItems containsNonDate="0" containsString="0" containsBlank="1"/>
    </cacheField>
    <cacheField name="FECHA" numFmtId="167">
      <sharedItems containsNonDate="0" containsString="0" containsBlank="1" count="1">
        <m/>
      </sharedItems>
    </cacheField>
    <cacheField name="PROVEEDOR" numFmtId="0">
      <sharedItems containsNonDate="0" containsString="0" containsBlank="1"/>
    </cacheField>
    <cacheField name="FACTURA" numFmtId="0">
      <sharedItems containsNonDate="0" containsString="0" containsBlank="1"/>
    </cacheField>
    <cacheField name="ARTICULO INVENTARIO" numFmtId="0">
      <sharedItems containsNonDate="0" containsString="0" containsBlank="1" count="1">
        <m/>
      </sharedItems>
    </cacheField>
    <cacheField name="DESCRIPCION" numFmtId="0">
      <sharedItems containsNonDate="0" containsString="0" containsBlank="1"/>
    </cacheField>
    <cacheField name="CANT.XPAQ" numFmtId="0">
      <sharedItems containsNonDate="0" containsString="0" containsBlank="1"/>
    </cacheField>
    <cacheField name="CANTIDAD" numFmtId="0">
      <sharedItems containsNonDate="0" containsString="0" containsBlank="1"/>
    </cacheField>
    <cacheField name="IMPORTE" numFmtId="169">
      <sharedItems containsNonDate="0" containsString="0" containsBlank="1"/>
    </cacheField>
    <cacheField name="IEPS 8%" numFmtId="169">
      <sharedItems containsSemiMixedTypes="0" containsString="0" containsNumber="1" containsInteger="1" minValue="0" maxValue="0"/>
    </cacheField>
    <cacheField name="IVA" numFmtId="169">
      <sharedItems containsSemiMixedTypes="0" containsString="0" containsNumber="1" minValue="-38.465600000000002" maxValue="0"/>
    </cacheField>
    <cacheField name="DESCUENTO" numFmtId="169">
      <sharedItems containsSemiMixedTypes="0" containsString="0" containsNumber="1" minValue="0" maxValue="240.41"/>
    </cacheField>
    <cacheField name="TOTAL" numFmtId="169">
      <sharedItems containsSemiMixedTypes="0" containsString="0" containsNumber="1" minValue="-278.87560000000002" maxValue="0"/>
    </cacheField>
    <cacheField name="COSTO UNITARIO" numFmtId="16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-38.465600000000002"/>
    <n v="240.41"/>
    <n v="-278.87560000000002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  <r>
    <m/>
    <x v="0"/>
    <m/>
    <m/>
    <x v="0"/>
    <m/>
    <m/>
    <m/>
    <m/>
    <n v="0"/>
    <n v="0"/>
    <n v="0"/>
    <n v="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5:P7" firstHeaderRow="1" firstDataRow="1" firstDataCol="1" rowPageCount="1" colPageCount="1"/>
  <pivotFields count="14">
    <pivotField showAll="0"/>
    <pivotField axis="axisPage" multipleItemSelectionAllowed="1" showAll="0" sortType="ascending">
      <items count="2">
        <item x="0"/>
        <item t="default"/>
      </items>
    </pivotField>
    <pivotField showAll="0"/>
    <pivotField showAll="0"/>
    <pivotField axis="axisRow" showAll="0" sortType="ascending">
      <items count="2">
        <item x="0"/>
        <item t="default"/>
      </items>
    </pivotField>
    <pivotField showAll="0"/>
    <pivotField showAll="0"/>
    <pivotField dataField="1" showAll="0"/>
    <pivotField showAll="0"/>
    <pivotField numFmtId="169" showAll="0"/>
    <pivotField showAll="0"/>
    <pivotField showAll="0"/>
    <pivotField numFmtId="169" showAll="0"/>
    <pivotField showAll="0"/>
  </pivotFields>
  <rowFields count="1">
    <field x="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Suma de CANTIDAD" fld="7" baseField="0" baseItem="0"/>
  </dataFields>
  <formats count="13">
    <format dxfId="13">
      <pivotArea outline="0" collapsedLevelsAreSubtotals="1" fieldPosition="0"/>
    </format>
    <format dxfId="12">
      <pivotArea field="4" type="button" dataOnly="0" labelOnly="1" outline="0" axis="axisRow" fieldPosition="0"/>
    </format>
    <format dxfId="11">
      <pivotArea dataOnly="0" labelOnly="1" grandRow="1" outline="0" fieldPosition="0"/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8B9E74-9375-49A3-AAA9-B6C51BBC82D5}" name="Tabla243" displayName="Tabla243" ref="A2:AE49" totalsRowShown="0" headerRowDxfId="49" dataDxfId="47" headerRowBorderDxfId="48" tableBorderDxfId="46" totalsRowBorderDxfId="45" headerRowCellStyle="Moneda">
  <autoFilter ref="A2:AE49" xr:uid="{F7853666-382F-4D0C-BA7A-4CC186412042}">
    <filterColumn colId="30">
      <filters>
        <filter val="1"/>
        <filter val="10"/>
        <filter val="12"/>
        <filter val="13"/>
        <filter val="14"/>
        <filter val="15"/>
        <filter val="17"/>
        <filter val="18"/>
        <filter val="2"/>
        <filter val="217"/>
        <filter val="25"/>
        <filter val="39"/>
        <filter val="4"/>
        <filter val="48"/>
        <filter val="5"/>
        <filter val="6"/>
        <filter val="60"/>
        <filter val="7"/>
        <filter val="8"/>
        <filter val="9"/>
        <filter val="97"/>
      </filters>
    </filterColumn>
  </autoFilter>
  <tableColumns count="31">
    <tableColumn id="1" xr3:uid="{1DE2ECCA-129F-4385-95A4-EFCDB095BE4D}" name="ARTICULO" dataDxfId="44" dataCellStyle="Normal 3 3"/>
    <tableColumn id="2" xr3:uid="{DB261455-A757-46E8-AB15-1AF485418906}" name="COSTO" dataDxfId="43" dataCellStyle="Moneda"/>
    <tableColumn id="3" xr3:uid="{BEC4FDAE-2CD7-4BFF-BAC4-BD12B86A5664}" name="01/04/2026" dataDxfId="42"/>
    <tableColumn id="4" xr3:uid="{90D745CC-4C57-474D-84C9-7FA057601F6C}" name="02/04/2026" dataDxfId="41"/>
    <tableColumn id="5" xr3:uid="{8BFA6CDF-1560-4F49-9323-73BF693CE378}" name="03/04/2026" dataDxfId="40"/>
    <tableColumn id="6" xr3:uid="{F13FD004-4D00-4887-9DC8-9913548C6F00}" name="04/04/2026" dataDxfId="39"/>
    <tableColumn id="7" xr3:uid="{42ECF172-683E-4A30-B469-A845E7BD7F44}" name="05/04/2026" dataDxfId="38"/>
    <tableColumn id="8" xr3:uid="{CB189D69-A9E6-417B-A57D-5D34726B0A89}" name="06/04/2026" dataDxfId="37"/>
    <tableColumn id="11" xr3:uid="{EF8B761A-C5A1-4F47-B209-C52CADFE59B3}" name="07/04/2026" dataDxfId="36"/>
    <tableColumn id="12" xr3:uid="{4DDC8A3F-FB76-44CE-B5E8-B90AFC280B21}" name="08/04/2026" dataDxfId="35"/>
    <tableColumn id="13" xr3:uid="{9B7C4A07-4032-435E-AEAE-FB6FC4CF9B09}" name="09/04/2026" dataDxfId="34"/>
    <tableColumn id="14" xr3:uid="{EBA6D0CE-9A34-44B7-8A08-BFCE215C59F8}" name="10/04/2026" dataDxfId="33"/>
    <tableColumn id="15" xr3:uid="{491054AD-763D-4360-B3B6-E1C058AD55F3}" name="11/04/2026" dataDxfId="32"/>
    <tableColumn id="16" xr3:uid="{70112A45-A3F2-4603-A8CA-4CE787D4A5D9}" name="12/04/2026" dataDxfId="31"/>
    <tableColumn id="17" xr3:uid="{5865D626-2321-49E3-92F7-A2890DF98A05}" name="14/04/2026" dataDxfId="30"/>
    <tableColumn id="18" xr3:uid="{B9BBB73C-6B51-409B-8724-F28A7E5B3A1A}" name="15/04/2026" dataDxfId="29"/>
    <tableColumn id="19" xr3:uid="{5D1FEEDC-6358-434D-B497-D2CA8AF1DDEB}" name="16/04/2026" dataDxfId="28"/>
    <tableColumn id="20" xr3:uid="{919D6044-75AA-45C7-89C6-A16ADAF76AA3}" name="17/04/2026" dataDxfId="27"/>
    <tableColumn id="21" xr3:uid="{D9AEBB56-832F-4B23-9483-C4F475225179}" name="18/04/2026" dataDxfId="26"/>
    <tableColumn id="9" xr3:uid="{F77FF593-DA33-4CFF-9647-5A3A9E943767}" name="19/04/2026" dataDxfId="25"/>
    <tableColumn id="22" xr3:uid="{7A6DFDF1-7E5E-476E-AF38-DA84D71EAC77}" name="21/04/2026" dataDxfId="24"/>
    <tableColumn id="23" xr3:uid="{B4BB3EF3-AD4C-40EE-A7C9-B9930501F485}" name="22/04/2026" dataDxfId="23"/>
    <tableColumn id="24" xr3:uid="{D042DC67-6A7B-4DDC-9E25-D0117F1D9464}" name="23/04/2026" dataDxfId="22"/>
    <tableColumn id="25" xr3:uid="{82A83B72-5C7C-49BB-A353-0F797240486A}" name="24/04/2026" dataDxfId="21"/>
    <tableColumn id="26" xr3:uid="{F476DBEE-A3FA-4C39-B3B8-4EA48A5B2393}" name="25/04/2026" dataDxfId="20"/>
    <tableColumn id="10" xr3:uid="{54FC1E0F-CB9B-43CA-B769-5CE297A0F439}" name="26/04/2026" dataDxfId="19"/>
    <tableColumn id="29" xr3:uid="{78FBFFFA-7A61-479D-A414-C0399F4D5578}" name="28/04/2026" dataDxfId="18"/>
    <tableColumn id="31" xr3:uid="{B3118DE7-CAE2-4CDC-81F9-40CA2EFB74CF}" name="29/04/2026" dataDxfId="17"/>
    <tableColumn id="28" xr3:uid="{4DB30E49-90B2-42F1-B207-14E760F34701}" name="30/04/2026" dataDxfId="16"/>
    <tableColumn id="32" xr3:uid="{19192DBD-EBCC-45D5-861F-3BBDE47A2099}" name="Columna28" dataDxfId="15"/>
    <tableColumn id="30" xr3:uid="{80979154-2FC6-4B49-8300-7214F5C52811}" name="TOTAL" dataDxfId="14">
      <calculatedColumnFormula>SUM(Tabla243[[#This Row],[01/04/2026]:[Columna28]])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EBEA-3D4D-439D-BC5A-B8E0CF602CFC}">
  <sheetPr>
    <tabColor rgb="FF7030A0"/>
    <pageSetUpPr fitToPage="1"/>
  </sheetPr>
  <dimension ref="B2:W105"/>
  <sheetViews>
    <sheetView tabSelected="1" topLeftCell="B1" workbookViewId="0">
      <selection activeCell="K90" sqref="K90"/>
    </sheetView>
  </sheetViews>
  <sheetFormatPr baseColWidth="10" defaultColWidth="11.42578125" defaultRowHeight="15"/>
  <cols>
    <col min="1" max="1" width="4.85546875" style="135" customWidth="1"/>
    <col min="2" max="2" width="11.42578125" style="132"/>
    <col min="3" max="3" width="27.42578125" style="133" customWidth="1"/>
    <col min="4" max="4" width="13.42578125" style="134" customWidth="1"/>
    <col min="5" max="5" width="11.42578125" style="134"/>
    <col min="6" max="6" width="13.140625" style="164" customWidth="1"/>
    <col min="7" max="9" width="11.42578125" style="135"/>
    <col min="10" max="10" width="12.5703125" style="135" customWidth="1"/>
    <col min="11" max="11" width="13.42578125" style="135" customWidth="1"/>
    <col min="12" max="13" width="11.42578125" style="135" customWidth="1"/>
    <col min="14" max="14" width="4.140625" style="135" customWidth="1"/>
    <col min="15" max="15" width="13.7109375" style="136" customWidth="1"/>
    <col min="16" max="16" width="15.5703125" style="136" customWidth="1"/>
    <col min="17" max="17" width="16.5703125" style="136" customWidth="1"/>
    <col min="18" max="18" width="12.85546875" style="136" customWidth="1"/>
    <col min="19" max="19" width="18" style="136" customWidth="1"/>
    <col min="20" max="20" width="14.28515625" style="136" customWidth="1"/>
    <col min="21" max="21" width="18.42578125" style="136" customWidth="1"/>
    <col min="22" max="23" width="11.42578125" style="135" customWidth="1"/>
    <col min="24" max="24" width="10" style="135" bestFit="1" customWidth="1"/>
    <col min="25" max="16384" width="11.42578125" style="135"/>
  </cols>
  <sheetData>
    <row r="2" spans="2:23">
      <c r="E2" s="180"/>
      <c r="F2" s="180"/>
      <c r="G2" s="180"/>
    </row>
    <row r="3" spans="2:23" ht="15" customHeight="1">
      <c r="B3" s="181" t="s">
        <v>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</row>
    <row r="4" spans="2:23" ht="15" customHeight="1">
      <c r="B4" s="182" t="s">
        <v>1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</row>
    <row r="5" spans="2:23" ht="15" customHeight="1">
      <c r="B5" s="182" t="s">
        <v>314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</row>
    <row r="6" spans="2:23" ht="15" customHeight="1">
      <c r="B6" s="138"/>
      <c r="C6" s="137"/>
      <c r="D6" s="139"/>
      <c r="E6" s="139"/>
      <c r="F6" s="140"/>
      <c r="P6" s="183" t="s">
        <v>332</v>
      </c>
      <c r="Q6" s="184"/>
      <c r="R6" s="184"/>
    </row>
    <row r="7" spans="2:23" ht="15" customHeight="1">
      <c r="B7" s="138"/>
      <c r="C7" s="137"/>
      <c r="D7" s="139"/>
      <c r="E7" s="139"/>
      <c r="F7" s="140"/>
    </row>
    <row r="8" spans="2:23" s="141" customFormat="1" ht="15.75">
      <c r="C8" s="142"/>
      <c r="D8" s="143"/>
      <c r="E8" s="143"/>
      <c r="F8" s="142"/>
      <c r="G8" s="132"/>
      <c r="H8" s="132"/>
      <c r="I8" s="132"/>
      <c r="J8" s="132"/>
      <c r="K8" s="132"/>
      <c r="L8" s="132"/>
      <c r="M8" s="132"/>
    </row>
    <row r="9" spans="2:23" s="147" customFormat="1" ht="38.25">
      <c r="B9" s="144" t="s">
        <v>4</v>
      </c>
      <c r="C9" s="145" t="s">
        <v>5</v>
      </c>
      <c r="D9" s="146" t="s">
        <v>315</v>
      </c>
      <c r="E9" s="146" t="s">
        <v>333</v>
      </c>
      <c r="F9" s="145" t="s">
        <v>6</v>
      </c>
      <c r="G9" s="145" t="s">
        <v>7</v>
      </c>
      <c r="H9" s="145" t="s">
        <v>8</v>
      </c>
      <c r="I9" s="145" t="s">
        <v>9</v>
      </c>
      <c r="J9" s="145" t="s">
        <v>10</v>
      </c>
      <c r="K9" s="145" t="s">
        <v>11</v>
      </c>
      <c r="L9" s="145" t="s">
        <v>316</v>
      </c>
      <c r="M9" s="145" t="s">
        <v>13</v>
      </c>
      <c r="O9" s="145" t="s">
        <v>6</v>
      </c>
      <c r="P9" s="145" t="s">
        <v>317</v>
      </c>
      <c r="Q9" s="145" t="s">
        <v>318</v>
      </c>
      <c r="R9" s="145" t="s">
        <v>319</v>
      </c>
      <c r="S9" s="145" t="s">
        <v>320</v>
      </c>
      <c r="T9" s="145" t="s">
        <v>321</v>
      </c>
      <c r="U9" s="145" t="s">
        <v>183</v>
      </c>
    </row>
    <row r="10" spans="2:23" s="152" customFormat="1">
      <c r="B10" s="148" t="s">
        <v>14</v>
      </c>
      <c r="C10" s="149" t="s">
        <v>15</v>
      </c>
      <c r="D10" s="150">
        <v>65</v>
      </c>
      <c r="E10" s="150">
        <v>65</v>
      </c>
      <c r="F10" s="151">
        <v>69</v>
      </c>
      <c r="G10" s="206">
        <v>0</v>
      </c>
      <c r="H10" s="206">
        <v>0</v>
      </c>
      <c r="I10" s="206">
        <v>21</v>
      </c>
      <c r="J10" s="206">
        <v>0</v>
      </c>
      <c r="K10" s="206">
        <f t="shared" ref="K10:K41" si="0">F10+G10+H10-I10-J10</f>
        <v>48</v>
      </c>
      <c r="L10" s="206">
        <v>48</v>
      </c>
      <c r="M10" s="206">
        <f t="shared" ref="M10:M41" si="1">L10-K10</f>
        <v>0</v>
      </c>
      <c r="O10" s="153">
        <f t="shared" ref="O10:O41" si="2">F10*D10</f>
        <v>4485</v>
      </c>
      <c r="P10" s="153">
        <v>0</v>
      </c>
      <c r="Q10" s="153">
        <f t="shared" ref="Q10:Q41" si="3">G10*E10</f>
        <v>0</v>
      </c>
      <c r="R10" s="153">
        <f t="shared" ref="R10:R41" si="4">H10*E10</f>
        <v>0</v>
      </c>
      <c r="S10" s="153">
        <f t="shared" ref="S10:S41" si="5">I10*E10</f>
        <v>1365</v>
      </c>
      <c r="T10" s="153">
        <f t="shared" ref="T10:T41" si="6">J10*E10</f>
        <v>0</v>
      </c>
      <c r="U10" s="153">
        <f t="shared" ref="U10:U41" si="7">+O10+P10+Q10+R10-S10-T10</f>
        <v>3120</v>
      </c>
      <c r="V10" s="154">
        <f t="shared" ref="V10:V41" si="8">K10*E10</f>
        <v>3120</v>
      </c>
      <c r="W10" s="154">
        <f t="shared" ref="W10:W41" si="9">V10-U10</f>
        <v>0</v>
      </c>
    </row>
    <row r="11" spans="2:23" s="152" customFormat="1">
      <c r="B11" s="148" t="s">
        <v>16</v>
      </c>
      <c r="C11" s="149" t="s">
        <v>17</v>
      </c>
      <c r="D11" s="150">
        <v>15</v>
      </c>
      <c r="E11" s="150">
        <v>15</v>
      </c>
      <c r="F11" s="151">
        <v>163</v>
      </c>
      <c r="G11" s="206">
        <v>0</v>
      </c>
      <c r="H11" s="206">
        <v>0</v>
      </c>
      <c r="I11" s="206">
        <v>54</v>
      </c>
      <c r="J11" s="206">
        <v>0</v>
      </c>
      <c r="K11" s="206">
        <f t="shared" si="0"/>
        <v>109</v>
      </c>
      <c r="L11" s="206">
        <v>109</v>
      </c>
      <c r="M11" s="206">
        <f t="shared" si="1"/>
        <v>0</v>
      </c>
      <c r="O11" s="155">
        <f t="shared" si="2"/>
        <v>2445</v>
      </c>
      <c r="P11" s="153">
        <v>0</v>
      </c>
      <c r="Q11" s="153">
        <f t="shared" si="3"/>
        <v>0</v>
      </c>
      <c r="R11" s="153">
        <f t="shared" si="4"/>
        <v>0</v>
      </c>
      <c r="S11" s="153">
        <f t="shared" si="5"/>
        <v>810</v>
      </c>
      <c r="T11" s="153">
        <f t="shared" si="6"/>
        <v>0</v>
      </c>
      <c r="U11" s="153">
        <f t="shared" si="7"/>
        <v>1635</v>
      </c>
      <c r="V11" s="154">
        <f t="shared" si="8"/>
        <v>1635</v>
      </c>
      <c r="W11" s="154">
        <f t="shared" si="9"/>
        <v>0</v>
      </c>
    </row>
    <row r="12" spans="2:23" s="152" customFormat="1">
      <c r="B12" s="148" t="s">
        <v>18</v>
      </c>
      <c r="C12" s="149" t="s">
        <v>19</v>
      </c>
      <c r="D12" s="150">
        <v>3.19</v>
      </c>
      <c r="E12" s="150">
        <v>3.19</v>
      </c>
      <c r="F12" s="151">
        <v>0</v>
      </c>
      <c r="G12" s="206">
        <v>0</v>
      </c>
      <c r="H12" s="206">
        <v>0</v>
      </c>
      <c r="I12" s="206">
        <v>0</v>
      </c>
      <c r="J12" s="206">
        <v>0</v>
      </c>
      <c r="K12" s="206">
        <f t="shared" si="0"/>
        <v>0</v>
      </c>
      <c r="L12" s="206">
        <v>0</v>
      </c>
      <c r="M12" s="206">
        <f t="shared" si="1"/>
        <v>0</v>
      </c>
      <c r="O12" s="155">
        <f t="shared" si="2"/>
        <v>0</v>
      </c>
      <c r="P12" s="153">
        <v>0</v>
      </c>
      <c r="Q12" s="153">
        <f t="shared" si="3"/>
        <v>0</v>
      </c>
      <c r="R12" s="153">
        <f t="shared" si="4"/>
        <v>0</v>
      </c>
      <c r="S12" s="153">
        <f t="shared" si="5"/>
        <v>0</v>
      </c>
      <c r="T12" s="153">
        <f t="shared" si="6"/>
        <v>0</v>
      </c>
      <c r="U12" s="153">
        <f t="shared" si="7"/>
        <v>0</v>
      </c>
      <c r="V12" s="154">
        <f t="shared" si="8"/>
        <v>0</v>
      </c>
      <c r="W12" s="154">
        <f t="shared" si="9"/>
        <v>0</v>
      </c>
    </row>
    <row r="13" spans="2:23" s="152" customFormat="1">
      <c r="B13" s="148" t="s">
        <v>20</v>
      </c>
      <c r="C13" s="149" t="s">
        <v>21</v>
      </c>
      <c r="D13" s="150">
        <v>80</v>
      </c>
      <c r="E13" s="150">
        <v>80</v>
      </c>
      <c r="F13" s="151">
        <v>0</v>
      </c>
      <c r="G13" s="206">
        <v>0</v>
      </c>
      <c r="H13" s="206">
        <v>0</v>
      </c>
      <c r="I13" s="206">
        <v>0</v>
      </c>
      <c r="J13" s="206">
        <v>0</v>
      </c>
      <c r="K13" s="206">
        <f t="shared" si="0"/>
        <v>0</v>
      </c>
      <c r="L13" s="206">
        <v>0</v>
      </c>
      <c r="M13" s="206">
        <f t="shared" si="1"/>
        <v>0</v>
      </c>
      <c r="O13" s="155">
        <f t="shared" si="2"/>
        <v>0</v>
      </c>
      <c r="P13" s="153">
        <v>0</v>
      </c>
      <c r="Q13" s="153">
        <f t="shared" si="3"/>
        <v>0</v>
      </c>
      <c r="R13" s="153">
        <f t="shared" si="4"/>
        <v>0</v>
      </c>
      <c r="S13" s="153">
        <f t="shared" si="5"/>
        <v>0</v>
      </c>
      <c r="T13" s="153">
        <f t="shared" si="6"/>
        <v>0</v>
      </c>
      <c r="U13" s="153">
        <f t="shared" si="7"/>
        <v>0</v>
      </c>
      <c r="V13" s="154">
        <f t="shared" si="8"/>
        <v>0</v>
      </c>
      <c r="W13" s="154">
        <f t="shared" si="9"/>
        <v>0</v>
      </c>
    </row>
    <row r="14" spans="2:23" s="152" customFormat="1">
      <c r="B14" s="148" t="s">
        <v>22</v>
      </c>
      <c r="C14" s="149" t="s">
        <v>23</v>
      </c>
      <c r="D14" s="150">
        <v>77</v>
      </c>
      <c r="E14" s="150">
        <v>77</v>
      </c>
      <c r="F14" s="151">
        <v>9</v>
      </c>
      <c r="G14" s="206">
        <v>0</v>
      </c>
      <c r="H14" s="206">
        <v>0</v>
      </c>
      <c r="I14" s="206">
        <v>2</v>
      </c>
      <c r="J14" s="206">
        <v>0</v>
      </c>
      <c r="K14" s="206">
        <f t="shared" si="0"/>
        <v>7</v>
      </c>
      <c r="L14" s="206">
        <v>7</v>
      </c>
      <c r="M14" s="206">
        <f t="shared" si="1"/>
        <v>0</v>
      </c>
      <c r="O14" s="155">
        <f t="shared" si="2"/>
        <v>693</v>
      </c>
      <c r="P14" s="153">
        <v>0</v>
      </c>
      <c r="Q14" s="153">
        <f t="shared" si="3"/>
        <v>0</v>
      </c>
      <c r="R14" s="153">
        <f t="shared" si="4"/>
        <v>0</v>
      </c>
      <c r="S14" s="153">
        <f t="shared" si="5"/>
        <v>154</v>
      </c>
      <c r="T14" s="153">
        <f t="shared" si="6"/>
        <v>0</v>
      </c>
      <c r="U14" s="153">
        <f t="shared" si="7"/>
        <v>539</v>
      </c>
      <c r="V14" s="154">
        <f t="shared" si="8"/>
        <v>539</v>
      </c>
      <c r="W14" s="154">
        <f t="shared" si="9"/>
        <v>0</v>
      </c>
    </row>
    <row r="15" spans="2:23" s="152" customFormat="1">
      <c r="B15" s="148" t="s">
        <v>24</v>
      </c>
      <c r="C15" s="149" t="s">
        <v>25</v>
      </c>
      <c r="D15" s="150">
        <v>195</v>
      </c>
      <c r="E15" s="150">
        <v>195</v>
      </c>
      <c r="F15" s="151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f t="shared" si="0"/>
        <v>0</v>
      </c>
      <c r="L15" s="206">
        <v>0</v>
      </c>
      <c r="M15" s="206">
        <f t="shared" si="1"/>
        <v>0</v>
      </c>
      <c r="O15" s="155">
        <f t="shared" si="2"/>
        <v>0</v>
      </c>
      <c r="P15" s="153">
        <v>0</v>
      </c>
      <c r="Q15" s="153">
        <f t="shared" si="3"/>
        <v>0</v>
      </c>
      <c r="R15" s="153">
        <f t="shared" si="4"/>
        <v>0</v>
      </c>
      <c r="S15" s="153">
        <f t="shared" si="5"/>
        <v>0</v>
      </c>
      <c r="T15" s="153">
        <f t="shared" si="6"/>
        <v>0</v>
      </c>
      <c r="U15" s="153">
        <f t="shared" si="7"/>
        <v>0</v>
      </c>
      <c r="V15" s="154">
        <f t="shared" si="8"/>
        <v>0</v>
      </c>
      <c r="W15" s="154">
        <f t="shared" si="9"/>
        <v>0</v>
      </c>
    </row>
    <row r="16" spans="2:23" s="152" customFormat="1">
      <c r="B16" s="148" t="s">
        <v>26</v>
      </c>
      <c r="C16" s="149" t="s">
        <v>27</v>
      </c>
      <c r="D16" s="150">
        <v>54</v>
      </c>
      <c r="E16" s="150">
        <v>54</v>
      </c>
      <c r="F16" s="151">
        <v>96</v>
      </c>
      <c r="G16" s="206">
        <v>0</v>
      </c>
      <c r="H16" s="206">
        <v>0</v>
      </c>
      <c r="I16" s="206">
        <v>32</v>
      </c>
      <c r="J16" s="206">
        <v>0</v>
      </c>
      <c r="K16" s="206">
        <f t="shared" si="0"/>
        <v>64</v>
      </c>
      <c r="L16" s="206">
        <v>64</v>
      </c>
      <c r="M16" s="206">
        <f t="shared" si="1"/>
        <v>0</v>
      </c>
      <c r="O16" s="155">
        <f t="shared" si="2"/>
        <v>5184</v>
      </c>
      <c r="P16" s="153">
        <v>0</v>
      </c>
      <c r="Q16" s="153">
        <f t="shared" si="3"/>
        <v>0</v>
      </c>
      <c r="R16" s="153">
        <f t="shared" si="4"/>
        <v>0</v>
      </c>
      <c r="S16" s="153">
        <f t="shared" si="5"/>
        <v>1728</v>
      </c>
      <c r="T16" s="153">
        <f t="shared" si="6"/>
        <v>0</v>
      </c>
      <c r="U16" s="153">
        <f t="shared" si="7"/>
        <v>3456</v>
      </c>
      <c r="V16" s="154">
        <f t="shared" si="8"/>
        <v>3456</v>
      </c>
      <c r="W16" s="154">
        <f t="shared" si="9"/>
        <v>0</v>
      </c>
    </row>
    <row r="17" spans="2:23" s="152" customFormat="1">
      <c r="B17" s="148" t="s">
        <v>28</v>
      </c>
      <c r="C17" s="149" t="s">
        <v>29</v>
      </c>
      <c r="D17" s="150">
        <v>130.5</v>
      </c>
      <c r="E17" s="150">
        <v>130.5</v>
      </c>
      <c r="F17" s="151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f t="shared" si="0"/>
        <v>0</v>
      </c>
      <c r="L17" s="206">
        <v>0</v>
      </c>
      <c r="M17" s="206">
        <f t="shared" si="1"/>
        <v>0</v>
      </c>
      <c r="O17" s="155">
        <f t="shared" si="2"/>
        <v>0</v>
      </c>
      <c r="P17" s="153">
        <v>0</v>
      </c>
      <c r="Q17" s="153">
        <f t="shared" si="3"/>
        <v>0</v>
      </c>
      <c r="R17" s="153">
        <f t="shared" si="4"/>
        <v>0</v>
      </c>
      <c r="S17" s="153">
        <f t="shared" si="5"/>
        <v>0</v>
      </c>
      <c r="T17" s="153">
        <f t="shared" si="6"/>
        <v>0</v>
      </c>
      <c r="U17" s="153">
        <f t="shared" si="7"/>
        <v>0</v>
      </c>
      <c r="V17" s="154">
        <f t="shared" si="8"/>
        <v>0</v>
      </c>
      <c r="W17" s="154">
        <f t="shared" si="9"/>
        <v>0</v>
      </c>
    </row>
    <row r="18" spans="2:23" s="152" customFormat="1">
      <c r="B18" s="148" t="s">
        <v>30</v>
      </c>
      <c r="C18" s="156" t="s">
        <v>31</v>
      </c>
      <c r="D18" s="150">
        <v>31</v>
      </c>
      <c r="E18" s="150">
        <v>31</v>
      </c>
      <c r="F18" s="151">
        <v>90</v>
      </c>
      <c r="G18" s="206">
        <v>0</v>
      </c>
      <c r="H18" s="206">
        <v>0</v>
      </c>
      <c r="I18" s="206">
        <v>7</v>
      </c>
      <c r="J18" s="206">
        <v>0</v>
      </c>
      <c r="K18" s="206">
        <f t="shared" si="0"/>
        <v>83</v>
      </c>
      <c r="L18" s="206">
        <v>83</v>
      </c>
      <c r="M18" s="206">
        <f t="shared" si="1"/>
        <v>0</v>
      </c>
      <c r="O18" s="155">
        <f t="shared" si="2"/>
        <v>2790</v>
      </c>
      <c r="P18" s="153">
        <v>0</v>
      </c>
      <c r="Q18" s="153">
        <f t="shared" si="3"/>
        <v>0</v>
      </c>
      <c r="R18" s="153">
        <f t="shared" si="4"/>
        <v>0</v>
      </c>
      <c r="S18" s="153">
        <f t="shared" si="5"/>
        <v>217</v>
      </c>
      <c r="T18" s="153">
        <f t="shared" si="6"/>
        <v>0</v>
      </c>
      <c r="U18" s="153">
        <f t="shared" si="7"/>
        <v>2573</v>
      </c>
      <c r="V18" s="154">
        <f t="shared" si="8"/>
        <v>2573</v>
      </c>
      <c r="W18" s="154">
        <f t="shared" si="9"/>
        <v>0</v>
      </c>
    </row>
    <row r="19" spans="2:23" s="152" customFormat="1">
      <c r="B19" s="148" t="s">
        <v>32</v>
      </c>
      <c r="C19" s="149" t="s">
        <v>33</v>
      </c>
      <c r="D19" s="150">
        <v>127.84</v>
      </c>
      <c r="E19" s="150">
        <v>127.84</v>
      </c>
      <c r="F19" s="151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f t="shared" si="0"/>
        <v>0</v>
      </c>
      <c r="L19" s="206">
        <v>0</v>
      </c>
      <c r="M19" s="206">
        <f t="shared" si="1"/>
        <v>0</v>
      </c>
      <c r="O19" s="155">
        <f t="shared" si="2"/>
        <v>0</v>
      </c>
      <c r="P19" s="153">
        <v>0</v>
      </c>
      <c r="Q19" s="153">
        <f t="shared" si="3"/>
        <v>0</v>
      </c>
      <c r="R19" s="153">
        <f t="shared" si="4"/>
        <v>0</v>
      </c>
      <c r="S19" s="153">
        <f t="shared" si="5"/>
        <v>0</v>
      </c>
      <c r="T19" s="153">
        <f t="shared" si="6"/>
        <v>0</v>
      </c>
      <c r="U19" s="153">
        <f t="shared" si="7"/>
        <v>0</v>
      </c>
      <c r="V19" s="154">
        <f t="shared" si="8"/>
        <v>0</v>
      </c>
      <c r="W19" s="154">
        <f t="shared" si="9"/>
        <v>0</v>
      </c>
    </row>
    <row r="20" spans="2:23" s="152" customFormat="1">
      <c r="B20" s="148" t="s">
        <v>34</v>
      </c>
      <c r="C20" s="156" t="s">
        <v>35</v>
      </c>
      <c r="D20" s="150">
        <v>127.84</v>
      </c>
      <c r="E20" s="150">
        <v>127.84</v>
      </c>
      <c r="F20" s="151">
        <v>0</v>
      </c>
      <c r="G20" s="206">
        <v>0</v>
      </c>
      <c r="H20" s="206">
        <v>0</v>
      </c>
      <c r="I20" s="206">
        <v>0</v>
      </c>
      <c r="J20" s="206">
        <v>0</v>
      </c>
      <c r="K20" s="206">
        <f t="shared" si="0"/>
        <v>0</v>
      </c>
      <c r="L20" s="206">
        <v>0</v>
      </c>
      <c r="M20" s="206">
        <f t="shared" si="1"/>
        <v>0</v>
      </c>
      <c r="O20" s="155">
        <f t="shared" si="2"/>
        <v>0</v>
      </c>
      <c r="P20" s="153">
        <v>0</v>
      </c>
      <c r="Q20" s="153">
        <f t="shared" si="3"/>
        <v>0</v>
      </c>
      <c r="R20" s="153">
        <f t="shared" si="4"/>
        <v>0</v>
      </c>
      <c r="S20" s="153">
        <f t="shared" si="5"/>
        <v>0</v>
      </c>
      <c r="T20" s="153">
        <f t="shared" si="6"/>
        <v>0</v>
      </c>
      <c r="U20" s="153">
        <f t="shared" si="7"/>
        <v>0</v>
      </c>
      <c r="V20" s="154">
        <f t="shared" si="8"/>
        <v>0</v>
      </c>
      <c r="W20" s="154">
        <f t="shared" si="9"/>
        <v>0</v>
      </c>
    </row>
    <row r="21" spans="2:23" s="152" customFormat="1">
      <c r="B21" s="148" t="s">
        <v>36</v>
      </c>
      <c r="C21" s="156" t="s">
        <v>37</v>
      </c>
      <c r="D21" s="150">
        <v>150</v>
      </c>
      <c r="E21" s="150">
        <v>150</v>
      </c>
      <c r="F21" s="151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f t="shared" si="0"/>
        <v>0</v>
      </c>
      <c r="L21" s="206">
        <v>0</v>
      </c>
      <c r="M21" s="206">
        <f t="shared" si="1"/>
        <v>0</v>
      </c>
      <c r="O21" s="155">
        <f t="shared" si="2"/>
        <v>0</v>
      </c>
      <c r="P21" s="153">
        <v>0</v>
      </c>
      <c r="Q21" s="153">
        <f t="shared" si="3"/>
        <v>0</v>
      </c>
      <c r="R21" s="153">
        <f t="shared" si="4"/>
        <v>0</v>
      </c>
      <c r="S21" s="153">
        <f t="shared" si="5"/>
        <v>0</v>
      </c>
      <c r="T21" s="153">
        <f t="shared" si="6"/>
        <v>0</v>
      </c>
      <c r="U21" s="153">
        <f t="shared" si="7"/>
        <v>0</v>
      </c>
      <c r="V21" s="154">
        <f t="shared" si="8"/>
        <v>0</v>
      </c>
      <c r="W21" s="154">
        <f t="shared" si="9"/>
        <v>0</v>
      </c>
    </row>
    <row r="22" spans="2:23" s="152" customFormat="1">
      <c r="B22" s="148" t="s">
        <v>38</v>
      </c>
      <c r="C22" s="149" t="s">
        <v>39</v>
      </c>
      <c r="D22" s="150">
        <v>15</v>
      </c>
      <c r="E22" s="150">
        <v>15</v>
      </c>
      <c r="F22" s="151">
        <v>232</v>
      </c>
      <c r="G22" s="206">
        <v>0</v>
      </c>
      <c r="H22" s="206">
        <v>0</v>
      </c>
      <c r="I22" s="206">
        <v>25</v>
      </c>
      <c r="J22" s="206">
        <v>0</v>
      </c>
      <c r="K22" s="206">
        <f t="shared" si="0"/>
        <v>207</v>
      </c>
      <c r="L22" s="206">
        <v>207</v>
      </c>
      <c r="M22" s="206">
        <f t="shared" si="1"/>
        <v>0</v>
      </c>
      <c r="O22" s="155">
        <f t="shared" si="2"/>
        <v>3480</v>
      </c>
      <c r="P22" s="153">
        <v>0</v>
      </c>
      <c r="Q22" s="153">
        <f t="shared" si="3"/>
        <v>0</v>
      </c>
      <c r="R22" s="153">
        <f t="shared" si="4"/>
        <v>0</v>
      </c>
      <c r="S22" s="153">
        <f t="shared" si="5"/>
        <v>375</v>
      </c>
      <c r="T22" s="153">
        <f t="shared" si="6"/>
        <v>0</v>
      </c>
      <c r="U22" s="153">
        <f t="shared" si="7"/>
        <v>3105</v>
      </c>
      <c r="V22" s="154">
        <f t="shared" si="8"/>
        <v>3105</v>
      </c>
      <c r="W22" s="154">
        <f t="shared" si="9"/>
        <v>0</v>
      </c>
    </row>
    <row r="23" spans="2:23" s="152" customFormat="1">
      <c r="B23" s="148" t="s">
        <v>40</v>
      </c>
      <c r="C23" s="149" t="s">
        <v>41</v>
      </c>
      <c r="D23" s="150">
        <v>124.13</v>
      </c>
      <c r="E23" s="150">
        <v>124.13</v>
      </c>
      <c r="F23" s="151">
        <v>15</v>
      </c>
      <c r="G23" s="206">
        <v>0</v>
      </c>
      <c r="H23" s="206">
        <v>0</v>
      </c>
      <c r="I23" s="206">
        <v>1</v>
      </c>
      <c r="J23" s="206">
        <v>0</v>
      </c>
      <c r="K23" s="206">
        <f t="shared" si="0"/>
        <v>14</v>
      </c>
      <c r="L23" s="206">
        <v>14</v>
      </c>
      <c r="M23" s="206">
        <f t="shared" si="1"/>
        <v>0</v>
      </c>
      <c r="O23" s="155">
        <f t="shared" si="2"/>
        <v>1861.9499999999998</v>
      </c>
      <c r="P23" s="153">
        <v>0</v>
      </c>
      <c r="Q23" s="153">
        <f t="shared" si="3"/>
        <v>0</v>
      </c>
      <c r="R23" s="153">
        <f t="shared" si="4"/>
        <v>0</v>
      </c>
      <c r="S23" s="153">
        <f t="shared" si="5"/>
        <v>124.13</v>
      </c>
      <c r="T23" s="153">
        <f t="shared" si="6"/>
        <v>0</v>
      </c>
      <c r="U23" s="153">
        <f t="shared" si="7"/>
        <v>1737.8199999999997</v>
      </c>
      <c r="V23" s="154">
        <f t="shared" si="8"/>
        <v>1737.82</v>
      </c>
      <c r="W23" s="154">
        <f t="shared" si="9"/>
        <v>0</v>
      </c>
    </row>
    <row r="24" spans="2:23" s="152" customFormat="1">
      <c r="B24" s="148" t="s">
        <v>42</v>
      </c>
      <c r="C24" s="149" t="s">
        <v>43</v>
      </c>
      <c r="D24" s="150">
        <v>110</v>
      </c>
      <c r="E24" s="150">
        <v>110</v>
      </c>
      <c r="F24" s="151">
        <v>14</v>
      </c>
      <c r="G24" s="206">
        <v>0</v>
      </c>
      <c r="H24" s="206">
        <v>0</v>
      </c>
      <c r="I24" s="206">
        <v>14</v>
      </c>
      <c r="J24" s="206">
        <v>0</v>
      </c>
      <c r="K24" s="206">
        <f t="shared" si="0"/>
        <v>0</v>
      </c>
      <c r="L24" s="206">
        <v>0</v>
      </c>
      <c r="M24" s="206">
        <f t="shared" si="1"/>
        <v>0</v>
      </c>
      <c r="O24" s="155">
        <f t="shared" si="2"/>
        <v>1540</v>
      </c>
      <c r="P24" s="153">
        <v>0</v>
      </c>
      <c r="Q24" s="153">
        <f t="shared" si="3"/>
        <v>0</v>
      </c>
      <c r="R24" s="153">
        <f t="shared" si="4"/>
        <v>0</v>
      </c>
      <c r="S24" s="153">
        <f t="shared" si="5"/>
        <v>1540</v>
      </c>
      <c r="T24" s="153">
        <f t="shared" si="6"/>
        <v>0</v>
      </c>
      <c r="U24" s="153">
        <f t="shared" si="7"/>
        <v>0</v>
      </c>
      <c r="V24" s="154">
        <f t="shared" si="8"/>
        <v>0</v>
      </c>
      <c r="W24" s="154">
        <f t="shared" si="9"/>
        <v>0</v>
      </c>
    </row>
    <row r="25" spans="2:23" s="152" customFormat="1">
      <c r="B25" s="148" t="s">
        <v>44</v>
      </c>
      <c r="C25" s="149" t="s">
        <v>45</v>
      </c>
      <c r="D25" s="150">
        <v>104.4</v>
      </c>
      <c r="E25" s="150">
        <v>104.4</v>
      </c>
      <c r="F25" s="151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f t="shared" si="0"/>
        <v>0</v>
      </c>
      <c r="L25" s="206">
        <v>0</v>
      </c>
      <c r="M25" s="206">
        <f t="shared" si="1"/>
        <v>0</v>
      </c>
      <c r="O25" s="155">
        <f t="shared" si="2"/>
        <v>0</v>
      </c>
      <c r="P25" s="153">
        <v>0</v>
      </c>
      <c r="Q25" s="153">
        <f t="shared" si="3"/>
        <v>0</v>
      </c>
      <c r="R25" s="153">
        <f t="shared" si="4"/>
        <v>0</v>
      </c>
      <c r="S25" s="153">
        <f t="shared" si="5"/>
        <v>0</v>
      </c>
      <c r="T25" s="153">
        <f t="shared" si="6"/>
        <v>0</v>
      </c>
      <c r="U25" s="153">
        <f t="shared" si="7"/>
        <v>0</v>
      </c>
      <c r="V25" s="154">
        <f t="shared" si="8"/>
        <v>0</v>
      </c>
      <c r="W25" s="154">
        <f t="shared" si="9"/>
        <v>0</v>
      </c>
    </row>
    <row r="26" spans="2:23" s="152" customFormat="1">
      <c r="B26" s="148" t="s">
        <v>46</v>
      </c>
      <c r="C26" s="149" t="s">
        <v>47</v>
      </c>
      <c r="D26" s="150">
        <v>85.26</v>
      </c>
      <c r="E26" s="150">
        <v>85.26</v>
      </c>
      <c r="F26" s="151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f t="shared" si="0"/>
        <v>0</v>
      </c>
      <c r="L26" s="206">
        <v>0</v>
      </c>
      <c r="M26" s="206">
        <f t="shared" si="1"/>
        <v>0</v>
      </c>
      <c r="O26" s="155">
        <f t="shared" si="2"/>
        <v>0</v>
      </c>
      <c r="P26" s="153">
        <v>0</v>
      </c>
      <c r="Q26" s="153">
        <f t="shared" si="3"/>
        <v>0</v>
      </c>
      <c r="R26" s="153">
        <f t="shared" si="4"/>
        <v>0</v>
      </c>
      <c r="S26" s="153">
        <f t="shared" si="5"/>
        <v>0</v>
      </c>
      <c r="T26" s="153">
        <f t="shared" si="6"/>
        <v>0</v>
      </c>
      <c r="U26" s="153">
        <f t="shared" si="7"/>
        <v>0</v>
      </c>
      <c r="V26" s="154">
        <f t="shared" si="8"/>
        <v>0</v>
      </c>
      <c r="W26" s="154">
        <f t="shared" si="9"/>
        <v>0</v>
      </c>
    </row>
    <row r="27" spans="2:23" s="152" customFormat="1" ht="30">
      <c r="B27" s="148" t="s">
        <v>48</v>
      </c>
      <c r="C27" s="149" t="s">
        <v>49</v>
      </c>
      <c r="D27" s="150">
        <v>98</v>
      </c>
      <c r="E27" s="150">
        <v>98</v>
      </c>
      <c r="F27" s="151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f t="shared" si="0"/>
        <v>0</v>
      </c>
      <c r="L27" s="206">
        <v>0</v>
      </c>
      <c r="M27" s="206">
        <f t="shared" si="1"/>
        <v>0</v>
      </c>
      <c r="O27" s="155">
        <f t="shared" si="2"/>
        <v>0</v>
      </c>
      <c r="P27" s="153">
        <v>0</v>
      </c>
      <c r="Q27" s="153">
        <f t="shared" si="3"/>
        <v>0</v>
      </c>
      <c r="R27" s="153">
        <f t="shared" si="4"/>
        <v>0</v>
      </c>
      <c r="S27" s="153">
        <f t="shared" si="5"/>
        <v>0</v>
      </c>
      <c r="T27" s="153">
        <f t="shared" si="6"/>
        <v>0</v>
      </c>
      <c r="U27" s="153">
        <f t="shared" si="7"/>
        <v>0</v>
      </c>
      <c r="V27" s="154">
        <f t="shared" si="8"/>
        <v>0</v>
      </c>
      <c r="W27" s="154">
        <f t="shared" si="9"/>
        <v>0</v>
      </c>
    </row>
    <row r="28" spans="2:23" s="152" customFormat="1">
      <c r="B28" s="148" t="s">
        <v>50</v>
      </c>
      <c r="C28" s="149" t="s">
        <v>51</v>
      </c>
      <c r="D28" s="150">
        <v>58.94</v>
      </c>
      <c r="E28" s="150">
        <v>58.94</v>
      </c>
      <c r="F28" s="151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f t="shared" si="0"/>
        <v>0</v>
      </c>
      <c r="L28" s="206">
        <v>0</v>
      </c>
      <c r="M28" s="206">
        <f t="shared" si="1"/>
        <v>0</v>
      </c>
      <c r="O28" s="155">
        <f t="shared" si="2"/>
        <v>0</v>
      </c>
      <c r="P28" s="153">
        <v>0</v>
      </c>
      <c r="Q28" s="153">
        <f t="shared" si="3"/>
        <v>0</v>
      </c>
      <c r="R28" s="153">
        <f t="shared" si="4"/>
        <v>0</v>
      </c>
      <c r="S28" s="153">
        <f t="shared" si="5"/>
        <v>0</v>
      </c>
      <c r="T28" s="153">
        <f t="shared" si="6"/>
        <v>0</v>
      </c>
      <c r="U28" s="153">
        <f t="shared" si="7"/>
        <v>0</v>
      </c>
      <c r="V28" s="154">
        <f t="shared" si="8"/>
        <v>0</v>
      </c>
      <c r="W28" s="154">
        <f t="shared" si="9"/>
        <v>0</v>
      </c>
    </row>
    <row r="29" spans="2:23" s="152" customFormat="1">
      <c r="B29" s="148" t="s">
        <v>52</v>
      </c>
      <c r="C29" s="149" t="s">
        <v>53</v>
      </c>
      <c r="D29" s="150">
        <v>25</v>
      </c>
      <c r="E29" s="150">
        <v>25</v>
      </c>
      <c r="F29" s="151">
        <v>144</v>
      </c>
      <c r="G29" s="206">
        <v>0</v>
      </c>
      <c r="H29" s="206">
        <v>0</v>
      </c>
      <c r="I29" s="206">
        <v>7</v>
      </c>
      <c r="J29" s="206">
        <v>0</v>
      </c>
      <c r="K29" s="206">
        <f t="shared" si="0"/>
        <v>137</v>
      </c>
      <c r="L29" s="206">
        <v>137</v>
      </c>
      <c r="M29" s="206">
        <f t="shared" si="1"/>
        <v>0</v>
      </c>
      <c r="O29" s="155">
        <f t="shared" si="2"/>
        <v>3600</v>
      </c>
      <c r="P29" s="153">
        <v>0</v>
      </c>
      <c r="Q29" s="153">
        <f t="shared" si="3"/>
        <v>0</v>
      </c>
      <c r="R29" s="153">
        <f t="shared" si="4"/>
        <v>0</v>
      </c>
      <c r="S29" s="153">
        <f t="shared" si="5"/>
        <v>175</v>
      </c>
      <c r="T29" s="153">
        <f t="shared" si="6"/>
        <v>0</v>
      </c>
      <c r="U29" s="153">
        <f t="shared" si="7"/>
        <v>3425</v>
      </c>
      <c r="V29" s="154">
        <f t="shared" si="8"/>
        <v>3425</v>
      </c>
      <c r="W29" s="154">
        <f t="shared" si="9"/>
        <v>0</v>
      </c>
    </row>
    <row r="30" spans="2:23" s="152" customFormat="1">
      <c r="B30" s="148" t="s">
        <v>54</v>
      </c>
      <c r="C30" s="149" t="s">
        <v>55</v>
      </c>
      <c r="D30" s="150">
        <v>70.56</v>
      </c>
      <c r="E30" s="150">
        <v>70.56</v>
      </c>
      <c r="F30" s="151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f t="shared" si="0"/>
        <v>0</v>
      </c>
      <c r="L30" s="206">
        <v>0</v>
      </c>
      <c r="M30" s="206">
        <f t="shared" si="1"/>
        <v>0</v>
      </c>
      <c r="O30" s="155">
        <f t="shared" si="2"/>
        <v>0</v>
      </c>
      <c r="P30" s="153">
        <v>0</v>
      </c>
      <c r="Q30" s="153">
        <f t="shared" si="3"/>
        <v>0</v>
      </c>
      <c r="R30" s="153">
        <f t="shared" si="4"/>
        <v>0</v>
      </c>
      <c r="S30" s="153">
        <f t="shared" si="5"/>
        <v>0</v>
      </c>
      <c r="T30" s="153">
        <f t="shared" si="6"/>
        <v>0</v>
      </c>
      <c r="U30" s="153">
        <f t="shared" si="7"/>
        <v>0</v>
      </c>
      <c r="V30" s="154">
        <f t="shared" si="8"/>
        <v>0</v>
      </c>
      <c r="W30" s="154">
        <f t="shared" si="9"/>
        <v>0</v>
      </c>
    </row>
    <row r="31" spans="2:23" s="152" customFormat="1">
      <c r="B31" s="148" t="s">
        <v>56</v>
      </c>
      <c r="C31" s="149" t="s">
        <v>57</v>
      </c>
      <c r="D31" s="150">
        <v>147</v>
      </c>
      <c r="E31" s="150">
        <v>147</v>
      </c>
      <c r="F31" s="151">
        <v>200</v>
      </c>
      <c r="G31" s="206">
        <v>0</v>
      </c>
      <c r="H31" s="206">
        <v>0</v>
      </c>
      <c r="I31" s="206">
        <v>3</v>
      </c>
      <c r="J31" s="206">
        <v>0</v>
      </c>
      <c r="K31" s="206">
        <f t="shared" si="0"/>
        <v>197</v>
      </c>
      <c r="L31" s="206">
        <v>197</v>
      </c>
      <c r="M31" s="206">
        <f t="shared" si="1"/>
        <v>0</v>
      </c>
      <c r="O31" s="155">
        <f t="shared" si="2"/>
        <v>29400</v>
      </c>
      <c r="P31" s="153">
        <v>0</v>
      </c>
      <c r="Q31" s="153">
        <f t="shared" si="3"/>
        <v>0</v>
      </c>
      <c r="R31" s="153">
        <f t="shared" si="4"/>
        <v>0</v>
      </c>
      <c r="S31" s="153">
        <f t="shared" si="5"/>
        <v>441</v>
      </c>
      <c r="T31" s="153">
        <f t="shared" si="6"/>
        <v>0</v>
      </c>
      <c r="U31" s="153">
        <f t="shared" si="7"/>
        <v>28959</v>
      </c>
      <c r="V31" s="154">
        <f t="shared" si="8"/>
        <v>28959</v>
      </c>
      <c r="W31" s="154">
        <f t="shared" si="9"/>
        <v>0</v>
      </c>
    </row>
    <row r="32" spans="2:23" s="152" customFormat="1">
      <c r="B32" s="148" t="s">
        <v>58</v>
      </c>
      <c r="C32" s="149" t="s">
        <v>59</v>
      </c>
      <c r="D32" s="150">
        <v>45</v>
      </c>
      <c r="E32" s="150">
        <v>45</v>
      </c>
      <c r="F32" s="151">
        <v>100</v>
      </c>
      <c r="G32" s="206">
        <v>0</v>
      </c>
      <c r="H32" s="206">
        <v>0</v>
      </c>
      <c r="I32" s="206">
        <v>0</v>
      </c>
      <c r="J32" s="206">
        <v>0</v>
      </c>
      <c r="K32" s="206">
        <f t="shared" si="0"/>
        <v>100</v>
      </c>
      <c r="L32" s="206">
        <v>100</v>
      </c>
      <c r="M32" s="206">
        <f t="shared" si="1"/>
        <v>0</v>
      </c>
      <c r="O32" s="155">
        <f t="shared" si="2"/>
        <v>4500</v>
      </c>
      <c r="P32" s="153">
        <v>0</v>
      </c>
      <c r="Q32" s="153">
        <f t="shared" si="3"/>
        <v>0</v>
      </c>
      <c r="R32" s="153">
        <f t="shared" si="4"/>
        <v>0</v>
      </c>
      <c r="S32" s="153">
        <f t="shared" si="5"/>
        <v>0</v>
      </c>
      <c r="T32" s="153">
        <f t="shared" si="6"/>
        <v>0</v>
      </c>
      <c r="U32" s="153">
        <f t="shared" si="7"/>
        <v>4500</v>
      </c>
      <c r="V32" s="154">
        <f t="shared" si="8"/>
        <v>4500</v>
      </c>
      <c r="W32" s="154">
        <f t="shared" si="9"/>
        <v>0</v>
      </c>
    </row>
    <row r="33" spans="2:23" s="152" customFormat="1">
      <c r="B33" s="148" t="s">
        <v>60</v>
      </c>
      <c r="C33" s="149" t="s">
        <v>61</v>
      </c>
      <c r="D33" s="150">
        <v>49</v>
      </c>
      <c r="E33" s="150">
        <v>49</v>
      </c>
      <c r="F33" s="151">
        <v>185</v>
      </c>
      <c r="G33" s="206">
        <v>0</v>
      </c>
      <c r="H33" s="206">
        <v>0</v>
      </c>
      <c r="I33" s="206">
        <v>2</v>
      </c>
      <c r="J33" s="206">
        <v>0</v>
      </c>
      <c r="K33" s="206">
        <f t="shared" si="0"/>
        <v>183</v>
      </c>
      <c r="L33" s="206">
        <v>183</v>
      </c>
      <c r="M33" s="206">
        <f t="shared" si="1"/>
        <v>0</v>
      </c>
      <c r="O33" s="155">
        <f t="shared" si="2"/>
        <v>9065</v>
      </c>
      <c r="P33" s="153">
        <v>0</v>
      </c>
      <c r="Q33" s="153">
        <f t="shared" si="3"/>
        <v>0</v>
      </c>
      <c r="R33" s="153">
        <f t="shared" si="4"/>
        <v>0</v>
      </c>
      <c r="S33" s="153">
        <f t="shared" si="5"/>
        <v>98</v>
      </c>
      <c r="T33" s="153">
        <f t="shared" si="6"/>
        <v>0</v>
      </c>
      <c r="U33" s="153">
        <f t="shared" si="7"/>
        <v>8967</v>
      </c>
      <c r="V33" s="154">
        <f t="shared" si="8"/>
        <v>8967</v>
      </c>
      <c r="W33" s="154">
        <f t="shared" si="9"/>
        <v>0</v>
      </c>
    </row>
    <row r="34" spans="2:23" s="152" customFormat="1">
      <c r="B34" s="148" t="s">
        <v>62</v>
      </c>
      <c r="C34" s="149" t="s">
        <v>63</v>
      </c>
      <c r="D34" s="150">
        <v>6.98</v>
      </c>
      <c r="E34" s="150">
        <v>6.98</v>
      </c>
      <c r="F34" s="151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f t="shared" si="0"/>
        <v>0</v>
      </c>
      <c r="L34" s="206">
        <v>0</v>
      </c>
      <c r="M34" s="206">
        <f t="shared" si="1"/>
        <v>0</v>
      </c>
      <c r="O34" s="155">
        <f t="shared" si="2"/>
        <v>0</v>
      </c>
      <c r="P34" s="153">
        <v>0</v>
      </c>
      <c r="Q34" s="153">
        <f t="shared" si="3"/>
        <v>0</v>
      </c>
      <c r="R34" s="153">
        <f t="shared" si="4"/>
        <v>0</v>
      </c>
      <c r="S34" s="153">
        <f t="shared" si="5"/>
        <v>0</v>
      </c>
      <c r="T34" s="153">
        <f t="shared" si="6"/>
        <v>0</v>
      </c>
      <c r="U34" s="153">
        <f t="shared" si="7"/>
        <v>0</v>
      </c>
      <c r="V34" s="154">
        <f t="shared" si="8"/>
        <v>0</v>
      </c>
      <c r="W34" s="154">
        <f t="shared" si="9"/>
        <v>0</v>
      </c>
    </row>
    <row r="35" spans="2:23" s="152" customFormat="1" ht="30">
      <c r="B35" s="148" t="s">
        <v>64</v>
      </c>
      <c r="C35" s="149" t="s">
        <v>65</v>
      </c>
      <c r="D35" s="150">
        <v>24</v>
      </c>
      <c r="E35" s="150">
        <v>24</v>
      </c>
      <c r="F35" s="151">
        <v>948</v>
      </c>
      <c r="G35" s="206">
        <v>0</v>
      </c>
      <c r="H35" s="206">
        <v>0</v>
      </c>
      <c r="I35" s="206">
        <v>120</v>
      </c>
      <c r="J35" s="206">
        <v>0</v>
      </c>
      <c r="K35" s="206">
        <f t="shared" si="0"/>
        <v>828</v>
      </c>
      <c r="L35" s="206">
        <v>828</v>
      </c>
      <c r="M35" s="206">
        <f t="shared" si="1"/>
        <v>0</v>
      </c>
      <c r="O35" s="155">
        <f t="shared" si="2"/>
        <v>22752</v>
      </c>
      <c r="P35" s="153">
        <v>0</v>
      </c>
      <c r="Q35" s="153">
        <f t="shared" si="3"/>
        <v>0</v>
      </c>
      <c r="R35" s="153">
        <f t="shared" si="4"/>
        <v>0</v>
      </c>
      <c r="S35" s="153">
        <f t="shared" si="5"/>
        <v>2880</v>
      </c>
      <c r="T35" s="153">
        <f t="shared" si="6"/>
        <v>0</v>
      </c>
      <c r="U35" s="153">
        <f t="shared" si="7"/>
        <v>19872</v>
      </c>
      <c r="V35" s="154">
        <f t="shared" si="8"/>
        <v>19872</v>
      </c>
      <c r="W35" s="154">
        <f t="shared" si="9"/>
        <v>0</v>
      </c>
    </row>
    <row r="36" spans="2:23" s="152" customFormat="1">
      <c r="B36" s="148" t="s">
        <v>66</v>
      </c>
      <c r="C36" s="149" t="s">
        <v>67</v>
      </c>
      <c r="D36" s="150">
        <v>207.06</v>
      </c>
      <c r="E36" s="150">
        <v>207.06</v>
      </c>
      <c r="F36" s="151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f t="shared" si="0"/>
        <v>0</v>
      </c>
      <c r="L36" s="206">
        <v>0</v>
      </c>
      <c r="M36" s="206">
        <f t="shared" si="1"/>
        <v>0</v>
      </c>
      <c r="O36" s="155">
        <f t="shared" si="2"/>
        <v>0</v>
      </c>
      <c r="P36" s="153">
        <v>0</v>
      </c>
      <c r="Q36" s="153">
        <f t="shared" si="3"/>
        <v>0</v>
      </c>
      <c r="R36" s="153">
        <f t="shared" si="4"/>
        <v>0</v>
      </c>
      <c r="S36" s="153">
        <f t="shared" si="5"/>
        <v>0</v>
      </c>
      <c r="T36" s="153">
        <f t="shared" si="6"/>
        <v>0</v>
      </c>
      <c r="U36" s="153">
        <f t="shared" si="7"/>
        <v>0</v>
      </c>
      <c r="V36" s="154">
        <f t="shared" si="8"/>
        <v>0</v>
      </c>
      <c r="W36" s="154">
        <f t="shared" si="9"/>
        <v>0</v>
      </c>
    </row>
    <row r="37" spans="2:23" s="152" customFormat="1">
      <c r="B37" s="148" t="s">
        <v>68</v>
      </c>
      <c r="C37" s="149" t="s">
        <v>69</v>
      </c>
      <c r="D37" s="150">
        <v>56.16</v>
      </c>
      <c r="E37" s="150">
        <v>56.16</v>
      </c>
      <c r="F37" s="151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f t="shared" si="0"/>
        <v>0</v>
      </c>
      <c r="L37" s="206">
        <v>0</v>
      </c>
      <c r="M37" s="206">
        <f t="shared" si="1"/>
        <v>0</v>
      </c>
      <c r="O37" s="155">
        <f t="shared" si="2"/>
        <v>0</v>
      </c>
      <c r="P37" s="153">
        <v>0</v>
      </c>
      <c r="Q37" s="153">
        <f t="shared" si="3"/>
        <v>0</v>
      </c>
      <c r="R37" s="153">
        <f t="shared" si="4"/>
        <v>0</v>
      </c>
      <c r="S37" s="153">
        <f t="shared" si="5"/>
        <v>0</v>
      </c>
      <c r="T37" s="153">
        <f t="shared" si="6"/>
        <v>0</v>
      </c>
      <c r="U37" s="153">
        <f t="shared" si="7"/>
        <v>0</v>
      </c>
      <c r="V37" s="154">
        <f t="shared" si="8"/>
        <v>0</v>
      </c>
      <c r="W37" s="154">
        <f t="shared" si="9"/>
        <v>0</v>
      </c>
    </row>
    <row r="38" spans="2:23" s="152" customFormat="1">
      <c r="B38" s="148" t="s">
        <v>70</v>
      </c>
      <c r="C38" s="149" t="s">
        <v>71</v>
      </c>
      <c r="D38" s="150">
        <v>100.09</v>
      </c>
      <c r="E38" s="150">
        <v>100.09</v>
      </c>
      <c r="F38" s="151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f t="shared" si="0"/>
        <v>0</v>
      </c>
      <c r="L38" s="206">
        <v>0</v>
      </c>
      <c r="M38" s="206">
        <f t="shared" si="1"/>
        <v>0</v>
      </c>
      <c r="O38" s="155">
        <f t="shared" si="2"/>
        <v>0</v>
      </c>
      <c r="P38" s="153">
        <v>0</v>
      </c>
      <c r="Q38" s="153">
        <f t="shared" si="3"/>
        <v>0</v>
      </c>
      <c r="R38" s="153">
        <f t="shared" si="4"/>
        <v>0</v>
      </c>
      <c r="S38" s="153">
        <f t="shared" si="5"/>
        <v>0</v>
      </c>
      <c r="T38" s="153">
        <f t="shared" si="6"/>
        <v>0</v>
      </c>
      <c r="U38" s="153">
        <f t="shared" si="7"/>
        <v>0</v>
      </c>
      <c r="V38" s="154">
        <f t="shared" si="8"/>
        <v>0</v>
      </c>
      <c r="W38" s="154">
        <f t="shared" si="9"/>
        <v>0</v>
      </c>
    </row>
    <row r="39" spans="2:23" s="152" customFormat="1">
      <c r="B39" s="148" t="s">
        <v>72</v>
      </c>
      <c r="C39" s="149" t="s">
        <v>73</v>
      </c>
      <c r="D39" s="150">
        <v>42.58</v>
      </c>
      <c r="E39" s="150">
        <v>42.58</v>
      </c>
      <c r="F39" s="151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f t="shared" si="0"/>
        <v>0</v>
      </c>
      <c r="L39" s="206">
        <v>0</v>
      </c>
      <c r="M39" s="206">
        <f t="shared" si="1"/>
        <v>0</v>
      </c>
      <c r="O39" s="155">
        <f t="shared" si="2"/>
        <v>0</v>
      </c>
      <c r="P39" s="153">
        <v>0</v>
      </c>
      <c r="Q39" s="153">
        <f t="shared" si="3"/>
        <v>0</v>
      </c>
      <c r="R39" s="153">
        <f t="shared" si="4"/>
        <v>0</v>
      </c>
      <c r="S39" s="153">
        <f t="shared" si="5"/>
        <v>0</v>
      </c>
      <c r="T39" s="153">
        <f t="shared" si="6"/>
        <v>0</v>
      </c>
      <c r="U39" s="153">
        <f t="shared" si="7"/>
        <v>0</v>
      </c>
      <c r="V39" s="154">
        <f t="shared" si="8"/>
        <v>0</v>
      </c>
      <c r="W39" s="154">
        <f t="shared" si="9"/>
        <v>0</v>
      </c>
    </row>
    <row r="40" spans="2:23" s="152" customFormat="1" ht="30">
      <c r="B40" s="148" t="s">
        <v>74</v>
      </c>
      <c r="C40" s="149" t="s">
        <v>75</v>
      </c>
      <c r="D40" s="150">
        <v>54</v>
      </c>
      <c r="E40" s="150">
        <v>54</v>
      </c>
      <c r="F40" s="151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f t="shared" si="0"/>
        <v>0</v>
      </c>
      <c r="L40" s="206">
        <v>0</v>
      </c>
      <c r="M40" s="206">
        <f t="shared" si="1"/>
        <v>0</v>
      </c>
      <c r="O40" s="155">
        <f t="shared" si="2"/>
        <v>0</v>
      </c>
      <c r="P40" s="153">
        <v>0</v>
      </c>
      <c r="Q40" s="153">
        <f t="shared" si="3"/>
        <v>0</v>
      </c>
      <c r="R40" s="153">
        <f t="shared" si="4"/>
        <v>0</v>
      </c>
      <c r="S40" s="153">
        <f t="shared" si="5"/>
        <v>0</v>
      </c>
      <c r="T40" s="153">
        <f t="shared" si="6"/>
        <v>0</v>
      </c>
      <c r="U40" s="153">
        <f t="shared" si="7"/>
        <v>0</v>
      </c>
      <c r="V40" s="154">
        <f t="shared" si="8"/>
        <v>0</v>
      </c>
      <c r="W40" s="154">
        <f t="shared" si="9"/>
        <v>0</v>
      </c>
    </row>
    <row r="41" spans="2:23" s="152" customFormat="1">
      <c r="B41" s="148" t="s">
        <v>76</v>
      </c>
      <c r="C41" s="149" t="s">
        <v>77</v>
      </c>
      <c r="D41" s="150">
        <v>6.25</v>
      </c>
      <c r="E41" s="150">
        <v>6.25</v>
      </c>
      <c r="F41" s="151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f t="shared" si="0"/>
        <v>0</v>
      </c>
      <c r="L41" s="206">
        <v>0</v>
      </c>
      <c r="M41" s="206">
        <f t="shared" si="1"/>
        <v>0</v>
      </c>
      <c r="O41" s="155">
        <f t="shared" si="2"/>
        <v>0</v>
      </c>
      <c r="P41" s="153">
        <v>0</v>
      </c>
      <c r="Q41" s="153">
        <f t="shared" si="3"/>
        <v>0</v>
      </c>
      <c r="R41" s="153">
        <f t="shared" si="4"/>
        <v>0</v>
      </c>
      <c r="S41" s="153">
        <f t="shared" si="5"/>
        <v>0</v>
      </c>
      <c r="T41" s="153">
        <f t="shared" si="6"/>
        <v>0</v>
      </c>
      <c r="U41" s="153">
        <f t="shared" si="7"/>
        <v>0</v>
      </c>
      <c r="V41" s="154">
        <f t="shared" si="8"/>
        <v>0</v>
      </c>
      <c r="W41" s="154">
        <f t="shared" si="9"/>
        <v>0</v>
      </c>
    </row>
    <row r="42" spans="2:23" s="152" customFormat="1">
      <c r="B42" s="148" t="s">
        <v>78</v>
      </c>
      <c r="C42" s="149" t="s">
        <v>79</v>
      </c>
      <c r="D42" s="150">
        <v>27.87</v>
      </c>
      <c r="E42" s="150">
        <v>27.87</v>
      </c>
      <c r="F42" s="151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f t="shared" ref="K42:K73" si="10">F42+G42+H42-I42-J42</f>
        <v>0</v>
      </c>
      <c r="L42" s="206">
        <v>0</v>
      </c>
      <c r="M42" s="206">
        <f t="shared" ref="M42:M73" si="11">L42-K42</f>
        <v>0</v>
      </c>
      <c r="O42" s="155">
        <f t="shared" ref="O42:O73" si="12">F42*D42</f>
        <v>0</v>
      </c>
      <c r="P42" s="153">
        <v>0</v>
      </c>
      <c r="Q42" s="153">
        <f t="shared" ref="Q42:Q73" si="13">G42*E42</f>
        <v>0</v>
      </c>
      <c r="R42" s="153">
        <f t="shared" ref="R42:R73" si="14">H42*E42</f>
        <v>0</v>
      </c>
      <c r="S42" s="153">
        <f t="shared" ref="S42:S73" si="15">I42*E42</f>
        <v>0</v>
      </c>
      <c r="T42" s="153">
        <f t="shared" ref="T42:T73" si="16">J42*E42</f>
        <v>0</v>
      </c>
      <c r="U42" s="153">
        <f t="shared" ref="U42:U73" si="17">+O42+P42+Q42+R42-S42-T42</f>
        <v>0</v>
      </c>
      <c r="V42" s="154">
        <f t="shared" ref="V42:V73" si="18">K42*E42</f>
        <v>0</v>
      </c>
      <c r="W42" s="154">
        <f t="shared" ref="W42:W73" si="19">V42-U42</f>
        <v>0</v>
      </c>
    </row>
    <row r="43" spans="2:23" s="152" customFormat="1">
      <c r="B43" s="148" t="s">
        <v>80</v>
      </c>
      <c r="C43" s="149" t="s">
        <v>81</v>
      </c>
      <c r="D43" s="150">
        <v>50.4</v>
      </c>
      <c r="E43" s="150">
        <v>50.4</v>
      </c>
      <c r="F43" s="151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f t="shared" si="10"/>
        <v>0</v>
      </c>
      <c r="L43" s="206">
        <v>0</v>
      </c>
      <c r="M43" s="206">
        <f t="shared" si="11"/>
        <v>0</v>
      </c>
      <c r="O43" s="155">
        <f t="shared" si="12"/>
        <v>0</v>
      </c>
      <c r="P43" s="153">
        <v>0</v>
      </c>
      <c r="Q43" s="153">
        <f t="shared" si="13"/>
        <v>0</v>
      </c>
      <c r="R43" s="153">
        <f t="shared" si="14"/>
        <v>0</v>
      </c>
      <c r="S43" s="153">
        <f t="shared" si="15"/>
        <v>0</v>
      </c>
      <c r="T43" s="153">
        <f t="shared" si="16"/>
        <v>0</v>
      </c>
      <c r="U43" s="153">
        <f t="shared" si="17"/>
        <v>0</v>
      </c>
      <c r="V43" s="154">
        <f t="shared" si="18"/>
        <v>0</v>
      </c>
      <c r="W43" s="154">
        <f t="shared" si="19"/>
        <v>0</v>
      </c>
    </row>
    <row r="44" spans="2:23" s="152" customFormat="1">
      <c r="B44" s="148" t="s">
        <v>82</v>
      </c>
      <c r="C44" s="149" t="s">
        <v>83</v>
      </c>
      <c r="D44" s="150">
        <v>37</v>
      </c>
      <c r="E44" s="150">
        <v>37</v>
      </c>
      <c r="F44" s="151">
        <v>145</v>
      </c>
      <c r="G44" s="206">
        <v>0</v>
      </c>
      <c r="H44" s="206">
        <v>0</v>
      </c>
      <c r="I44" s="206">
        <v>20</v>
      </c>
      <c r="J44" s="206">
        <v>0</v>
      </c>
      <c r="K44" s="206">
        <f t="shared" si="10"/>
        <v>125</v>
      </c>
      <c r="L44" s="206">
        <v>125</v>
      </c>
      <c r="M44" s="206">
        <f t="shared" si="11"/>
        <v>0</v>
      </c>
      <c r="O44" s="155">
        <f t="shared" si="12"/>
        <v>5365</v>
      </c>
      <c r="P44" s="153">
        <v>0</v>
      </c>
      <c r="Q44" s="153">
        <f t="shared" si="13"/>
        <v>0</v>
      </c>
      <c r="R44" s="153">
        <f t="shared" si="14"/>
        <v>0</v>
      </c>
      <c r="S44" s="153">
        <f t="shared" si="15"/>
        <v>740</v>
      </c>
      <c r="T44" s="153">
        <f t="shared" si="16"/>
        <v>0</v>
      </c>
      <c r="U44" s="153">
        <f t="shared" si="17"/>
        <v>4625</v>
      </c>
      <c r="V44" s="154">
        <f t="shared" si="18"/>
        <v>4625</v>
      </c>
      <c r="W44" s="154">
        <f t="shared" si="19"/>
        <v>0</v>
      </c>
    </row>
    <row r="45" spans="2:23" s="152" customFormat="1">
      <c r="B45" s="148" t="s">
        <v>84</v>
      </c>
      <c r="C45" s="149" t="s">
        <v>85</v>
      </c>
      <c r="D45" s="150">
        <v>31</v>
      </c>
      <c r="E45" s="150">
        <v>31</v>
      </c>
      <c r="F45" s="151">
        <v>505</v>
      </c>
      <c r="G45" s="206">
        <v>0</v>
      </c>
      <c r="H45" s="206">
        <v>0</v>
      </c>
      <c r="I45" s="206">
        <v>64</v>
      </c>
      <c r="J45" s="206">
        <v>0</v>
      </c>
      <c r="K45" s="206">
        <f t="shared" si="10"/>
        <v>441</v>
      </c>
      <c r="L45" s="206">
        <v>441</v>
      </c>
      <c r="M45" s="206">
        <f t="shared" si="11"/>
        <v>0</v>
      </c>
      <c r="O45" s="155">
        <f t="shared" si="12"/>
        <v>15655</v>
      </c>
      <c r="P45" s="153">
        <v>0</v>
      </c>
      <c r="Q45" s="153">
        <f t="shared" si="13"/>
        <v>0</v>
      </c>
      <c r="R45" s="153">
        <f t="shared" si="14"/>
        <v>0</v>
      </c>
      <c r="S45" s="153">
        <f t="shared" si="15"/>
        <v>1984</v>
      </c>
      <c r="T45" s="153">
        <f t="shared" si="16"/>
        <v>0</v>
      </c>
      <c r="U45" s="153">
        <f t="shared" si="17"/>
        <v>13671</v>
      </c>
      <c r="V45" s="154">
        <f t="shared" si="18"/>
        <v>13671</v>
      </c>
      <c r="W45" s="154">
        <f t="shared" si="19"/>
        <v>0</v>
      </c>
    </row>
    <row r="46" spans="2:23" s="152" customFormat="1">
      <c r="B46" s="148" t="s">
        <v>86</v>
      </c>
      <c r="C46" s="149" t="s">
        <v>87</v>
      </c>
      <c r="D46" s="150">
        <v>26.25</v>
      </c>
      <c r="E46" s="150">
        <v>26.25</v>
      </c>
      <c r="F46" s="151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f t="shared" si="10"/>
        <v>0</v>
      </c>
      <c r="L46" s="206">
        <v>0</v>
      </c>
      <c r="M46" s="206">
        <f t="shared" si="11"/>
        <v>0</v>
      </c>
      <c r="O46" s="155">
        <f t="shared" si="12"/>
        <v>0</v>
      </c>
      <c r="P46" s="153">
        <v>0</v>
      </c>
      <c r="Q46" s="153">
        <f t="shared" si="13"/>
        <v>0</v>
      </c>
      <c r="R46" s="153">
        <f t="shared" si="14"/>
        <v>0</v>
      </c>
      <c r="S46" s="153">
        <f t="shared" si="15"/>
        <v>0</v>
      </c>
      <c r="T46" s="153">
        <f t="shared" si="16"/>
        <v>0</v>
      </c>
      <c r="U46" s="153">
        <f t="shared" si="17"/>
        <v>0</v>
      </c>
      <c r="V46" s="154">
        <f t="shared" si="18"/>
        <v>0</v>
      </c>
      <c r="W46" s="154">
        <f t="shared" si="19"/>
        <v>0</v>
      </c>
    </row>
    <row r="47" spans="2:23" s="152" customFormat="1">
      <c r="B47" s="148" t="s">
        <v>88</v>
      </c>
      <c r="C47" s="149" t="s">
        <v>89</v>
      </c>
      <c r="D47" s="150">
        <v>42</v>
      </c>
      <c r="E47" s="150">
        <v>42</v>
      </c>
      <c r="F47" s="151">
        <v>270</v>
      </c>
      <c r="G47" s="206">
        <v>0</v>
      </c>
      <c r="H47" s="206">
        <v>0</v>
      </c>
      <c r="I47" s="206">
        <v>7</v>
      </c>
      <c r="J47" s="206">
        <v>0</v>
      </c>
      <c r="K47" s="206">
        <f t="shared" si="10"/>
        <v>263</v>
      </c>
      <c r="L47" s="206">
        <v>263</v>
      </c>
      <c r="M47" s="206">
        <f t="shared" si="11"/>
        <v>0</v>
      </c>
      <c r="O47" s="155">
        <f t="shared" si="12"/>
        <v>11340</v>
      </c>
      <c r="P47" s="153">
        <v>0</v>
      </c>
      <c r="Q47" s="153">
        <f t="shared" si="13"/>
        <v>0</v>
      </c>
      <c r="R47" s="153">
        <f t="shared" si="14"/>
        <v>0</v>
      </c>
      <c r="S47" s="153">
        <f t="shared" si="15"/>
        <v>294</v>
      </c>
      <c r="T47" s="153">
        <f t="shared" si="16"/>
        <v>0</v>
      </c>
      <c r="U47" s="153">
        <f t="shared" si="17"/>
        <v>11046</v>
      </c>
      <c r="V47" s="154">
        <f t="shared" si="18"/>
        <v>11046</v>
      </c>
      <c r="W47" s="154">
        <f t="shared" si="19"/>
        <v>0</v>
      </c>
    </row>
    <row r="48" spans="2:23" s="152" customFormat="1">
      <c r="B48" s="148" t="s">
        <v>90</v>
      </c>
      <c r="C48" s="149" t="s">
        <v>91</v>
      </c>
      <c r="D48" s="150">
        <v>24</v>
      </c>
      <c r="E48" s="150">
        <v>24</v>
      </c>
      <c r="F48" s="151">
        <v>1547</v>
      </c>
      <c r="G48" s="206">
        <v>0</v>
      </c>
      <c r="H48" s="206">
        <v>0</v>
      </c>
      <c r="I48" s="206">
        <v>24</v>
      </c>
      <c r="J48" s="206">
        <v>0</v>
      </c>
      <c r="K48" s="206">
        <f t="shared" si="10"/>
        <v>1523</v>
      </c>
      <c r="L48" s="206">
        <v>1523</v>
      </c>
      <c r="M48" s="206">
        <f t="shared" si="11"/>
        <v>0</v>
      </c>
      <c r="O48" s="155">
        <f t="shared" si="12"/>
        <v>37128</v>
      </c>
      <c r="P48" s="153">
        <v>0</v>
      </c>
      <c r="Q48" s="153">
        <f t="shared" si="13"/>
        <v>0</v>
      </c>
      <c r="R48" s="153">
        <f t="shared" si="14"/>
        <v>0</v>
      </c>
      <c r="S48" s="153">
        <f t="shared" si="15"/>
        <v>576</v>
      </c>
      <c r="T48" s="153">
        <f t="shared" si="16"/>
        <v>0</v>
      </c>
      <c r="U48" s="153">
        <f t="shared" si="17"/>
        <v>36552</v>
      </c>
      <c r="V48" s="154">
        <f t="shared" si="18"/>
        <v>36552</v>
      </c>
      <c r="W48" s="154">
        <f t="shared" si="19"/>
        <v>0</v>
      </c>
    </row>
    <row r="49" spans="2:23" s="152" customFormat="1">
      <c r="B49" s="148" t="s">
        <v>92</v>
      </c>
      <c r="C49" s="149" t="s">
        <v>93</v>
      </c>
      <c r="D49" s="150">
        <v>28</v>
      </c>
      <c r="E49" s="150">
        <v>28</v>
      </c>
      <c r="F49" s="151">
        <v>129</v>
      </c>
      <c r="G49" s="206">
        <v>0</v>
      </c>
      <c r="H49" s="206">
        <v>0</v>
      </c>
      <c r="I49" s="206">
        <v>109</v>
      </c>
      <c r="J49" s="206">
        <v>0</v>
      </c>
      <c r="K49" s="206">
        <f t="shared" si="10"/>
        <v>20</v>
      </c>
      <c r="L49" s="206">
        <v>20</v>
      </c>
      <c r="M49" s="206">
        <f t="shared" si="11"/>
        <v>0</v>
      </c>
      <c r="O49" s="155">
        <f t="shared" si="12"/>
        <v>3612</v>
      </c>
      <c r="P49" s="153">
        <v>0</v>
      </c>
      <c r="Q49" s="153">
        <f t="shared" si="13"/>
        <v>0</v>
      </c>
      <c r="R49" s="153">
        <f t="shared" si="14"/>
        <v>0</v>
      </c>
      <c r="S49" s="153">
        <f t="shared" si="15"/>
        <v>3052</v>
      </c>
      <c r="T49" s="153">
        <f t="shared" si="16"/>
        <v>0</v>
      </c>
      <c r="U49" s="153">
        <f t="shared" si="17"/>
        <v>560</v>
      </c>
      <c r="V49" s="154">
        <f t="shared" si="18"/>
        <v>560</v>
      </c>
      <c r="W49" s="154">
        <f t="shared" si="19"/>
        <v>0</v>
      </c>
    </row>
    <row r="50" spans="2:23" s="152" customFormat="1" ht="30">
      <c r="B50" s="148" t="s">
        <v>94</v>
      </c>
      <c r="C50" s="149" t="s">
        <v>95</v>
      </c>
      <c r="D50" s="150">
        <v>67</v>
      </c>
      <c r="E50" s="150">
        <v>67</v>
      </c>
      <c r="F50" s="151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f t="shared" si="10"/>
        <v>0</v>
      </c>
      <c r="L50" s="206">
        <v>0</v>
      </c>
      <c r="M50" s="206">
        <f t="shared" si="11"/>
        <v>0</v>
      </c>
      <c r="O50" s="155">
        <f t="shared" si="12"/>
        <v>0</v>
      </c>
      <c r="P50" s="153">
        <v>0</v>
      </c>
      <c r="Q50" s="153">
        <f t="shared" si="13"/>
        <v>0</v>
      </c>
      <c r="R50" s="153">
        <f t="shared" si="14"/>
        <v>0</v>
      </c>
      <c r="S50" s="153">
        <f t="shared" si="15"/>
        <v>0</v>
      </c>
      <c r="T50" s="153">
        <f t="shared" si="16"/>
        <v>0</v>
      </c>
      <c r="U50" s="153">
        <f t="shared" si="17"/>
        <v>0</v>
      </c>
      <c r="V50" s="154">
        <f t="shared" si="18"/>
        <v>0</v>
      </c>
      <c r="W50" s="154">
        <f t="shared" si="19"/>
        <v>0</v>
      </c>
    </row>
    <row r="51" spans="2:23" s="152" customFormat="1" ht="30">
      <c r="B51" s="148" t="s">
        <v>96</v>
      </c>
      <c r="C51" s="149" t="s">
        <v>97</v>
      </c>
      <c r="D51" s="150">
        <v>25</v>
      </c>
      <c r="E51" s="150">
        <v>25</v>
      </c>
      <c r="F51" s="151">
        <v>0</v>
      </c>
      <c r="G51" s="206">
        <v>0</v>
      </c>
      <c r="H51" s="206">
        <v>0</v>
      </c>
      <c r="I51" s="206">
        <v>0</v>
      </c>
      <c r="J51" s="206">
        <v>0</v>
      </c>
      <c r="K51" s="206">
        <f t="shared" si="10"/>
        <v>0</v>
      </c>
      <c r="L51" s="206">
        <v>0</v>
      </c>
      <c r="M51" s="206">
        <f t="shared" si="11"/>
        <v>0</v>
      </c>
      <c r="O51" s="155">
        <f t="shared" si="12"/>
        <v>0</v>
      </c>
      <c r="P51" s="153">
        <v>0</v>
      </c>
      <c r="Q51" s="153">
        <f t="shared" si="13"/>
        <v>0</v>
      </c>
      <c r="R51" s="153">
        <f t="shared" si="14"/>
        <v>0</v>
      </c>
      <c r="S51" s="153">
        <f t="shared" si="15"/>
        <v>0</v>
      </c>
      <c r="T51" s="153">
        <f t="shared" si="16"/>
        <v>0</v>
      </c>
      <c r="U51" s="153">
        <f t="shared" si="17"/>
        <v>0</v>
      </c>
      <c r="V51" s="154">
        <f t="shared" si="18"/>
        <v>0</v>
      </c>
      <c r="W51" s="154">
        <f t="shared" si="19"/>
        <v>0</v>
      </c>
    </row>
    <row r="52" spans="2:23" s="152" customFormat="1">
      <c r="B52" s="148" t="s">
        <v>98</v>
      </c>
      <c r="C52" s="149" t="s">
        <v>99</v>
      </c>
      <c r="D52" s="150">
        <v>20.71</v>
      </c>
      <c r="E52" s="150">
        <v>20.71</v>
      </c>
      <c r="F52" s="151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f t="shared" si="10"/>
        <v>0</v>
      </c>
      <c r="L52" s="206">
        <v>0</v>
      </c>
      <c r="M52" s="206">
        <f t="shared" si="11"/>
        <v>0</v>
      </c>
      <c r="O52" s="155">
        <f t="shared" si="12"/>
        <v>0</v>
      </c>
      <c r="P52" s="153">
        <v>0</v>
      </c>
      <c r="Q52" s="153">
        <f t="shared" si="13"/>
        <v>0</v>
      </c>
      <c r="R52" s="153">
        <f t="shared" si="14"/>
        <v>0</v>
      </c>
      <c r="S52" s="153">
        <f t="shared" si="15"/>
        <v>0</v>
      </c>
      <c r="T52" s="153">
        <f t="shared" si="16"/>
        <v>0</v>
      </c>
      <c r="U52" s="153">
        <f t="shared" si="17"/>
        <v>0</v>
      </c>
      <c r="V52" s="154">
        <f t="shared" si="18"/>
        <v>0</v>
      </c>
      <c r="W52" s="154">
        <f t="shared" si="19"/>
        <v>0</v>
      </c>
    </row>
    <row r="53" spans="2:23" s="152" customFormat="1">
      <c r="B53" s="148" t="s">
        <v>100</v>
      </c>
      <c r="C53" s="149" t="s">
        <v>101</v>
      </c>
      <c r="D53" s="150">
        <v>31</v>
      </c>
      <c r="E53" s="150">
        <v>31</v>
      </c>
      <c r="F53" s="151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f t="shared" si="10"/>
        <v>0</v>
      </c>
      <c r="L53" s="206">
        <v>0</v>
      </c>
      <c r="M53" s="206">
        <f t="shared" si="11"/>
        <v>0</v>
      </c>
      <c r="O53" s="155">
        <f t="shared" si="12"/>
        <v>0</v>
      </c>
      <c r="P53" s="153">
        <v>0</v>
      </c>
      <c r="Q53" s="153">
        <f t="shared" si="13"/>
        <v>0</v>
      </c>
      <c r="R53" s="153">
        <f t="shared" si="14"/>
        <v>0</v>
      </c>
      <c r="S53" s="153">
        <f t="shared" si="15"/>
        <v>0</v>
      </c>
      <c r="T53" s="153">
        <f t="shared" si="16"/>
        <v>0</v>
      </c>
      <c r="U53" s="153">
        <f t="shared" si="17"/>
        <v>0</v>
      </c>
      <c r="V53" s="154">
        <f t="shared" si="18"/>
        <v>0</v>
      </c>
      <c r="W53" s="154">
        <f t="shared" si="19"/>
        <v>0</v>
      </c>
    </row>
    <row r="54" spans="2:23" s="152" customFormat="1" ht="30">
      <c r="B54" s="148" t="s">
        <v>102</v>
      </c>
      <c r="C54" s="149" t="s">
        <v>103</v>
      </c>
      <c r="D54" s="150">
        <v>133.92000000000002</v>
      </c>
      <c r="E54" s="150">
        <v>133.92000000000002</v>
      </c>
      <c r="F54" s="151">
        <v>41</v>
      </c>
      <c r="G54" s="206">
        <v>0</v>
      </c>
      <c r="H54" s="206">
        <v>0</v>
      </c>
      <c r="I54" s="206">
        <v>2</v>
      </c>
      <c r="J54" s="206">
        <v>0</v>
      </c>
      <c r="K54" s="206">
        <f t="shared" si="10"/>
        <v>39</v>
      </c>
      <c r="L54" s="206">
        <v>39</v>
      </c>
      <c r="M54" s="206">
        <f t="shared" si="11"/>
        <v>0</v>
      </c>
      <c r="O54" s="155">
        <f t="shared" si="12"/>
        <v>5490.72</v>
      </c>
      <c r="P54" s="153">
        <v>0</v>
      </c>
      <c r="Q54" s="153">
        <f t="shared" si="13"/>
        <v>0</v>
      </c>
      <c r="R54" s="153">
        <f t="shared" si="14"/>
        <v>0</v>
      </c>
      <c r="S54" s="153">
        <f t="shared" si="15"/>
        <v>267.84000000000003</v>
      </c>
      <c r="T54" s="153">
        <f t="shared" si="16"/>
        <v>0</v>
      </c>
      <c r="U54" s="153">
        <f t="shared" si="17"/>
        <v>5222.88</v>
      </c>
      <c r="V54" s="154">
        <f t="shared" si="18"/>
        <v>5222.880000000001</v>
      </c>
      <c r="W54" s="154">
        <f t="shared" si="19"/>
        <v>0</v>
      </c>
    </row>
    <row r="55" spans="2:23" s="152" customFormat="1">
      <c r="B55" s="148" t="s">
        <v>104</v>
      </c>
      <c r="C55" s="149" t="s">
        <v>105</v>
      </c>
      <c r="D55" s="150">
        <v>260</v>
      </c>
      <c r="E55" s="150">
        <v>260</v>
      </c>
      <c r="F55" s="151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f t="shared" si="10"/>
        <v>0</v>
      </c>
      <c r="L55" s="206">
        <v>0</v>
      </c>
      <c r="M55" s="206">
        <f t="shared" si="11"/>
        <v>0</v>
      </c>
      <c r="O55" s="155">
        <f t="shared" si="12"/>
        <v>0</v>
      </c>
      <c r="P55" s="153">
        <v>0</v>
      </c>
      <c r="Q55" s="153">
        <f t="shared" si="13"/>
        <v>0</v>
      </c>
      <c r="R55" s="153">
        <f t="shared" si="14"/>
        <v>0</v>
      </c>
      <c r="S55" s="153">
        <f t="shared" si="15"/>
        <v>0</v>
      </c>
      <c r="T55" s="153">
        <f t="shared" si="16"/>
        <v>0</v>
      </c>
      <c r="U55" s="153">
        <f t="shared" si="17"/>
        <v>0</v>
      </c>
      <c r="V55" s="154">
        <f t="shared" si="18"/>
        <v>0</v>
      </c>
      <c r="W55" s="154">
        <f t="shared" si="19"/>
        <v>0</v>
      </c>
    </row>
    <row r="56" spans="2:23" s="152" customFormat="1" ht="30">
      <c r="B56" s="148" t="s">
        <v>106</v>
      </c>
      <c r="C56" s="149" t="s">
        <v>107</v>
      </c>
      <c r="D56" s="150">
        <v>140.54</v>
      </c>
      <c r="E56" s="150">
        <v>140.54</v>
      </c>
      <c r="F56" s="151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f t="shared" si="10"/>
        <v>0</v>
      </c>
      <c r="L56" s="206">
        <v>0</v>
      </c>
      <c r="M56" s="206">
        <f t="shared" si="11"/>
        <v>0</v>
      </c>
      <c r="O56" s="155">
        <f t="shared" si="12"/>
        <v>0</v>
      </c>
      <c r="P56" s="153">
        <v>0</v>
      </c>
      <c r="Q56" s="153">
        <f t="shared" si="13"/>
        <v>0</v>
      </c>
      <c r="R56" s="153">
        <f t="shared" si="14"/>
        <v>0</v>
      </c>
      <c r="S56" s="153">
        <f t="shared" si="15"/>
        <v>0</v>
      </c>
      <c r="T56" s="153">
        <f t="shared" si="16"/>
        <v>0</v>
      </c>
      <c r="U56" s="153">
        <f t="shared" si="17"/>
        <v>0</v>
      </c>
      <c r="V56" s="154">
        <f t="shared" si="18"/>
        <v>0</v>
      </c>
      <c r="W56" s="154">
        <f t="shared" si="19"/>
        <v>0</v>
      </c>
    </row>
    <row r="57" spans="2:23" s="152" customFormat="1">
      <c r="B57" s="148" t="s">
        <v>108</v>
      </c>
      <c r="C57" s="149" t="s">
        <v>109</v>
      </c>
      <c r="D57" s="150">
        <v>68.87</v>
      </c>
      <c r="E57" s="150">
        <v>68.87</v>
      </c>
      <c r="F57" s="151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f t="shared" si="10"/>
        <v>0</v>
      </c>
      <c r="L57" s="206">
        <v>0</v>
      </c>
      <c r="M57" s="206">
        <f t="shared" si="11"/>
        <v>0</v>
      </c>
      <c r="O57" s="155">
        <f t="shared" si="12"/>
        <v>0</v>
      </c>
      <c r="P57" s="153">
        <v>0</v>
      </c>
      <c r="Q57" s="153">
        <f t="shared" si="13"/>
        <v>0</v>
      </c>
      <c r="R57" s="153">
        <f t="shared" si="14"/>
        <v>0</v>
      </c>
      <c r="S57" s="153">
        <f t="shared" si="15"/>
        <v>0</v>
      </c>
      <c r="T57" s="153">
        <f t="shared" si="16"/>
        <v>0</v>
      </c>
      <c r="U57" s="153">
        <f t="shared" si="17"/>
        <v>0</v>
      </c>
      <c r="V57" s="154">
        <f t="shared" si="18"/>
        <v>0</v>
      </c>
      <c r="W57" s="154">
        <f t="shared" si="19"/>
        <v>0</v>
      </c>
    </row>
    <row r="58" spans="2:23" s="152" customFormat="1" ht="30">
      <c r="B58" s="148" t="s">
        <v>110</v>
      </c>
      <c r="C58" s="149" t="s">
        <v>111</v>
      </c>
      <c r="D58" s="150">
        <v>77.62</v>
      </c>
      <c r="E58" s="150">
        <v>77.62</v>
      </c>
      <c r="F58" s="151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f t="shared" si="10"/>
        <v>0</v>
      </c>
      <c r="L58" s="206">
        <v>0</v>
      </c>
      <c r="M58" s="206">
        <f t="shared" si="11"/>
        <v>0</v>
      </c>
      <c r="O58" s="155">
        <f t="shared" si="12"/>
        <v>0</v>
      </c>
      <c r="P58" s="153">
        <v>0</v>
      </c>
      <c r="Q58" s="153">
        <f t="shared" si="13"/>
        <v>0</v>
      </c>
      <c r="R58" s="153">
        <f t="shared" si="14"/>
        <v>0</v>
      </c>
      <c r="S58" s="153">
        <f t="shared" si="15"/>
        <v>0</v>
      </c>
      <c r="T58" s="153">
        <f t="shared" si="16"/>
        <v>0</v>
      </c>
      <c r="U58" s="153">
        <f t="shared" si="17"/>
        <v>0</v>
      </c>
      <c r="V58" s="154">
        <f t="shared" si="18"/>
        <v>0</v>
      </c>
      <c r="W58" s="154">
        <f t="shared" si="19"/>
        <v>0</v>
      </c>
    </row>
    <row r="59" spans="2:23" s="152" customFormat="1" ht="30">
      <c r="B59" s="148" t="s">
        <v>112</v>
      </c>
      <c r="C59" s="149" t="s">
        <v>113</v>
      </c>
      <c r="D59" s="150">
        <v>98</v>
      </c>
      <c r="E59" s="150">
        <v>98</v>
      </c>
      <c r="F59" s="151">
        <v>84</v>
      </c>
      <c r="G59" s="206">
        <v>0</v>
      </c>
      <c r="H59" s="206">
        <v>0</v>
      </c>
      <c r="I59" s="206">
        <v>80</v>
      </c>
      <c r="J59" s="206">
        <v>0</v>
      </c>
      <c r="K59" s="206">
        <f t="shared" si="10"/>
        <v>4</v>
      </c>
      <c r="L59" s="206">
        <v>4</v>
      </c>
      <c r="M59" s="206">
        <f t="shared" si="11"/>
        <v>0</v>
      </c>
      <c r="O59" s="155">
        <f t="shared" si="12"/>
        <v>8232</v>
      </c>
      <c r="P59" s="153">
        <v>0</v>
      </c>
      <c r="Q59" s="153">
        <f t="shared" si="13"/>
        <v>0</v>
      </c>
      <c r="R59" s="153">
        <f t="shared" si="14"/>
        <v>0</v>
      </c>
      <c r="S59" s="153">
        <f t="shared" si="15"/>
        <v>7840</v>
      </c>
      <c r="T59" s="153">
        <f t="shared" si="16"/>
        <v>0</v>
      </c>
      <c r="U59" s="153">
        <f t="shared" si="17"/>
        <v>392</v>
      </c>
      <c r="V59" s="154">
        <f t="shared" si="18"/>
        <v>392</v>
      </c>
      <c r="W59" s="154">
        <f t="shared" si="19"/>
        <v>0</v>
      </c>
    </row>
    <row r="60" spans="2:23" s="152" customFormat="1">
      <c r="B60" s="148" t="s">
        <v>114</v>
      </c>
      <c r="C60" s="149" t="s">
        <v>115</v>
      </c>
      <c r="D60" s="150">
        <v>77.62</v>
      </c>
      <c r="E60" s="150">
        <v>77.62</v>
      </c>
      <c r="F60" s="151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f t="shared" si="10"/>
        <v>0</v>
      </c>
      <c r="L60" s="206">
        <v>0</v>
      </c>
      <c r="M60" s="206">
        <f t="shared" si="11"/>
        <v>0</v>
      </c>
      <c r="O60" s="155">
        <f t="shared" si="12"/>
        <v>0</v>
      </c>
      <c r="P60" s="153">
        <v>0</v>
      </c>
      <c r="Q60" s="153">
        <f t="shared" si="13"/>
        <v>0</v>
      </c>
      <c r="R60" s="153">
        <f t="shared" si="14"/>
        <v>0</v>
      </c>
      <c r="S60" s="153">
        <f t="shared" si="15"/>
        <v>0</v>
      </c>
      <c r="T60" s="153">
        <f t="shared" si="16"/>
        <v>0</v>
      </c>
      <c r="U60" s="153">
        <f t="shared" si="17"/>
        <v>0</v>
      </c>
      <c r="V60" s="154">
        <f t="shared" si="18"/>
        <v>0</v>
      </c>
      <c r="W60" s="154">
        <f t="shared" si="19"/>
        <v>0</v>
      </c>
    </row>
    <row r="61" spans="2:23" s="152" customFormat="1" ht="30">
      <c r="B61" s="148" t="s">
        <v>116</v>
      </c>
      <c r="C61" s="149" t="s">
        <v>117</v>
      </c>
      <c r="D61" s="150">
        <v>135</v>
      </c>
      <c r="E61" s="150">
        <v>135</v>
      </c>
      <c r="F61" s="151">
        <v>181</v>
      </c>
      <c r="G61" s="206">
        <v>0</v>
      </c>
      <c r="H61" s="206">
        <v>0</v>
      </c>
      <c r="I61" s="206">
        <v>15</v>
      </c>
      <c r="J61" s="206">
        <v>0</v>
      </c>
      <c r="K61" s="206">
        <f t="shared" si="10"/>
        <v>166</v>
      </c>
      <c r="L61" s="206">
        <v>166</v>
      </c>
      <c r="M61" s="206">
        <f t="shared" si="11"/>
        <v>0</v>
      </c>
      <c r="O61" s="155">
        <f t="shared" si="12"/>
        <v>24435</v>
      </c>
      <c r="P61" s="153">
        <v>0</v>
      </c>
      <c r="Q61" s="153">
        <f t="shared" si="13"/>
        <v>0</v>
      </c>
      <c r="R61" s="153">
        <f t="shared" si="14"/>
        <v>0</v>
      </c>
      <c r="S61" s="153">
        <f t="shared" si="15"/>
        <v>2025</v>
      </c>
      <c r="T61" s="153">
        <f t="shared" si="16"/>
        <v>0</v>
      </c>
      <c r="U61" s="153">
        <f t="shared" si="17"/>
        <v>22410</v>
      </c>
      <c r="V61" s="154">
        <f t="shared" si="18"/>
        <v>22410</v>
      </c>
      <c r="W61" s="154">
        <f t="shared" si="19"/>
        <v>0</v>
      </c>
    </row>
    <row r="62" spans="2:23" s="152" customFormat="1" ht="30">
      <c r="B62" s="148" t="s">
        <v>118</v>
      </c>
      <c r="C62" s="149" t="s">
        <v>119</v>
      </c>
      <c r="D62" s="150">
        <v>172.72</v>
      </c>
      <c r="E62" s="150">
        <v>172.72</v>
      </c>
      <c r="F62" s="151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f t="shared" si="10"/>
        <v>0</v>
      </c>
      <c r="L62" s="206">
        <v>0</v>
      </c>
      <c r="M62" s="206">
        <f t="shared" si="11"/>
        <v>0</v>
      </c>
      <c r="O62" s="155">
        <f t="shared" si="12"/>
        <v>0</v>
      </c>
      <c r="P62" s="153">
        <v>0</v>
      </c>
      <c r="Q62" s="153">
        <f t="shared" si="13"/>
        <v>0</v>
      </c>
      <c r="R62" s="153">
        <f t="shared" si="14"/>
        <v>0</v>
      </c>
      <c r="S62" s="153">
        <f t="shared" si="15"/>
        <v>0</v>
      </c>
      <c r="T62" s="153">
        <f t="shared" si="16"/>
        <v>0</v>
      </c>
      <c r="U62" s="153">
        <f t="shared" si="17"/>
        <v>0</v>
      </c>
      <c r="V62" s="154">
        <f t="shared" si="18"/>
        <v>0</v>
      </c>
      <c r="W62" s="154">
        <f t="shared" si="19"/>
        <v>0</v>
      </c>
    </row>
    <row r="63" spans="2:23" s="152" customFormat="1" ht="30">
      <c r="B63" s="148" t="s">
        <v>120</v>
      </c>
      <c r="C63" s="149" t="s">
        <v>121</v>
      </c>
      <c r="D63" s="150">
        <v>130</v>
      </c>
      <c r="E63" s="150">
        <v>130</v>
      </c>
      <c r="F63" s="151">
        <v>197</v>
      </c>
      <c r="G63" s="206">
        <v>0</v>
      </c>
      <c r="H63" s="206">
        <v>0</v>
      </c>
      <c r="I63" s="206">
        <v>19</v>
      </c>
      <c r="J63" s="206">
        <v>0</v>
      </c>
      <c r="K63" s="206">
        <f t="shared" si="10"/>
        <v>178</v>
      </c>
      <c r="L63" s="206">
        <v>178</v>
      </c>
      <c r="M63" s="206">
        <f t="shared" si="11"/>
        <v>0</v>
      </c>
      <c r="O63" s="155">
        <f t="shared" si="12"/>
        <v>25610</v>
      </c>
      <c r="P63" s="153">
        <v>0</v>
      </c>
      <c r="Q63" s="153">
        <f t="shared" si="13"/>
        <v>0</v>
      </c>
      <c r="R63" s="153">
        <f t="shared" si="14"/>
        <v>0</v>
      </c>
      <c r="S63" s="153">
        <f t="shared" si="15"/>
        <v>2470</v>
      </c>
      <c r="T63" s="153">
        <f t="shared" si="16"/>
        <v>0</v>
      </c>
      <c r="U63" s="153">
        <f t="shared" si="17"/>
        <v>23140</v>
      </c>
      <c r="V63" s="154">
        <f t="shared" si="18"/>
        <v>23140</v>
      </c>
      <c r="W63" s="154">
        <f t="shared" si="19"/>
        <v>0</v>
      </c>
    </row>
    <row r="64" spans="2:23" s="152" customFormat="1" ht="30">
      <c r="B64" s="148" t="s">
        <v>122</v>
      </c>
      <c r="C64" s="149" t="s">
        <v>123</v>
      </c>
      <c r="D64" s="150">
        <v>210</v>
      </c>
      <c r="E64" s="150">
        <v>210</v>
      </c>
      <c r="F64" s="151">
        <v>50</v>
      </c>
      <c r="G64" s="206">
        <v>0</v>
      </c>
      <c r="H64" s="206">
        <v>0</v>
      </c>
      <c r="I64" s="206">
        <v>3</v>
      </c>
      <c r="J64" s="206">
        <v>0</v>
      </c>
      <c r="K64" s="206">
        <f t="shared" si="10"/>
        <v>47</v>
      </c>
      <c r="L64" s="206">
        <v>47</v>
      </c>
      <c r="M64" s="206">
        <f t="shared" si="11"/>
        <v>0</v>
      </c>
      <c r="O64" s="155">
        <f t="shared" si="12"/>
        <v>10500</v>
      </c>
      <c r="P64" s="153">
        <v>0</v>
      </c>
      <c r="Q64" s="153">
        <f t="shared" si="13"/>
        <v>0</v>
      </c>
      <c r="R64" s="153">
        <f t="shared" si="14"/>
        <v>0</v>
      </c>
      <c r="S64" s="153">
        <f t="shared" si="15"/>
        <v>630</v>
      </c>
      <c r="T64" s="153">
        <f t="shared" si="16"/>
        <v>0</v>
      </c>
      <c r="U64" s="153">
        <f t="shared" si="17"/>
        <v>9870</v>
      </c>
      <c r="V64" s="154">
        <f t="shared" si="18"/>
        <v>9870</v>
      </c>
      <c r="W64" s="154">
        <f t="shared" si="19"/>
        <v>0</v>
      </c>
    </row>
    <row r="65" spans="2:23" s="152" customFormat="1" ht="30">
      <c r="B65" s="148" t="s">
        <v>124</v>
      </c>
      <c r="C65" s="149" t="s">
        <v>125</v>
      </c>
      <c r="D65" s="150">
        <v>190</v>
      </c>
      <c r="E65" s="150">
        <v>190</v>
      </c>
      <c r="F65" s="151">
        <v>49</v>
      </c>
      <c r="G65" s="206">
        <v>0</v>
      </c>
      <c r="H65" s="206">
        <v>0</v>
      </c>
      <c r="I65" s="206">
        <v>1</v>
      </c>
      <c r="J65" s="206">
        <v>0</v>
      </c>
      <c r="K65" s="206">
        <f t="shared" si="10"/>
        <v>48</v>
      </c>
      <c r="L65" s="206">
        <v>48</v>
      </c>
      <c r="M65" s="206">
        <f t="shared" si="11"/>
        <v>0</v>
      </c>
      <c r="O65" s="155">
        <f t="shared" si="12"/>
        <v>9310</v>
      </c>
      <c r="P65" s="153">
        <v>0</v>
      </c>
      <c r="Q65" s="153">
        <f t="shared" si="13"/>
        <v>0</v>
      </c>
      <c r="R65" s="153">
        <f t="shared" si="14"/>
        <v>0</v>
      </c>
      <c r="S65" s="153">
        <f t="shared" si="15"/>
        <v>190</v>
      </c>
      <c r="T65" s="153">
        <f t="shared" si="16"/>
        <v>0</v>
      </c>
      <c r="U65" s="153">
        <f t="shared" si="17"/>
        <v>9120</v>
      </c>
      <c r="V65" s="154">
        <f t="shared" si="18"/>
        <v>9120</v>
      </c>
      <c r="W65" s="154">
        <f t="shared" si="19"/>
        <v>0</v>
      </c>
    </row>
    <row r="66" spans="2:23" s="152" customFormat="1" ht="30">
      <c r="B66" s="148" t="s">
        <v>126</v>
      </c>
      <c r="C66" s="149" t="s">
        <v>127</v>
      </c>
      <c r="D66" s="150">
        <v>197.06</v>
      </c>
      <c r="E66" s="150">
        <v>197.06</v>
      </c>
      <c r="F66" s="151">
        <v>70</v>
      </c>
      <c r="G66" s="206">
        <v>0</v>
      </c>
      <c r="H66" s="206">
        <v>0</v>
      </c>
      <c r="I66" s="206">
        <v>0</v>
      </c>
      <c r="J66" s="206">
        <v>0</v>
      </c>
      <c r="K66" s="206">
        <f t="shared" si="10"/>
        <v>70</v>
      </c>
      <c r="L66" s="206">
        <v>70</v>
      </c>
      <c r="M66" s="206">
        <f t="shared" si="11"/>
        <v>0</v>
      </c>
      <c r="O66" s="155">
        <f t="shared" si="12"/>
        <v>13794.2</v>
      </c>
      <c r="P66" s="153">
        <v>0</v>
      </c>
      <c r="Q66" s="153">
        <f t="shared" si="13"/>
        <v>0</v>
      </c>
      <c r="R66" s="153">
        <f t="shared" si="14"/>
        <v>0</v>
      </c>
      <c r="S66" s="153">
        <f t="shared" si="15"/>
        <v>0</v>
      </c>
      <c r="T66" s="153">
        <f t="shared" si="16"/>
        <v>0</v>
      </c>
      <c r="U66" s="153">
        <f t="shared" si="17"/>
        <v>13794.2</v>
      </c>
      <c r="V66" s="154">
        <f t="shared" si="18"/>
        <v>13794.2</v>
      </c>
      <c r="W66" s="154">
        <f t="shared" si="19"/>
        <v>0</v>
      </c>
    </row>
    <row r="67" spans="2:23" s="152" customFormat="1" ht="30">
      <c r="B67" s="148" t="s">
        <v>128</v>
      </c>
      <c r="C67" s="149" t="s">
        <v>129</v>
      </c>
      <c r="D67" s="150">
        <v>220</v>
      </c>
      <c r="E67" s="150">
        <v>220</v>
      </c>
      <c r="F67" s="151">
        <v>44</v>
      </c>
      <c r="G67" s="206">
        <v>0</v>
      </c>
      <c r="H67" s="206">
        <v>0</v>
      </c>
      <c r="I67" s="206">
        <v>2</v>
      </c>
      <c r="J67" s="206">
        <v>0</v>
      </c>
      <c r="K67" s="206">
        <f t="shared" si="10"/>
        <v>42</v>
      </c>
      <c r="L67" s="206">
        <v>42</v>
      </c>
      <c r="M67" s="206">
        <f t="shared" si="11"/>
        <v>0</v>
      </c>
      <c r="O67" s="155">
        <f t="shared" si="12"/>
        <v>9680</v>
      </c>
      <c r="P67" s="153">
        <v>0</v>
      </c>
      <c r="Q67" s="153">
        <f t="shared" si="13"/>
        <v>0</v>
      </c>
      <c r="R67" s="153">
        <f t="shared" si="14"/>
        <v>0</v>
      </c>
      <c r="S67" s="153">
        <f t="shared" si="15"/>
        <v>440</v>
      </c>
      <c r="T67" s="153">
        <f t="shared" si="16"/>
        <v>0</v>
      </c>
      <c r="U67" s="153">
        <f t="shared" si="17"/>
        <v>9240</v>
      </c>
      <c r="V67" s="154">
        <f t="shared" si="18"/>
        <v>9240</v>
      </c>
      <c r="W67" s="154">
        <f t="shared" si="19"/>
        <v>0</v>
      </c>
    </row>
    <row r="68" spans="2:23" s="152" customFormat="1">
      <c r="B68" s="148" t="s">
        <v>130</v>
      </c>
      <c r="C68" s="149" t="s">
        <v>131</v>
      </c>
      <c r="D68" s="150">
        <v>9.73</v>
      </c>
      <c r="E68" s="150">
        <v>9.73</v>
      </c>
      <c r="F68" s="151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f t="shared" si="10"/>
        <v>0</v>
      </c>
      <c r="L68" s="206">
        <v>0</v>
      </c>
      <c r="M68" s="206">
        <f t="shared" si="11"/>
        <v>0</v>
      </c>
      <c r="O68" s="155">
        <f t="shared" si="12"/>
        <v>0</v>
      </c>
      <c r="P68" s="153">
        <v>0</v>
      </c>
      <c r="Q68" s="153">
        <f t="shared" si="13"/>
        <v>0</v>
      </c>
      <c r="R68" s="153">
        <f t="shared" si="14"/>
        <v>0</v>
      </c>
      <c r="S68" s="153">
        <f t="shared" si="15"/>
        <v>0</v>
      </c>
      <c r="T68" s="153">
        <f t="shared" si="16"/>
        <v>0</v>
      </c>
      <c r="U68" s="153">
        <f t="shared" si="17"/>
        <v>0</v>
      </c>
      <c r="V68" s="154">
        <f t="shared" si="18"/>
        <v>0</v>
      </c>
      <c r="W68" s="154">
        <f t="shared" si="19"/>
        <v>0</v>
      </c>
    </row>
    <row r="69" spans="2:23" s="152" customFormat="1">
      <c r="B69" s="148" t="s">
        <v>132</v>
      </c>
      <c r="C69" s="149" t="s">
        <v>133</v>
      </c>
      <c r="D69" s="150">
        <v>33</v>
      </c>
      <c r="E69" s="150">
        <v>33</v>
      </c>
      <c r="F69" s="151">
        <v>441</v>
      </c>
      <c r="G69" s="206">
        <v>0</v>
      </c>
      <c r="H69" s="206">
        <v>0</v>
      </c>
      <c r="I69" s="206">
        <v>22</v>
      </c>
      <c r="J69" s="206">
        <v>0</v>
      </c>
      <c r="K69" s="206">
        <f t="shared" si="10"/>
        <v>419</v>
      </c>
      <c r="L69" s="206">
        <v>419</v>
      </c>
      <c r="M69" s="206">
        <f t="shared" si="11"/>
        <v>0</v>
      </c>
      <c r="O69" s="155">
        <f t="shared" si="12"/>
        <v>14553</v>
      </c>
      <c r="P69" s="153">
        <v>0</v>
      </c>
      <c r="Q69" s="153">
        <f t="shared" si="13"/>
        <v>0</v>
      </c>
      <c r="R69" s="153">
        <f t="shared" si="14"/>
        <v>0</v>
      </c>
      <c r="S69" s="153">
        <f t="shared" si="15"/>
        <v>726</v>
      </c>
      <c r="T69" s="153">
        <f t="shared" si="16"/>
        <v>0</v>
      </c>
      <c r="U69" s="153">
        <f t="shared" si="17"/>
        <v>13827</v>
      </c>
      <c r="V69" s="154">
        <f t="shared" si="18"/>
        <v>13827</v>
      </c>
      <c r="W69" s="154">
        <f t="shared" si="19"/>
        <v>0</v>
      </c>
    </row>
    <row r="70" spans="2:23" s="152" customFormat="1">
      <c r="B70" s="148" t="s">
        <v>134</v>
      </c>
      <c r="C70" s="149" t="s">
        <v>135</v>
      </c>
      <c r="D70" s="150">
        <v>38</v>
      </c>
      <c r="E70" s="150">
        <v>38</v>
      </c>
      <c r="F70" s="151">
        <v>81</v>
      </c>
      <c r="G70" s="206">
        <v>0</v>
      </c>
      <c r="H70" s="206">
        <v>0</v>
      </c>
      <c r="I70" s="206">
        <v>10</v>
      </c>
      <c r="J70" s="206">
        <v>0</v>
      </c>
      <c r="K70" s="206">
        <f t="shared" si="10"/>
        <v>71</v>
      </c>
      <c r="L70" s="206">
        <v>71</v>
      </c>
      <c r="M70" s="206">
        <f t="shared" si="11"/>
        <v>0</v>
      </c>
      <c r="O70" s="155">
        <f t="shared" si="12"/>
        <v>3078</v>
      </c>
      <c r="P70" s="153">
        <v>0</v>
      </c>
      <c r="Q70" s="153">
        <f t="shared" si="13"/>
        <v>0</v>
      </c>
      <c r="R70" s="153">
        <f t="shared" si="14"/>
        <v>0</v>
      </c>
      <c r="S70" s="153">
        <f t="shared" si="15"/>
        <v>380</v>
      </c>
      <c r="T70" s="153">
        <f t="shared" si="16"/>
        <v>0</v>
      </c>
      <c r="U70" s="153">
        <f t="shared" si="17"/>
        <v>2698</v>
      </c>
      <c r="V70" s="154">
        <f t="shared" si="18"/>
        <v>2698</v>
      </c>
      <c r="W70" s="154">
        <f t="shared" si="19"/>
        <v>0</v>
      </c>
    </row>
    <row r="71" spans="2:23" s="152" customFormat="1">
      <c r="B71" s="148" t="s">
        <v>136</v>
      </c>
      <c r="C71" s="149" t="s">
        <v>137</v>
      </c>
      <c r="D71" s="150">
        <v>31</v>
      </c>
      <c r="E71" s="150">
        <v>31</v>
      </c>
      <c r="F71" s="151">
        <v>22</v>
      </c>
      <c r="G71" s="206">
        <v>0</v>
      </c>
      <c r="H71" s="206">
        <v>0</v>
      </c>
      <c r="I71" s="206">
        <v>6</v>
      </c>
      <c r="J71" s="206">
        <v>0</v>
      </c>
      <c r="K71" s="206">
        <f t="shared" si="10"/>
        <v>16</v>
      </c>
      <c r="L71" s="206">
        <v>16</v>
      </c>
      <c r="M71" s="206">
        <f t="shared" si="11"/>
        <v>0</v>
      </c>
      <c r="O71" s="155">
        <f t="shared" si="12"/>
        <v>682</v>
      </c>
      <c r="P71" s="153">
        <v>0</v>
      </c>
      <c r="Q71" s="153">
        <f t="shared" si="13"/>
        <v>0</v>
      </c>
      <c r="R71" s="153">
        <f t="shared" si="14"/>
        <v>0</v>
      </c>
      <c r="S71" s="153">
        <f t="shared" si="15"/>
        <v>186</v>
      </c>
      <c r="T71" s="153">
        <f t="shared" si="16"/>
        <v>0</v>
      </c>
      <c r="U71" s="153">
        <f t="shared" si="17"/>
        <v>496</v>
      </c>
      <c r="V71" s="154">
        <f t="shared" si="18"/>
        <v>496</v>
      </c>
      <c r="W71" s="154">
        <f t="shared" si="19"/>
        <v>0</v>
      </c>
    </row>
    <row r="72" spans="2:23" s="152" customFormat="1">
      <c r="B72" s="148" t="s">
        <v>138</v>
      </c>
      <c r="C72" s="149" t="s">
        <v>139</v>
      </c>
      <c r="D72" s="150">
        <v>66.87</v>
      </c>
      <c r="E72" s="150">
        <v>66.87</v>
      </c>
      <c r="F72" s="151">
        <v>0</v>
      </c>
      <c r="G72" s="206">
        <v>0</v>
      </c>
      <c r="H72" s="206">
        <v>0</v>
      </c>
      <c r="I72" s="206">
        <v>0</v>
      </c>
      <c r="J72" s="206">
        <v>0</v>
      </c>
      <c r="K72" s="206">
        <f t="shared" si="10"/>
        <v>0</v>
      </c>
      <c r="L72" s="206">
        <v>0</v>
      </c>
      <c r="M72" s="206">
        <f t="shared" si="11"/>
        <v>0</v>
      </c>
      <c r="O72" s="155">
        <f t="shared" si="12"/>
        <v>0</v>
      </c>
      <c r="P72" s="153">
        <v>0</v>
      </c>
      <c r="Q72" s="153">
        <f t="shared" si="13"/>
        <v>0</v>
      </c>
      <c r="R72" s="153">
        <f t="shared" si="14"/>
        <v>0</v>
      </c>
      <c r="S72" s="153">
        <f t="shared" si="15"/>
        <v>0</v>
      </c>
      <c r="T72" s="153">
        <f t="shared" si="16"/>
        <v>0</v>
      </c>
      <c r="U72" s="153">
        <f t="shared" si="17"/>
        <v>0</v>
      </c>
      <c r="V72" s="154">
        <f t="shared" si="18"/>
        <v>0</v>
      </c>
      <c r="W72" s="154">
        <f t="shared" si="19"/>
        <v>0</v>
      </c>
    </row>
    <row r="73" spans="2:23" s="152" customFormat="1">
      <c r="B73" s="148" t="s">
        <v>140</v>
      </c>
      <c r="C73" s="149" t="s">
        <v>141</v>
      </c>
      <c r="D73" s="150">
        <v>9.33</v>
      </c>
      <c r="E73" s="150">
        <v>9.33</v>
      </c>
      <c r="F73" s="151">
        <v>0</v>
      </c>
      <c r="G73" s="206">
        <v>0</v>
      </c>
      <c r="H73" s="206">
        <v>0</v>
      </c>
      <c r="I73" s="206">
        <v>0</v>
      </c>
      <c r="J73" s="206">
        <v>0</v>
      </c>
      <c r="K73" s="206">
        <f t="shared" si="10"/>
        <v>0</v>
      </c>
      <c r="L73" s="206">
        <v>0</v>
      </c>
      <c r="M73" s="206">
        <f t="shared" si="11"/>
        <v>0</v>
      </c>
      <c r="O73" s="155">
        <f t="shared" si="12"/>
        <v>0</v>
      </c>
      <c r="P73" s="153">
        <v>0</v>
      </c>
      <c r="Q73" s="153">
        <f t="shared" si="13"/>
        <v>0</v>
      </c>
      <c r="R73" s="153">
        <f t="shared" si="14"/>
        <v>0</v>
      </c>
      <c r="S73" s="153">
        <f t="shared" si="15"/>
        <v>0</v>
      </c>
      <c r="T73" s="153">
        <f t="shared" si="16"/>
        <v>0</v>
      </c>
      <c r="U73" s="153">
        <f t="shared" si="17"/>
        <v>0</v>
      </c>
      <c r="V73" s="154">
        <f t="shared" si="18"/>
        <v>0</v>
      </c>
      <c r="W73" s="154">
        <f t="shared" si="19"/>
        <v>0</v>
      </c>
    </row>
    <row r="74" spans="2:23" s="152" customFormat="1">
      <c r="B74" s="148" t="s">
        <v>142</v>
      </c>
      <c r="C74" s="149" t="s">
        <v>143</v>
      </c>
      <c r="D74" s="150">
        <v>31.89</v>
      </c>
      <c r="E74" s="150">
        <v>31.89</v>
      </c>
      <c r="F74" s="151">
        <v>0</v>
      </c>
      <c r="G74" s="206">
        <v>0</v>
      </c>
      <c r="H74" s="206">
        <v>0</v>
      </c>
      <c r="I74" s="206">
        <v>0</v>
      </c>
      <c r="J74" s="206">
        <v>0</v>
      </c>
      <c r="K74" s="206">
        <f t="shared" ref="K74:K105" si="20">F74+G74+H74-I74-J74</f>
        <v>0</v>
      </c>
      <c r="L74" s="206">
        <v>0</v>
      </c>
      <c r="M74" s="206">
        <f t="shared" ref="M74:M105" si="21">L74-K74</f>
        <v>0</v>
      </c>
      <c r="O74" s="155">
        <f t="shared" ref="O74:O94" si="22">F74*D74</f>
        <v>0</v>
      </c>
      <c r="P74" s="153">
        <v>0</v>
      </c>
      <c r="Q74" s="153">
        <f t="shared" ref="Q74:Q94" si="23">G74*E74</f>
        <v>0</v>
      </c>
      <c r="R74" s="153">
        <f t="shared" ref="R74:R94" si="24">H74*E74</f>
        <v>0</v>
      </c>
      <c r="S74" s="153">
        <f t="shared" ref="S74:S94" si="25">I74*E74</f>
        <v>0</v>
      </c>
      <c r="T74" s="153">
        <f t="shared" ref="T74:T94" si="26">J74*E74</f>
        <v>0</v>
      </c>
      <c r="U74" s="153">
        <f t="shared" ref="U74:U105" si="27">+O74+P74+Q74+R74-S74-T74</f>
        <v>0</v>
      </c>
      <c r="V74" s="154">
        <f t="shared" ref="V74:V94" si="28">K74*E74</f>
        <v>0</v>
      </c>
      <c r="W74" s="154">
        <f t="shared" ref="W74:W105" si="29">V74-U74</f>
        <v>0</v>
      </c>
    </row>
    <row r="75" spans="2:23" s="152" customFormat="1">
      <c r="B75" s="148" t="s">
        <v>144</v>
      </c>
      <c r="C75" s="149" t="s">
        <v>145</v>
      </c>
      <c r="D75" s="150">
        <v>145</v>
      </c>
      <c r="E75" s="150">
        <v>145</v>
      </c>
      <c r="F75" s="151">
        <v>115</v>
      </c>
      <c r="G75" s="206">
        <v>0</v>
      </c>
      <c r="H75" s="206">
        <v>0</v>
      </c>
      <c r="I75" s="206">
        <v>8</v>
      </c>
      <c r="J75" s="206">
        <v>0</v>
      </c>
      <c r="K75" s="206">
        <f t="shared" si="20"/>
        <v>107</v>
      </c>
      <c r="L75" s="206">
        <v>107</v>
      </c>
      <c r="M75" s="206">
        <f t="shared" si="21"/>
        <v>0</v>
      </c>
      <c r="O75" s="155">
        <f t="shared" si="22"/>
        <v>16675</v>
      </c>
      <c r="P75" s="153">
        <v>0</v>
      </c>
      <c r="Q75" s="153">
        <f t="shared" si="23"/>
        <v>0</v>
      </c>
      <c r="R75" s="153">
        <f t="shared" si="24"/>
        <v>0</v>
      </c>
      <c r="S75" s="153">
        <f t="shared" si="25"/>
        <v>1160</v>
      </c>
      <c r="T75" s="153">
        <f t="shared" si="26"/>
        <v>0</v>
      </c>
      <c r="U75" s="153">
        <f t="shared" si="27"/>
        <v>15515</v>
      </c>
      <c r="V75" s="154">
        <f t="shared" si="28"/>
        <v>15515</v>
      </c>
      <c r="W75" s="154">
        <f t="shared" si="29"/>
        <v>0</v>
      </c>
    </row>
    <row r="76" spans="2:23" s="152" customFormat="1">
      <c r="B76" s="148" t="s">
        <v>146</v>
      </c>
      <c r="C76" s="149" t="s">
        <v>147</v>
      </c>
      <c r="D76" s="150">
        <v>79</v>
      </c>
      <c r="E76" s="150">
        <v>79</v>
      </c>
      <c r="F76" s="151">
        <v>0</v>
      </c>
      <c r="G76" s="206">
        <v>0</v>
      </c>
      <c r="H76" s="206">
        <v>0</v>
      </c>
      <c r="I76" s="206">
        <v>0</v>
      </c>
      <c r="J76" s="206">
        <v>0</v>
      </c>
      <c r="K76" s="206">
        <f t="shared" si="20"/>
        <v>0</v>
      </c>
      <c r="L76" s="206">
        <v>0</v>
      </c>
      <c r="M76" s="206">
        <f t="shared" si="21"/>
        <v>0</v>
      </c>
      <c r="O76" s="155">
        <f t="shared" si="22"/>
        <v>0</v>
      </c>
      <c r="P76" s="153">
        <v>0</v>
      </c>
      <c r="Q76" s="153">
        <f t="shared" si="23"/>
        <v>0</v>
      </c>
      <c r="R76" s="153">
        <f t="shared" si="24"/>
        <v>0</v>
      </c>
      <c r="S76" s="153">
        <f t="shared" si="25"/>
        <v>0</v>
      </c>
      <c r="T76" s="153">
        <f t="shared" si="26"/>
        <v>0</v>
      </c>
      <c r="U76" s="153">
        <f t="shared" si="27"/>
        <v>0</v>
      </c>
      <c r="V76" s="154">
        <f t="shared" si="28"/>
        <v>0</v>
      </c>
      <c r="W76" s="154">
        <f t="shared" si="29"/>
        <v>0</v>
      </c>
    </row>
    <row r="77" spans="2:23" s="152" customFormat="1">
      <c r="B77" s="148" t="s">
        <v>148</v>
      </c>
      <c r="C77" s="149" t="s">
        <v>149</v>
      </c>
      <c r="D77" s="150">
        <v>44</v>
      </c>
      <c r="E77" s="150">
        <v>44</v>
      </c>
      <c r="F77" s="151">
        <v>294</v>
      </c>
      <c r="G77" s="206">
        <v>0</v>
      </c>
      <c r="H77" s="206">
        <v>0</v>
      </c>
      <c r="I77" s="206">
        <v>27</v>
      </c>
      <c r="J77" s="206">
        <v>0</v>
      </c>
      <c r="K77" s="206">
        <f t="shared" si="20"/>
        <v>267</v>
      </c>
      <c r="L77" s="206">
        <v>267</v>
      </c>
      <c r="M77" s="206">
        <f t="shared" si="21"/>
        <v>0</v>
      </c>
      <c r="O77" s="155">
        <f t="shared" si="22"/>
        <v>12936</v>
      </c>
      <c r="P77" s="153">
        <v>0</v>
      </c>
      <c r="Q77" s="153">
        <f t="shared" si="23"/>
        <v>0</v>
      </c>
      <c r="R77" s="153">
        <f t="shared" si="24"/>
        <v>0</v>
      </c>
      <c r="S77" s="153">
        <f t="shared" si="25"/>
        <v>1188</v>
      </c>
      <c r="T77" s="153">
        <f t="shared" si="26"/>
        <v>0</v>
      </c>
      <c r="U77" s="153">
        <f t="shared" si="27"/>
        <v>11748</v>
      </c>
      <c r="V77" s="154">
        <f t="shared" si="28"/>
        <v>11748</v>
      </c>
      <c r="W77" s="154">
        <f t="shared" si="29"/>
        <v>0</v>
      </c>
    </row>
    <row r="78" spans="2:23" s="152" customFormat="1">
      <c r="B78" s="148" t="s">
        <v>150</v>
      </c>
      <c r="C78" s="149" t="s">
        <v>151</v>
      </c>
      <c r="D78" s="150">
        <v>45.38</v>
      </c>
      <c r="E78" s="150">
        <v>45.38</v>
      </c>
      <c r="F78" s="151">
        <v>0</v>
      </c>
      <c r="G78" s="206">
        <v>0</v>
      </c>
      <c r="H78" s="206">
        <v>0</v>
      </c>
      <c r="I78" s="206">
        <v>0</v>
      </c>
      <c r="J78" s="206">
        <v>0</v>
      </c>
      <c r="K78" s="206">
        <f t="shared" si="20"/>
        <v>0</v>
      </c>
      <c r="L78" s="206">
        <v>0</v>
      </c>
      <c r="M78" s="206">
        <f t="shared" si="21"/>
        <v>0</v>
      </c>
      <c r="O78" s="155">
        <f t="shared" si="22"/>
        <v>0</v>
      </c>
      <c r="P78" s="153">
        <v>0</v>
      </c>
      <c r="Q78" s="153">
        <f t="shared" si="23"/>
        <v>0</v>
      </c>
      <c r="R78" s="153">
        <f t="shared" si="24"/>
        <v>0</v>
      </c>
      <c r="S78" s="153">
        <f t="shared" si="25"/>
        <v>0</v>
      </c>
      <c r="T78" s="153">
        <f t="shared" si="26"/>
        <v>0</v>
      </c>
      <c r="U78" s="153">
        <f t="shared" si="27"/>
        <v>0</v>
      </c>
      <c r="V78" s="154">
        <f t="shared" si="28"/>
        <v>0</v>
      </c>
      <c r="W78" s="154">
        <f t="shared" si="29"/>
        <v>0</v>
      </c>
    </row>
    <row r="79" spans="2:23" s="152" customFormat="1">
      <c r="B79" s="148" t="s">
        <v>152</v>
      </c>
      <c r="C79" s="149" t="s">
        <v>153</v>
      </c>
      <c r="D79" s="150">
        <v>56</v>
      </c>
      <c r="E79" s="150">
        <v>56</v>
      </c>
      <c r="F79" s="151">
        <v>148</v>
      </c>
      <c r="G79" s="206">
        <v>0</v>
      </c>
      <c r="H79" s="206">
        <v>0</v>
      </c>
      <c r="I79" s="206">
        <v>9</v>
      </c>
      <c r="J79" s="206">
        <v>0</v>
      </c>
      <c r="K79" s="206">
        <f t="shared" si="20"/>
        <v>139</v>
      </c>
      <c r="L79" s="206">
        <v>139</v>
      </c>
      <c r="M79" s="206">
        <f t="shared" si="21"/>
        <v>0</v>
      </c>
      <c r="O79" s="155">
        <f t="shared" si="22"/>
        <v>8288</v>
      </c>
      <c r="P79" s="153">
        <v>0</v>
      </c>
      <c r="Q79" s="153">
        <f t="shared" si="23"/>
        <v>0</v>
      </c>
      <c r="R79" s="153">
        <f t="shared" si="24"/>
        <v>0</v>
      </c>
      <c r="S79" s="153">
        <f t="shared" si="25"/>
        <v>504</v>
      </c>
      <c r="T79" s="153">
        <f t="shared" si="26"/>
        <v>0</v>
      </c>
      <c r="U79" s="153">
        <f t="shared" si="27"/>
        <v>7784</v>
      </c>
      <c r="V79" s="154">
        <f t="shared" si="28"/>
        <v>7784</v>
      </c>
      <c r="W79" s="154">
        <f t="shared" si="29"/>
        <v>0</v>
      </c>
    </row>
    <row r="80" spans="2:23" s="152" customFormat="1">
      <c r="B80" s="148" t="s">
        <v>154</v>
      </c>
      <c r="C80" s="149" t="s">
        <v>155</v>
      </c>
      <c r="D80" s="150">
        <v>49</v>
      </c>
      <c r="E80" s="150">
        <v>49</v>
      </c>
      <c r="F80" s="151">
        <v>0</v>
      </c>
      <c r="G80" s="206">
        <v>0</v>
      </c>
      <c r="H80" s="206">
        <v>0</v>
      </c>
      <c r="I80" s="206">
        <v>0</v>
      </c>
      <c r="J80" s="206">
        <v>0</v>
      </c>
      <c r="K80" s="206">
        <f t="shared" si="20"/>
        <v>0</v>
      </c>
      <c r="L80" s="206">
        <v>0</v>
      </c>
      <c r="M80" s="206">
        <f t="shared" si="21"/>
        <v>0</v>
      </c>
      <c r="O80" s="155">
        <f t="shared" si="22"/>
        <v>0</v>
      </c>
      <c r="P80" s="153">
        <v>0</v>
      </c>
      <c r="Q80" s="153">
        <f t="shared" si="23"/>
        <v>0</v>
      </c>
      <c r="R80" s="153">
        <f t="shared" si="24"/>
        <v>0</v>
      </c>
      <c r="S80" s="153">
        <f t="shared" si="25"/>
        <v>0</v>
      </c>
      <c r="T80" s="153">
        <f t="shared" si="26"/>
        <v>0</v>
      </c>
      <c r="U80" s="153">
        <f t="shared" si="27"/>
        <v>0</v>
      </c>
      <c r="V80" s="154">
        <f t="shared" si="28"/>
        <v>0</v>
      </c>
      <c r="W80" s="154">
        <f t="shared" si="29"/>
        <v>0</v>
      </c>
    </row>
    <row r="81" spans="2:23" s="152" customFormat="1">
      <c r="B81" s="148" t="s">
        <v>156</v>
      </c>
      <c r="C81" s="149" t="s">
        <v>157</v>
      </c>
      <c r="D81" s="150">
        <v>67</v>
      </c>
      <c r="E81" s="150">
        <v>67</v>
      </c>
      <c r="F81" s="151">
        <v>434</v>
      </c>
      <c r="G81" s="206">
        <v>0</v>
      </c>
      <c r="H81" s="206">
        <v>0</v>
      </c>
      <c r="I81" s="206">
        <v>10</v>
      </c>
      <c r="J81" s="206">
        <v>0</v>
      </c>
      <c r="K81" s="206">
        <f t="shared" si="20"/>
        <v>424</v>
      </c>
      <c r="L81" s="206">
        <v>424</v>
      </c>
      <c r="M81" s="206">
        <f t="shared" si="21"/>
        <v>0</v>
      </c>
      <c r="O81" s="155">
        <f t="shared" si="22"/>
        <v>29078</v>
      </c>
      <c r="P81" s="153">
        <v>0</v>
      </c>
      <c r="Q81" s="153">
        <f t="shared" si="23"/>
        <v>0</v>
      </c>
      <c r="R81" s="153">
        <f t="shared" si="24"/>
        <v>0</v>
      </c>
      <c r="S81" s="153">
        <f t="shared" si="25"/>
        <v>670</v>
      </c>
      <c r="T81" s="153">
        <f t="shared" si="26"/>
        <v>0</v>
      </c>
      <c r="U81" s="153">
        <f t="shared" si="27"/>
        <v>28408</v>
      </c>
      <c r="V81" s="154">
        <f t="shared" si="28"/>
        <v>28408</v>
      </c>
      <c r="W81" s="154">
        <f t="shared" si="29"/>
        <v>0</v>
      </c>
    </row>
    <row r="82" spans="2:23" s="152" customFormat="1">
      <c r="B82" s="148" t="s">
        <v>158</v>
      </c>
      <c r="C82" s="149" t="s">
        <v>159</v>
      </c>
      <c r="D82" s="150">
        <v>73.69</v>
      </c>
      <c r="E82" s="150">
        <v>73.69</v>
      </c>
      <c r="F82" s="151">
        <v>0</v>
      </c>
      <c r="G82" s="206">
        <v>0</v>
      </c>
      <c r="H82" s="206">
        <v>0</v>
      </c>
      <c r="I82" s="206">
        <v>0</v>
      </c>
      <c r="J82" s="206">
        <v>0</v>
      </c>
      <c r="K82" s="206">
        <f t="shared" si="20"/>
        <v>0</v>
      </c>
      <c r="L82" s="206">
        <v>0</v>
      </c>
      <c r="M82" s="206">
        <f t="shared" si="21"/>
        <v>0</v>
      </c>
      <c r="O82" s="155">
        <f t="shared" si="22"/>
        <v>0</v>
      </c>
      <c r="P82" s="153">
        <v>0</v>
      </c>
      <c r="Q82" s="153">
        <f t="shared" si="23"/>
        <v>0</v>
      </c>
      <c r="R82" s="153">
        <f t="shared" si="24"/>
        <v>0</v>
      </c>
      <c r="S82" s="153">
        <f t="shared" si="25"/>
        <v>0</v>
      </c>
      <c r="T82" s="153">
        <f t="shared" si="26"/>
        <v>0</v>
      </c>
      <c r="U82" s="153">
        <f t="shared" si="27"/>
        <v>0</v>
      </c>
      <c r="V82" s="154">
        <f t="shared" si="28"/>
        <v>0</v>
      </c>
      <c r="W82" s="154">
        <f t="shared" si="29"/>
        <v>0</v>
      </c>
    </row>
    <row r="83" spans="2:23" s="152" customFormat="1">
      <c r="B83" s="148" t="s">
        <v>160</v>
      </c>
      <c r="C83" s="149" t="s">
        <v>161</v>
      </c>
      <c r="D83" s="150">
        <v>65</v>
      </c>
      <c r="E83" s="150">
        <v>65</v>
      </c>
      <c r="F83" s="151">
        <v>134</v>
      </c>
      <c r="G83" s="206">
        <v>0</v>
      </c>
      <c r="H83" s="206">
        <v>0</v>
      </c>
      <c r="I83" s="206">
        <v>14</v>
      </c>
      <c r="J83" s="206">
        <v>0</v>
      </c>
      <c r="K83" s="206">
        <f t="shared" si="20"/>
        <v>120</v>
      </c>
      <c r="L83" s="206">
        <v>120</v>
      </c>
      <c r="M83" s="206">
        <f t="shared" si="21"/>
        <v>0</v>
      </c>
      <c r="O83" s="155">
        <f t="shared" si="22"/>
        <v>8710</v>
      </c>
      <c r="P83" s="153">
        <v>0</v>
      </c>
      <c r="Q83" s="153">
        <f t="shared" si="23"/>
        <v>0</v>
      </c>
      <c r="R83" s="153">
        <f t="shared" si="24"/>
        <v>0</v>
      </c>
      <c r="S83" s="153">
        <f t="shared" si="25"/>
        <v>910</v>
      </c>
      <c r="T83" s="153">
        <f t="shared" si="26"/>
        <v>0</v>
      </c>
      <c r="U83" s="153">
        <f t="shared" si="27"/>
        <v>7800</v>
      </c>
      <c r="V83" s="154">
        <f t="shared" si="28"/>
        <v>7800</v>
      </c>
      <c r="W83" s="154">
        <f t="shared" si="29"/>
        <v>0</v>
      </c>
    </row>
    <row r="84" spans="2:23" s="152" customFormat="1">
      <c r="B84" s="148" t="s">
        <v>162</v>
      </c>
      <c r="C84" s="149" t="s">
        <v>163</v>
      </c>
      <c r="D84" s="150">
        <v>73.62</v>
      </c>
      <c r="E84" s="150">
        <v>73.62</v>
      </c>
      <c r="F84" s="151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f t="shared" si="20"/>
        <v>0</v>
      </c>
      <c r="L84" s="206">
        <v>0</v>
      </c>
      <c r="M84" s="206">
        <f t="shared" si="21"/>
        <v>0</v>
      </c>
      <c r="O84" s="155">
        <f t="shared" si="22"/>
        <v>0</v>
      </c>
      <c r="P84" s="153">
        <v>0</v>
      </c>
      <c r="Q84" s="153">
        <f t="shared" si="23"/>
        <v>0</v>
      </c>
      <c r="R84" s="153">
        <f t="shared" si="24"/>
        <v>0</v>
      </c>
      <c r="S84" s="153">
        <f t="shared" si="25"/>
        <v>0</v>
      </c>
      <c r="T84" s="153">
        <f t="shared" si="26"/>
        <v>0</v>
      </c>
      <c r="U84" s="153">
        <f t="shared" si="27"/>
        <v>0</v>
      </c>
      <c r="V84" s="154">
        <f t="shared" si="28"/>
        <v>0</v>
      </c>
      <c r="W84" s="154">
        <f t="shared" si="29"/>
        <v>0</v>
      </c>
    </row>
    <row r="85" spans="2:23" s="152" customFormat="1">
      <c r="B85" s="148" t="s">
        <v>164</v>
      </c>
      <c r="C85" s="149" t="s">
        <v>165</v>
      </c>
      <c r="D85" s="150">
        <v>73.81</v>
      </c>
      <c r="E85" s="150">
        <v>73.81</v>
      </c>
      <c r="F85" s="151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f t="shared" si="20"/>
        <v>0</v>
      </c>
      <c r="L85" s="206">
        <v>0</v>
      </c>
      <c r="M85" s="206">
        <f t="shared" si="21"/>
        <v>0</v>
      </c>
      <c r="O85" s="155">
        <f t="shared" si="22"/>
        <v>0</v>
      </c>
      <c r="P85" s="153">
        <v>0</v>
      </c>
      <c r="Q85" s="153">
        <f t="shared" si="23"/>
        <v>0</v>
      </c>
      <c r="R85" s="153">
        <f t="shared" si="24"/>
        <v>0</v>
      </c>
      <c r="S85" s="153">
        <f t="shared" si="25"/>
        <v>0</v>
      </c>
      <c r="T85" s="153">
        <f t="shared" si="26"/>
        <v>0</v>
      </c>
      <c r="U85" s="153">
        <f t="shared" si="27"/>
        <v>0</v>
      </c>
      <c r="V85" s="154">
        <f t="shared" si="28"/>
        <v>0</v>
      </c>
      <c r="W85" s="154">
        <f t="shared" si="29"/>
        <v>0</v>
      </c>
    </row>
    <row r="86" spans="2:23" s="152" customFormat="1">
      <c r="B86" s="148" t="s">
        <v>166</v>
      </c>
      <c r="C86" s="149" t="s">
        <v>167</v>
      </c>
      <c r="D86" s="150">
        <v>31</v>
      </c>
      <c r="E86" s="150">
        <v>31</v>
      </c>
      <c r="F86" s="151">
        <v>312</v>
      </c>
      <c r="G86" s="206">
        <v>0</v>
      </c>
      <c r="H86" s="206">
        <v>0</v>
      </c>
      <c r="I86" s="206">
        <v>14</v>
      </c>
      <c r="J86" s="206">
        <v>0</v>
      </c>
      <c r="K86" s="206">
        <f t="shared" si="20"/>
        <v>298</v>
      </c>
      <c r="L86" s="206">
        <v>298</v>
      </c>
      <c r="M86" s="206">
        <f t="shared" si="21"/>
        <v>0</v>
      </c>
      <c r="O86" s="155">
        <f t="shared" si="22"/>
        <v>9672</v>
      </c>
      <c r="P86" s="153">
        <v>0</v>
      </c>
      <c r="Q86" s="153">
        <f t="shared" si="23"/>
        <v>0</v>
      </c>
      <c r="R86" s="153">
        <f t="shared" si="24"/>
        <v>0</v>
      </c>
      <c r="S86" s="153">
        <f t="shared" si="25"/>
        <v>434</v>
      </c>
      <c r="T86" s="153">
        <f t="shared" si="26"/>
        <v>0</v>
      </c>
      <c r="U86" s="153">
        <f t="shared" si="27"/>
        <v>9238</v>
      </c>
      <c r="V86" s="154">
        <f t="shared" si="28"/>
        <v>9238</v>
      </c>
      <c r="W86" s="154">
        <f t="shared" si="29"/>
        <v>0</v>
      </c>
    </row>
    <row r="87" spans="2:23" s="152" customFormat="1">
      <c r="B87" s="148" t="s">
        <v>168</v>
      </c>
      <c r="C87" s="149" t="s">
        <v>169</v>
      </c>
      <c r="D87" s="150">
        <v>40</v>
      </c>
      <c r="E87" s="150">
        <v>40</v>
      </c>
      <c r="F87" s="151">
        <v>382</v>
      </c>
      <c r="G87" s="206">
        <v>0</v>
      </c>
      <c r="H87" s="206">
        <v>0</v>
      </c>
      <c r="I87" s="206">
        <v>7</v>
      </c>
      <c r="J87" s="206">
        <v>0</v>
      </c>
      <c r="K87" s="206">
        <f t="shared" si="20"/>
        <v>375</v>
      </c>
      <c r="L87" s="206">
        <v>375</v>
      </c>
      <c r="M87" s="206">
        <f t="shared" si="21"/>
        <v>0</v>
      </c>
      <c r="O87" s="155">
        <f t="shared" si="22"/>
        <v>15280</v>
      </c>
      <c r="P87" s="153">
        <v>0</v>
      </c>
      <c r="Q87" s="153">
        <f t="shared" si="23"/>
        <v>0</v>
      </c>
      <c r="R87" s="153">
        <f t="shared" si="24"/>
        <v>0</v>
      </c>
      <c r="S87" s="153">
        <f t="shared" si="25"/>
        <v>280</v>
      </c>
      <c r="T87" s="153">
        <f t="shared" si="26"/>
        <v>0</v>
      </c>
      <c r="U87" s="153">
        <f t="shared" si="27"/>
        <v>15000</v>
      </c>
      <c r="V87" s="154">
        <f t="shared" si="28"/>
        <v>15000</v>
      </c>
      <c r="W87" s="154">
        <f t="shared" si="29"/>
        <v>0</v>
      </c>
    </row>
    <row r="88" spans="2:23" s="152" customFormat="1">
      <c r="B88" s="148" t="s">
        <v>170</v>
      </c>
      <c r="C88" s="149" t="s">
        <v>171</v>
      </c>
      <c r="D88" s="150">
        <v>16.809999999999999</v>
      </c>
      <c r="E88" s="150">
        <v>16.809999999999999</v>
      </c>
      <c r="F88" s="151">
        <v>0</v>
      </c>
      <c r="G88" s="206">
        <v>0</v>
      </c>
      <c r="H88" s="206">
        <v>0</v>
      </c>
      <c r="I88" s="206">
        <v>0</v>
      </c>
      <c r="J88" s="206">
        <v>0</v>
      </c>
      <c r="K88" s="206">
        <f t="shared" si="20"/>
        <v>0</v>
      </c>
      <c r="L88" s="206">
        <v>0</v>
      </c>
      <c r="M88" s="206">
        <f t="shared" si="21"/>
        <v>0</v>
      </c>
      <c r="O88" s="155">
        <f t="shared" si="22"/>
        <v>0</v>
      </c>
      <c r="P88" s="153">
        <v>0</v>
      </c>
      <c r="Q88" s="153">
        <f t="shared" si="23"/>
        <v>0</v>
      </c>
      <c r="R88" s="153">
        <f t="shared" si="24"/>
        <v>0</v>
      </c>
      <c r="S88" s="153">
        <f t="shared" si="25"/>
        <v>0</v>
      </c>
      <c r="T88" s="153">
        <f t="shared" si="26"/>
        <v>0</v>
      </c>
      <c r="U88" s="153">
        <f t="shared" si="27"/>
        <v>0</v>
      </c>
      <c r="V88" s="154">
        <f t="shared" si="28"/>
        <v>0</v>
      </c>
      <c r="W88" s="154">
        <f t="shared" si="29"/>
        <v>0</v>
      </c>
    </row>
    <row r="89" spans="2:23" s="152" customFormat="1">
      <c r="B89" s="148" t="s">
        <v>172</v>
      </c>
      <c r="C89" s="149" t="s">
        <v>173</v>
      </c>
      <c r="D89" s="150">
        <v>68</v>
      </c>
      <c r="E89" s="150">
        <v>68</v>
      </c>
      <c r="F89" s="151">
        <v>194</v>
      </c>
      <c r="G89" s="206">
        <v>0</v>
      </c>
      <c r="H89" s="206">
        <v>0</v>
      </c>
      <c r="I89" s="206">
        <v>13</v>
      </c>
      <c r="J89" s="206">
        <v>0</v>
      </c>
      <c r="K89" s="206">
        <f t="shared" si="20"/>
        <v>181</v>
      </c>
      <c r="L89" s="206">
        <v>181</v>
      </c>
      <c r="M89" s="206">
        <f t="shared" si="21"/>
        <v>0</v>
      </c>
      <c r="O89" s="155">
        <f t="shared" si="22"/>
        <v>13192</v>
      </c>
      <c r="P89" s="153">
        <v>0</v>
      </c>
      <c r="Q89" s="153">
        <f t="shared" si="23"/>
        <v>0</v>
      </c>
      <c r="R89" s="153">
        <f t="shared" si="24"/>
        <v>0</v>
      </c>
      <c r="S89" s="153">
        <f t="shared" si="25"/>
        <v>884</v>
      </c>
      <c r="T89" s="153">
        <f t="shared" si="26"/>
        <v>0</v>
      </c>
      <c r="U89" s="153">
        <f t="shared" si="27"/>
        <v>12308</v>
      </c>
      <c r="V89" s="154">
        <f t="shared" si="28"/>
        <v>12308</v>
      </c>
      <c r="W89" s="154">
        <f t="shared" si="29"/>
        <v>0</v>
      </c>
    </row>
    <row r="90" spans="2:23" s="152" customFormat="1">
      <c r="B90" s="148" t="s">
        <v>174</v>
      </c>
      <c r="C90" s="149" t="s">
        <v>175</v>
      </c>
      <c r="D90" s="150">
        <v>48</v>
      </c>
      <c r="E90" s="150">
        <v>48</v>
      </c>
      <c r="F90" s="151">
        <v>14</v>
      </c>
      <c r="G90" s="206">
        <v>0</v>
      </c>
      <c r="H90" s="206">
        <v>0</v>
      </c>
      <c r="I90" s="206">
        <v>3</v>
      </c>
      <c r="J90" s="206">
        <v>0</v>
      </c>
      <c r="K90" s="206">
        <f t="shared" si="20"/>
        <v>11</v>
      </c>
      <c r="L90" s="206">
        <v>11</v>
      </c>
      <c r="M90" s="206">
        <f t="shared" si="21"/>
        <v>0</v>
      </c>
      <c r="O90" s="155">
        <f t="shared" si="22"/>
        <v>672</v>
      </c>
      <c r="P90" s="153">
        <v>0</v>
      </c>
      <c r="Q90" s="153">
        <f t="shared" si="23"/>
        <v>0</v>
      </c>
      <c r="R90" s="153">
        <f t="shared" si="24"/>
        <v>0</v>
      </c>
      <c r="S90" s="153">
        <f t="shared" si="25"/>
        <v>144</v>
      </c>
      <c r="T90" s="153">
        <f t="shared" si="26"/>
        <v>0</v>
      </c>
      <c r="U90" s="153">
        <f t="shared" si="27"/>
        <v>528</v>
      </c>
      <c r="V90" s="154">
        <f t="shared" si="28"/>
        <v>528</v>
      </c>
      <c r="W90" s="154">
        <f t="shared" si="29"/>
        <v>0</v>
      </c>
    </row>
    <row r="91" spans="2:23" s="152" customFormat="1" ht="30">
      <c r="B91" s="148" t="s">
        <v>176</v>
      </c>
      <c r="C91" s="149" t="s">
        <v>177</v>
      </c>
      <c r="D91" s="150">
        <v>550</v>
      </c>
      <c r="E91" s="150">
        <v>550</v>
      </c>
      <c r="F91" s="151">
        <v>197</v>
      </c>
      <c r="G91" s="206">
        <v>0</v>
      </c>
      <c r="H91" s="206">
        <v>0</v>
      </c>
      <c r="I91" s="206">
        <v>0</v>
      </c>
      <c r="J91" s="206">
        <v>0</v>
      </c>
      <c r="K91" s="206">
        <f t="shared" si="20"/>
        <v>197</v>
      </c>
      <c r="L91" s="206">
        <v>197</v>
      </c>
      <c r="M91" s="206">
        <f t="shared" si="21"/>
        <v>0</v>
      </c>
      <c r="O91" s="155">
        <f t="shared" si="22"/>
        <v>108350</v>
      </c>
      <c r="P91" s="153">
        <v>0</v>
      </c>
      <c r="Q91" s="153">
        <f t="shared" si="23"/>
        <v>0</v>
      </c>
      <c r="R91" s="153">
        <f t="shared" si="24"/>
        <v>0</v>
      </c>
      <c r="S91" s="153">
        <f t="shared" si="25"/>
        <v>0</v>
      </c>
      <c r="T91" s="153">
        <f t="shared" si="26"/>
        <v>0</v>
      </c>
      <c r="U91" s="153">
        <f t="shared" si="27"/>
        <v>108350</v>
      </c>
      <c r="V91" s="154">
        <f t="shared" si="28"/>
        <v>108350</v>
      </c>
      <c r="W91" s="154">
        <f t="shared" si="29"/>
        <v>0</v>
      </c>
    </row>
    <row r="92" spans="2:23" s="152" customFormat="1">
      <c r="B92" s="148" t="s">
        <v>322</v>
      </c>
      <c r="C92" s="149" t="s">
        <v>180</v>
      </c>
      <c r="D92" s="150">
        <v>95</v>
      </c>
      <c r="E92" s="150">
        <v>95</v>
      </c>
      <c r="F92" s="151">
        <v>40</v>
      </c>
      <c r="G92" s="206">
        <v>0</v>
      </c>
      <c r="H92" s="206">
        <v>0</v>
      </c>
      <c r="I92" s="206">
        <v>15</v>
      </c>
      <c r="J92" s="206">
        <v>0</v>
      </c>
      <c r="K92" s="206">
        <f t="shared" si="20"/>
        <v>25</v>
      </c>
      <c r="L92" s="206">
        <v>25</v>
      </c>
      <c r="M92" s="206">
        <f t="shared" si="21"/>
        <v>0</v>
      </c>
      <c r="O92" s="155">
        <f t="shared" si="22"/>
        <v>3800</v>
      </c>
      <c r="P92" s="153">
        <v>0</v>
      </c>
      <c r="Q92" s="153">
        <f t="shared" si="23"/>
        <v>0</v>
      </c>
      <c r="R92" s="153">
        <f t="shared" si="24"/>
        <v>0</v>
      </c>
      <c r="S92" s="153">
        <f t="shared" si="25"/>
        <v>1425</v>
      </c>
      <c r="T92" s="153">
        <f t="shared" si="26"/>
        <v>0</v>
      </c>
      <c r="U92" s="153">
        <f t="shared" si="27"/>
        <v>2375</v>
      </c>
      <c r="V92" s="154">
        <f t="shared" si="28"/>
        <v>2375</v>
      </c>
      <c r="W92" s="154">
        <f t="shared" si="29"/>
        <v>0</v>
      </c>
    </row>
    <row r="93" spans="2:23" s="152" customFormat="1" ht="51" customHeight="1">
      <c r="B93" s="148" t="s">
        <v>178</v>
      </c>
      <c r="C93" s="149" t="s">
        <v>179</v>
      </c>
      <c r="D93" s="150">
        <v>19.079999999999998</v>
      </c>
      <c r="E93" s="150">
        <v>19.079999999999998</v>
      </c>
      <c r="F93" s="151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f t="shared" si="20"/>
        <v>0</v>
      </c>
      <c r="L93" s="206">
        <v>0</v>
      </c>
      <c r="M93" s="206">
        <f t="shared" si="21"/>
        <v>0</v>
      </c>
      <c r="O93" s="155">
        <f t="shared" si="22"/>
        <v>0</v>
      </c>
      <c r="P93" s="153">
        <v>0</v>
      </c>
      <c r="Q93" s="153">
        <f t="shared" si="23"/>
        <v>0</v>
      </c>
      <c r="R93" s="153">
        <f t="shared" si="24"/>
        <v>0</v>
      </c>
      <c r="S93" s="153">
        <f t="shared" si="25"/>
        <v>0</v>
      </c>
      <c r="T93" s="153">
        <f t="shared" si="26"/>
        <v>0</v>
      </c>
      <c r="U93" s="153">
        <f t="shared" si="27"/>
        <v>0</v>
      </c>
      <c r="V93" s="154">
        <f t="shared" si="28"/>
        <v>0</v>
      </c>
      <c r="W93" s="154">
        <f t="shared" si="29"/>
        <v>0</v>
      </c>
    </row>
    <row r="94" spans="2:23" s="152" customFormat="1" ht="15.75" thickBot="1">
      <c r="B94" s="157" t="s">
        <v>181</v>
      </c>
      <c r="C94" s="158" t="s">
        <v>182</v>
      </c>
      <c r="D94" s="150">
        <v>29.5</v>
      </c>
      <c r="E94" s="150">
        <v>29.5</v>
      </c>
      <c r="F94" s="159">
        <v>6882</v>
      </c>
      <c r="G94" s="206">
        <v>0</v>
      </c>
      <c r="H94" s="206">
        <v>0</v>
      </c>
      <c r="I94" s="206">
        <v>378</v>
      </c>
      <c r="J94" s="206">
        <v>0</v>
      </c>
      <c r="K94" s="206">
        <f t="shared" si="20"/>
        <v>6504</v>
      </c>
      <c r="L94" s="206">
        <v>6504</v>
      </c>
      <c r="M94" s="206">
        <f t="shared" si="21"/>
        <v>0</v>
      </c>
      <c r="O94" s="155">
        <f t="shared" si="22"/>
        <v>203019</v>
      </c>
      <c r="P94" s="153">
        <v>0</v>
      </c>
      <c r="Q94" s="153">
        <f t="shared" si="23"/>
        <v>0</v>
      </c>
      <c r="R94" s="153">
        <f t="shared" si="24"/>
        <v>0</v>
      </c>
      <c r="S94" s="153">
        <f t="shared" si="25"/>
        <v>11151</v>
      </c>
      <c r="T94" s="153">
        <f t="shared" si="26"/>
        <v>0</v>
      </c>
      <c r="U94" s="153">
        <f t="shared" si="27"/>
        <v>191868</v>
      </c>
      <c r="V94" s="154">
        <f t="shared" si="28"/>
        <v>191868</v>
      </c>
      <c r="W94" s="154">
        <f t="shared" si="29"/>
        <v>0</v>
      </c>
    </row>
    <row r="95" spans="2:23" s="2" customFormat="1" ht="15.75" thickBot="1">
      <c r="B95" s="185" t="s">
        <v>183</v>
      </c>
      <c r="C95" s="186"/>
      <c r="D95" s="186"/>
      <c r="E95" s="186"/>
      <c r="F95" s="160">
        <v>15267</v>
      </c>
      <c r="G95" s="160">
        <f t="shared" ref="G95:M95" si="30">SUM(G10:G94)</f>
        <v>0</v>
      </c>
      <c r="H95" s="160">
        <f t="shared" si="30"/>
        <v>0</v>
      </c>
      <c r="I95" s="160">
        <f t="shared" si="30"/>
        <v>1170</v>
      </c>
      <c r="J95" s="160">
        <f t="shared" si="30"/>
        <v>0</v>
      </c>
      <c r="K95" s="160">
        <f t="shared" si="30"/>
        <v>14097</v>
      </c>
      <c r="L95" s="161">
        <f t="shared" si="30"/>
        <v>14097</v>
      </c>
      <c r="M95" s="162">
        <f t="shared" si="30"/>
        <v>0</v>
      </c>
      <c r="N95"/>
      <c r="O95" s="163">
        <f t="shared" ref="O95:U95" si="31">SUM(O10:O94)</f>
        <v>719932.87</v>
      </c>
      <c r="P95" s="163">
        <f t="shared" si="31"/>
        <v>0</v>
      </c>
      <c r="Q95" s="163">
        <f t="shared" si="31"/>
        <v>0</v>
      </c>
      <c r="R95" s="163">
        <f t="shared" si="31"/>
        <v>0</v>
      </c>
      <c r="S95" s="163">
        <f t="shared" si="31"/>
        <v>50457.97</v>
      </c>
      <c r="T95" s="163">
        <f t="shared" si="31"/>
        <v>0</v>
      </c>
      <c r="U95" s="163">
        <f t="shared" si="31"/>
        <v>669474.9</v>
      </c>
    </row>
    <row r="96" spans="2:23" ht="15.75" thickTop="1"/>
    <row r="97" spans="2:21">
      <c r="O97" s="127"/>
    </row>
    <row r="98" spans="2:21">
      <c r="O98" s="127"/>
    </row>
    <row r="100" spans="2:21" ht="15.75" customHeight="1">
      <c r="B100" s="187" t="s">
        <v>323</v>
      </c>
      <c r="C100" s="187"/>
      <c r="D100" s="187"/>
      <c r="E100" s="187"/>
      <c r="F100" s="165"/>
      <c r="G100"/>
      <c r="H100" s="188" t="s">
        <v>324</v>
      </c>
      <c r="I100" s="188"/>
      <c r="J100" s="188"/>
      <c r="K100" s="188"/>
      <c r="L100" s="188"/>
      <c r="M100" s="188"/>
      <c r="N100" s="166"/>
      <c r="O100" s="167"/>
      <c r="P100" s="168"/>
      <c r="Q100" s="168"/>
      <c r="R100" s="188" t="s">
        <v>325</v>
      </c>
      <c r="S100" s="188"/>
      <c r="T100" s="188"/>
      <c r="U100" s="188"/>
    </row>
    <row r="101" spans="2:21" ht="15.75">
      <c r="B101" s="189"/>
      <c r="C101" s="189"/>
      <c r="D101" s="189"/>
      <c r="E101" s="189"/>
      <c r="F101" s="38"/>
      <c r="G101"/>
      <c r="H101" s="190"/>
      <c r="I101" s="190"/>
      <c r="J101" s="190"/>
      <c r="K101" s="190"/>
      <c r="L101" s="190"/>
      <c r="M101" s="131"/>
      <c r="N101" s="169"/>
      <c r="O101" s="170"/>
      <c r="P101" s="168"/>
      <c r="Q101" s="168"/>
      <c r="R101" s="191"/>
      <c r="S101" s="191"/>
      <c r="T101" s="191"/>
      <c r="U101" s="191"/>
    </row>
    <row r="102" spans="2:21" ht="15.75" customHeight="1">
      <c r="B102" s="192" t="s">
        <v>326</v>
      </c>
      <c r="C102" s="192"/>
      <c r="D102" s="192"/>
      <c r="E102" s="192"/>
      <c r="F102" s="38"/>
      <c r="G102"/>
      <c r="H102" s="193" t="s">
        <v>327</v>
      </c>
      <c r="I102" s="193"/>
      <c r="J102" s="193"/>
      <c r="K102" s="193"/>
      <c r="L102" s="193"/>
      <c r="M102" s="193"/>
      <c r="N102" s="171"/>
      <c r="O102" s="170"/>
      <c r="P102" s="168"/>
      <c r="Q102" s="168"/>
      <c r="R102" s="193" t="s">
        <v>328</v>
      </c>
      <c r="S102" s="193"/>
      <c r="T102" s="193"/>
      <c r="U102" s="193"/>
    </row>
    <row r="103" spans="2:21" ht="15.75">
      <c r="B103" s="194" t="s">
        <v>329</v>
      </c>
      <c r="C103" s="194"/>
      <c r="D103" s="194"/>
      <c r="E103" s="194"/>
      <c r="F103" s="38"/>
      <c r="G103"/>
      <c r="H103" s="194" t="s">
        <v>330</v>
      </c>
      <c r="I103" s="194"/>
      <c r="J103" s="194"/>
      <c r="K103" s="194"/>
      <c r="L103" s="194"/>
      <c r="M103" s="194"/>
      <c r="N103" s="172"/>
      <c r="O103" s="170"/>
      <c r="P103" s="168"/>
      <c r="Q103" s="168"/>
      <c r="R103" s="194" t="s">
        <v>331</v>
      </c>
      <c r="S103" s="194"/>
      <c r="T103" s="194"/>
      <c r="U103" s="194"/>
    </row>
    <row r="104" spans="2:21" s="2" customFormat="1" ht="14.25">
      <c r="B104" s="35"/>
      <c r="C104" s="36"/>
      <c r="D104" s="173"/>
      <c r="E104" s="173"/>
      <c r="F104" s="173"/>
      <c r="G104" s="38"/>
      <c r="O104" s="174"/>
      <c r="P104" s="168"/>
      <c r="Q104" s="168"/>
      <c r="R104" s="168"/>
      <c r="S104" s="168"/>
      <c r="T104" s="168"/>
      <c r="U104" s="168"/>
    </row>
    <row r="105" spans="2:21" s="2" customFormat="1" ht="14.25">
      <c r="B105" s="35"/>
      <c r="C105" s="36"/>
      <c r="D105" s="173"/>
      <c r="E105" s="173"/>
      <c r="F105" s="173"/>
      <c r="G105" s="38"/>
      <c r="O105" s="174"/>
      <c r="P105" s="168"/>
      <c r="Q105" s="168"/>
      <c r="R105" s="168"/>
      <c r="S105" s="168"/>
      <c r="T105" s="168"/>
      <c r="U105" s="168"/>
    </row>
  </sheetData>
  <autoFilter ref="B9:U95" xr:uid="{CE056EEE-951C-4214-9860-27467597359B}"/>
  <mergeCells count="18">
    <mergeCell ref="B102:E102"/>
    <mergeCell ref="H102:M102"/>
    <mergeCell ref="R102:U102"/>
    <mergeCell ref="B103:E103"/>
    <mergeCell ref="H103:M103"/>
    <mergeCell ref="R103:U103"/>
    <mergeCell ref="B95:E95"/>
    <mergeCell ref="B100:E100"/>
    <mergeCell ref="H100:M100"/>
    <mergeCell ref="R100:U100"/>
    <mergeCell ref="B101:E101"/>
    <mergeCell ref="H101:L101"/>
    <mergeCell ref="R101:U101"/>
    <mergeCell ref="E2:G2"/>
    <mergeCell ref="B3:U3"/>
    <mergeCell ref="B4:U4"/>
    <mergeCell ref="B5:U5"/>
    <mergeCell ref="P6:R6"/>
  </mergeCells>
  <conditionalFormatting sqref="B1:B1048576">
    <cfRule type="duplicateValues" dxfId="0" priority="1"/>
  </conditionalFormatting>
  <pageMargins left="0.23622047244094488" right="0.23622047244094488" top="0.74803149606299213" bottom="0.74803149606299213" header="0.31496062992125984" footer="0.31496062992125984"/>
  <pageSetup scale="5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FCEF-0B00-46C5-BD1C-05E1E3D67209}">
  <sheetPr>
    <tabColor rgb="FF7030A0"/>
    <pageSetUpPr fitToPage="1"/>
  </sheetPr>
  <dimension ref="A1:AF99"/>
  <sheetViews>
    <sheetView zoomScale="70" zoomScaleNormal="7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AJ30" sqref="AJ30"/>
    </sheetView>
  </sheetViews>
  <sheetFormatPr baseColWidth="10" defaultRowHeight="15"/>
  <cols>
    <col min="1" max="1" width="37.42578125" style="129" customWidth="1"/>
    <col min="2" max="2" width="19" style="130" customWidth="1"/>
    <col min="3" max="3" width="19.28515625" style="128" customWidth="1"/>
    <col min="4" max="6" width="14.140625" style="128" hidden="1" customWidth="1"/>
    <col min="7" max="7" width="13.42578125" style="128" hidden="1" customWidth="1"/>
    <col min="8" max="8" width="15.140625" style="128" hidden="1" customWidth="1"/>
    <col min="9" max="9" width="13.28515625" style="128" hidden="1" customWidth="1"/>
    <col min="10" max="10" width="16" style="128" hidden="1" customWidth="1"/>
    <col min="11" max="11" width="14.5703125" style="128" hidden="1" customWidth="1"/>
    <col min="12" max="12" width="13" style="128" hidden="1" customWidth="1"/>
    <col min="13" max="13" width="12.85546875" style="128" hidden="1" customWidth="1"/>
    <col min="14" max="15" width="13.140625" style="128" hidden="1" customWidth="1"/>
    <col min="16" max="17" width="13.7109375" style="128" hidden="1" customWidth="1"/>
    <col min="18" max="18" width="13.85546875" style="128" hidden="1" customWidth="1"/>
    <col min="19" max="19" width="16.7109375" style="128" hidden="1" customWidth="1"/>
    <col min="20" max="20" width="13.140625" style="128" hidden="1" customWidth="1"/>
    <col min="21" max="21" width="13.42578125" style="128" hidden="1" customWidth="1"/>
    <col min="22" max="22" width="13.7109375" style="128" hidden="1" customWidth="1"/>
    <col min="23" max="23" width="12.85546875" style="128" hidden="1" customWidth="1"/>
    <col min="24" max="24" width="13.7109375" style="128" hidden="1" customWidth="1"/>
    <col min="25" max="25" width="14.7109375" style="128" hidden="1" customWidth="1"/>
    <col min="26" max="28" width="16.42578125" style="62" hidden="1" customWidth="1"/>
    <col min="29" max="30" width="16.42578125" style="62" customWidth="1"/>
    <col min="31" max="31" width="17.42578125" customWidth="1"/>
    <col min="32" max="32" width="15.5703125" customWidth="1"/>
    <col min="34" max="34" width="16.5703125" customWidth="1"/>
  </cols>
  <sheetData>
    <row r="1" spans="1:32" ht="28.5">
      <c r="A1" s="175" t="s">
        <v>273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</row>
    <row r="2" spans="1:32" ht="21" customHeight="1">
      <c r="A2" s="95" t="s">
        <v>184</v>
      </c>
      <c r="B2" s="96" t="s">
        <v>274</v>
      </c>
      <c r="C2" s="97" t="s">
        <v>275</v>
      </c>
      <c r="D2" s="97" t="s">
        <v>276</v>
      </c>
      <c r="E2" s="97" t="s">
        <v>277</v>
      </c>
      <c r="F2" s="97" t="s">
        <v>278</v>
      </c>
      <c r="G2" s="97" t="s">
        <v>279</v>
      </c>
      <c r="H2" s="97" t="s">
        <v>280</v>
      </c>
      <c r="I2" s="97" t="s">
        <v>281</v>
      </c>
      <c r="J2" s="97" t="s">
        <v>282</v>
      </c>
      <c r="K2" s="97" t="s">
        <v>283</v>
      </c>
      <c r="L2" s="97" t="s">
        <v>284</v>
      </c>
      <c r="M2" s="97" t="s">
        <v>285</v>
      </c>
      <c r="N2" s="97" t="s">
        <v>286</v>
      </c>
      <c r="O2" s="97" t="s">
        <v>287</v>
      </c>
      <c r="P2" s="97" t="s">
        <v>288</v>
      </c>
      <c r="Q2" s="97" t="s">
        <v>289</v>
      </c>
      <c r="R2" s="97" t="s">
        <v>290</v>
      </c>
      <c r="S2" s="97" t="s">
        <v>291</v>
      </c>
      <c r="T2" s="97" t="s">
        <v>292</v>
      </c>
      <c r="U2" s="97" t="s">
        <v>334</v>
      </c>
      <c r="V2" s="98" t="s">
        <v>335</v>
      </c>
      <c r="W2" s="98" t="s">
        <v>336</v>
      </c>
      <c r="X2" s="98" t="s">
        <v>337</v>
      </c>
      <c r="Y2" s="98" t="s">
        <v>338</v>
      </c>
      <c r="Z2" s="98" t="s">
        <v>339</v>
      </c>
      <c r="AA2" s="98" t="s">
        <v>340</v>
      </c>
      <c r="AB2" s="98" t="s">
        <v>341</v>
      </c>
      <c r="AC2" s="98" t="s">
        <v>342</v>
      </c>
      <c r="AD2" s="98" t="s">
        <v>293</v>
      </c>
      <c r="AE2" s="99" t="s">
        <v>183</v>
      </c>
    </row>
    <row r="3" spans="1:32" ht="18.75">
      <c r="A3" s="100" t="s">
        <v>294</v>
      </c>
      <c r="B3" s="101">
        <v>100</v>
      </c>
      <c r="C3" s="102"/>
      <c r="D3" s="102">
        <v>2</v>
      </c>
      <c r="E3" s="102"/>
      <c r="F3" s="102"/>
      <c r="G3" s="102">
        <v>3</v>
      </c>
      <c r="H3" s="102">
        <v>1</v>
      </c>
      <c r="I3" s="102"/>
      <c r="J3" s="102">
        <v>1</v>
      </c>
      <c r="K3" s="102">
        <v>1</v>
      </c>
      <c r="L3" s="102"/>
      <c r="M3" s="102">
        <v>1</v>
      </c>
      <c r="N3" s="102">
        <v>2</v>
      </c>
      <c r="O3" s="102"/>
      <c r="P3" s="102"/>
      <c r="Q3" s="102"/>
      <c r="R3" s="102"/>
      <c r="S3" s="102">
        <v>1</v>
      </c>
      <c r="T3" s="102">
        <v>1</v>
      </c>
      <c r="U3" s="102">
        <v>1</v>
      </c>
      <c r="V3" s="103"/>
      <c r="W3" s="103">
        <v>4</v>
      </c>
      <c r="X3" s="103"/>
      <c r="Y3" s="103"/>
      <c r="Z3" s="103"/>
      <c r="AA3" s="103">
        <v>3</v>
      </c>
      <c r="AB3" s="103"/>
      <c r="AC3" s="103"/>
      <c r="AD3" s="103"/>
      <c r="AE3" s="104">
        <f>SUM(Tabla243[[#This Row],[01/04/2026]:[Columna28]])</f>
        <v>21</v>
      </c>
      <c r="AF3" s="105">
        <f>Tabla243[[#This Row],[TOTAL]]*Tabla243[[#This Row],[COSTO]]</f>
        <v>2100</v>
      </c>
    </row>
    <row r="4" spans="1:32" ht="18.75">
      <c r="A4" s="100" t="s">
        <v>295</v>
      </c>
      <c r="B4" s="101">
        <v>40</v>
      </c>
      <c r="C4" s="102">
        <v>3</v>
      </c>
      <c r="D4" s="102">
        <v>5</v>
      </c>
      <c r="E4" s="102">
        <v>4</v>
      </c>
      <c r="F4" s="102">
        <v>6</v>
      </c>
      <c r="G4" s="102">
        <v>8</v>
      </c>
      <c r="H4" s="102"/>
      <c r="I4" s="102"/>
      <c r="J4" s="102"/>
      <c r="K4" s="102"/>
      <c r="L4" s="102">
        <v>1</v>
      </c>
      <c r="M4" s="102"/>
      <c r="N4" s="102">
        <v>3</v>
      </c>
      <c r="O4" s="102"/>
      <c r="P4" s="102"/>
      <c r="Q4" s="102"/>
      <c r="R4" s="102"/>
      <c r="S4" s="102">
        <v>5</v>
      </c>
      <c r="T4" s="102">
        <v>4</v>
      </c>
      <c r="U4" s="102">
        <v>2</v>
      </c>
      <c r="V4" s="103"/>
      <c r="W4" s="103">
        <v>3</v>
      </c>
      <c r="X4" s="103">
        <v>1</v>
      </c>
      <c r="Y4" s="103">
        <v>2</v>
      </c>
      <c r="Z4" s="103">
        <v>5</v>
      </c>
      <c r="AA4" s="103"/>
      <c r="AB4" s="106">
        <v>2</v>
      </c>
      <c r="AC4" s="106"/>
      <c r="AD4" s="106"/>
      <c r="AE4" s="104">
        <f>SUM(Tabla243[[#This Row],[01/04/2026]:[Columna28]])</f>
        <v>54</v>
      </c>
      <c r="AF4" s="105">
        <f>Tabla243[[#This Row],[TOTAL]]*Tabla243[[#This Row],[COSTO]]</f>
        <v>2160</v>
      </c>
    </row>
    <row r="5" spans="1:32" ht="18.75">
      <c r="A5" s="100" t="s">
        <v>194</v>
      </c>
      <c r="B5" s="101">
        <v>110</v>
      </c>
      <c r="C5" s="102"/>
      <c r="D5" s="102"/>
      <c r="E5" s="102">
        <v>1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>
        <v>1</v>
      </c>
      <c r="U5" s="102"/>
      <c r="V5" s="103"/>
      <c r="W5" s="103"/>
      <c r="X5" s="103"/>
      <c r="Y5" s="103"/>
      <c r="Z5" s="103"/>
      <c r="AA5" s="103"/>
      <c r="AB5" s="103"/>
      <c r="AC5" s="103"/>
      <c r="AD5" s="103"/>
      <c r="AE5" s="104">
        <f>SUM(Tabla243[[#This Row],[01/04/2026]:[Columna28]])</f>
        <v>2</v>
      </c>
      <c r="AF5" s="105">
        <f>Tabla243[[#This Row],[TOTAL]]*Tabla243[[#This Row],[COSTO]]</f>
        <v>220</v>
      </c>
    </row>
    <row r="6" spans="1:32" ht="18.75">
      <c r="A6" s="100" t="s">
        <v>31</v>
      </c>
      <c r="B6" s="101">
        <v>40</v>
      </c>
      <c r="C6" s="102"/>
      <c r="D6" s="102"/>
      <c r="E6" s="102">
        <v>5</v>
      </c>
      <c r="F6" s="102"/>
      <c r="G6" s="102"/>
      <c r="H6" s="102"/>
      <c r="I6" s="102"/>
      <c r="J6" s="102"/>
      <c r="K6" s="102"/>
      <c r="L6" s="102"/>
      <c r="M6" s="102"/>
      <c r="N6" s="102">
        <v>1</v>
      </c>
      <c r="O6" s="102"/>
      <c r="P6" s="102"/>
      <c r="Q6" s="102"/>
      <c r="R6" s="102"/>
      <c r="S6" s="102"/>
      <c r="T6" s="102"/>
      <c r="U6" s="102"/>
      <c r="V6" s="103"/>
      <c r="W6" s="103">
        <v>1</v>
      </c>
      <c r="X6" s="103"/>
      <c r="Y6" s="103"/>
      <c r="Z6" s="103"/>
      <c r="AA6" s="103"/>
      <c r="AB6" s="106"/>
      <c r="AC6" s="106"/>
      <c r="AD6" s="106"/>
      <c r="AE6" s="104">
        <f>SUM(Tabla243[[#This Row],[01/04/2026]:[Columna28]])</f>
        <v>7</v>
      </c>
      <c r="AF6" s="105">
        <f>Tabla243[[#This Row],[TOTAL]]*Tabla243[[#This Row],[COSTO]]</f>
        <v>280</v>
      </c>
    </row>
    <row r="7" spans="1:32" ht="18.75">
      <c r="A7" s="100" t="s">
        <v>296</v>
      </c>
      <c r="B7" s="101">
        <v>120</v>
      </c>
      <c r="C7" s="102">
        <v>1</v>
      </c>
      <c r="D7" s="102"/>
      <c r="E7" s="102">
        <v>3</v>
      </c>
      <c r="F7" s="102"/>
      <c r="G7" s="102"/>
      <c r="H7" s="102"/>
      <c r="I7" s="102"/>
      <c r="J7" s="102">
        <v>2</v>
      </c>
      <c r="K7" s="102">
        <v>3</v>
      </c>
      <c r="L7" s="102"/>
      <c r="M7" s="102">
        <v>2</v>
      </c>
      <c r="N7" s="102">
        <v>1</v>
      </c>
      <c r="O7" s="102"/>
      <c r="P7" s="102"/>
      <c r="Q7" s="102">
        <v>2</v>
      </c>
      <c r="R7" s="102"/>
      <c r="S7" s="102">
        <v>4</v>
      </c>
      <c r="T7" s="102"/>
      <c r="U7" s="102">
        <v>3</v>
      </c>
      <c r="V7" s="103"/>
      <c r="W7" s="103">
        <v>1</v>
      </c>
      <c r="X7" s="103">
        <v>1</v>
      </c>
      <c r="Y7" s="103"/>
      <c r="Z7" s="103">
        <v>1</v>
      </c>
      <c r="AA7" s="103">
        <v>8</v>
      </c>
      <c r="AB7" s="103"/>
      <c r="AC7" s="103"/>
      <c r="AD7" s="103"/>
      <c r="AE7" s="104">
        <f>SUM(Tabla243[[#This Row],[01/04/2026]:[Columna28]])</f>
        <v>32</v>
      </c>
      <c r="AF7" s="105">
        <f>Tabla243[[#This Row],[TOTAL]]*Tabla243[[#This Row],[COSTO]]</f>
        <v>3840</v>
      </c>
    </row>
    <row r="8" spans="1:32" ht="18.75">
      <c r="A8" s="100" t="s">
        <v>43</v>
      </c>
      <c r="B8" s="101">
        <v>170</v>
      </c>
      <c r="C8" s="102"/>
      <c r="D8" s="102">
        <v>2</v>
      </c>
      <c r="E8" s="102">
        <v>4</v>
      </c>
      <c r="F8" s="102">
        <v>1</v>
      </c>
      <c r="G8" s="102"/>
      <c r="H8" s="102"/>
      <c r="I8" s="102"/>
      <c r="J8" s="102"/>
      <c r="K8" s="102">
        <v>1</v>
      </c>
      <c r="L8" s="102">
        <v>1</v>
      </c>
      <c r="M8" s="102"/>
      <c r="N8" s="102">
        <v>2</v>
      </c>
      <c r="O8" s="102">
        <v>1</v>
      </c>
      <c r="P8" s="102"/>
      <c r="Q8" s="102"/>
      <c r="R8" s="102"/>
      <c r="S8" s="102">
        <v>1</v>
      </c>
      <c r="T8" s="102"/>
      <c r="U8" s="102"/>
      <c r="V8" s="103"/>
      <c r="W8" s="103">
        <v>1</v>
      </c>
      <c r="X8" s="103"/>
      <c r="Y8" s="103"/>
      <c r="Z8" s="103"/>
      <c r="AA8" s="103"/>
      <c r="AB8" s="106"/>
      <c r="AC8" s="106"/>
      <c r="AD8" s="106"/>
      <c r="AE8" s="104">
        <f>SUM(Tabla243[[#This Row],[01/04/2026]:[Columna28]])</f>
        <v>14</v>
      </c>
      <c r="AF8" s="105">
        <f>Tabla243[[#This Row],[TOTAL]]*Tabla243[[#This Row],[COSTO]]</f>
        <v>2380</v>
      </c>
    </row>
    <row r="9" spans="1:32" ht="18.75">
      <c r="A9" s="100" t="s">
        <v>250</v>
      </c>
      <c r="B9" s="101">
        <v>180</v>
      </c>
      <c r="C9" s="102"/>
      <c r="D9" s="102"/>
      <c r="E9" s="102"/>
      <c r="F9" s="102"/>
      <c r="G9" s="102"/>
      <c r="H9" s="102"/>
      <c r="I9" s="102">
        <v>1</v>
      </c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3"/>
      <c r="W9" s="103"/>
      <c r="X9" s="103"/>
      <c r="Y9" s="103"/>
      <c r="Z9" s="103"/>
      <c r="AA9" s="103"/>
      <c r="AB9" s="106"/>
      <c r="AC9" s="106"/>
      <c r="AD9" s="106"/>
      <c r="AE9" s="104">
        <f>SUM(Tabla243[[#This Row],[01/04/2026]:[Columna28]])</f>
        <v>1</v>
      </c>
      <c r="AF9" s="105">
        <f>Tabla243[[#This Row],[TOTAL]]*Tabla243[[#This Row],[COSTO]]</f>
        <v>180</v>
      </c>
    </row>
    <row r="10" spans="1:32" ht="18.75">
      <c r="A10" s="100" t="s">
        <v>53</v>
      </c>
      <c r="B10" s="101">
        <v>40</v>
      </c>
      <c r="C10" s="102"/>
      <c r="D10" s="102"/>
      <c r="E10" s="102"/>
      <c r="F10" s="102">
        <v>1</v>
      </c>
      <c r="G10" s="102">
        <v>1</v>
      </c>
      <c r="H10" s="102"/>
      <c r="I10" s="102"/>
      <c r="J10" s="102"/>
      <c r="K10" s="102"/>
      <c r="L10" s="102">
        <v>2</v>
      </c>
      <c r="M10" s="102"/>
      <c r="N10" s="102"/>
      <c r="O10" s="102"/>
      <c r="P10" s="102"/>
      <c r="Q10" s="102"/>
      <c r="R10" s="102"/>
      <c r="S10" s="102"/>
      <c r="T10" s="102"/>
      <c r="U10" s="102"/>
      <c r="V10" s="103"/>
      <c r="W10" s="103"/>
      <c r="X10" s="103"/>
      <c r="Y10" s="103"/>
      <c r="Z10" s="103">
        <v>2</v>
      </c>
      <c r="AA10" s="103">
        <v>1</v>
      </c>
      <c r="AB10" s="103"/>
      <c r="AC10" s="103"/>
      <c r="AD10" s="103"/>
      <c r="AE10" s="104">
        <f>SUM(Tabla243[[#This Row],[01/04/2026]:[Columna28]])</f>
        <v>7</v>
      </c>
      <c r="AF10" s="105">
        <f>Tabla243[[#This Row],[TOTAL]]*Tabla243[[#This Row],[COSTO]]</f>
        <v>280</v>
      </c>
    </row>
    <row r="11" spans="1:32" ht="29.25" customHeight="1">
      <c r="A11" s="100" t="s">
        <v>297</v>
      </c>
      <c r="B11" s="101">
        <v>30</v>
      </c>
      <c r="C11" s="102">
        <v>1</v>
      </c>
      <c r="D11" s="102">
        <v>2</v>
      </c>
      <c r="E11" s="102">
        <v>4</v>
      </c>
      <c r="F11" s="102">
        <v>1</v>
      </c>
      <c r="G11" s="102"/>
      <c r="H11" s="102"/>
      <c r="I11" s="102">
        <v>1</v>
      </c>
      <c r="J11" s="102"/>
      <c r="K11" s="102"/>
      <c r="L11" s="102">
        <v>3</v>
      </c>
      <c r="M11" s="102">
        <v>2</v>
      </c>
      <c r="N11" s="102">
        <v>1</v>
      </c>
      <c r="O11" s="102"/>
      <c r="P11" s="102"/>
      <c r="Q11" s="102"/>
      <c r="R11" s="102"/>
      <c r="S11" s="102"/>
      <c r="T11" s="102"/>
      <c r="U11" s="102">
        <v>2</v>
      </c>
      <c r="V11" s="103">
        <v>2</v>
      </c>
      <c r="W11" s="103">
        <v>2</v>
      </c>
      <c r="X11" s="103"/>
      <c r="Y11" s="103"/>
      <c r="Z11" s="103">
        <v>2</v>
      </c>
      <c r="AA11" s="103">
        <v>2</v>
      </c>
      <c r="AB11" s="103"/>
      <c r="AC11" s="103"/>
      <c r="AD11" s="103"/>
      <c r="AE11" s="104">
        <f>SUM(Tabla243[[#This Row],[01/04/2026]:[Columna28]])</f>
        <v>25</v>
      </c>
      <c r="AF11" s="105">
        <f>Tabla243[[#This Row],[TOTAL]]*Tabla243[[#This Row],[COSTO]]</f>
        <v>750</v>
      </c>
    </row>
    <row r="12" spans="1:32" ht="13.5" customHeight="1">
      <c r="A12" s="100" t="s">
        <v>298</v>
      </c>
      <c r="B12" s="101">
        <v>150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3"/>
      <c r="W12" s="103"/>
      <c r="X12" s="103"/>
      <c r="Y12" s="103"/>
      <c r="Z12" s="103"/>
      <c r="AA12" s="103"/>
      <c r="AB12" s="103"/>
      <c r="AC12" s="103"/>
      <c r="AD12" s="103"/>
      <c r="AE12" s="107">
        <f>SUM(Tabla243[[#This Row],[01/04/2026]:[Columna28]])</f>
        <v>0</v>
      </c>
      <c r="AF12" s="105">
        <f>Tabla243[[#This Row],[TOTAL]]*Tabla243[[#This Row],[COSTO]]</f>
        <v>0</v>
      </c>
    </row>
    <row r="13" spans="1:32" ht="33" customHeight="1">
      <c r="A13" s="100" t="s">
        <v>251</v>
      </c>
      <c r="B13" s="101">
        <v>165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>
        <v>1</v>
      </c>
      <c r="O13" s="102"/>
      <c r="P13" s="102"/>
      <c r="Q13" s="102"/>
      <c r="R13" s="102"/>
      <c r="S13" s="102"/>
      <c r="T13" s="102"/>
      <c r="U13" s="102"/>
      <c r="V13" s="103"/>
      <c r="W13" s="103">
        <v>1</v>
      </c>
      <c r="X13" s="103"/>
      <c r="Y13" s="103"/>
      <c r="Z13" s="103"/>
      <c r="AA13" s="103"/>
      <c r="AB13" s="103"/>
      <c r="AC13" s="103"/>
      <c r="AD13" s="103"/>
      <c r="AE13" s="104">
        <f>SUM(Tabla243[[#This Row],[01/04/2026]:[Columna28]])</f>
        <v>2</v>
      </c>
      <c r="AF13" s="105">
        <f>Tabla243[[#This Row],[TOTAL]]*Tabla243[[#This Row],[COSTO]]</f>
        <v>330</v>
      </c>
    </row>
    <row r="14" spans="1:32" ht="18.75">
      <c r="A14" s="100" t="s">
        <v>299</v>
      </c>
      <c r="B14" s="101">
        <v>150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3"/>
      <c r="W14" s="103"/>
      <c r="X14" s="103"/>
      <c r="Y14" s="103"/>
      <c r="Z14" s="103"/>
      <c r="AA14" s="103"/>
      <c r="AB14" s="103"/>
      <c r="AC14" s="103"/>
      <c r="AD14" s="103"/>
      <c r="AE14" s="107">
        <f>SUM(Tabla243[[#This Row],[01/04/2026]:[Columna28]])</f>
        <v>0</v>
      </c>
      <c r="AF14" s="105">
        <f>Tabla243[[#This Row],[TOTAL]]*Tabla243[[#This Row],[COSTO]]</f>
        <v>0</v>
      </c>
    </row>
    <row r="15" spans="1:32" ht="18.75">
      <c r="A15" s="100" t="s">
        <v>265</v>
      </c>
      <c r="B15" s="101">
        <v>220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4"/>
      <c r="Q15" s="102"/>
      <c r="R15" s="102"/>
      <c r="S15" s="102"/>
      <c r="T15" s="102"/>
      <c r="U15" s="102"/>
      <c r="V15" s="103"/>
      <c r="W15" s="103"/>
      <c r="X15" s="103"/>
      <c r="Y15" s="103">
        <v>2</v>
      </c>
      <c r="Z15" s="103"/>
      <c r="AA15" s="103"/>
      <c r="AB15" s="116"/>
      <c r="AC15" s="116">
        <v>1</v>
      </c>
      <c r="AD15" s="116"/>
      <c r="AE15" s="107">
        <f>SUM(Tabla243[[#This Row],[01/04/2026]:[Columna28]])</f>
        <v>3</v>
      </c>
      <c r="AF15" s="105"/>
    </row>
    <row r="16" spans="1:32" ht="18.75">
      <c r="A16" s="100" t="s">
        <v>196</v>
      </c>
      <c r="B16" s="101">
        <v>40</v>
      </c>
      <c r="C16" s="102">
        <v>15</v>
      </c>
      <c r="D16" s="102">
        <v>9</v>
      </c>
      <c r="E16" s="102">
        <v>9</v>
      </c>
      <c r="F16" s="102">
        <v>13</v>
      </c>
      <c r="G16" s="102">
        <v>10</v>
      </c>
      <c r="H16" s="102">
        <v>2</v>
      </c>
      <c r="I16" s="102">
        <v>3</v>
      </c>
      <c r="J16" s="102">
        <v>4</v>
      </c>
      <c r="K16" s="102">
        <v>3</v>
      </c>
      <c r="L16" s="102">
        <v>7</v>
      </c>
      <c r="M16" s="102">
        <v>3</v>
      </c>
      <c r="N16" s="102">
        <v>2</v>
      </c>
      <c r="O16" s="102"/>
      <c r="P16" s="102">
        <v>7</v>
      </c>
      <c r="Q16" s="102">
        <v>1</v>
      </c>
      <c r="R16" s="102">
        <v>1</v>
      </c>
      <c r="S16" s="102">
        <v>6</v>
      </c>
      <c r="T16" s="102">
        <v>2</v>
      </c>
      <c r="U16" s="102">
        <v>4</v>
      </c>
      <c r="V16" s="103">
        <v>2</v>
      </c>
      <c r="W16" s="103">
        <v>3</v>
      </c>
      <c r="X16" s="103">
        <v>2</v>
      </c>
      <c r="Y16" s="103">
        <v>2</v>
      </c>
      <c r="Z16" s="103">
        <v>8</v>
      </c>
      <c r="AA16" s="103">
        <v>1</v>
      </c>
      <c r="AB16" s="103">
        <v>1</v>
      </c>
      <c r="AC16" s="103"/>
      <c r="AD16" s="103"/>
      <c r="AE16" s="104">
        <f>SUM(Tabla243[[#This Row],[01/04/2026]:[Columna28]])</f>
        <v>120</v>
      </c>
      <c r="AF16" s="105">
        <f>Tabla243[[#This Row],[TOTAL]]*Tabla243[[#This Row],[COSTO]]</f>
        <v>4800</v>
      </c>
    </row>
    <row r="17" spans="1:32" ht="28.5">
      <c r="A17" s="100" t="s">
        <v>75</v>
      </c>
      <c r="B17" s="101">
        <v>80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W17" s="103"/>
      <c r="X17" s="103"/>
      <c r="Y17" s="103"/>
      <c r="Z17" s="103"/>
      <c r="AA17" s="103"/>
      <c r="AB17" s="103"/>
      <c r="AC17" s="103"/>
      <c r="AD17" s="103"/>
      <c r="AE17" s="107">
        <f>SUM(Tabla243[[#This Row],[01/04/2026]:[Columna28]])</f>
        <v>0</v>
      </c>
      <c r="AF17" s="105">
        <f>Tabla243[[#This Row],[TOTAL]]*Tabla243[[#This Row],[COSTO]]</f>
        <v>0</v>
      </c>
    </row>
    <row r="18" spans="1:32" ht="18.75">
      <c r="A18" s="100" t="s">
        <v>83</v>
      </c>
      <c r="B18" s="101">
        <v>65</v>
      </c>
      <c r="C18" s="102">
        <v>1</v>
      </c>
      <c r="D18" s="102">
        <v>5</v>
      </c>
      <c r="E18" s="102">
        <v>1</v>
      </c>
      <c r="F18" s="102"/>
      <c r="G18" s="102"/>
      <c r="H18" s="102">
        <v>1</v>
      </c>
      <c r="I18" s="102"/>
      <c r="J18" s="102">
        <v>1</v>
      </c>
      <c r="K18" s="102"/>
      <c r="L18" s="102">
        <v>4</v>
      </c>
      <c r="M18" s="102"/>
      <c r="N18" s="102"/>
      <c r="O18" s="102">
        <v>1</v>
      </c>
      <c r="P18" s="102"/>
      <c r="Q18" s="102"/>
      <c r="R18" s="102"/>
      <c r="S18" s="102">
        <v>1</v>
      </c>
      <c r="T18" s="102">
        <v>2</v>
      </c>
      <c r="U18" s="102"/>
      <c r="V18" s="103"/>
      <c r="W18" s="103">
        <v>1</v>
      </c>
      <c r="X18" s="103">
        <v>1</v>
      </c>
      <c r="Y18" s="103"/>
      <c r="Z18" s="103"/>
      <c r="AA18" s="103">
        <v>1</v>
      </c>
      <c r="AB18" s="103"/>
      <c r="AC18" s="103"/>
      <c r="AD18" s="103"/>
      <c r="AE18" s="104">
        <f>SUM(Tabla243[[#This Row],[01/04/2026]:[Columna28]])</f>
        <v>20</v>
      </c>
      <c r="AF18" s="105">
        <f>Tabla243[[#This Row],[TOTAL]]*Tabla243[[#This Row],[COSTO]]</f>
        <v>1300</v>
      </c>
    </row>
    <row r="19" spans="1:32" ht="36.75" customHeight="1">
      <c r="A19" s="100" t="s">
        <v>197</v>
      </c>
      <c r="B19" s="101">
        <v>75</v>
      </c>
      <c r="C19" s="102">
        <v>2</v>
      </c>
      <c r="D19" s="102">
        <v>6</v>
      </c>
      <c r="E19" s="102">
        <v>4</v>
      </c>
      <c r="F19" s="102">
        <v>8</v>
      </c>
      <c r="G19" s="102">
        <v>4</v>
      </c>
      <c r="H19" s="102"/>
      <c r="I19" s="102"/>
      <c r="J19" s="102">
        <v>1</v>
      </c>
      <c r="K19" s="102">
        <v>3</v>
      </c>
      <c r="L19" s="102">
        <v>4</v>
      </c>
      <c r="M19" s="102">
        <v>3</v>
      </c>
      <c r="N19" s="102"/>
      <c r="O19" s="102"/>
      <c r="P19" s="102">
        <v>6</v>
      </c>
      <c r="Q19" s="102">
        <v>1</v>
      </c>
      <c r="R19" s="102"/>
      <c r="S19" s="102">
        <v>3</v>
      </c>
      <c r="T19" s="102">
        <v>3</v>
      </c>
      <c r="U19" s="102">
        <v>3</v>
      </c>
      <c r="V19" s="103">
        <v>1</v>
      </c>
      <c r="W19" s="103">
        <v>2</v>
      </c>
      <c r="X19" s="103">
        <v>2</v>
      </c>
      <c r="Y19" s="103">
        <v>2</v>
      </c>
      <c r="Z19" s="103">
        <v>2</v>
      </c>
      <c r="AA19" s="103">
        <v>2</v>
      </c>
      <c r="AB19" s="103"/>
      <c r="AC19" s="103">
        <v>2</v>
      </c>
      <c r="AD19" s="103"/>
      <c r="AE19" s="104">
        <f>SUM(Tabla243[[#This Row],[01/04/2026]:[Columna28]])</f>
        <v>64</v>
      </c>
      <c r="AF19" s="105">
        <f>Tabla243[[#This Row],[TOTAL]]*Tabla243[[#This Row],[COSTO]]</f>
        <v>4800</v>
      </c>
    </row>
    <row r="20" spans="1:32" ht="18.75">
      <c r="A20" s="100" t="s">
        <v>89</v>
      </c>
      <c r="B20" s="101">
        <v>70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>
        <v>1</v>
      </c>
      <c r="N20" s="102"/>
      <c r="O20" s="102"/>
      <c r="P20" s="102">
        <v>2</v>
      </c>
      <c r="Q20" s="102"/>
      <c r="R20" s="102"/>
      <c r="S20" s="102">
        <v>1</v>
      </c>
      <c r="T20" s="102"/>
      <c r="U20" s="102">
        <v>1</v>
      </c>
      <c r="V20" s="103"/>
      <c r="W20" s="103"/>
      <c r="X20" s="103"/>
      <c r="Y20" s="103"/>
      <c r="Z20" s="103">
        <v>2</v>
      </c>
      <c r="AA20" s="103"/>
      <c r="AB20" s="103"/>
      <c r="AC20" s="103"/>
      <c r="AD20" s="103"/>
      <c r="AE20" s="104">
        <f>SUM(Tabla243[[#This Row],[01/04/2026]:[Columna28]])</f>
        <v>7</v>
      </c>
      <c r="AF20" s="105">
        <f>Tabla243[[#This Row],[TOTAL]]*Tabla243[[#This Row],[COSTO]]</f>
        <v>490</v>
      </c>
    </row>
    <row r="21" spans="1:32" ht="28.5">
      <c r="A21" s="100" t="s">
        <v>199</v>
      </c>
      <c r="B21" s="101">
        <v>75</v>
      </c>
      <c r="C21" s="102">
        <v>4</v>
      </c>
      <c r="D21" s="102">
        <v>3</v>
      </c>
      <c r="E21" s="102">
        <v>24</v>
      </c>
      <c r="F21" s="102">
        <v>5</v>
      </c>
      <c r="G21" s="102">
        <v>15</v>
      </c>
      <c r="H21" s="102">
        <v>2</v>
      </c>
      <c r="I21" s="102">
        <v>1</v>
      </c>
      <c r="J21" s="102">
        <v>1</v>
      </c>
      <c r="K21" s="102">
        <v>3</v>
      </c>
      <c r="L21" s="102">
        <v>7</v>
      </c>
      <c r="M21" s="102">
        <v>1</v>
      </c>
      <c r="N21" s="102">
        <v>5</v>
      </c>
      <c r="O21" s="102">
        <v>9</v>
      </c>
      <c r="P21" s="102">
        <v>4</v>
      </c>
      <c r="Q21" s="102">
        <v>5</v>
      </c>
      <c r="R21" s="102"/>
      <c r="S21" s="102">
        <v>5</v>
      </c>
      <c r="T21" s="102">
        <v>3</v>
      </c>
      <c r="U21" s="102">
        <v>4</v>
      </c>
      <c r="V21" s="103"/>
      <c r="W21" s="103"/>
      <c r="X21" s="103"/>
      <c r="Y21" s="103"/>
      <c r="Z21" s="103">
        <v>5</v>
      </c>
      <c r="AA21" s="103">
        <v>3</v>
      </c>
      <c r="AB21" s="103"/>
      <c r="AC21" s="103"/>
      <c r="AD21" s="103"/>
      <c r="AE21" s="104">
        <f>SUM(Tabla243[[#This Row],[01/04/2026]:[Columna28]])</f>
        <v>109</v>
      </c>
      <c r="AF21" s="105">
        <f>Tabla243[[#This Row],[TOTAL]]*Tabla243[[#This Row],[COSTO]]</f>
        <v>8175</v>
      </c>
    </row>
    <row r="22" spans="1:32" ht="18.75">
      <c r="A22" s="100" t="s">
        <v>300</v>
      </c>
      <c r="B22" s="101">
        <f>120/3</f>
        <v>40</v>
      </c>
      <c r="C22" s="102">
        <v>3</v>
      </c>
      <c r="D22" s="102"/>
      <c r="E22" s="102">
        <v>1</v>
      </c>
      <c r="F22" s="102">
        <v>2</v>
      </c>
      <c r="G22" s="102"/>
      <c r="H22" s="102"/>
      <c r="I22" s="102"/>
      <c r="J22" s="102"/>
      <c r="K22" s="102"/>
      <c r="L22" s="102">
        <v>3</v>
      </c>
      <c r="M22" s="102">
        <v>1</v>
      </c>
      <c r="N22" s="102"/>
      <c r="O22" s="102">
        <v>4</v>
      </c>
      <c r="P22" s="102"/>
      <c r="Q22" s="102">
        <v>1</v>
      </c>
      <c r="R22" s="102"/>
      <c r="S22" s="102"/>
      <c r="T22" s="102"/>
      <c r="U22" s="102"/>
      <c r="V22" s="103">
        <v>2</v>
      </c>
      <c r="W22" s="103"/>
      <c r="X22" s="103">
        <v>2</v>
      </c>
      <c r="Y22" s="103">
        <v>2</v>
      </c>
      <c r="Z22" s="103">
        <v>1</v>
      </c>
      <c r="AA22" s="103">
        <v>1</v>
      </c>
      <c r="AB22" s="103"/>
      <c r="AC22" s="103">
        <v>1</v>
      </c>
      <c r="AD22" s="103"/>
      <c r="AE22" s="104">
        <f>SUM(Tabla243[[#This Row],[01/04/2026]:[Columna28]])</f>
        <v>24</v>
      </c>
      <c r="AF22" s="105">
        <f>Tabla243[[#This Row],[TOTAL]]*Tabla243[[#This Row],[COSTO]]</f>
        <v>960</v>
      </c>
    </row>
    <row r="23" spans="1:32" ht="13.5" customHeight="1">
      <c r="A23" s="100" t="s">
        <v>95</v>
      </c>
      <c r="B23" s="101">
        <v>100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3"/>
      <c r="W23" s="103"/>
      <c r="X23" s="103"/>
      <c r="Y23" s="103"/>
      <c r="Z23" s="103"/>
      <c r="AA23" s="103"/>
      <c r="AB23" s="103"/>
      <c r="AC23" s="103"/>
      <c r="AD23" s="103"/>
      <c r="AE23" s="107">
        <f>SUM(Tabla243[[#This Row],[01/04/2026]:[Columna28]])</f>
        <v>0</v>
      </c>
      <c r="AF23" s="105">
        <f>Tabla243[[#This Row],[TOTAL]]*Tabla243[[#This Row],[COSTO]]</f>
        <v>0</v>
      </c>
    </row>
    <row r="24" spans="1:32" ht="18.75">
      <c r="A24" s="100" t="s">
        <v>103</v>
      </c>
      <c r="B24" s="101">
        <v>280</v>
      </c>
      <c r="C24" s="102"/>
      <c r="D24" s="102"/>
      <c r="E24" s="102"/>
      <c r="F24" s="102"/>
      <c r="G24" s="102"/>
      <c r="H24" s="102"/>
      <c r="I24" s="102">
        <v>1</v>
      </c>
      <c r="J24" s="102"/>
      <c r="K24" s="102"/>
      <c r="L24" s="102"/>
      <c r="M24" s="102"/>
      <c r="N24" s="102"/>
      <c r="O24" s="102"/>
      <c r="P24" s="102"/>
      <c r="Q24" s="102">
        <v>1</v>
      </c>
      <c r="R24" s="102"/>
      <c r="S24" s="102"/>
      <c r="T24" s="102"/>
      <c r="U24" s="102"/>
      <c r="V24" s="103"/>
      <c r="W24" s="103"/>
      <c r="X24" s="103"/>
      <c r="Y24" s="103"/>
      <c r="Z24" s="103"/>
      <c r="AA24" s="103"/>
      <c r="AB24" s="103"/>
      <c r="AC24" s="103"/>
      <c r="AD24" s="103"/>
      <c r="AE24" s="104">
        <f>SUM(Tabla243[[#This Row],[01/04/2026]:[Columna28]])</f>
        <v>2</v>
      </c>
      <c r="AF24" s="105">
        <f>Tabla243[[#This Row],[TOTAL]]*Tabla243[[#This Row],[COSTO]]</f>
        <v>560</v>
      </c>
    </row>
    <row r="25" spans="1:32" ht="28.5">
      <c r="A25" s="108" t="s">
        <v>301</v>
      </c>
      <c r="B25" s="109">
        <v>230</v>
      </c>
      <c r="C25" s="102"/>
      <c r="D25" s="102">
        <v>2</v>
      </c>
      <c r="E25" s="102">
        <v>2</v>
      </c>
      <c r="F25" s="102">
        <v>2</v>
      </c>
      <c r="G25" s="102">
        <v>2</v>
      </c>
      <c r="H25" s="102"/>
      <c r="I25" s="102">
        <v>1</v>
      </c>
      <c r="J25" s="102">
        <v>3</v>
      </c>
      <c r="K25" s="102"/>
      <c r="L25" s="102">
        <v>1</v>
      </c>
      <c r="M25" s="102">
        <v>1</v>
      </c>
      <c r="N25" s="102">
        <v>1</v>
      </c>
      <c r="O25" s="102"/>
      <c r="P25" s="102"/>
      <c r="Q25" s="102"/>
      <c r="R25" s="102">
        <v>1</v>
      </c>
      <c r="S25" s="102"/>
      <c r="T25" s="102">
        <v>2</v>
      </c>
      <c r="U25" s="102"/>
      <c r="V25" s="103"/>
      <c r="W25" s="103"/>
      <c r="X25" s="103"/>
      <c r="Y25" s="103"/>
      <c r="Z25" s="103"/>
      <c r="AA25" s="103">
        <v>1</v>
      </c>
      <c r="AB25" s="103"/>
      <c r="AC25" s="103"/>
      <c r="AD25" s="103"/>
      <c r="AE25" s="104">
        <f>SUM(Tabla243[[#This Row],[01/04/2026]:[Columna28]])</f>
        <v>19</v>
      </c>
      <c r="AF25" s="105">
        <f>Tabla243[[#This Row],[TOTAL]]*Tabla243[[#This Row],[COSTO]]</f>
        <v>4370</v>
      </c>
    </row>
    <row r="26" spans="1:32" ht="28.5">
      <c r="A26" s="108" t="s">
        <v>302</v>
      </c>
      <c r="B26" s="109">
        <v>250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3"/>
      <c r="W26" s="103"/>
      <c r="X26" s="103"/>
      <c r="Y26" s="103"/>
      <c r="Z26" s="103"/>
      <c r="AA26" s="103"/>
      <c r="AB26" s="103"/>
      <c r="AC26" s="103"/>
      <c r="AD26" s="103"/>
      <c r="AE26" s="107">
        <f>SUM(Tabla243[[#This Row],[01/04/2026]:[Columna28]])</f>
        <v>0</v>
      </c>
      <c r="AF26" s="105">
        <f>Tabla243[[#This Row],[TOTAL]]*Tabla243[[#This Row],[COSTO]]</f>
        <v>0</v>
      </c>
    </row>
    <row r="27" spans="1:32" ht="28.5">
      <c r="A27" s="108" t="s">
        <v>303</v>
      </c>
      <c r="B27" s="109">
        <v>250</v>
      </c>
      <c r="C27" s="102">
        <v>2</v>
      </c>
      <c r="D27" s="102">
        <v>3</v>
      </c>
      <c r="E27" s="102">
        <v>1</v>
      </c>
      <c r="F27" s="102">
        <v>3</v>
      </c>
      <c r="G27" s="102">
        <v>1</v>
      </c>
      <c r="H27" s="102">
        <v>1</v>
      </c>
      <c r="I27" s="102"/>
      <c r="J27" s="102"/>
      <c r="K27" s="102"/>
      <c r="L27" s="102"/>
      <c r="M27" s="102"/>
      <c r="N27" s="102">
        <v>1</v>
      </c>
      <c r="O27" s="102"/>
      <c r="P27" s="102"/>
      <c r="Q27" s="102"/>
      <c r="R27" s="102"/>
      <c r="S27" s="102">
        <v>2</v>
      </c>
      <c r="T27" s="102"/>
      <c r="U27" s="102">
        <v>1</v>
      </c>
      <c r="V27" s="103"/>
      <c r="W27" s="103"/>
      <c r="X27" s="103"/>
      <c r="Y27" s="103"/>
      <c r="Z27" s="103"/>
      <c r="AA27" s="103"/>
      <c r="AB27" s="103"/>
      <c r="AC27" s="103"/>
      <c r="AD27" s="103"/>
      <c r="AE27" s="104">
        <f>SUM(Tabla243[[#This Row],[01/04/2026]:[Columna28]])</f>
        <v>15</v>
      </c>
      <c r="AF27" s="105">
        <f>Tabla243[[#This Row],[TOTAL]]*Tabla243[[#This Row],[COSTO]]</f>
        <v>3750</v>
      </c>
    </row>
    <row r="28" spans="1:32" ht="28.5">
      <c r="A28" s="110" t="s">
        <v>304</v>
      </c>
      <c r="B28" s="111">
        <v>320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3"/>
      <c r="W28" s="103"/>
      <c r="X28" s="103"/>
      <c r="Y28" s="103">
        <v>1</v>
      </c>
      <c r="Z28" s="103">
        <v>2</v>
      </c>
      <c r="AA28" s="103"/>
      <c r="AB28" s="103"/>
      <c r="AC28" s="103"/>
      <c r="AD28" s="103"/>
      <c r="AE28" s="107">
        <f>SUM(Tabla243[[#This Row],[01/04/2026]:[Columna28]])</f>
        <v>3</v>
      </c>
      <c r="AF28" s="105">
        <f>Tabla243[[#This Row],[TOTAL]]*Tabla243[[#This Row],[COSTO]]</f>
        <v>960</v>
      </c>
    </row>
    <row r="29" spans="1:32" ht="28.5">
      <c r="A29" s="110" t="s">
        <v>129</v>
      </c>
      <c r="B29" s="111">
        <v>380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3"/>
      <c r="W29" s="103"/>
      <c r="X29" s="103">
        <v>1</v>
      </c>
      <c r="Y29" s="103"/>
      <c r="Z29" s="103"/>
      <c r="AA29" s="103"/>
      <c r="AB29" s="103"/>
      <c r="AC29" s="103">
        <v>1</v>
      </c>
      <c r="AD29" s="103"/>
      <c r="AE29" s="107">
        <f>SUM(Tabla243[[#This Row],[01/04/2026]:[Columna28]])</f>
        <v>2</v>
      </c>
      <c r="AF29" s="105">
        <f>Tabla243[[#This Row],[TOTAL]]*Tabla243[[#This Row],[COSTO]]</f>
        <v>760</v>
      </c>
    </row>
    <row r="30" spans="1:32" ht="28.5">
      <c r="A30" s="110" t="s">
        <v>305</v>
      </c>
      <c r="B30" s="111">
        <v>350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3"/>
      <c r="W30" s="103"/>
      <c r="X30" s="103"/>
      <c r="Y30" s="103">
        <v>1</v>
      </c>
      <c r="Z30" s="103"/>
      <c r="AA30" s="103"/>
      <c r="AB30" s="103"/>
      <c r="AC30" s="103"/>
      <c r="AD30" s="103"/>
      <c r="AE30" s="107">
        <f>SUM(Tabla243[[#This Row],[01/04/2026]:[Columna28]])</f>
        <v>1</v>
      </c>
      <c r="AF30" s="105">
        <f>Tabla243[[#This Row],[TOTAL]]*Tabla243[[#This Row],[COSTO]]</f>
        <v>350</v>
      </c>
    </row>
    <row r="31" spans="1:32" ht="28.5">
      <c r="A31" s="112" t="s">
        <v>127</v>
      </c>
      <c r="B31" s="113">
        <v>350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3"/>
      <c r="W31" s="103"/>
      <c r="X31" s="103"/>
      <c r="Y31" s="103"/>
      <c r="Z31" s="103"/>
      <c r="AA31" s="103"/>
      <c r="AB31" s="103"/>
      <c r="AC31" s="103"/>
      <c r="AD31" s="103"/>
      <c r="AE31" s="107">
        <f>SUM(Tabla243[[#This Row],[01/04/2026]:[Columna28]])</f>
        <v>0</v>
      </c>
      <c r="AF31" s="105">
        <f>Tabla243[[#This Row],[TOTAL]]*Tabla243[[#This Row],[COSTO]]</f>
        <v>0</v>
      </c>
    </row>
    <row r="32" spans="1:32" ht="18.75">
      <c r="A32" s="100" t="s">
        <v>306</v>
      </c>
      <c r="B32" s="101">
        <v>250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3"/>
      <c r="W32" s="103"/>
      <c r="X32" s="103"/>
      <c r="Y32" s="103"/>
      <c r="Z32" s="103"/>
      <c r="AA32" s="103"/>
      <c r="AB32" s="103"/>
      <c r="AC32" s="103"/>
      <c r="AD32" s="103"/>
      <c r="AE32" s="107">
        <f>SUM(Tabla243[[#This Row],[01/04/2026]:[Columna28]])</f>
        <v>0</v>
      </c>
      <c r="AF32" s="105">
        <f>Tabla243[[#This Row],[TOTAL]]*Tabla243[[#This Row],[COSTO]]</f>
        <v>0</v>
      </c>
    </row>
    <row r="33" spans="1:32" ht="28.5">
      <c r="A33" s="100" t="s">
        <v>200</v>
      </c>
      <c r="B33" s="101">
        <v>160</v>
      </c>
      <c r="C33" s="102">
        <v>2</v>
      </c>
      <c r="D33" s="102">
        <v>6</v>
      </c>
      <c r="E33" s="102">
        <v>6</v>
      </c>
      <c r="F33" s="102">
        <v>8</v>
      </c>
      <c r="G33" s="102">
        <v>5</v>
      </c>
      <c r="H33" s="102">
        <v>1</v>
      </c>
      <c r="I33" s="102">
        <v>2</v>
      </c>
      <c r="J33" s="102">
        <v>3</v>
      </c>
      <c r="K33" s="102">
        <v>4</v>
      </c>
      <c r="L33" s="102">
        <v>5</v>
      </c>
      <c r="M33" s="102">
        <v>7</v>
      </c>
      <c r="N33" s="102">
        <v>3</v>
      </c>
      <c r="O33" s="102">
        <v>3</v>
      </c>
      <c r="P33" s="102"/>
      <c r="Q33" s="102">
        <v>2</v>
      </c>
      <c r="R33" s="102"/>
      <c r="S33" s="102">
        <v>3</v>
      </c>
      <c r="T33" s="102"/>
      <c r="U33" s="102">
        <v>1</v>
      </c>
      <c r="V33" s="103">
        <v>1</v>
      </c>
      <c r="W33" s="103">
        <v>14</v>
      </c>
      <c r="X33" s="103"/>
      <c r="Y33" s="103"/>
      <c r="Z33" s="103"/>
      <c r="AA33" s="103">
        <v>4</v>
      </c>
      <c r="AB33" s="103"/>
      <c r="AC33" s="103"/>
      <c r="AD33" s="103"/>
      <c r="AE33" s="104">
        <f>SUM(Tabla243[[#This Row],[01/04/2026]:[Columna28]])</f>
        <v>80</v>
      </c>
      <c r="AF33" s="105">
        <f>Tabla243[[#This Row],[TOTAL]]*Tabla243[[#This Row],[COSTO]]</f>
        <v>12800</v>
      </c>
    </row>
    <row r="34" spans="1:32" ht="18.75">
      <c r="A34" s="100" t="s">
        <v>133</v>
      </c>
      <c r="B34" s="101">
        <v>60</v>
      </c>
      <c r="C34" s="102">
        <v>3</v>
      </c>
      <c r="D34" s="102"/>
      <c r="E34" s="102">
        <v>3</v>
      </c>
      <c r="F34" s="102"/>
      <c r="G34" s="102">
        <v>1</v>
      </c>
      <c r="H34" s="102"/>
      <c r="I34" s="102"/>
      <c r="J34" s="102">
        <v>1</v>
      </c>
      <c r="K34" s="102"/>
      <c r="L34" s="102">
        <v>1</v>
      </c>
      <c r="M34" s="102"/>
      <c r="N34" s="102"/>
      <c r="O34" s="102"/>
      <c r="P34" s="102">
        <v>3</v>
      </c>
      <c r="Q34" s="102"/>
      <c r="R34" s="102"/>
      <c r="S34" s="102"/>
      <c r="T34" s="102"/>
      <c r="U34" s="102">
        <v>6</v>
      </c>
      <c r="V34" s="103"/>
      <c r="W34" s="103"/>
      <c r="X34" s="103"/>
      <c r="Y34" s="103"/>
      <c r="Z34" s="103">
        <v>3</v>
      </c>
      <c r="AA34" s="103">
        <v>1</v>
      </c>
      <c r="AB34" s="103"/>
      <c r="AC34" s="103"/>
      <c r="AD34" s="103"/>
      <c r="AE34" s="104">
        <f>SUM(Tabla243[[#This Row],[01/04/2026]:[Columna28]])</f>
        <v>22</v>
      </c>
      <c r="AF34" s="105">
        <f>Tabla243[[#This Row],[TOTAL]]*Tabla243[[#This Row],[COSTO]]</f>
        <v>1320</v>
      </c>
    </row>
    <row r="35" spans="1:32" ht="18.75">
      <c r="A35" s="100" t="s">
        <v>203</v>
      </c>
      <c r="B35" s="101">
        <v>70</v>
      </c>
      <c r="C35" s="102"/>
      <c r="D35" s="102"/>
      <c r="E35" s="102">
        <v>3</v>
      </c>
      <c r="F35" s="102">
        <v>1</v>
      </c>
      <c r="G35" s="102"/>
      <c r="H35" s="102"/>
      <c r="I35" s="102"/>
      <c r="J35" s="102">
        <v>1</v>
      </c>
      <c r="K35" s="102"/>
      <c r="L35" s="102">
        <v>2</v>
      </c>
      <c r="M35" s="102"/>
      <c r="N35" s="102"/>
      <c r="O35" s="102"/>
      <c r="P35" s="102"/>
      <c r="Q35" s="102"/>
      <c r="R35" s="102"/>
      <c r="S35" s="102"/>
      <c r="T35" s="102">
        <v>3</v>
      </c>
      <c r="U35" s="102"/>
      <c r="V35" s="103"/>
      <c r="W35" s="103"/>
      <c r="X35" s="103"/>
      <c r="Y35" s="103"/>
      <c r="Z35" s="103"/>
      <c r="AA35" s="103"/>
      <c r="AB35" s="103"/>
      <c r="AC35" s="103"/>
      <c r="AD35" s="103"/>
      <c r="AE35" s="104">
        <f>SUM(Tabla243[[#This Row],[01/04/2026]:[Columna28]])</f>
        <v>10</v>
      </c>
      <c r="AF35" s="105">
        <f>Tabla243[[#This Row],[TOTAL]]*Tabla243[[#This Row],[COSTO]]</f>
        <v>700</v>
      </c>
    </row>
    <row r="36" spans="1:32" ht="18.75">
      <c r="A36" s="100" t="s">
        <v>307</v>
      </c>
      <c r="B36" s="101">
        <v>220</v>
      </c>
      <c r="C36" s="102"/>
      <c r="D36" s="102">
        <v>1</v>
      </c>
      <c r="E36" s="102">
        <v>4</v>
      </c>
      <c r="F36" s="102">
        <v>1</v>
      </c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3"/>
      <c r="W36" s="103">
        <v>1</v>
      </c>
      <c r="X36" s="103">
        <v>1</v>
      </c>
      <c r="Y36" s="103"/>
      <c r="Z36" s="103"/>
      <c r="AA36" s="103"/>
      <c r="AB36" s="103"/>
      <c r="AC36" s="103"/>
      <c r="AD36" s="103"/>
      <c r="AE36" s="104">
        <f>SUM(Tabla243[[#This Row],[01/04/2026]:[Columna28]])</f>
        <v>8</v>
      </c>
      <c r="AF36" s="105">
        <f>Tabla243[[#This Row],[TOTAL]]*Tabla243[[#This Row],[COSTO]]</f>
        <v>1760</v>
      </c>
    </row>
    <row r="37" spans="1:32" ht="18.75">
      <c r="A37" s="100" t="s">
        <v>137</v>
      </c>
      <c r="B37" s="101">
        <f>180/3</f>
        <v>60</v>
      </c>
      <c r="C37" s="102"/>
      <c r="D37" s="102"/>
      <c r="E37" s="102"/>
      <c r="F37" s="102"/>
      <c r="G37" s="102">
        <v>4</v>
      </c>
      <c r="H37" s="102"/>
      <c r="I37" s="102">
        <v>1</v>
      </c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3"/>
      <c r="W37" s="103"/>
      <c r="X37" s="103"/>
      <c r="Y37" s="103"/>
      <c r="Z37" s="103">
        <v>1</v>
      </c>
      <c r="AA37" s="103"/>
      <c r="AB37" s="103"/>
      <c r="AC37" s="103"/>
      <c r="AD37" s="103"/>
      <c r="AE37" s="104">
        <f>SUM(Tabla243[[#This Row],[01/04/2026]:[Columna28]])</f>
        <v>6</v>
      </c>
      <c r="AF37" s="105">
        <f>Tabla243[[#This Row],[TOTAL]]*Tabla243[[#This Row],[COSTO]]</f>
        <v>360</v>
      </c>
    </row>
    <row r="38" spans="1:32" ht="18.75">
      <c r="A38" s="100" t="s">
        <v>149</v>
      </c>
      <c r="B38" s="101">
        <v>90</v>
      </c>
      <c r="C38" s="102"/>
      <c r="D38" s="102">
        <v>1</v>
      </c>
      <c r="E38" s="102">
        <v>3</v>
      </c>
      <c r="F38" s="102"/>
      <c r="G38" s="102">
        <v>1</v>
      </c>
      <c r="H38" s="102"/>
      <c r="I38" s="102"/>
      <c r="J38" s="102">
        <v>3</v>
      </c>
      <c r="K38" s="102">
        <v>4</v>
      </c>
      <c r="L38" s="102">
        <v>4</v>
      </c>
      <c r="M38" s="102">
        <v>2</v>
      </c>
      <c r="N38" s="102">
        <v>2</v>
      </c>
      <c r="O38" s="102">
        <v>2</v>
      </c>
      <c r="P38" s="102"/>
      <c r="Q38" s="102">
        <v>1</v>
      </c>
      <c r="R38" s="102"/>
      <c r="S38" s="102">
        <v>2</v>
      </c>
      <c r="T38" s="102"/>
      <c r="U38" s="102"/>
      <c r="V38" s="103">
        <v>1</v>
      </c>
      <c r="W38" s="103"/>
      <c r="X38" s="103"/>
      <c r="Y38" s="103"/>
      <c r="Z38" s="103"/>
      <c r="AA38" s="103">
        <v>1</v>
      </c>
      <c r="AB38" s="103"/>
      <c r="AC38" s="103"/>
      <c r="AD38" s="103"/>
      <c r="AE38" s="104">
        <f>SUM(Tabla243[[#This Row],[01/04/2026]:[Columna28]])</f>
        <v>27</v>
      </c>
      <c r="AF38" s="105">
        <f>Tabla243[[#This Row],[TOTAL]]*Tabla243[[#This Row],[COSTO]]</f>
        <v>2430</v>
      </c>
    </row>
    <row r="39" spans="1:32" ht="18.75">
      <c r="A39" s="100" t="s">
        <v>153</v>
      </c>
      <c r="B39" s="101">
        <v>95</v>
      </c>
      <c r="C39" s="102"/>
      <c r="D39" s="102">
        <v>2</v>
      </c>
      <c r="E39" s="102">
        <v>1</v>
      </c>
      <c r="F39" s="102"/>
      <c r="G39" s="102">
        <v>4</v>
      </c>
      <c r="H39" s="102"/>
      <c r="I39" s="102"/>
      <c r="J39" s="102"/>
      <c r="K39" s="102">
        <v>1</v>
      </c>
      <c r="L39" s="102"/>
      <c r="M39" s="102"/>
      <c r="N39" s="102"/>
      <c r="O39" s="102"/>
      <c r="P39" s="102"/>
      <c r="Q39" s="102"/>
      <c r="R39" s="102"/>
      <c r="S39" s="102"/>
      <c r="T39" s="102">
        <v>1</v>
      </c>
      <c r="U39" s="102"/>
      <c r="V39" s="103"/>
      <c r="W39" s="103"/>
      <c r="X39" s="103"/>
      <c r="Y39" s="103"/>
      <c r="Z39" s="103"/>
      <c r="AA39" s="103"/>
      <c r="AB39" s="103"/>
      <c r="AC39" s="103"/>
      <c r="AD39" s="103"/>
      <c r="AE39" s="104">
        <f>SUM(Tabla243[[#This Row],[01/04/2026]:[Columna28]])</f>
        <v>9</v>
      </c>
      <c r="AF39" s="105">
        <f>Tabla243[[#This Row],[TOTAL]]*Tabla243[[#This Row],[COSTO]]</f>
        <v>855</v>
      </c>
    </row>
    <row r="40" spans="1:32" ht="18.75">
      <c r="A40" s="100" t="s">
        <v>157</v>
      </c>
      <c r="B40" s="101">
        <v>110</v>
      </c>
      <c r="C40" s="102"/>
      <c r="D40" s="102"/>
      <c r="E40" s="102">
        <v>1</v>
      </c>
      <c r="F40" s="102">
        <v>1</v>
      </c>
      <c r="G40" s="102">
        <v>1</v>
      </c>
      <c r="H40" s="102"/>
      <c r="I40" s="102"/>
      <c r="J40" s="102"/>
      <c r="K40" s="102">
        <v>2</v>
      </c>
      <c r="L40" s="102">
        <v>1</v>
      </c>
      <c r="M40" s="102"/>
      <c r="N40" s="102">
        <v>2</v>
      </c>
      <c r="O40" s="102"/>
      <c r="P40" s="102"/>
      <c r="Q40" s="102"/>
      <c r="R40" s="102"/>
      <c r="S40" s="102">
        <v>1</v>
      </c>
      <c r="T40" s="102">
        <v>1</v>
      </c>
      <c r="U40" s="102"/>
      <c r="V40" s="103"/>
      <c r="W40" s="103"/>
      <c r="X40" s="103"/>
      <c r="Y40" s="103"/>
      <c r="Z40" s="106"/>
      <c r="AA40" s="103"/>
      <c r="AB40" s="103"/>
      <c r="AC40" s="103"/>
      <c r="AD40" s="103"/>
      <c r="AE40" s="104">
        <f>SUM(Tabla243[[#This Row],[01/04/2026]:[Columna28]])</f>
        <v>10</v>
      </c>
      <c r="AF40" s="105">
        <f>Tabla243[[#This Row],[TOTAL]]*Tabla243[[#This Row],[COSTO]]</f>
        <v>1100</v>
      </c>
    </row>
    <row r="41" spans="1:32" ht="18.75">
      <c r="A41" s="100" t="s">
        <v>161</v>
      </c>
      <c r="B41" s="101">
        <v>110</v>
      </c>
      <c r="C41" s="102">
        <v>2</v>
      </c>
      <c r="D41" s="102"/>
      <c r="E41" s="102"/>
      <c r="F41" s="102">
        <v>2</v>
      </c>
      <c r="G41" s="102">
        <v>1</v>
      </c>
      <c r="H41" s="102"/>
      <c r="I41" s="102">
        <v>1</v>
      </c>
      <c r="J41" s="102"/>
      <c r="K41" s="102">
        <v>1</v>
      </c>
      <c r="L41" s="102"/>
      <c r="M41" s="102">
        <v>1</v>
      </c>
      <c r="N41" s="102"/>
      <c r="O41" s="102">
        <v>1</v>
      </c>
      <c r="P41" s="102"/>
      <c r="Q41" s="102"/>
      <c r="R41" s="102"/>
      <c r="S41" s="102"/>
      <c r="T41" s="102"/>
      <c r="U41" s="102">
        <v>1</v>
      </c>
      <c r="V41" s="103"/>
      <c r="W41" s="103">
        <v>1</v>
      </c>
      <c r="X41" s="103"/>
      <c r="Y41" s="103">
        <v>1</v>
      </c>
      <c r="Z41" s="103">
        <v>1</v>
      </c>
      <c r="AA41" s="103"/>
      <c r="AB41" s="103"/>
      <c r="AC41" s="103">
        <v>1</v>
      </c>
      <c r="AD41" s="103"/>
      <c r="AE41" s="104">
        <f>SUM(Tabla243[[#This Row],[01/04/2026]:[Columna28]])</f>
        <v>14</v>
      </c>
      <c r="AF41" s="105">
        <f>Tabla243[[#This Row],[TOTAL]]*Tabla243[[#This Row],[COSTO]]</f>
        <v>1540</v>
      </c>
    </row>
    <row r="42" spans="1:32" ht="18.75">
      <c r="A42" s="100" t="s">
        <v>167</v>
      </c>
      <c r="B42" s="101">
        <v>85</v>
      </c>
      <c r="C42" s="102"/>
      <c r="D42" s="102"/>
      <c r="E42" s="102"/>
      <c r="F42" s="102">
        <v>1</v>
      </c>
      <c r="G42" s="102">
        <v>4</v>
      </c>
      <c r="H42" s="102"/>
      <c r="I42" s="102"/>
      <c r="J42" s="102"/>
      <c r="K42" s="102">
        <v>4</v>
      </c>
      <c r="L42" s="102">
        <v>2</v>
      </c>
      <c r="M42" s="102">
        <v>1</v>
      </c>
      <c r="N42" s="102"/>
      <c r="O42" s="102"/>
      <c r="P42" s="102"/>
      <c r="Q42" s="102"/>
      <c r="R42" s="102">
        <v>2</v>
      </c>
      <c r="S42" s="102"/>
      <c r="T42" s="102"/>
      <c r="U42" s="102"/>
      <c r="V42" s="103"/>
      <c r="W42" s="103"/>
      <c r="X42" s="103"/>
      <c r="Y42" s="103"/>
      <c r="Z42" s="103"/>
      <c r="AA42" s="103"/>
      <c r="AB42" s="103"/>
      <c r="AC42" s="103"/>
      <c r="AD42" s="103"/>
      <c r="AE42" s="104">
        <f>SUM(Tabla243[[#This Row],[01/04/2026]:[Columna28]])</f>
        <v>14</v>
      </c>
      <c r="AF42" s="105">
        <f>Tabla243[[#This Row],[TOTAL]]*Tabla243[[#This Row],[COSTO]]</f>
        <v>1190</v>
      </c>
    </row>
    <row r="43" spans="1:32" ht="18.75">
      <c r="A43" s="100" t="s">
        <v>169</v>
      </c>
      <c r="B43" s="101">
        <v>80</v>
      </c>
      <c r="C43" s="102"/>
      <c r="D43" s="102">
        <v>1</v>
      </c>
      <c r="E43" s="102"/>
      <c r="F43" s="102">
        <v>4</v>
      </c>
      <c r="G43" s="102"/>
      <c r="H43" s="102"/>
      <c r="I43" s="102"/>
      <c r="J43" s="102">
        <v>1</v>
      </c>
      <c r="K43" s="102"/>
      <c r="L43" s="102"/>
      <c r="M43" s="102">
        <v>1</v>
      </c>
      <c r="N43" s="102"/>
      <c r="O43" s="102"/>
      <c r="P43" s="102"/>
      <c r="Q43" s="102"/>
      <c r="R43" s="102"/>
      <c r="S43" s="102"/>
      <c r="T43" s="102"/>
      <c r="U43" s="102"/>
      <c r="V43" s="103"/>
      <c r="W43" s="103"/>
      <c r="X43" s="103"/>
      <c r="Y43" s="103"/>
      <c r="Z43" s="103"/>
      <c r="AA43" s="103"/>
      <c r="AB43" s="103"/>
      <c r="AC43" s="103"/>
      <c r="AD43" s="103"/>
      <c r="AE43" s="104">
        <f>SUM(Tabla243[[#This Row],[01/04/2026]:[Columna28]])</f>
        <v>7</v>
      </c>
      <c r="AF43" s="105">
        <f>Tabla243[[#This Row],[TOTAL]]*Tabla243[[#This Row],[COSTO]]</f>
        <v>560</v>
      </c>
    </row>
    <row r="44" spans="1:32" ht="18.75">
      <c r="A44" s="100" t="s">
        <v>173</v>
      </c>
      <c r="B44" s="101">
        <v>130</v>
      </c>
      <c r="C44" s="102">
        <v>1</v>
      </c>
      <c r="D44" s="102"/>
      <c r="E44" s="102"/>
      <c r="F44" s="102"/>
      <c r="G44" s="102">
        <v>2</v>
      </c>
      <c r="H44" s="102"/>
      <c r="I44" s="102"/>
      <c r="J44" s="102"/>
      <c r="K44" s="102"/>
      <c r="L44" s="102">
        <v>2</v>
      </c>
      <c r="M44" s="102"/>
      <c r="N44" s="102"/>
      <c r="O44" s="102"/>
      <c r="P44" s="102"/>
      <c r="Q44" s="102">
        <v>5</v>
      </c>
      <c r="R44" s="102"/>
      <c r="S44" s="102"/>
      <c r="T44" s="102"/>
      <c r="U44" s="102"/>
      <c r="V44" s="103"/>
      <c r="W44" s="103"/>
      <c r="X44" s="103">
        <v>2</v>
      </c>
      <c r="Y44" s="103"/>
      <c r="Z44" s="103"/>
      <c r="AA44" s="103"/>
      <c r="AB44" s="103"/>
      <c r="AC44" s="103">
        <v>1</v>
      </c>
      <c r="AD44" s="103"/>
      <c r="AE44" s="104">
        <f>SUM(Tabla243[[#This Row],[01/04/2026]:[Columna28]])</f>
        <v>13</v>
      </c>
      <c r="AF44" s="105">
        <f>Tabla243[[#This Row],[TOTAL]]*Tabla243[[#This Row],[COSTO]]</f>
        <v>1690</v>
      </c>
    </row>
    <row r="45" spans="1:32" ht="19.5" customHeight="1">
      <c r="A45" s="100" t="s">
        <v>175</v>
      </c>
      <c r="B45" s="101">
        <v>100</v>
      </c>
      <c r="C45" s="102"/>
      <c r="D45" s="102"/>
      <c r="E45" s="102"/>
      <c r="F45" s="102"/>
      <c r="G45" s="102"/>
      <c r="H45" s="102">
        <v>1</v>
      </c>
      <c r="I45" s="102"/>
      <c r="J45" s="102">
        <v>1</v>
      </c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3"/>
      <c r="W45" s="103">
        <v>1</v>
      </c>
      <c r="X45" s="103"/>
      <c r="Y45" s="103"/>
      <c r="Z45" s="103"/>
      <c r="AA45" s="103"/>
      <c r="AB45" s="103"/>
      <c r="AC45" s="103"/>
      <c r="AD45" s="103"/>
      <c r="AE45" s="104">
        <f>SUM(Tabla243[[#This Row],[01/04/2026]:[Columna28]])</f>
        <v>3</v>
      </c>
      <c r="AF45" s="105">
        <f>Tabla243[[#This Row],[TOTAL]]*Tabla243[[#This Row],[COSTO]]</f>
        <v>300</v>
      </c>
    </row>
    <row r="46" spans="1:32" ht="18.75" hidden="1">
      <c r="A46" s="100" t="s">
        <v>308</v>
      </c>
      <c r="B46" s="101">
        <v>750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14"/>
      <c r="Q46" s="102"/>
      <c r="R46" s="114"/>
      <c r="S46" s="102"/>
      <c r="T46" s="102"/>
      <c r="U46" s="102"/>
      <c r="V46" s="103"/>
      <c r="W46" s="103"/>
      <c r="X46" s="103"/>
      <c r="Y46" s="103"/>
      <c r="Z46" s="103"/>
      <c r="AA46" s="103"/>
      <c r="AB46" s="103"/>
      <c r="AC46" s="103"/>
      <c r="AD46" s="103"/>
      <c r="AE46" s="107">
        <f>SUM(Tabla243[[#This Row],[01/04/2026]:[Columna28]])</f>
        <v>0</v>
      </c>
      <c r="AF46" s="105">
        <f>Tabla243[[#This Row],[TOTAL]]*Tabla243[[#This Row],[COSTO]]</f>
        <v>0</v>
      </c>
    </row>
    <row r="47" spans="1:32" ht="18.75">
      <c r="A47" s="100" t="s">
        <v>206</v>
      </c>
      <c r="B47" s="101">
        <v>210</v>
      </c>
      <c r="C47" s="102"/>
      <c r="D47" s="102"/>
      <c r="E47" s="102">
        <v>4</v>
      </c>
      <c r="F47" s="102"/>
      <c r="G47" s="102"/>
      <c r="H47" s="102"/>
      <c r="I47" s="102"/>
      <c r="J47" s="102"/>
      <c r="K47" s="102"/>
      <c r="L47" s="102"/>
      <c r="M47" s="102">
        <v>1</v>
      </c>
      <c r="N47" s="102"/>
      <c r="O47" s="102"/>
      <c r="P47" s="114"/>
      <c r="Q47" s="102">
        <v>2</v>
      </c>
      <c r="R47" s="114"/>
      <c r="S47" s="102"/>
      <c r="T47" s="102">
        <v>1</v>
      </c>
      <c r="U47" s="102"/>
      <c r="V47" s="103"/>
      <c r="W47" s="103">
        <v>3</v>
      </c>
      <c r="X47" s="103"/>
      <c r="Y47" s="103"/>
      <c r="Z47" s="103">
        <v>1</v>
      </c>
      <c r="AA47" s="103">
        <v>3</v>
      </c>
      <c r="AB47" s="103"/>
      <c r="AC47" s="103"/>
      <c r="AD47" s="103"/>
      <c r="AE47" s="107">
        <f>SUM(Tabla243[[#This Row],[01/04/2026]:[Columna28]])</f>
        <v>15</v>
      </c>
      <c r="AF47" s="105">
        <f>Tabla243[[#This Row],[TOTAL]]*Tabla243[[#This Row],[COSTO]]</f>
        <v>3150</v>
      </c>
    </row>
    <row r="48" spans="1:32" ht="18.75">
      <c r="A48" s="100" t="s">
        <v>182</v>
      </c>
      <c r="B48" s="115">
        <v>70</v>
      </c>
      <c r="C48" s="102">
        <v>26</v>
      </c>
      <c r="D48" s="102">
        <v>23</v>
      </c>
      <c r="E48" s="102">
        <v>27</v>
      </c>
      <c r="F48" s="102">
        <v>20</v>
      </c>
      <c r="G48" s="102">
        <v>11</v>
      </c>
      <c r="H48" s="102">
        <v>5</v>
      </c>
      <c r="I48" s="102">
        <v>14</v>
      </c>
      <c r="J48" s="102">
        <v>16</v>
      </c>
      <c r="K48" s="102">
        <v>8</v>
      </c>
      <c r="L48" s="102">
        <v>5</v>
      </c>
      <c r="M48" s="102">
        <v>11</v>
      </c>
      <c r="N48" s="102">
        <v>17</v>
      </c>
      <c r="O48" s="102">
        <v>8</v>
      </c>
      <c r="P48" s="102"/>
      <c r="Q48" s="102">
        <v>3</v>
      </c>
      <c r="R48" s="102">
        <v>5</v>
      </c>
      <c r="S48" s="102">
        <v>17</v>
      </c>
      <c r="T48" s="102">
        <v>1</v>
      </c>
      <c r="U48" s="102">
        <v>7</v>
      </c>
      <c r="V48" s="103">
        <v>13</v>
      </c>
      <c r="W48" s="103">
        <v>33</v>
      </c>
      <c r="X48" s="103">
        <v>6</v>
      </c>
      <c r="Y48" s="103">
        <v>1</v>
      </c>
      <c r="Z48" s="103">
        <v>30</v>
      </c>
      <c r="AA48" s="116">
        <v>23</v>
      </c>
      <c r="AB48" s="116">
        <v>30</v>
      </c>
      <c r="AC48" s="116">
        <v>18</v>
      </c>
      <c r="AD48" s="116"/>
      <c r="AE48" s="107">
        <f>SUM(Tabla243[[#This Row],[01/04/2026]:[Columna28]])</f>
        <v>378</v>
      </c>
      <c r="AF48" s="105">
        <f>Tabla243[[#This Row],[TOTAL]]*Tabla243[[#This Row],[COSTO]]</f>
        <v>26460</v>
      </c>
    </row>
    <row r="49" spans="1:32" ht="30.75" customHeight="1">
      <c r="A49" s="117" t="s">
        <v>309</v>
      </c>
      <c r="B49" s="118">
        <v>0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03"/>
      <c r="W49" s="116"/>
      <c r="X49" s="116"/>
      <c r="Y49" s="116"/>
      <c r="Z49" s="116"/>
      <c r="AA49" s="116"/>
      <c r="AB49" s="116"/>
      <c r="AC49" s="116"/>
      <c r="AD49" s="116"/>
      <c r="AE49" s="104">
        <f>SUM(Tabla243[[#This Row],[01/04/2026]:[Columna28]])</f>
        <v>0</v>
      </c>
      <c r="AF49" s="105">
        <f>Tabla243[[#This Row],[TOTAL]]*Tabla243[[#This Row],[COSTO]]</f>
        <v>0</v>
      </c>
    </row>
    <row r="50" spans="1:32" ht="18.75">
      <c r="A50" s="177" t="s">
        <v>310</v>
      </c>
      <c r="B50" s="178"/>
      <c r="C50" s="120">
        <f t="shared" ref="C50:AD50" si="0">SUBTOTAL(9,C5:C49)</f>
        <v>63</v>
      </c>
      <c r="D50" s="120">
        <f t="shared" si="0"/>
        <v>66</v>
      </c>
      <c r="E50" s="120">
        <f t="shared" si="0"/>
        <v>111</v>
      </c>
      <c r="F50" s="120">
        <f t="shared" si="0"/>
        <v>74</v>
      </c>
      <c r="G50" s="120">
        <f t="shared" si="0"/>
        <v>67</v>
      </c>
      <c r="H50" s="120">
        <f t="shared" si="0"/>
        <v>13</v>
      </c>
      <c r="I50" s="120">
        <f t="shared" si="0"/>
        <v>26</v>
      </c>
      <c r="J50" s="120">
        <f t="shared" si="0"/>
        <v>38</v>
      </c>
      <c r="K50" s="120">
        <f t="shared" si="0"/>
        <v>37</v>
      </c>
      <c r="L50" s="120">
        <f t="shared" si="0"/>
        <v>54</v>
      </c>
      <c r="M50" s="120">
        <f t="shared" si="0"/>
        <v>38</v>
      </c>
      <c r="N50" s="120">
        <f t="shared" si="0"/>
        <v>39</v>
      </c>
      <c r="O50" s="120">
        <f t="shared" si="0"/>
        <v>29</v>
      </c>
      <c r="P50" s="120">
        <f t="shared" si="0"/>
        <v>22</v>
      </c>
      <c r="Q50" s="120">
        <f t="shared" si="0"/>
        <v>24</v>
      </c>
      <c r="R50" s="120">
        <f t="shared" si="0"/>
        <v>9</v>
      </c>
      <c r="S50" s="120">
        <f t="shared" si="0"/>
        <v>46</v>
      </c>
      <c r="T50" s="120">
        <f t="shared" si="0"/>
        <v>20</v>
      </c>
      <c r="U50" s="121">
        <f t="shared" si="0"/>
        <v>33</v>
      </c>
      <c r="V50" s="121">
        <f t="shared" si="0"/>
        <v>22</v>
      </c>
      <c r="W50" s="121">
        <f t="shared" si="0"/>
        <v>65</v>
      </c>
      <c r="X50" s="121">
        <f t="shared" si="0"/>
        <v>18</v>
      </c>
      <c r="Y50" s="121">
        <f t="shared" si="0"/>
        <v>12</v>
      </c>
      <c r="Z50" s="121">
        <f t="shared" si="0"/>
        <v>61</v>
      </c>
      <c r="AA50" s="121">
        <f t="shared" si="0"/>
        <v>52</v>
      </c>
      <c r="AB50" s="121">
        <f t="shared" si="0"/>
        <v>31</v>
      </c>
      <c r="AC50" s="121">
        <f t="shared" si="0"/>
        <v>25</v>
      </c>
      <c r="AD50" s="121">
        <f t="shared" si="0"/>
        <v>0</v>
      </c>
      <c r="AE50" s="122">
        <f>SUBTOTAL(9,AE3:AE49)</f>
        <v>1170</v>
      </c>
      <c r="AF50" s="105">
        <f>SUM(AF3:AF49)</f>
        <v>100010</v>
      </c>
    </row>
    <row r="51" spans="1:32">
      <c r="A51" s="177" t="s">
        <v>311</v>
      </c>
      <c r="B51" s="178"/>
      <c r="C51" s="123">
        <f t="shared" ref="C51:AD51" si="1">SUMPRODUCT($B$3:$B$49, C3:C49)</f>
        <v>4675</v>
      </c>
      <c r="D51" s="123">
        <f t="shared" si="1"/>
        <v>6520</v>
      </c>
      <c r="E51" s="123">
        <f t="shared" si="1"/>
        <v>10340</v>
      </c>
      <c r="F51" s="123">
        <f t="shared" si="1"/>
        <v>6970</v>
      </c>
      <c r="G51" s="123">
        <f t="shared" si="1"/>
        <v>6355</v>
      </c>
      <c r="H51" s="123">
        <f t="shared" si="1"/>
        <v>1255</v>
      </c>
      <c r="I51" s="123">
        <f t="shared" si="1"/>
        <v>2385</v>
      </c>
      <c r="J51" s="123">
        <f t="shared" si="1"/>
        <v>3585</v>
      </c>
      <c r="K51" s="123">
        <f t="shared" si="1"/>
        <v>3525</v>
      </c>
      <c r="L51" s="123">
        <f t="shared" si="1"/>
        <v>4345</v>
      </c>
      <c r="M51" s="123">
        <f t="shared" si="1"/>
        <v>3715</v>
      </c>
      <c r="N51" s="123">
        <f t="shared" si="1"/>
        <v>4020</v>
      </c>
      <c r="O51" s="123">
        <f t="shared" si="1"/>
        <v>2400</v>
      </c>
      <c r="P51" s="123">
        <f t="shared" si="1"/>
        <v>1350</v>
      </c>
      <c r="Q51" s="123">
        <f t="shared" si="1"/>
        <v>2740</v>
      </c>
      <c r="R51" s="123">
        <f t="shared" si="1"/>
        <v>790</v>
      </c>
      <c r="S51" s="123">
        <f t="shared" si="1"/>
        <v>4385</v>
      </c>
      <c r="T51" s="123">
        <f t="shared" si="1"/>
        <v>2185</v>
      </c>
      <c r="U51" s="123">
        <f t="shared" si="1"/>
        <v>2725</v>
      </c>
      <c r="V51" s="123">
        <f t="shared" si="1"/>
        <v>1455</v>
      </c>
      <c r="W51" s="123">
        <f t="shared" si="1"/>
        <v>7020</v>
      </c>
      <c r="X51" s="123">
        <f t="shared" si="1"/>
        <v>1815</v>
      </c>
      <c r="Y51" s="123">
        <f t="shared" si="1"/>
        <v>1680</v>
      </c>
      <c r="Z51" s="123">
        <f t="shared" si="1"/>
        <v>4785</v>
      </c>
      <c r="AA51" s="124">
        <f t="shared" si="1"/>
        <v>5140</v>
      </c>
      <c r="AB51" s="124">
        <f t="shared" si="1"/>
        <v>2220</v>
      </c>
      <c r="AC51" s="123">
        <f t="shared" si="1"/>
        <v>2290</v>
      </c>
      <c r="AD51" s="124">
        <f t="shared" si="1"/>
        <v>0</v>
      </c>
      <c r="AE51" s="125">
        <f>SUM(C51:AB51)</f>
        <v>98380</v>
      </c>
      <c r="AF51" s="105"/>
    </row>
    <row r="54" spans="1:32">
      <c r="A54" s="179" t="s">
        <v>312</v>
      </c>
      <c r="B54" s="179"/>
      <c r="C54" s="126">
        <f>'[1]INV. FINAL '!S95*1.16</f>
        <v>41816.225200000001</v>
      </c>
      <c r="D54" s="127"/>
    </row>
    <row r="55" spans="1:32">
      <c r="A55" s="179" t="s">
        <v>313</v>
      </c>
      <c r="B55" s="179"/>
      <c r="C55" s="126">
        <f>AE51-C54</f>
        <v>56563.774799999999</v>
      </c>
    </row>
    <row r="74" spans="1:31" s="62" customFormat="1">
      <c r="A74" s="129"/>
      <c r="B74" s="130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5"/>
      <c r="V74" s="125"/>
      <c r="W74" s="125"/>
      <c r="X74" s="125"/>
      <c r="Y74" s="125"/>
      <c r="AE74"/>
    </row>
    <row r="75" spans="1:31" s="62" customFormat="1">
      <c r="A75" s="129"/>
      <c r="B75" s="130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5"/>
      <c r="V75" s="125"/>
      <c r="W75" s="125"/>
      <c r="X75" s="125"/>
      <c r="Y75" s="125"/>
      <c r="AE75"/>
    </row>
    <row r="76" spans="1:31" s="62" customFormat="1">
      <c r="A76" s="129"/>
      <c r="B76" s="130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5"/>
      <c r="V76" s="125"/>
      <c r="W76" s="125"/>
      <c r="X76" s="125"/>
      <c r="Y76" s="125"/>
      <c r="AE76"/>
    </row>
    <row r="77" spans="1:31" s="62" customFormat="1">
      <c r="A77" s="129"/>
      <c r="B77" s="130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5"/>
      <c r="V77" s="125"/>
      <c r="W77" s="125"/>
      <c r="X77" s="125"/>
      <c r="Y77" s="125"/>
      <c r="AE77"/>
    </row>
    <row r="78" spans="1:31" s="62" customFormat="1">
      <c r="A78" s="129"/>
      <c r="B78" s="130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5"/>
      <c r="V78" s="125"/>
      <c r="W78" s="125"/>
      <c r="X78" s="125"/>
      <c r="Y78" s="125"/>
      <c r="AE78"/>
    </row>
    <row r="79" spans="1:31" s="62" customFormat="1">
      <c r="A79" s="129"/>
      <c r="B79" s="130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>
        <v>300</v>
      </c>
      <c r="O79" s="128"/>
      <c r="P79" s="128"/>
      <c r="Q79" s="128"/>
      <c r="R79" s="128"/>
      <c r="S79" s="128"/>
      <c r="T79" s="128"/>
      <c r="U79" s="125"/>
      <c r="V79" s="125"/>
      <c r="W79" s="125"/>
      <c r="X79" s="125"/>
      <c r="Y79" s="125"/>
      <c r="AE79"/>
    </row>
    <row r="80" spans="1:31" s="62" customFormat="1">
      <c r="A80" s="129"/>
      <c r="B80" s="130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>
        <v>120</v>
      </c>
      <c r="O80" s="128"/>
      <c r="P80" s="128"/>
      <c r="Q80" s="128"/>
      <c r="R80" s="128"/>
      <c r="S80" s="128"/>
      <c r="T80" s="128"/>
      <c r="U80" s="125"/>
      <c r="V80" s="125"/>
      <c r="W80" s="125"/>
      <c r="X80" s="125"/>
      <c r="Y80" s="125"/>
      <c r="AE80"/>
    </row>
    <row r="81" spans="1:31" s="62" customFormat="1">
      <c r="A81" s="129"/>
      <c r="B81" s="130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>
        <v>240</v>
      </c>
      <c r="O81" s="128"/>
      <c r="P81" s="128"/>
      <c r="Q81" s="128"/>
      <c r="R81" s="128"/>
      <c r="S81" s="128"/>
      <c r="T81" s="128"/>
      <c r="U81" s="125"/>
      <c r="V81" s="125"/>
      <c r="W81" s="125"/>
      <c r="X81" s="125"/>
      <c r="Y81" s="125"/>
      <c r="AE81"/>
    </row>
    <row r="82" spans="1:31" s="62" customFormat="1">
      <c r="A82" s="129"/>
      <c r="B82" s="130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>
        <v>60</v>
      </c>
      <c r="O82" s="128"/>
      <c r="P82" s="128"/>
      <c r="Q82" s="128"/>
      <c r="R82" s="128"/>
      <c r="S82" s="128"/>
      <c r="T82" s="128"/>
      <c r="U82" s="125"/>
      <c r="V82" s="125"/>
      <c r="W82" s="125"/>
      <c r="X82" s="125"/>
      <c r="Y82" s="125"/>
      <c r="AE82"/>
    </row>
    <row r="83" spans="1:31" s="62" customFormat="1">
      <c r="A83" s="129"/>
      <c r="B83" s="130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>
        <v>280</v>
      </c>
      <c r="O83" s="128"/>
      <c r="P83" s="128"/>
      <c r="Q83" s="128"/>
      <c r="R83" s="128"/>
      <c r="S83" s="128"/>
      <c r="T83" s="128"/>
      <c r="U83" s="125"/>
      <c r="V83" s="125"/>
      <c r="W83" s="125"/>
      <c r="X83" s="125"/>
      <c r="Y83" s="125"/>
      <c r="AE83"/>
    </row>
    <row r="84" spans="1:31" s="62" customFormat="1">
      <c r="A84" s="129"/>
      <c r="B84" s="130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>
        <v>65</v>
      </c>
      <c r="O84" s="128"/>
      <c r="P84" s="128"/>
      <c r="Q84" s="128"/>
      <c r="R84" s="128"/>
      <c r="S84" s="128"/>
      <c r="T84" s="128"/>
      <c r="U84" s="125"/>
      <c r="V84" s="125"/>
      <c r="W84" s="125"/>
      <c r="X84" s="125"/>
      <c r="Y84" s="125"/>
      <c r="AE84"/>
    </row>
    <row r="85" spans="1:31" s="62" customFormat="1">
      <c r="A85" s="129"/>
      <c r="B85" s="130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>
        <v>300</v>
      </c>
      <c r="O85" s="128"/>
      <c r="P85" s="128"/>
      <c r="Q85" s="128"/>
      <c r="R85" s="128"/>
      <c r="S85" s="128"/>
      <c r="T85" s="128"/>
      <c r="U85" s="125"/>
      <c r="V85" s="125"/>
      <c r="W85" s="125"/>
      <c r="X85" s="125"/>
      <c r="Y85" s="125"/>
      <c r="AE85"/>
    </row>
    <row r="86" spans="1:31" s="62" customFormat="1">
      <c r="A86" s="129"/>
      <c r="B86" s="130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>
        <v>160</v>
      </c>
      <c r="O86" s="128"/>
      <c r="P86" s="128"/>
      <c r="Q86" s="128"/>
      <c r="R86" s="128"/>
      <c r="S86" s="128"/>
      <c r="T86" s="128"/>
      <c r="U86" s="125"/>
      <c r="V86" s="125"/>
      <c r="W86" s="125"/>
      <c r="X86" s="125"/>
      <c r="Y86" s="125"/>
      <c r="AE86"/>
    </row>
    <row r="87" spans="1:31" s="62" customFormat="1">
      <c r="A87" s="129"/>
      <c r="B87" s="130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>
        <v>675</v>
      </c>
      <c r="O87" s="128"/>
      <c r="P87" s="128"/>
      <c r="Q87" s="128"/>
      <c r="R87" s="128"/>
      <c r="S87" s="128"/>
      <c r="T87" s="128"/>
      <c r="U87" s="125"/>
      <c r="V87" s="125"/>
      <c r="W87" s="125"/>
      <c r="X87" s="125"/>
      <c r="Y87" s="125"/>
      <c r="AE87"/>
    </row>
    <row r="88" spans="1:31" s="62" customFormat="1">
      <c r="A88" s="129"/>
      <c r="B88" s="130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>
        <v>160</v>
      </c>
      <c r="O88" s="128"/>
      <c r="P88" s="128"/>
      <c r="Q88" s="128"/>
      <c r="R88" s="128"/>
      <c r="S88" s="128"/>
      <c r="T88" s="128"/>
      <c r="U88" s="125"/>
      <c r="V88" s="125"/>
      <c r="W88" s="125"/>
      <c r="X88" s="125"/>
      <c r="Y88" s="125"/>
      <c r="AE88"/>
    </row>
    <row r="89" spans="1:31" s="62" customFormat="1">
      <c r="A89" s="129"/>
      <c r="B89" s="130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>
        <v>230</v>
      </c>
      <c r="O89" s="128"/>
      <c r="P89" s="128"/>
      <c r="Q89" s="128"/>
      <c r="R89" s="128"/>
      <c r="S89" s="128"/>
      <c r="T89" s="128"/>
      <c r="U89" s="125"/>
      <c r="V89" s="125"/>
      <c r="W89" s="125"/>
      <c r="X89" s="125"/>
      <c r="Y89" s="125"/>
      <c r="AE89"/>
    </row>
    <row r="90" spans="1:31" s="62" customFormat="1">
      <c r="A90" s="129"/>
      <c r="B90" s="130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>
        <v>1000</v>
      </c>
      <c r="O90" s="128"/>
      <c r="P90" s="128"/>
      <c r="Q90" s="128"/>
      <c r="R90" s="128"/>
      <c r="S90" s="128"/>
      <c r="T90" s="128"/>
      <c r="U90" s="125"/>
      <c r="V90" s="125"/>
      <c r="W90" s="125"/>
      <c r="X90" s="125"/>
      <c r="Y90" s="125"/>
      <c r="AE90"/>
    </row>
    <row r="91" spans="1:31" s="62" customFormat="1">
      <c r="A91" s="129"/>
      <c r="B91" s="130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>
        <v>1470</v>
      </c>
      <c r="O91" s="128"/>
      <c r="P91" s="128"/>
      <c r="Q91" s="128"/>
      <c r="R91" s="128"/>
      <c r="S91" s="128"/>
      <c r="T91" s="128"/>
      <c r="U91" s="125"/>
      <c r="V91" s="125"/>
      <c r="W91" s="125"/>
      <c r="X91" s="125"/>
      <c r="Y91" s="125"/>
      <c r="AE91"/>
    </row>
    <row r="92" spans="1:31" s="62" customFormat="1">
      <c r="A92" s="129"/>
      <c r="B92" s="130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5"/>
      <c r="V92" s="125"/>
      <c r="W92" s="125"/>
      <c r="X92" s="125"/>
      <c r="Y92" s="125"/>
      <c r="AE92"/>
    </row>
    <row r="93" spans="1:31" s="62" customFormat="1">
      <c r="A93" s="129"/>
      <c r="B93" s="130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5"/>
      <c r="V93" s="125"/>
      <c r="W93" s="125"/>
      <c r="X93" s="125"/>
      <c r="Y93" s="125"/>
      <c r="AE93"/>
    </row>
    <row r="94" spans="1:31" s="62" customFormat="1">
      <c r="A94" s="129"/>
      <c r="B94" s="130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5"/>
      <c r="V94" s="125"/>
      <c r="W94" s="125"/>
      <c r="X94" s="125"/>
      <c r="Y94" s="125"/>
      <c r="AE94"/>
    </row>
    <row r="95" spans="1:31" s="62" customFormat="1">
      <c r="A95" s="129"/>
      <c r="B95" s="130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5"/>
      <c r="V95" s="125"/>
      <c r="W95" s="125"/>
      <c r="X95" s="125"/>
      <c r="Y95" s="125"/>
      <c r="AE95"/>
    </row>
    <row r="96" spans="1:31" s="62" customFormat="1">
      <c r="A96" s="129"/>
      <c r="B96" s="130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5"/>
      <c r="V96" s="125"/>
      <c r="W96" s="125"/>
      <c r="X96" s="125"/>
      <c r="Y96" s="125"/>
      <c r="AE96"/>
    </row>
    <row r="97" spans="1:31" s="62" customFormat="1">
      <c r="A97" s="129"/>
      <c r="B97" s="130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5"/>
      <c r="V97" s="125"/>
      <c r="W97" s="125"/>
      <c r="X97" s="125"/>
      <c r="Y97" s="125"/>
      <c r="AE97"/>
    </row>
    <row r="98" spans="1:31" s="62" customFormat="1">
      <c r="A98" s="129"/>
      <c r="B98" s="130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5"/>
      <c r="V98" s="125"/>
      <c r="W98" s="125"/>
      <c r="X98" s="125"/>
      <c r="Y98" s="125"/>
      <c r="AE98"/>
    </row>
    <row r="99" spans="1:31" s="62" customFormat="1">
      <c r="A99" s="129"/>
      <c r="B99" s="130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5"/>
      <c r="V99" s="125"/>
      <c r="W99" s="125"/>
      <c r="X99" s="125"/>
      <c r="Y99" s="125"/>
      <c r="AE99"/>
    </row>
  </sheetData>
  <mergeCells count="5">
    <mergeCell ref="A1:AE1"/>
    <mergeCell ref="A50:B50"/>
    <mergeCell ref="A51:B51"/>
    <mergeCell ref="A54:B54"/>
    <mergeCell ref="A55:B55"/>
  </mergeCells>
  <pageMargins left="0.23622047244094488" right="0.23622047244094488" top="0.74803149606299213" bottom="0.74803149606299213" header="0.31496062992125984" footer="0.31496062992125984"/>
  <pageSetup scale="3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3:AV97"/>
  <sheetViews>
    <sheetView topLeftCell="C1" workbookViewId="0">
      <pane xSplit="4" ySplit="10" topLeftCell="AN85" activePane="bottomRight" state="frozen"/>
      <selection activeCell="C1" sqref="C1"/>
      <selection pane="topRight" activeCell="G1" sqref="G1"/>
      <selection pane="bottomLeft" activeCell="C11" sqref="C11"/>
      <selection pane="bottomRight" activeCell="AR11" sqref="AR11:AR95"/>
    </sheetView>
  </sheetViews>
  <sheetFormatPr baseColWidth="10" defaultColWidth="11.42578125" defaultRowHeight="14.25"/>
  <cols>
    <col min="1" max="1" width="5.5703125" style="2" customWidth="1"/>
    <col min="2" max="2" width="13.140625" style="35" bestFit="1" customWidth="1"/>
    <col min="3" max="3" width="36.42578125" style="36" customWidth="1"/>
    <col min="4" max="5" width="13.140625" style="37" hidden="1" customWidth="1"/>
    <col min="6" max="6" width="15" style="38" bestFit="1" customWidth="1"/>
    <col min="7" max="10" width="10.7109375" style="38" customWidth="1"/>
    <col min="11" max="11" width="11.28515625" style="38" customWidth="1"/>
    <col min="12" max="12" width="11.5703125" style="38" customWidth="1"/>
    <col min="13" max="13" width="12.42578125" style="38" customWidth="1"/>
    <col min="14" max="19" width="11.42578125" style="2" customWidth="1"/>
    <col min="20" max="20" width="12.140625" style="2" customWidth="1"/>
    <col min="21" max="26" width="11.42578125" style="2" customWidth="1"/>
    <col min="27" max="27" width="12.5703125" style="2" customWidth="1"/>
    <col min="28" max="41" width="14.28515625" style="2" customWidth="1"/>
    <col min="42" max="48" width="13.140625" style="2" customWidth="1"/>
    <col min="49" max="16384" width="11.42578125" style="2"/>
  </cols>
  <sheetData>
    <row r="3" spans="2:48" ht="15" customHeight="1">
      <c r="B3" s="1"/>
      <c r="C3" s="203" t="s">
        <v>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</row>
    <row r="4" spans="2:48" ht="15" customHeight="1">
      <c r="B4" s="1"/>
      <c r="C4" s="204" t="s">
        <v>1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2:48" ht="15" customHeight="1">
      <c r="B5" s="3"/>
      <c r="C5" s="204" t="s">
        <v>2</v>
      </c>
      <c r="D5" s="204"/>
      <c r="E5" s="204"/>
      <c r="F5" s="204"/>
      <c r="G5" s="204"/>
      <c r="H5" s="204"/>
      <c r="I5" s="204"/>
      <c r="J5" s="204"/>
      <c r="K5" s="204"/>
      <c r="L5" s="204"/>
      <c r="M5" s="204"/>
    </row>
    <row r="6" spans="2:48" ht="15" customHeight="1">
      <c r="B6" s="3"/>
      <c r="C6" s="205" t="s">
        <v>210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</row>
    <row r="7" spans="2:48" ht="15" customHeight="1">
      <c r="B7" s="3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2:48" ht="15" customHeight="1">
      <c r="B8" s="3"/>
      <c r="C8" s="46"/>
      <c r="D8" s="4"/>
      <c r="E8" s="4"/>
      <c r="F8" s="5"/>
      <c r="G8" s="195" t="s">
        <v>215</v>
      </c>
      <c r="H8" s="195"/>
      <c r="I8" s="195"/>
      <c r="J8" s="195"/>
      <c r="K8" s="195"/>
      <c r="L8" s="195"/>
      <c r="M8" s="195"/>
      <c r="N8" s="202" t="s">
        <v>235</v>
      </c>
      <c r="O8" s="202"/>
      <c r="P8" s="202"/>
      <c r="Q8" s="202"/>
      <c r="R8" s="202"/>
      <c r="S8" s="202"/>
      <c r="T8" s="202"/>
      <c r="U8" s="195" t="s">
        <v>237</v>
      </c>
      <c r="V8" s="195"/>
      <c r="W8" s="195"/>
      <c r="X8" s="195"/>
      <c r="Y8" s="195"/>
      <c r="Z8" s="195"/>
      <c r="AA8" s="195"/>
      <c r="AB8" s="196" t="s">
        <v>239</v>
      </c>
      <c r="AC8" s="196"/>
      <c r="AD8" s="196"/>
      <c r="AE8" s="196"/>
      <c r="AF8" s="196"/>
      <c r="AG8" s="196"/>
      <c r="AH8" s="196"/>
      <c r="AI8" s="196" t="s">
        <v>241</v>
      </c>
      <c r="AJ8" s="196"/>
      <c r="AK8" s="196"/>
      <c r="AL8" s="196"/>
      <c r="AM8" s="196"/>
      <c r="AN8" s="196"/>
      <c r="AO8" s="196"/>
      <c r="AP8" s="197" t="s">
        <v>211</v>
      </c>
      <c r="AQ8" s="197"/>
      <c r="AR8" s="197"/>
      <c r="AS8" s="197"/>
      <c r="AT8" s="197"/>
      <c r="AU8" s="197"/>
      <c r="AV8" s="197"/>
    </row>
    <row r="9" spans="2:48" s="6" customFormat="1" ht="25.5" hidden="1" customHeight="1">
      <c r="C9" s="7"/>
      <c r="D9" s="8"/>
      <c r="E9" s="8"/>
      <c r="F9" s="7"/>
      <c r="G9" s="198" t="s">
        <v>3</v>
      </c>
      <c r="H9" s="198"/>
      <c r="I9" s="198"/>
      <c r="J9" s="198"/>
      <c r="K9" s="198"/>
      <c r="L9" s="198"/>
      <c r="M9" s="198"/>
      <c r="N9" s="199" t="s">
        <v>212</v>
      </c>
      <c r="O9" s="199"/>
      <c r="P9" s="199"/>
      <c r="Q9" s="199"/>
      <c r="R9" s="199"/>
      <c r="S9" s="199"/>
      <c r="T9" s="199"/>
      <c r="U9" s="200" t="s">
        <v>213</v>
      </c>
      <c r="V9" s="200"/>
      <c r="W9" s="200"/>
      <c r="X9" s="200"/>
      <c r="Y9" s="200"/>
      <c r="Z9" s="200"/>
      <c r="AA9" s="200"/>
      <c r="AB9" s="201" t="s">
        <v>214</v>
      </c>
      <c r="AC9" s="201"/>
      <c r="AD9" s="201"/>
      <c r="AE9" s="201"/>
      <c r="AF9" s="201"/>
      <c r="AG9" s="201"/>
      <c r="AH9" s="201"/>
      <c r="AI9" s="201" t="s">
        <v>214</v>
      </c>
      <c r="AJ9" s="201"/>
      <c r="AK9" s="201"/>
      <c r="AL9" s="201"/>
      <c r="AM9" s="201"/>
      <c r="AN9" s="201"/>
      <c r="AO9" s="201"/>
      <c r="AP9" s="52"/>
      <c r="AQ9" s="52"/>
      <c r="AR9" s="52"/>
      <c r="AS9" s="52"/>
      <c r="AT9" s="52"/>
      <c r="AU9" s="52"/>
      <c r="AV9" s="52"/>
    </row>
    <row r="10" spans="2:48" s="12" customFormat="1" ht="49.5" customHeight="1">
      <c r="B10" s="9" t="s">
        <v>4</v>
      </c>
      <c r="C10" s="9" t="s">
        <v>5</v>
      </c>
      <c r="D10" s="10"/>
      <c r="E10" s="10"/>
      <c r="F10" s="9" t="s">
        <v>6</v>
      </c>
      <c r="G10" s="9" t="s">
        <v>7</v>
      </c>
      <c r="H10" s="9" t="s">
        <v>8</v>
      </c>
      <c r="I10" s="9" t="s">
        <v>9</v>
      </c>
      <c r="J10" s="9" t="s">
        <v>10</v>
      </c>
      <c r="K10" s="11" t="s">
        <v>234</v>
      </c>
      <c r="L10" s="11" t="s">
        <v>12</v>
      </c>
      <c r="M10" s="11" t="s">
        <v>13</v>
      </c>
      <c r="N10" s="9" t="s">
        <v>7</v>
      </c>
      <c r="O10" s="9" t="s">
        <v>8</v>
      </c>
      <c r="P10" s="9" t="s">
        <v>9</v>
      </c>
      <c r="Q10" s="9" t="s">
        <v>10</v>
      </c>
      <c r="R10" s="53" t="s">
        <v>236</v>
      </c>
      <c r="S10" s="11" t="s">
        <v>12</v>
      </c>
      <c r="T10" s="11" t="s">
        <v>13</v>
      </c>
      <c r="U10" s="9" t="s">
        <v>7</v>
      </c>
      <c r="V10" s="9" t="s">
        <v>8</v>
      </c>
      <c r="W10" s="9" t="s">
        <v>9</v>
      </c>
      <c r="X10" s="9" t="s">
        <v>10</v>
      </c>
      <c r="Y10" s="9" t="s">
        <v>238</v>
      </c>
      <c r="Z10" s="11" t="s">
        <v>12</v>
      </c>
      <c r="AA10" s="11" t="s">
        <v>13</v>
      </c>
      <c r="AB10" s="9" t="s">
        <v>7</v>
      </c>
      <c r="AC10" s="9" t="s">
        <v>8</v>
      </c>
      <c r="AD10" s="9" t="s">
        <v>9</v>
      </c>
      <c r="AE10" s="9" t="s">
        <v>10</v>
      </c>
      <c r="AF10" s="9" t="s">
        <v>240</v>
      </c>
      <c r="AG10" s="11" t="s">
        <v>12</v>
      </c>
      <c r="AH10" s="11" t="s">
        <v>13</v>
      </c>
      <c r="AI10" s="9" t="s">
        <v>7</v>
      </c>
      <c r="AJ10" s="9" t="s">
        <v>8</v>
      </c>
      <c r="AK10" s="9" t="s">
        <v>9</v>
      </c>
      <c r="AL10" s="9" t="s">
        <v>10</v>
      </c>
      <c r="AM10" s="9" t="s">
        <v>242</v>
      </c>
      <c r="AN10" s="11" t="s">
        <v>12</v>
      </c>
      <c r="AO10" s="11" t="s">
        <v>13</v>
      </c>
      <c r="AP10" s="11" t="s">
        <v>7</v>
      </c>
      <c r="AQ10" s="11" t="s">
        <v>8</v>
      </c>
      <c r="AR10" s="11" t="s">
        <v>9</v>
      </c>
      <c r="AS10" s="11" t="s">
        <v>10</v>
      </c>
      <c r="AT10" s="11" t="s">
        <v>11</v>
      </c>
      <c r="AU10" s="11" t="s">
        <v>243</v>
      </c>
      <c r="AV10" s="11" t="s">
        <v>13</v>
      </c>
    </row>
    <row r="11" spans="2:48" s="18" customFormat="1" ht="27" customHeight="1">
      <c r="B11" s="13" t="s">
        <v>14</v>
      </c>
      <c r="C11" s="14" t="s">
        <v>15</v>
      </c>
      <c r="D11" s="15">
        <v>51.5</v>
      </c>
      <c r="E11" s="15">
        <v>51.5</v>
      </c>
      <c r="F11" s="16">
        <v>69</v>
      </c>
      <c r="G11" s="16">
        <v>0</v>
      </c>
      <c r="H11" s="16">
        <v>0</v>
      </c>
      <c r="I11" s="16">
        <v>6</v>
      </c>
      <c r="J11" s="16">
        <v>0</v>
      </c>
      <c r="K11" s="16">
        <f t="shared" ref="K11:K74" si="0">F11+G11+H11-I11-J11</f>
        <v>63</v>
      </c>
      <c r="L11" s="17">
        <v>63</v>
      </c>
      <c r="M11" s="16">
        <f t="shared" ref="M11:M74" si="1">L11-K11</f>
        <v>0</v>
      </c>
      <c r="N11" s="16">
        <v>0</v>
      </c>
      <c r="O11" s="16">
        <v>0</v>
      </c>
      <c r="P11" s="16">
        <v>5</v>
      </c>
      <c r="Q11" s="16">
        <v>0</v>
      </c>
      <c r="R11" s="16">
        <f t="shared" ref="R11:R74" si="2">K11+N11+O11-P11-Q11</f>
        <v>58</v>
      </c>
      <c r="S11" s="16">
        <v>58</v>
      </c>
      <c r="T11" s="16">
        <f t="shared" ref="T11:T74" si="3">S11-R11</f>
        <v>0</v>
      </c>
      <c r="U11" s="16">
        <v>0</v>
      </c>
      <c r="V11" s="16">
        <v>0</v>
      </c>
      <c r="W11" s="16">
        <v>2</v>
      </c>
      <c r="X11" s="16">
        <v>0</v>
      </c>
      <c r="Y11" s="16">
        <f t="shared" ref="Y11:Y74" si="4">R11+U11+V11-W11-X11</f>
        <v>56</v>
      </c>
      <c r="Z11" s="16">
        <v>56</v>
      </c>
      <c r="AA11" s="16">
        <f>Z11-Y11</f>
        <v>0</v>
      </c>
      <c r="AB11" s="16">
        <v>0</v>
      </c>
      <c r="AC11" s="16">
        <v>0</v>
      </c>
      <c r="AD11" s="16">
        <v>5</v>
      </c>
      <c r="AE11" s="16">
        <v>0</v>
      </c>
      <c r="AF11" s="16">
        <f>Y11+AB11+AC11-AD11-AE11</f>
        <v>51</v>
      </c>
      <c r="AG11" s="16">
        <v>51</v>
      </c>
      <c r="AH11" s="16">
        <f>AG11-AF11</f>
        <v>0</v>
      </c>
      <c r="AI11" s="16">
        <v>0</v>
      </c>
      <c r="AJ11" s="16">
        <v>0</v>
      </c>
      <c r="AK11" s="16">
        <v>3</v>
      </c>
      <c r="AL11" s="16">
        <v>0</v>
      </c>
      <c r="AM11" s="16">
        <f>AF11+AI11+AJ11-AK11-AL11</f>
        <v>48</v>
      </c>
      <c r="AN11" s="16">
        <v>48</v>
      </c>
      <c r="AO11" s="16">
        <f>AN11-AM11</f>
        <v>0</v>
      </c>
      <c r="AP11" s="16">
        <f t="shared" ref="AP11:AP42" si="5">G11+N11+U11+AB11</f>
        <v>0</v>
      </c>
      <c r="AQ11" s="16">
        <f t="shared" ref="AQ11:AQ42" si="6">H11+O11+V11+AC11</f>
        <v>0</v>
      </c>
      <c r="AR11" s="16">
        <f>I11+P11+W11+AD11+AK11</f>
        <v>21</v>
      </c>
      <c r="AS11" s="16">
        <f t="shared" ref="AS11:AS42" si="7">J11+Q11+X11+AE11</f>
        <v>0</v>
      </c>
      <c r="AT11" s="16">
        <f>F11-AR11</f>
        <v>48</v>
      </c>
      <c r="AU11" s="16">
        <v>48</v>
      </c>
      <c r="AV11" s="16">
        <f t="shared" ref="AV11:AV74" si="8">AU11-AT11</f>
        <v>0</v>
      </c>
    </row>
    <row r="12" spans="2:48" s="18" customFormat="1" ht="27" customHeight="1">
      <c r="B12" s="13" t="s">
        <v>16</v>
      </c>
      <c r="C12" s="14" t="s">
        <v>17</v>
      </c>
      <c r="D12" s="15">
        <v>21.75</v>
      </c>
      <c r="E12" s="15">
        <v>21.75</v>
      </c>
      <c r="F12" s="16">
        <v>163</v>
      </c>
      <c r="G12" s="16">
        <v>0</v>
      </c>
      <c r="H12" s="16">
        <v>0</v>
      </c>
      <c r="I12" s="16">
        <v>26</v>
      </c>
      <c r="J12" s="16">
        <v>0</v>
      </c>
      <c r="K12" s="16">
        <f t="shared" si="0"/>
        <v>137</v>
      </c>
      <c r="L12" s="17">
        <v>137</v>
      </c>
      <c r="M12" s="16">
        <f t="shared" si="1"/>
        <v>0</v>
      </c>
      <c r="N12" s="16">
        <v>0</v>
      </c>
      <c r="O12" s="16">
        <v>0</v>
      </c>
      <c r="P12" s="16">
        <v>4</v>
      </c>
      <c r="Q12" s="16">
        <v>0</v>
      </c>
      <c r="R12" s="16">
        <f t="shared" si="2"/>
        <v>133</v>
      </c>
      <c r="S12" s="16">
        <v>133</v>
      </c>
      <c r="T12" s="16">
        <f t="shared" si="3"/>
        <v>0</v>
      </c>
      <c r="U12" s="16">
        <v>0</v>
      </c>
      <c r="V12" s="16">
        <v>0</v>
      </c>
      <c r="W12" s="16">
        <v>9</v>
      </c>
      <c r="X12" s="16">
        <v>0</v>
      </c>
      <c r="Y12" s="16">
        <f t="shared" si="4"/>
        <v>124</v>
      </c>
      <c r="Z12" s="16">
        <v>124</v>
      </c>
      <c r="AA12" s="16">
        <f t="shared" ref="AA12:AA75" si="9">Z12-Y12</f>
        <v>0</v>
      </c>
      <c r="AB12" s="16">
        <v>0</v>
      </c>
      <c r="AC12" s="16">
        <v>0</v>
      </c>
      <c r="AD12" s="16">
        <v>13</v>
      </c>
      <c r="AE12" s="16">
        <v>0</v>
      </c>
      <c r="AF12" s="16">
        <f t="shared" ref="AF12:AF75" si="10">Y12+AB12+AC12-AD12-AE12</f>
        <v>111</v>
      </c>
      <c r="AG12" s="16">
        <v>111</v>
      </c>
      <c r="AH12" s="16">
        <f t="shared" ref="AH12:AH75" si="11">AG12-AF12</f>
        <v>0</v>
      </c>
      <c r="AI12" s="16">
        <v>0</v>
      </c>
      <c r="AJ12" s="16">
        <v>0</v>
      </c>
      <c r="AK12" s="16">
        <v>2</v>
      </c>
      <c r="AL12" s="16">
        <v>0</v>
      </c>
      <c r="AM12" s="16">
        <f t="shared" ref="AM12:AM75" si="12">AF12+AI12+AJ12-AK12-AL12</f>
        <v>109</v>
      </c>
      <c r="AN12" s="16">
        <v>109</v>
      </c>
      <c r="AO12" s="16">
        <f t="shared" ref="AO12:AO75" si="13">AN12-AM12</f>
        <v>0</v>
      </c>
      <c r="AP12" s="16">
        <f t="shared" si="5"/>
        <v>0</v>
      </c>
      <c r="AQ12" s="16">
        <f t="shared" si="6"/>
        <v>0</v>
      </c>
      <c r="AR12" s="16">
        <f t="shared" ref="AR12:AR75" si="14">I12+P12+W12+AD12+AK12</f>
        <v>54</v>
      </c>
      <c r="AS12" s="16">
        <f t="shared" si="7"/>
        <v>0</v>
      </c>
      <c r="AT12" s="16">
        <f t="shared" ref="AT12:AT75" si="15">F12-AR12</f>
        <v>109</v>
      </c>
      <c r="AU12" s="16">
        <v>109</v>
      </c>
      <c r="AV12" s="16">
        <f t="shared" si="8"/>
        <v>0</v>
      </c>
    </row>
    <row r="13" spans="2:48" s="18" customFormat="1" ht="27" customHeight="1">
      <c r="B13" s="13" t="s">
        <v>18</v>
      </c>
      <c r="C13" s="14" t="s">
        <v>19</v>
      </c>
      <c r="D13" s="15">
        <v>3.19</v>
      </c>
      <c r="E13" s="15">
        <v>3.19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f t="shared" si="0"/>
        <v>0</v>
      </c>
      <c r="L13" s="17">
        <v>0</v>
      </c>
      <c r="M13" s="16">
        <f t="shared" si="1"/>
        <v>0</v>
      </c>
      <c r="N13" s="16">
        <v>0</v>
      </c>
      <c r="O13" s="16">
        <v>0</v>
      </c>
      <c r="P13" s="16">
        <v>0</v>
      </c>
      <c r="Q13" s="16">
        <v>0</v>
      </c>
      <c r="R13" s="16">
        <f t="shared" si="2"/>
        <v>0</v>
      </c>
      <c r="S13" s="16">
        <v>0</v>
      </c>
      <c r="T13" s="16">
        <f t="shared" si="3"/>
        <v>0</v>
      </c>
      <c r="U13" s="16">
        <v>0</v>
      </c>
      <c r="V13" s="16">
        <v>0</v>
      </c>
      <c r="W13" s="16">
        <v>0</v>
      </c>
      <c r="X13" s="16">
        <v>0</v>
      </c>
      <c r="Y13" s="16">
        <f t="shared" si="4"/>
        <v>0</v>
      </c>
      <c r="Z13" s="16">
        <v>0</v>
      </c>
      <c r="AA13" s="16">
        <f t="shared" si="9"/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f t="shared" si="10"/>
        <v>0</v>
      </c>
      <c r="AG13" s="16">
        <v>0</v>
      </c>
      <c r="AH13" s="16">
        <f t="shared" si="11"/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f t="shared" si="12"/>
        <v>0</v>
      </c>
      <c r="AN13" s="16">
        <v>0</v>
      </c>
      <c r="AO13" s="16">
        <f t="shared" si="13"/>
        <v>0</v>
      </c>
      <c r="AP13" s="16">
        <f t="shared" si="5"/>
        <v>0</v>
      </c>
      <c r="AQ13" s="16">
        <f t="shared" si="6"/>
        <v>0</v>
      </c>
      <c r="AR13" s="16">
        <f t="shared" si="14"/>
        <v>0</v>
      </c>
      <c r="AS13" s="16">
        <f t="shared" si="7"/>
        <v>0</v>
      </c>
      <c r="AT13" s="16">
        <f t="shared" si="15"/>
        <v>0</v>
      </c>
      <c r="AU13" s="16">
        <f t="shared" ref="AU13:AU74" si="16">AG13</f>
        <v>0</v>
      </c>
      <c r="AV13" s="16">
        <f t="shared" si="8"/>
        <v>0</v>
      </c>
    </row>
    <row r="14" spans="2:48" s="18" customFormat="1" ht="27" customHeight="1">
      <c r="B14" s="13" t="s">
        <v>20</v>
      </c>
      <c r="C14" s="14" t="s">
        <v>21</v>
      </c>
      <c r="D14" s="15">
        <v>80</v>
      </c>
      <c r="E14" s="15">
        <v>80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f t="shared" si="0"/>
        <v>0</v>
      </c>
      <c r="L14" s="17">
        <v>0</v>
      </c>
      <c r="M14" s="16">
        <f t="shared" si="1"/>
        <v>0</v>
      </c>
      <c r="N14" s="16">
        <v>0</v>
      </c>
      <c r="O14" s="16">
        <v>0</v>
      </c>
      <c r="P14" s="16">
        <v>0</v>
      </c>
      <c r="Q14" s="16">
        <v>0</v>
      </c>
      <c r="R14" s="16">
        <f t="shared" si="2"/>
        <v>0</v>
      </c>
      <c r="S14" s="16">
        <v>0</v>
      </c>
      <c r="T14" s="16">
        <f t="shared" si="3"/>
        <v>0</v>
      </c>
      <c r="U14" s="16">
        <v>0</v>
      </c>
      <c r="V14" s="16">
        <v>0</v>
      </c>
      <c r="W14" s="16">
        <v>0</v>
      </c>
      <c r="X14" s="16">
        <v>0</v>
      </c>
      <c r="Y14" s="16">
        <f t="shared" si="4"/>
        <v>0</v>
      </c>
      <c r="Z14" s="16">
        <v>0</v>
      </c>
      <c r="AA14" s="16">
        <f t="shared" si="9"/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f t="shared" si="10"/>
        <v>0</v>
      </c>
      <c r="AG14" s="16">
        <v>0</v>
      </c>
      <c r="AH14" s="16">
        <f t="shared" si="11"/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f t="shared" si="12"/>
        <v>0</v>
      </c>
      <c r="AN14" s="16">
        <v>0</v>
      </c>
      <c r="AO14" s="16">
        <f t="shared" si="13"/>
        <v>0</v>
      </c>
      <c r="AP14" s="16">
        <f t="shared" si="5"/>
        <v>0</v>
      </c>
      <c r="AQ14" s="16">
        <f t="shared" si="6"/>
        <v>0</v>
      </c>
      <c r="AR14" s="16">
        <f t="shared" si="14"/>
        <v>0</v>
      </c>
      <c r="AS14" s="16">
        <f t="shared" si="7"/>
        <v>0</v>
      </c>
      <c r="AT14" s="16">
        <f t="shared" si="15"/>
        <v>0</v>
      </c>
      <c r="AU14" s="16">
        <f t="shared" si="16"/>
        <v>0</v>
      </c>
      <c r="AV14" s="16">
        <f t="shared" si="8"/>
        <v>0</v>
      </c>
    </row>
    <row r="15" spans="2:48" s="18" customFormat="1" ht="27" customHeight="1">
      <c r="B15" s="13" t="s">
        <v>22</v>
      </c>
      <c r="C15" s="14" t="s">
        <v>23</v>
      </c>
      <c r="D15" s="15">
        <v>77</v>
      </c>
      <c r="E15" s="15">
        <v>77</v>
      </c>
      <c r="F15" s="16">
        <v>9</v>
      </c>
      <c r="G15" s="16">
        <v>0</v>
      </c>
      <c r="H15" s="16">
        <v>0</v>
      </c>
      <c r="I15" s="16">
        <v>1</v>
      </c>
      <c r="J15" s="16">
        <v>0</v>
      </c>
      <c r="K15" s="16">
        <f t="shared" si="0"/>
        <v>8</v>
      </c>
      <c r="L15" s="17">
        <v>8</v>
      </c>
      <c r="M15" s="16">
        <f t="shared" si="1"/>
        <v>0</v>
      </c>
      <c r="N15" s="16">
        <v>0</v>
      </c>
      <c r="O15" s="16">
        <v>0</v>
      </c>
      <c r="P15" s="16">
        <v>0</v>
      </c>
      <c r="Q15" s="16">
        <v>0</v>
      </c>
      <c r="R15" s="16">
        <f t="shared" si="2"/>
        <v>8</v>
      </c>
      <c r="S15" s="16">
        <v>8</v>
      </c>
      <c r="T15" s="16">
        <f t="shared" si="3"/>
        <v>0</v>
      </c>
      <c r="U15" s="16">
        <v>0</v>
      </c>
      <c r="V15" s="16">
        <v>0</v>
      </c>
      <c r="W15" s="16">
        <v>1</v>
      </c>
      <c r="X15" s="16">
        <v>0</v>
      </c>
      <c r="Y15" s="16">
        <f t="shared" si="4"/>
        <v>7</v>
      </c>
      <c r="Z15" s="16">
        <v>7</v>
      </c>
      <c r="AA15" s="16">
        <f t="shared" si="9"/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f t="shared" si="10"/>
        <v>7</v>
      </c>
      <c r="AG15" s="16">
        <v>7</v>
      </c>
      <c r="AH15" s="16">
        <f t="shared" si="11"/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f t="shared" si="12"/>
        <v>7</v>
      </c>
      <c r="AN15" s="16">
        <v>7</v>
      </c>
      <c r="AO15" s="16">
        <f t="shared" si="13"/>
        <v>0</v>
      </c>
      <c r="AP15" s="16">
        <f t="shared" si="5"/>
        <v>0</v>
      </c>
      <c r="AQ15" s="16">
        <f t="shared" si="6"/>
        <v>0</v>
      </c>
      <c r="AR15" s="16">
        <f t="shared" si="14"/>
        <v>2</v>
      </c>
      <c r="AS15" s="16">
        <f t="shared" si="7"/>
        <v>0</v>
      </c>
      <c r="AT15" s="16">
        <f t="shared" si="15"/>
        <v>7</v>
      </c>
      <c r="AU15" s="16">
        <f t="shared" si="16"/>
        <v>7</v>
      </c>
      <c r="AV15" s="16">
        <f t="shared" si="8"/>
        <v>0</v>
      </c>
    </row>
    <row r="16" spans="2:48" s="18" customFormat="1" ht="27" customHeight="1">
      <c r="B16" s="13" t="s">
        <v>24</v>
      </c>
      <c r="C16" s="14" t="s">
        <v>25</v>
      </c>
      <c r="D16" s="15">
        <v>195</v>
      </c>
      <c r="E16" s="15">
        <v>195</v>
      </c>
      <c r="F16" s="16">
        <v>0</v>
      </c>
      <c r="G16" s="16">
        <v>0</v>
      </c>
      <c r="H16" s="18">
        <v>0</v>
      </c>
      <c r="I16" s="16">
        <v>0</v>
      </c>
      <c r="J16" s="16">
        <v>0</v>
      </c>
      <c r="K16" s="16">
        <f t="shared" si="0"/>
        <v>0</v>
      </c>
      <c r="L16" s="17">
        <v>0</v>
      </c>
      <c r="M16" s="16">
        <f t="shared" si="1"/>
        <v>0</v>
      </c>
      <c r="N16" s="16">
        <v>0</v>
      </c>
      <c r="O16" s="16">
        <v>0</v>
      </c>
      <c r="P16" s="16">
        <v>0</v>
      </c>
      <c r="Q16" s="16">
        <v>0</v>
      </c>
      <c r="R16" s="16">
        <f t="shared" si="2"/>
        <v>0</v>
      </c>
      <c r="S16" s="16">
        <v>0</v>
      </c>
      <c r="T16" s="16">
        <f t="shared" si="3"/>
        <v>0</v>
      </c>
      <c r="U16" s="16">
        <v>0</v>
      </c>
      <c r="V16" s="16">
        <v>0</v>
      </c>
      <c r="W16" s="16">
        <v>0</v>
      </c>
      <c r="X16" s="16">
        <v>0</v>
      </c>
      <c r="Y16" s="16">
        <f t="shared" si="4"/>
        <v>0</v>
      </c>
      <c r="Z16" s="16">
        <v>0</v>
      </c>
      <c r="AA16" s="16">
        <f t="shared" si="9"/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f t="shared" si="10"/>
        <v>0</v>
      </c>
      <c r="AG16" s="16">
        <v>0</v>
      </c>
      <c r="AH16" s="16">
        <f t="shared" si="11"/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f t="shared" si="12"/>
        <v>0</v>
      </c>
      <c r="AN16" s="16">
        <v>0</v>
      </c>
      <c r="AO16" s="16">
        <f t="shared" si="13"/>
        <v>0</v>
      </c>
      <c r="AP16" s="16">
        <f t="shared" si="5"/>
        <v>0</v>
      </c>
      <c r="AQ16" s="16">
        <f t="shared" si="6"/>
        <v>0</v>
      </c>
      <c r="AR16" s="16">
        <f t="shared" si="14"/>
        <v>0</v>
      </c>
      <c r="AS16" s="16">
        <f t="shared" si="7"/>
        <v>0</v>
      </c>
      <c r="AT16" s="16">
        <f t="shared" si="15"/>
        <v>0</v>
      </c>
      <c r="AU16" s="16">
        <f t="shared" si="16"/>
        <v>0</v>
      </c>
      <c r="AV16" s="16">
        <f t="shared" si="8"/>
        <v>0</v>
      </c>
    </row>
    <row r="17" spans="2:48" s="18" customFormat="1" ht="27" customHeight="1">
      <c r="B17" s="13" t="s">
        <v>26</v>
      </c>
      <c r="C17" s="14" t="s">
        <v>27</v>
      </c>
      <c r="D17" s="15">
        <v>82.04</v>
      </c>
      <c r="E17" s="15">
        <v>82.04</v>
      </c>
      <c r="F17" s="16">
        <v>96</v>
      </c>
      <c r="G17" s="16">
        <v>0</v>
      </c>
      <c r="H17" s="16">
        <v>0</v>
      </c>
      <c r="I17" s="16">
        <v>4</v>
      </c>
      <c r="J17" s="16">
        <v>0</v>
      </c>
      <c r="K17" s="16">
        <f t="shared" si="0"/>
        <v>92</v>
      </c>
      <c r="L17" s="17">
        <v>92</v>
      </c>
      <c r="M17" s="16">
        <f t="shared" si="1"/>
        <v>0</v>
      </c>
      <c r="N17" s="16">
        <v>0</v>
      </c>
      <c r="O17" s="16">
        <v>0</v>
      </c>
      <c r="P17" s="16">
        <v>8</v>
      </c>
      <c r="Q17" s="16">
        <v>0</v>
      </c>
      <c r="R17" s="16">
        <f t="shared" si="2"/>
        <v>84</v>
      </c>
      <c r="S17" s="16">
        <v>84</v>
      </c>
      <c r="T17" s="16">
        <f t="shared" si="3"/>
        <v>0</v>
      </c>
      <c r="U17" s="16">
        <v>0</v>
      </c>
      <c r="V17" s="16">
        <v>0</v>
      </c>
      <c r="W17" s="16">
        <v>6</v>
      </c>
      <c r="X17" s="16">
        <v>0</v>
      </c>
      <c r="Y17" s="16">
        <f t="shared" si="4"/>
        <v>78</v>
      </c>
      <c r="Z17" s="16">
        <v>78</v>
      </c>
      <c r="AA17" s="16">
        <f t="shared" si="9"/>
        <v>0</v>
      </c>
      <c r="AB17" s="16">
        <v>0</v>
      </c>
      <c r="AC17" s="16">
        <v>0</v>
      </c>
      <c r="AD17" s="16">
        <v>6</v>
      </c>
      <c r="AE17" s="16">
        <v>0</v>
      </c>
      <c r="AF17" s="16">
        <f t="shared" si="10"/>
        <v>72</v>
      </c>
      <c r="AG17" s="16">
        <v>72</v>
      </c>
      <c r="AH17" s="16">
        <f t="shared" si="11"/>
        <v>0</v>
      </c>
      <c r="AI17" s="16">
        <v>0</v>
      </c>
      <c r="AJ17" s="16">
        <v>0</v>
      </c>
      <c r="AK17" s="16">
        <v>8</v>
      </c>
      <c r="AL17" s="16">
        <v>0</v>
      </c>
      <c r="AM17" s="16">
        <f t="shared" si="12"/>
        <v>64</v>
      </c>
      <c r="AN17" s="16">
        <v>64</v>
      </c>
      <c r="AO17" s="16">
        <f t="shared" si="13"/>
        <v>0</v>
      </c>
      <c r="AP17" s="16">
        <f t="shared" si="5"/>
        <v>0</v>
      </c>
      <c r="AQ17" s="16">
        <f t="shared" si="6"/>
        <v>0</v>
      </c>
      <c r="AR17" s="16">
        <f t="shared" si="14"/>
        <v>32</v>
      </c>
      <c r="AS17" s="16">
        <f t="shared" si="7"/>
        <v>0</v>
      </c>
      <c r="AT17" s="16">
        <f t="shared" si="15"/>
        <v>64</v>
      </c>
      <c r="AU17" s="16">
        <v>64</v>
      </c>
      <c r="AV17" s="16">
        <f t="shared" si="8"/>
        <v>0</v>
      </c>
    </row>
    <row r="18" spans="2:48" s="18" customFormat="1" ht="27" customHeight="1">
      <c r="B18" s="13" t="s">
        <v>28</v>
      </c>
      <c r="C18" s="14" t="s">
        <v>29</v>
      </c>
      <c r="D18" s="15">
        <v>130.5</v>
      </c>
      <c r="E18" s="15">
        <v>130.5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f t="shared" si="0"/>
        <v>0</v>
      </c>
      <c r="L18" s="17">
        <v>0</v>
      </c>
      <c r="M18" s="16">
        <f t="shared" si="1"/>
        <v>0</v>
      </c>
      <c r="N18" s="16">
        <v>0</v>
      </c>
      <c r="O18" s="16">
        <v>0</v>
      </c>
      <c r="P18" s="16">
        <v>0</v>
      </c>
      <c r="Q18" s="16">
        <v>0</v>
      </c>
      <c r="R18" s="16">
        <f t="shared" si="2"/>
        <v>0</v>
      </c>
      <c r="S18" s="16">
        <v>0</v>
      </c>
      <c r="T18" s="16">
        <f t="shared" si="3"/>
        <v>0</v>
      </c>
      <c r="U18" s="16">
        <v>0</v>
      </c>
      <c r="V18" s="16">
        <v>0</v>
      </c>
      <c r="W18" s="16">
        <v>0</v>
      </c>
      <c r="X18" s="16">
        <v>0</v>
      </c>
      <c r="Y18" s="16">
        <f t="shared" si="4"/>
        <v>0</v>
      </c>
      <c r="Z18" s="16">
        <v>0</v>
      </c>
      <c r="AA18" s="16">
        <f t="shared" si="9"/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f t="shared" si="10"/>
        <v>0</v>
      </c>
      <c r="AG18" s="16">
        <v>0</v>
      </c>
      <c r="AH18" s="16">
        <f t="shared" si="11"/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f t="shared" si="12"/>
        <v>0</v>
      </c>
      <c r="AN18" s="16">
        <v>0</v>
      </c>
      <c r="AO18" s="16">
        <f t="shared" si="13"/>
        <v>0</v>
      </c>
      <c r="AP18" s="16">
        <f t="shared" si="5"/>
        <v>0</v>
      </c>
      <c r="AQ18" s="16">
        <f t="shared" si="6"/>
        <v>0</v>
      </c>
      <c r="AR18" s="16">
        <f t="shared" si="14"/>
        <v>0</v>
      </c>
      <c r="AS18" s="16">
        <f t="shared" si="7"/>
        <v>0</v>
      </c>
      <c r="AT18" s="16">
        <f t="shared" si="15"/>
        <v>0</v>
      </c>
      <c r="AU18" s="16">
        <f t="shared" si="16"/>
        <v>0</v>
      </c>
      <c r="AV18" s="16">
        <f t="shared" si="8"/>
        <v>0</v>
      </c>
    </row>
    <row r="19" spans="2:48" s="18" customFormat="1" ht="27" customHeight="1">
      <c r="B19" s="13" t="s">
        <v>30</v>
      </c>
      <c r="C19" s="19" t="s">
        <v>31</v>
      </c>
      <c r="D19" s="20">
        <v>31</v>
      </c>
      <c r="E19" s="20">
        <v>31</v>
      </c>
      <c r="F19" s="16">
        <v>90</v>
      </c>
      <c r="G19" s="16">
        <v>0</v>
      </c>
      <c r="H19" s="16">
        <v>0</v>
      </c>
      <c r="I19" s="16">
        <v>5</v>
      </c>
      <c r="J19" s="16">
        <v>0</v>
      </c>
      <c r="K19" s="16">
        <f t="shared" si="0"/>
        <v>85</v>
      </c>
      <c r="L19" s="17">
        <v>85</v>
      </c>
      <c r="M19" s="16">
        <f t="shared" si="1"/>
        <v>0</v>
      </c>
      <c r="N19" s="16">
        <v>0</v>
      </c>
      <c r="O19" s="16">
        <v>0</v>
      </c>
      <c r="P19" s="16">
        <v>1</v>
      </c>
      <c r="Q19" s="16">
        <v>0</v>
      </c>
      <c r="R19" s="16">
        <f t="shared" si="2"/>
        <v>84</v>
      </c>
      <c r="S19" s="16">
        <v>84</v>
      </c>
      <c r="T19" s="16">
        <f t="shared" si="3"/>
        <v>0</v>
      </c>
      <c r="U19" s="16">
        <v>0</v>
      </c>
      <c r="V19" s="16">
        <v>0</v>
      </c>
      <c r="W19" s="16">
        <v>0</v>
      </c>
      <c r="X19" s="16">
        <v>0</v>
      </c>
      <c r="Y19" s="16">
        <f t="shared" si="4"/>
        <v>84</v>
      </c>
      <c r="Z19" s="16">
        <v>84</v>
      </c>
      <c r="AA19" s="16">
        <f t="shared" si="9"/>
        <v>0</v>
      </c>
      <c r="AB19" s="16">
        <v>0</v>
      </c>
      <c r="AC19" s="16">
        <v>0</v>
      </c>
      <c r="AD19" s="16">
        <v>1</v>
      </c>
      <c r="AE19" s="16">
        <v>0</v>
      </c>
      <c r="AF19" s="16">
        <f t="shared" si="10"/>
        <v>83</v>
      </c>
      <c r="AG19" s="16">
        <v>83</v>
      </c>
      <c r="AH19" s="16">
        <f t="shared" si="11"/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f t="shared" si="12"/>
        <v>83</v>
      </c>
      <c r="AN19" s="16">
        <v>83</v>
      </c>
      <c r="AO19" s="16">
        <f t="shared" si="13"/>
        <v>0</v>
      </c>
      <c r="AP19" s="16">
        <f t="shared" si="5"/>
        <v>0</v>
      </c>
      <c r="AQ19" s="16">
        <f t="shared" si="6"/>
        <v>0</v>
      </c>
      <c r="AR19" s="16">
        <f t="shared" si="14"/>
        <v>7</v>
      </c>
      <c r="AS19" s="16">
        <f t="shared" si="7"/>
        <v>0</v>
      </c>
      <c r="AT19" s="16">
        <f t="shared" si="15"/>
        <v>83</v>
      </c>
      <c r="AU19" s="16">
        <f t="shared" si="16"/>
        <v>83</v>
      </c>
      <c r="AV19" s="16">
        <f t="shared" si="8"/>
        <v>0</v>
      </c>
    </row>
    <row r="20" spans="2:48" s="18" customFormat="1" ht="27" customHeight="1">
      <c r="B20" s="13" t="s">
        <v>32</v>
      </c>
      <c r="C20" s="14" t="s">
        <v>33</v>
      </c>
      <c r="D20" s="21">
        <v>127.84</v>
      </c>
      <c r="E20" s="21">
        <v>127.84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f t="shared" si="0"/>
        <v>0</v>
      </c>
      <c r="L20" s="17">
        <v>0</v>
      </c>
      <c r="M20" s="16">
        <f t="shared" si="1"/>
        <v>0</v>
      </c>
      <c r="N20" s="16">
        <v>0</v>
      </c>
      <c r="O20" s="16">
        <v>0</v>
      </c>
      <c r="P20" s="16">
        <v>0</v>
      </c>
      <c r="Q20" s="16">
        <v>0</v>
      </c>
      <c r="R20" s="16">
        <f t="shared" si="2"/>
        <v>0</v>
      </c>
      <c r="S20" s="16">
        <v>0</v>
      </c>
      <c r="T20" s="16">
        <f t="shared" si="3"/>
        <v>0</v>
      </c>
      <c r="U20" s="16">
        <v>0</v>
      </c>
      <c r="V20" s="16">
        <v>0</v>
      </c>
      <c r="W20" s="16">
        <v>0</v>
      </c>
      <c r="X20" s="16">
        <v>0</v>
      </c>
      <c r="Y20" s="16">
        <f t="shared" si="4"/>
        <v>0</v>
      </c>
      <c r="Z20" s="16">
        <v>0</v>
      </c>
      <c r="AA20" s="16">
        <f t="shared" si="9"/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f t="shared" si="10"/>
        <v>0</v>
      </c>
      <c r="AG20" s="16">
        <v>0</v>
      </c>
      <c r="AH20" s="16">
        <f t="shared" si="11"/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f t="shared" si="12"/>
        <v>0</v>
      </c>
      <c r="AN20" s="16">
        <v>0</v>
      </c>
      <c r="AO20" s="16">
        <f t="shared" si="13"/>
        <v>0</v>
      </c>
      <c r="AP20" s="16">
        <f t="shared" si="5"/>
        <v>0</v>
      </c>
      <c r="AQ20" s="16">
        <f t="shared" si="6"/>
        <v>0</v>
      </c>
      <c r="AR20" s="16">
        <f t="shared" si="14"/>
        <v>0</v>
      </c>
      <c r="AS20" s="16">
        <f t="shared" si="7"/>
        <v>0</v>
      </c>
      <c r="AT20" s="16">
        <f t="shared" si="15"/>
        <v>0</v>
      </c>
      <c r="AU20" s="16">
        <f t="shared" si="16"/>
        <v>0</v>
      </c>
      <c r="AV20" s="16">
        <f t="shared" si="8"/>
        <v>0</v>
      </c>
    </row>
    <row r="21" spans="2:48" s="18" customFormat="1" ht="27" customHeight="1">
      <c r="B21" s="13" t="s">
        <v>34</v>
      </c>
      <c r="C21" s="19" t="s">
        <v>35</v>
      </c>
      <c r="D21" s="20">
        <v>127.84</v>
      </c>
      <c r="E21" s="20">
        <v>127.84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f t="shared" si="0"/>
        <v>0</v>
      </c>
      <c r="L21" s="17">
        <v>0</v>
      </c>
      <c r="M21" s="16">
        <f t="shared" si="1"/>
        <v>0</v>
      </c>
      <c r="N21" s="16">
        <v>0</v>
      </c>
      <c r="O21" s="16">
        <v>0</v>
      </c>
      <c r="P21" s="16">
        <v>0</v>
      </c>
      <c r="Q21" s="16">
        <v>0</v>
      </c>
      <c r="R21" s="16">
        <f t="shared" si="2"/>
        <v>0</v>
      </c>
      <c r="S21" s="16">
        <v>0</v>
      </c>
      <c r="T21" s="16">
        <f t="shared" si="3"/>
        <v>0</v>
      </c>
      <c r="U21" s="16">
        <v>0</v>
      </c>
      <c r="V21" s="16">
        <v>0</v>
      </c>
      <c r="W21" s="16">
        <v>0</v>
      </c>
      <c r="X21" s="16">
        <v>0</v>
      </c>
      <c r="Y21" s="16">
        <f t="shared" si="4"/>
        <v>0</v>
      </c>
      <c r="Z21" s="16">
        <v>0</v>
      </c>
      <c r="AA21" s="16">
        <f t="shared" si="9"/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f t="shared" si="10"/>
        <v>0</v>
      </c>
      <c r="AG21" s="16">
        <v>0</v>
      </c>
      <c r="AH21" s="16">
        <f t="shared" si="11"/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f t="shared" si="12"/>
        <v>0</v>
      </c>
      <c r="AN21" s="16">
        <v>0</v>
      </c>
      <c r="AO21" s="16">
        <f t="shared" si="13"/>
        <v>0</v>
      </c>
      <c r="AP21" s="16">
        <f t="shared" si="5"/>
        <v>0</v>
      </c>
      <c r="AQ21" s="16">
        <f t="shared" si="6"/>
        <v>0</v>
      </c>
      <c r="AR21" s="16">
        <f t="shared" si="14"/>
        <v>0</v>
      </c>
      <c r="AS21" s="16">
        <f t="shared" si="7"/>
        <v>0</v>
      </c>
      <c r="AT21" s="16">
        <f t="shared" si="15"/>
        <v>0</v>
      </c>
      <c r="AU21" s="16">
        <f t="shared" si="16"/>
        <v>0</v>
      </c>
      <c r="AV21" s="16">
        <f t="shared" si="8"/>
        <v>0</v>
      </c>
    </row>
    <row r="22" spans="2:48" s="18" customFormat="1" ht="27" customHeight="1">
      <c r="B22" s="13" t="s">
        <v>36</v>
      </c>
      <c r="C22" s="19" t="s">
        <v>37</v>
      </c>
      <c r="D22" s="22">
        <v>150</v>
      </c>
      <c r="E22" s="22">
        <v>150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f t="shared" si="0"/>
        <v>0</v>
      </c>
      <c r="L22" s="17">
        <v>0</v>
      </c>
      <c r="M22" s="16">
        <f t="shared" si="1"/>
        <v>0</v>
      </c>
      <c r="N22" s="16">
        <v>0</v>
      </c>
      <c r="O22" s="16">
        <v>0</v>
      </c>
      <c r="P22" s="16">
        <v>0</v>
      </c>
      <c r="Q22" s="16">
        <v>0</v>
      </c>
      <c r="R22" s="16">
        <f t="shared" si="2"/>
        <v>0</v>
      </c>
      <c r="S22" s="16">
        <v>0</v>
      </c>
      <c r="T22" s="16">
        <f t="shared" si="3"/>
        <v>0</v>
      </c>
      <c r="U22" s="16">
        <v>0</v>
      </c>
      <c r="V22" s="16">
        <v>0</v>
      </c>
      <c r="W22" s="16">
        <v>0</v>
      </c>
      <c r="X22" s="16">
        <v>0</v>
      </c>
      <c r="Y22" s="16">
        <f t="shared" si="4"/>
        <v>0</v>
      </c>
      <c r="Z22" s="16">
        <v>0</v>
      </c>
      <c r="AA22" s="16">
        <f t="shared" si="9"/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f t="shared" si="10"/>
        <v>0</v>
      </c>
      <c r="AG22" s="16">
        <v>0</v>
      </c>
      <c r="AH22" s="16">
        <f t="shared" si="11"/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f t="shared" si="12"/>
        <v>0</v>
      </c>
      <c r="AN22" s="16">
        <v>0</v>
      </c>
      <c r="AO22" s="16">
        <f t="shared" si="13"/>
        <v>0</v>
      </c>
      <c r="AP22" s="16">
        <f t="shared" si="5"/>
        <v>0</v>
      </c>
      <c r="AQ22" s="16">
        <f t="shared" si="6"/>
        <v>0</v>
      </c>
      <c r="AR22" s="16">
        <f t="shared" si="14"/>
        <v>0</v>
      </c>
      <c r="AS22" s="16">
        <f t="shared" si="7"/>
        <v>0</v>
      </c>
      <c r="AT22" s="16">
        <f t="shared" si="15"/>
        <v>0</v>
      </c>
      <c r="AU22" s="16">
        <f t="shared" si="16"/>
        <v>0</v>
      </c>
      <c r="AV22" s="16">
        <f t="shared" si="8"/>
        <v>0</v>
      </c>
    </row>
    <row r="23" spans="2:48" s="18" customFormat="1" ht="27" customHeight="1">
      <c r="B23" s="13" t="s">
        <v>38</v>
      </c>
      <c r="C23" s="14" t="s">
        <v>39</v>
      </c>
      <c r="D23" s="15">
        <v>12.31</v>
      </c>
      <c r="E23" s="15">
        <v>12.31</v>
      </c>
      <c r="F23" s="16">
        <v>232</v>
      </c>
      <c r="G23" s="16">
        <v>0</v>
      </c>
      <c r="H23" s="16">
        <v>0</v>
      </c>
      <c r="I23" s="16">
        <v>8</v>
      </c>
      <c r="J23" s="16">
        <v>0</v>
      </c>
      <c r="K23" s="16">
        <f t="shared" si="0"/>
        <v>224</v>
      </c>
      <c r="L23" s="17">
        <v>224</v>
      </c>
      <c r="M23" s="16">
        <f t="shared" si="1"/>
        <v>0</v>
      </c>
      <c r="N23" s="16">
        <v>0</v>
      </c>
      <c r="O23" s="16">
        <v>0</v>
      </c>
      <c r="P23" s="16">
        <v>7</v>
      </c>
      <c r="Q23" s="16">
        <v>0</v>
      </c>
      <c r="R23" s="16">
        <f t="shared" si="2"/>
        <v>217</v>
      </c>
      <c r="S23" s="16">
        <v>217</v>
      </c>
      <c r="T23" s="16">
        <f t="shared" si="3"/>
        <v>0</v>
      </c>
      <c r="U23" s="16">
        <v>0</v>
      </c>
      <c r="V23" s="16">
        <v>0</v>
      </c>
      <c r="W23" s="16">
        <v>0</v>
      </c>
      <c r="X23" s="16">
        <v>0</v>
      </c>
      <c r="Y23" s="16">
        <f t="shared" si="4"/>
        <v>217</v>
      </c>
      <c r="Z23" s="16">
        <v>217</v>
      </c>
      <c r="AA23" s="16">
        <f t="shared" si="9"/>
        <v>0</v>
      </c>
      <c r="AB23" s="16">
        <v>0</v>
      </c>
      <c r="AC23" s="16">
        <v>0</v>
      </c>
      <c r="AD23" s="16">
        <v>8</v>
      </c>
      <c r="AE23" s="16">
        <v>0</v>
      </c>
      <c r="AF23" s="16">
        <f t="shared" si="10"/>
        <v>209</v>
      </c>
      <c r="AG23" s="16">
        <v>209</v>
      </c>
      <c r="AH23" s="16">
        <f t="shared" si="11"/>
        <v>0</v>
      </c>
      <c r="AI23" s="16">
        <v>0</v>
      </c>
      <c r="AJ23" s="16">
        <v>0</v>
      </c>
      <c r="AK23" s="16">
        <v>2</v>
      </c>
      <c r="AL23" s="16">
        <v>0</v>
      </c>
      <c r="AM23" s="16">
        <f t="shared" si="12"/>
        <v>207</v>
      </c>
      <c r="AN23" s="16">
        <v>207</v>
      </c>
      <c r="AO23" s="16">
        <f t="shared" si="13"/>
        <v>0</v>
      </c>
      <c r="AP23" s="16">
        <f t="shared" si="5"/>
        <v>0</v>
      </c>
      <c r="AQ23" s="16">
        <f t="shared" si="6"/>
        <v>0</v>
      </c>
      <c r="AR23" s="16">
        <f t="shared" si="14"/>
        <v>25</v>
      </c>
      <c r="AS23" s="16">
        <f t="shared" si="7"/>
        <v>0</v>
      </c>
      <c r="AT23" s="16">
        <f t="shared" si="15"/>
        <v>207</v>
      </c>
      <c r="AU23" s="16">
        <v>207</v>
      </c>
      <c r="AV23" s="16">
        <f t="shared" si="8"/>
        <v>0</v>
      </c>
    </row>
    <row r="24" spans="2:48" s="18" customFormat="1" ht="27" customHeight="1">
      <c r="B24" s="13" t="s">
        <v>40</v>
      </c>
      <c r="C24" s="14" t="s">
        <v>41</v>
      </c>
      <c r="D24" s="15">
        <v>124.13</v>
      </c>
      <c r="E24" s="15">
        <v>124.13</v>
      </c>
      <c r="F24" s="16">
        <v>15</v>
      </c>
      <c r="G24" s="16">
        <v>0</v>
      </c>
      <c r="H24" s="16">
        <v>0</v>
      </c>
      <c r="I24" s="16">
        <v>0</v>
      </c>
      <c r="J24" s="16">
        <v>0</v>
      </c>
      <c r="K24" s="16">
        <f t="shared" si="0"/>
        <v>15</v>
      </c>
      <c r="L24" s="17">
        <v>15</v>
      </c>
      <c r="M24" s="16">
        <f t="shared" si="1"/>
        <v>0</v>
      </c>
      <c r="N24" s="16">
        <v>0</v>
      </c>
      <c r="O24" s="16">
        <v>0</v>
      </c>
      <c r="P24" s="16">
        <v>1</v>
      </c>
      <c r="Q24" s="16">
        <v>0</v>
      </c>
      <c r="R24" s="16">
        <f t="shared" si="2"/>
        <v>14</v>
      </c>
      <c r="S24" s="16">
        <v>14</v>
      </c>
      <c r="T24" s="16">
        <f t="shared" si="3"/>
        <v>0</v>
      </c>
      <c r="U24" s="16">
        <v>0</v>
      </c>
      <c r="V24" s="16">
        <v>0</v>
      </c>
      <c r="W24" s="16">
        <v>0</v>
      </c>
      <c r="X24" s="16">
        <v>0</v>
      </c>
      <c r="Y24" s="16">
        <f t="shared" si="4"/>
        <v>14</v>
      </c>
      <c r="Z24" s="16">
        <v>14</v>
      </c>
      <c r="AA24" s="16">
        <f t="shared" si="9"/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f t="shared" si="10"/>
        <v>14</v>
      </c>
      <c r="AG24" s="16">
        <v>14</v>
      </c>
      <c r="AH24" s="16">
        <f t="shared" si="11"/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f t="shared" si="12"/>
        <v>14</v>
      </c>
      <c r="AN24" s="16">
        <v>14</v>
      </c>
      <c r="AO24" s="16">
        <f t="shared" si="13"/>
        <v>0</v>
      </c>
      <c r="AP24" s="16">
        <f t="shared" si="5"/>
        <v>0</v>
      </c>
      <c r="AQ24" s="16">
        <f t="shared" si="6"/>
        <v>0</v>
      </c>
      <c r="AR24" s="16">
        <f t="shared" si="14"/>
        <v>1</v>
      </c>
      <c r="AS24" s="16">
        <f t="shared" si="7"/>
        <v>0</v>
      </c>
      <c r="AT24" s="16">
        <f t="shared" si="15"/>
        <v>14</v>
      </c>
      <c r="AU24" s="16">
        <f t="shared" si="16"/>
        <v>14</v>
      </c>
      <c r="AV24" s="16">
        <f t="shared" si="8"/>
        <v>0</v>
      </c>
    </row>
    <row r="25" spans="2:48" s="18" customFormat="1" ht="27" customHeight="1">
      <c r="B25" s="13" t="s">
        <v>42</v>
      </c>
      <c r="C25" s="14" t="s">
        <v>43</v>
      </c>
      <c r="D25" s="15">
        <v>142.56</v>
      </c>
      <c r="E25" s="15">
        <v>142.56</v>
      </c>
      <c r="F25" s="16">
        <v>14</v>
      </c>
      <c r="G25" s="16">
        <v>0</v>
      </c>
      <c r="H25" s="16">
        <v>0</v>
      </c>
      <c r="I25" s="16">
        <v>7</v>
      </c>
      <c r="J25" s="16">
        <v>0</v>
      </c>
      <c r="K25" s="16">
        <f t="shared" si="0"/>
        <v>7</v>
      </c>
      <c r="L25" s="17">
        <v>7</v>
      </c>
      <c r="M25" s="16">
        <f t="shared" si="1"/>
        <v>0</v>
      </c>
      <c r="N25" s="16">
        <v>0</v>
      </c>
      <c r="O25" s="16">
        <v>0</v>
      </c>
      <c r="P25" s="16">
        <v>4</v>
      </c>
      <c r="Q25" s="16">
        <v>0</v>
      </c>
      <c r="R25" s="16">
        <f t="shared" si="2"/>
        <v>3</v>
      </c>
      <c r="S25" s="16">
        <v>3</v>
      </c>
      <c r="T25" s="16">
        <f t="shared" si="3"/>
        <v>0</v>
      </c>
      <c r="U25" s="16">
        <v>0</v>
      </c>
      <c r="V25" s="16">
        <v>0</v>
      </c>
      <c r="W25" s="16">
        <v>2</v>
      </c>
      <c r="X25" s="16">
        <v>0</v>
      </c>
      <c r="Y25" s="16">
        <f t="shared" si="4"/>
        <v>1</v>
      </c>
      <c r="Z25" s="16">
        <v>1</v>
      </c>
      <c r="AA25" s="16">
        <f t="shared" si="9"/>
        <v>0</v>
      </c>
      <c r="AB25" s="16">
        <v>0</v>
      </c>
      <c r="AC25" s="16">
        <v>0</v>
      </c>
      <c r="AD25" s="16">
        <v>1</v>
      </c>
      <c r="AE25" s="16">
        <v>0</v>
      </c>
      <c r="AF25" s="16">
        <f t="shared" si="10"/>
        <v>0</v>
      </c>
      <c r="AG25" s="16">
        <v>0</v>
      </c>
      <c r="AH25" s="16">
        <f t="shared" si="11"/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f t="shared" si="12"/>
        <v>0</v>
      </c>
      <c r="AN25" s="16">
        <v>0</v>
      </c>
      <c r="AO25" s="16">
        <f t="shared" si="13"/>
        <v>0</v>
      </c>
      <c r="AP25" s="16">
        <f t="shared" si="5"/>
        <v>0</v>
      </c>
      <c r="AQ25" s="16">
        <f t="shared" si="6"/>
        <v>0</v>
      </c>
      <c r="AR25" s="16">
        <f t="shared" si="14"/>
        <v>14</v>
      </c>
      <c r="AS25" s="16">
        <f t="shared" si="7"/>
        <v>0</v>
      </c>
      <c r="AT25" s="16">
        <f t="shared" si="15"/>
        <v>0</v>
      </c>
      <c r="AU25" s="16">
        <f t="shared" si="16"/>
        <v>0</v>
      </c>
      <c r="AV25" s="16">
        <f t="shared" si="8"/>
        <v>0</v>
      </c>
    </row>
    <row r="26" spans="2:48" s="18" customFormat="1" ht="27" customHeight="1">
      <c r="B26" s="13" t="s">
        <v>44</v>
      </c>
      <c r="C26" s="14" t="s">
        <v>45</v>
      </c>
      <c r="D26" s="15">
        <v>104.4</v>
      </c>
      <c r="E26" s="15">
        <v>104.4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f t="shared" si="0"/>
        <v>0</v>
      </c>
      <c r="L26" s="17">
        <v>0</v>
      </c>
      <c r="M26" s="16">
        <f t="shared" si="1"/>
        <v>0</v>
      </c>
      <c r="N26" s="16">
        <v>0</v>
      </c>
      <c r="O26" s="16">
        <v>0</v>
      </c>
      <c r="P26" s="16">
        <v>0</v>
      </c>
      <c r="Q26" s="16">
        <v>0</v>
      </c>
      <c r="R26" s="16">
        <f t="shared" si="2"/>
        <v>0</v>
      </c>
      <c r="S26" s="16">
        <v>0</v>
      </c>
      <c r="T26" s="16">
        <f t="shared" si="3"/>
        <v>0</v>
      </c>
      <c r="U26" s="16">
        <v>0</v>
      </c>
      <c r="V26" s="16">
        <v>0</v>
      </c>
      <c r="W26" s="16">
        <v>0</v>
      </c>
      <c r="X26" s="16">
        <v>0</v>
      </c>
      <c r="Y26" s="16">
        <f t="shared" si="4"/>
        <v>0</v>
      </c>
      <c r="Z26" s="16">
        <v>0</v>
      </c>
      <c r="AA26" s="16">
        <f t="shared" si="9"/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f t="shared" si="10"/>
        <v>0</v>
      </c>
      <c r="AG26" s="16">
        <v>0</v>
      </c>
      <c r="AH26" s="16">
        <f t="shared" si="11"/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f t="shared" si="12"/>
        <v>0</v>
      </c>
      <c r="AN26" s="16">
        <v>0</v>
      </c>
      <c r="AO26" s="16">
        <f t="shared" si="13"/>
        <v>0</v>
      </c>
      <c r="AP26" s="16">
        <f t="shared" si="5"/>
        <v>0</v>
      </c>
      <c r="AQ26" s="16">
        <f t="shared" si="6"/>
        <v>0</v>
      </c>
      <c r="AR26" s="16">
        <f t="shared" si="14"/>
        <v>0</v>
      </c>
      <c r="AS26" s="16">
        <f t="shared" si="7"/>
        <v>0</v>
      </c>
      <c r="AT26" s="16">
        <f t="shared" si="15"/>
        <v>0</v>
      </c>
      <c r="AU26" s="16">
        <f t="shared" si="16"/>
        <v>0</v>
      </c>
      <c r="AV26" s="16">
        <f t="shared" si="8"/>
        <v>0</v>
      </c>
    </row>
    <row r="27" spans="2:48" s="18" customFormat="1" ht="27" customHeight="1">
      <c r="B27" s="13" t="s">
        <v>46</v>
      </c>
      <c r="C27" s="14" t="s">
        <v>47</v>
      </c>
      <c r="D27" s="15">
        <v>85.26</v>
      </c>
      <c r="E27" s="15">
        <v>85.26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f t="shared" si="0"/>
        <v>0</v>
      </c>
      <c r="L27" s="17">
        <v>0</v>
      </c>
      <c r="M27" s="16">
        <f t="shared" si="1"/>
        <v>0</v>
      </c>
      <c r="N27" s="16">
        <v>0</v>
      </c>
      <c r="O27" s="16">
        <v>0</v>
      </c>
      <c r="P27" s="16">
        <v>0</v>
      </c>
      <c r="Q27" s="16">
        <v>0</v>
      </c>
      <c r="R27" s="16">
        <f t="shared" si="2"/>
        <v>0</v>
      </c>
      <c r="S27" s="16">
        <v>0</v>
      </c>
      <c r="T27" s="16">
        <f t="shared" si="3"/>
        <v>0</v>
      </c>
      <c r="U27" s="16">
        <v>0</v>
      </c>
      <c r="V27" s="16">
        <v>0</v>
      </c>
      <c r="W27" s="16">
        <v>0</v>
      </c>
      <c r="X27" s="16">
        <v>0</v>
      </c>
      <c r="Y27" s="16">
        <f t="shared" si="4"/>
        <v>0</v>
      </c>
      <c r="Z27" s="16">
        <v>0</v>
      </c>
      <c r="AA27" s="16">
        <f t="shared" si="9"/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f t="shared" si="10"/>
        <v>0</v>
      </c>
      <c r="AG27" s="16">
        <v>0</v>
      </c>
      <c r="AH27" s="16">
        <f t="shared" si="11"/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f t="shared" si="12"/>
        <v>0</v>
      </c>
      <c r="AN27" s="16">
        <v>0</v>
      </c>
      <c r="AO27" s="16">
        <f t="shared" si="13"/>
        <v>0</v>
      </c>
      <c r="AP27" s="16">
        <f t="shared" si="5"/>
        <v>0</v>
      </c>
      <c r="AQ27" s="16">
        <f t="shared" si="6"/>
        <v>0</v>
      </c>
      <c r="AR27" s="16">
        <f t="shared" si="14"/>
        <v>0</v>
      </c>
      <c r="AS27" s="16">
        <f t="shared" si="7"/>
        <v>0</v>
      </c>
      <c r="AT27" s="16">
        <f t="shared" si="15"/>
        <v>0</v>
      </c>
      <c r="AU27" s="16">
        <f t="shared" si="16"/>
        <v>0</v>
      </c>
      <c r="AV27" s="16">
        <f t="shared" si="8"/>
        <v>0</v>
      </c>
    </row>
    <row r="28" spans="2:48" s="18" customFormat="1" ht="27" customHeight="1">
      <c r="B28" s="13" t="s">
        <v>48</v>
      </c>
      <c r="C28" s="14" t="s">
        <v>49</v>
      </c>
      <c r="D28" s="15">
        <v>81</v>
      </c>
      <c r="E28" s="15">
        <v>81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f t="shared" si="0"/>
        <v>0</v>
      </c>
      <c r="L28" s="17">
        <v>0</v>
      </c>
      <c r="M28" s="16">
        <f t="shared" si="1"/>
        <v>0</v>
      </c>
      <c r="N28" s="16">
        <v>0</v>
      </c>
      <c r="O28" s="16">
        <v>0</v>
      </c>
      <c r="P28" s="16">
        <v>0</v>
      </c>
      <c r="Q28" s="16">
        <v>0</v>
      </c>
      <c r="R28" s="16">
        <f t="shared" si="2"/>
        <v>0</v>
      </c>
      <c r="S28" s="16">
        <v>0</v>
      </c>
      <c r="T28" s="16">
        <f t="shared" si="3"/>
        <v>0</v>
      </c>
      <c r="U28" s="16">
        <v>0</v>
      </c>
      <c r="V28" s="16">
        <v>0</v>
      </c>
      <c r="W28" s="16">
        <v>0</v>
      </c>
      <c r="X28" s="16">
        <v>0</v>
      </c>
      <c r="Y28" s="16">
        <f t="shared" si="4"/>
        <v>0</v>
      </c>
      <c r="Z28" s="16">
        <v>0</v>
      </c>
      <c r="AA28" s="16">
        <f t="shared" si="9"/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f t="shared" si="10"/>
        <v>0</v>
      </c>
      <c r="AG28" s="16">
        <v>0</v>
      </c>
      <c r="AH28" s="16">
        <f t="shared" si="11"/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f t="shared" si="12"/>
        <v>0</v>
      </c>
      <c r="AN28" s="16">
        <v>0</v>
      </c>
      <c r="AO28" s="16">
        <f t="shared" si="13"/>
        <v>0</v>
      </c>
      <c r="AP28" s="16">
        <f t="shared" si="5"/>
        <v>0</v>
      </c>
      <c r="AQ28" s="16">
        <f t="shared" si="6"/>
        <v>0</v>
      </c>
      <c r="AR28" s="16">
        <f t="shared" si="14"/>
        <v>0</v>
      </c>
      <c r="AS28" s="16">
        <f t="shared" si="7"/>
        <v>0</v>
      </c>
      <c r="AT28" s="16">
        <f t="shared" si="15"/>
        <v>0</v>
      </c>
      <c r="AU28" s="16">
        <f t="shared" si="16"/>
        <v>0</v>
      </c>
      <c r="AV28" s="16">
        <f t="shared" si="8"/>
        <v>0</v>
      </c>
    </row>
    <row r="29" spans="2:48" s="18" customFormat="1" ht="27" customHeight="1">
      <c r="B29" s="13" t="s">
        <v>50</v>
      </c>
      <c r="C29" s="14" t="s">
        <v>51</v>
      </c>
      <c r="D29" s="15">
        <v>58.94</v>
      </c>
      <c r="E29" s="15">
        <v>58.94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f t="shared" si="0"/>
        <v>0</v>
      </c>
      <c r="L29" s="17">
        <v>0</v>
      </c>
      <c r="M29" s="16">
        <f t="shared" si="1"/>
        <v>0</v>
      </c>
      <c r="N29" s="16">
        <v>0</v>
      </c>
      <c r="O29" s="16">
        <v>0</v>
      </c>
      <c r="P29" s="16">
        <v>0</v>
      </c>
      <c r="Q29" s="16">
        <v>0</v>
      </c>
      <c r="R29" s="16">
        <f t="shared" si="2"/>
        <v>0</v>
      </c>
      <c r="S29" s="16">
        <v>0</v>
      </c>
      <c r="T29" s="16">
        <f t="shared" si="3"/>
        <v>0</v>
      </c>
      <c r="U29" s="16">
        <v>0</v>
      </c>
      <c r="V29" s="16">
        <v>0</v>
      </c>
      <c r="W29" s="16">
        <v>0</v>
      </c>
      <c r="X29" s="16">
        <v>0</v>
      </c>
      <c r="Y29" s="16">
        <f t="shared" si="4"/>
        <v>0</v>
      </c>
      <c r="Z29" s="16">
        <v>0</v>
      </c>
      <c r="AA29" s="16">
        <f t="shared" si="9"/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f t="shared" si="10"/>
        <v>0</v>
      </c>
      <c r="AG29" s="16">
        <v>0</v>
      </c>
      <c r="AH29" s="16">
        <f t="shared" si="11"/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f t="shared" si="12"/>
        <v>0</v>
      </c>
      <c r="AN29" s="16">
        <v>0</v>
      </c>
      <c r="AO29" s="16">
        <f t="shared" si="13"/>
        <v>0</v>
      </c>
      <c r="AP29" s="16">
        <f t="shared" si="5"/>
        <v>0</v>
      </c>
      <c r="AQ29" s="16">
        <f t="shared" si="6"/>
        <v>0</v>
      </c>
      <c r="AR29" s="16">
        <f t="shared" si="14"/>
        <v>0</v>
      </c>
      <c r="AS29" s="16">
        <f t="shared" si="7"/>
        <v>0</v>
      </c>
      <c r="AT29" s="16">
        <f t="shared" si="15"/>
        <v>0</v>
      </c>
      <c r="AU29" s="16">
        <f t="shared" si="16"/>
        <v>0</v>
      </c>
      <c r="AV29" s="16">
        <f t="shared" si="8"/>
        <v>0</v>
      </c>
    </row>
    <row r="30" spans="2:48" s="18" customFormat="1" ht="27" customHeight="1">
      <c r="B30" s="13" t="s">
        <v>52</v>
      </c>
      <c r="C30" s="14" t="s">
        <v>53</v>
      </c>
      <c r="D30" s="15">
        <v>25</v>
      </c>
      <c r="E30" s="15">
        <v>25</v>
      </c>
      <c r="F30" s="16">
        <v>144</v>
      </c>
      <c r="G30" s="16">
        <v>0</v>
      </c>
      <c r="H30" s="16">
        <v>0</v>
      </c>
      <c r="I30" s="16">
        <v>2</v>
      </c>
      <c r="J30" s="16">
        <v>0</v>
      </c>
      <c r="K30" s="16">
        <f t="shared" si="0"/>
        <v>142</v>
      </c>
      <c r="L30" s="17">
        <v>142</v>
      </c>
      <c r="M30" s="16">
        <f t="shared" si="1"/>
        <v>0</v>
      </c>
      <c r="N30" s="16">
        <v>0</v>
      </c>
      <c r="O30" s="16">
        <v>0</v>
      </c>
      <c r="P30" s="16">
        <v>2</v>
      </c>
      <c r="Q30" s="16">
        <v>0</v>
      </c>
      <c r="R30" s="16">
        <f t="shared" si="2"/>
        <v>140</v>
      </c>
      <c r="S30" s="16">
        <v>140</v>
      </c>
      <c r="T30" s="16">
        <f t="shared" si="3"/>
        <v>0</v>
      </c>
      <c r="U30" s="16">
        <v>0</v>
      </c>
      <c r="V30" s="16">
        <v>0</v>
      </c>
      <c r="W30" s="16">
        <v>0</v>
      </c>
      <c r="X30" s="16">
        <v>0</v>
      </c>
      <c r="Y30" s="16">
        <f t="shared" si="4"/>
        <v>140</v>
      </c>
      <c r="Z30" s="16">
        <v>140</v>
      </c>
      <c r="AA30" s="16">
        <f t="shared" si="9"/>
        <v>0</v>
      </c>
      <c r="AB30" s="16">
        <v>0</v>
      </c>
      <c r="AC30" s="16">
        <v>0</v>
      </c>
      <c r="AD30" s="16">
        <v>2</v>
      </c>
      <c r="AE30" s="16">
        <v>0</v>
      </c>
      <c r="AF30" s="16">
        <f t="shared" si="10"/>
        <v>138</v>
      </c>
      <c r="AG30" s="16">
        <v>138</v>
      </c>
      <c r="AH30" s="16">
        <f t="shared" si="11"/>
        <v>0</v>
      </c>
      <c r="AI30" s="16">
        <v>0</v>
      </c>
      <c r="AJ30" s="16">
        <v>0</v>
      </c>
      <c r="AK30" s="16">
        <v>1</v>
      </c>
      <c r="AL30" s="16">
        <v>0</v>
      </c>
      <c r="AM30" s="16">
        <f t="shared" si="12"/>
        <v>137</v>
      </c>
      <c r="AN30" s="16">
        <v>137</v>
      </c>
      <c r="AO30" s="16">
        <f t="shared" si="13"/>
        <v>0</v>
      </c>
      <c r="AP30" s="16">
        <f t="shared" si="5"/>
        <v>0</v>
      </c>
      <c r="AQ30" s="16">
        <f t="shared" si="6"/>
        <v>0</v>
      </c>
      <c r="AR30" s="16">
        <f t="shared" si="14"/>
        <v>7</v>
      </c>
      <c r="AS30" s="16">
        <f t="shared" si="7"/>
        <v>0</v>
      </c>
      <c r="AT30" s="16">
        <f t="shared" si="15"/>
        <v>137</v>
      </c>
      <c r="AU30" s="16">
        <v>137</v>
      </c>
      <c r="AV30" s="16">
        <f t="shared" si="8"/>
        <v>0</v>
      </c>
    </row>
    <row r="31" spans="2:48" s="18" customFormat="1" ht="27" customHeight="1">
      <c r="B31" s="13" t="s">
        <v>54</v>
      </c>
      <c r="C31" s="14" t="s">
        <v>55</v>
      </c>
      <c r="D31" s="15">
        <v>70.56</v>
      </c>
      <c r="E31" s="15">
        <v>70.56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f t="shared" si="0"/>
        <v>0</v>
      </c>
      <c r="L31" s="17">
        <v>0</v>
      </c>
      <c r="M31" s="16">
        <f t="shared" si="1"/>
        <v>0</v>
      </c>
      <c r="N31" s="16">
        <v>0</v>
      </c>
      <c r="O31" s="16">
        <v>0</v>
      </c>
      <c r="P31" s="16">
        <v>0</v>
      </c>
      <c r="Q31" s="16">
        <v>0</v>
      </c>
      <c r="R31" s="16">
        <f t="shared" si="2"/>
        <v>0</v>
      </c>
      <c r="S31" s="16">
        <v>0</v>
      </c>
      <c r="T31" s="16">
        <f t="shared" si="3"/>
        <v>0</v>
      </c>
      <c r="U31" s="16">
        <v>0</v>
      </c>
      <c r="V31" s="16">
        <v>0</v>
      </c>
      <c r="W31" s="16">
        <v>0</v>
      </c>
      <c r="X31" s="16">
        <v>0</v>
      </c>
      <c r="Y31" s="16">
        <f t="shared" si="4"/>
        <v>0</v>
      </c>
      <c r="Z31" s="16">
        <v>0</v>
      </c>
      <c r="AA31" s="16">
        <f t="shared" si="9"/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f t="shared" si="10"/>
        <v>0</v>
      </c>
      <c r="AG31" s="16">
        <v>0</v>
      </c>
      <c r="AH31" s="16">
        <f t="shared" si="11"/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f t="shared" si="12"/>
        <v>0</v>
      </c>
      <c r="AN31" s="16">
        <v>0</v>
      </c>
      <c r="AO31" s="16">
        <f t="shared" si="13"/>
        <v>0</v>
      </c>
      <c r="AP31" s="16">
        <f t="shared" si="5"/>
        <v>0</v>
      </c>
      <c r="AQ31" s="16">
        <f t="shared" si="6"/>
        <v>0</v>
      </c>
      <c r="AR31" s="16">
        <f t="shared" si="14"/>
        <v>0</v>
      </c>
      <c r="AS31" s="16">
        <f t="shared" si="7"/>
        <v>0</v>
      </c>
      <c r="AT31" s="16">
        <f t="shared" si="15"/>
        <v>0</v>
      </c>
      <c r="AU31" s="16">
        <f t="shared" si="16"/>
        <v>0</v>
      </c>
      <c r="AV31" s="16">
        <f t="shared" si="8"/>
        <v>0</v>
      </c>
    </row>
    <row r="32" spans="2:48" s="18" customFormat="1" ht="27" customHeight="1">
      <c r="B32" s="13" t="s">
        <v>56</v>
      </c>
      <c r="C32" s="14" t="s">
        <v>57</v>
      </c>
      <c r="D32" s="15">
        <v>147</v>
      </c>
      <c r="E32" s="15">
        <v>147</v>
      </c>
      <c r="F32" s="16">
        <v>200</v>
      </c>
      <c r="G32" s="16">
        <v>0</v>
      </c>
      <c r="H32" s="16">
        <v>0</v>
      </c>
      <c r="I32" s="16">
        <v>0</v>
      </c>
      <c r="J32" s="16">
        <v>0</v>
      </c>
      <c r="K32" s="16">
        <f t="shared" si="0"/>
        <v>200</v>
      </c>
      <c r="L32" s="17">
        <v>200</v>
      </c>
      <c r="M32" s="16">
        <f t="shared" si="1"/>
        <v>0</v>
      </c>
      <c r="N32" s="16">
        <v>0</v>
      </c>
      <c r="O32" s="16">
        <v>0</v>
      </c>
      <c r="P32" s="16">
        <v>0</v>
      </c>
      <c r="Q32" s="16">
        <v>0</v>
      </c>
      <c r="R32" s="16">
        <f t="shared" si="2"/>
        <v>200</v>
      </c>
      <c r="S32" s="16">
        <v>200</v>
      </c>
      <c r="T32" s="16">
        <f t="shared" si="3"/>
        <v>0</v>
      </c>
      <c r="U32" s="16">
        <v>0</v>
      </c>
      <c r="V32" s="16">
        <v>0</v>
      </c>
      <c r="W32" s="16">
        <v>0</v>
      </c>
      <c r="X32" s="16">
        <v>0</v>
      </c>
      <c r="Y32" s="16">
        <f t="shared" si="4"/>
        <v>200</v>
      </c>
      <c r="Z32" s="16">
        <v>200</v>
      </c>
      <c r="AA32" s="16">
        <f t="shared" si="9"/>
        <v>0</v>
      </c>
      <c r="AB32" s="16">
        <v>0</v>
      </c>
      <c r="AC32" s="16">
        <v>0</v>
      </c>
      <c r="AD32" s="16">
        <v>2</v>
      </c>
      <c r="AE32" s="16">
        <v>0</v>
      </c>
      <c r="AF32" s="16">
        <f t="shared" si="10"/>
        <v>198</v>
      </c>
      <c r="AG32" s="16">
        <v>198</v>
      </c>
      <c r="AH32" s="16">
        <f t="shared" si="11"/>
        <v>0</v>
      </c>
      <c r="AI32" s="16">
        <v>0</v>
      </c>
      <c r="AJ32" s="16">
        <v>0</v>
      </c>
      <c r="AK32" s="16">
        <v>1</v>
      </c>
      <c r="AL32" s="16">
        <v>0</v>
      </c>
      <c r="AM32" s="16">
        <f t="shared" si="12"/>
        <v>197</v>
      </c>
      <c r="AN32" s="16">
        <v>197</v>
      </c>
      <c r="AO32" s="16">
        <f t="shared" si="13"/>
        <v>0</v>
      </c>
      <c r="AP32" s="16">
        <f t="shared" si="5"/>
        <v>0</v>
      </c>
      <c r="AQ32" s="16">
        <f t="shared" si="6"/>
        <v>0</v>
      </c>
      <c r="AR32" s="16">
        <f t="shared" si="14"/>
        <v>3</v>
      </c>
      <c r="AS32" s="16">
        <f t="shared" si="7"/>
        <v>0</v>
      </c>
      <c r="AT32" s="16">
        <f t="shared" si="15"/>
        <v>197</v>
      </c>
      <c r="AU32" s="16">
        <v>197</v>
      </c>
      <c r="AV32" s="16">
        <f t="shared" si="8"/>
        <v>0</v>
      </c>
    </row>
    <row r="33" spans="2:48" s="18" customFormat="1" ht="27" customHeight="1">
      <c r="B33" s="13" t="s">
        <v>58</v>
      </c>
      <c r="C33" s="14" t="s">
        <v>59</v>
      </c>
      <c r="D33" s="15">
        <v>87</v>
      </c>
      <c r="E33" s="15">
        <v>87</v>
      </c>
      <c r="F33" s="16">
        <v>100</v>
      </c>
      <c r="G33" s="16">
        <v>0</v>
      </c>
      <c r="H33" s="16">
        <v>0</v>
      </c>
      <c r="I33" s="16">
        <v>0</v>
      </c>
      <c r="J33" s="16">
        <v>0</v>
      </c>
      <c r="K33" s="16">
        <f t="shared" si="0"/>
        <v>100</v>
      </c>
      <c r="L33" s="17">
        <v>100</v>
      </c>
      <c r="M33" s="16">
        <f t="shared" si="1"/>
        <v>0</v>
      </c>
      <c r="N33" s="16">
        <v>0</v>
      </c>
      <c r="O33" s="16">
        <v>0</v>
      </c>
      <c r="P33" s="16">
        <v>0</v>
      </c>
      <c r="Q33" s="16">
        <v>0</v>
      </c>
      <c r="R33" s="16">
        <f t="shared" si="2"/>
        <v>100</v>
      </c>
      <c r="S33" s="16">
        <v>100</v>
      </c>
      <c r="T33" s="16">
        <f t="shared" si="3"/>
        <v>0</v>
      </c>
      <c r="U33" s="16">
        <v>0</v>
      </c>
      <c r="V33" s="16">
        <v>0</v>
      </c>
      <c r="W33" s="16">
        <v>0</v>
      </c>
      <c r="X33" s="16">
        <v>0</v>
      </c>
      <c r="Y33" s="16">
        <f t="shared" si="4"/>
        <v>100</v>
      </c>
      <c r="Z33" s="16">
        <v>100</v>
      </c>
      <c r="AA33" s="16">
        <f t="shared" si="9"/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f t="shared" si="10"/>
        <v>100</v>
      </c>
      <c r="AG33" s="16">
        <v>100</v>
      </c>
      <c r="AH33" s="16">
        <f t="shared" si="11"/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f t="shared" si="12"/>
        <v>100</v>
      </c>
      <c r="AN33" s="16">
        <v>100</v>
      </c>
      <c r="AO33" s="16">
        <f t="shared" si="13"/>
        <v>0</v>
      </c>
      <c r="AP33" s="16">
        <f t="shared" si="5"/>
        <v>0</v>
      </c>
      <c r="AQ33" s="16">
        <f t="shared" si="6"/>
        <v>0</v>
      </c>
      <c r="AR33" s="16">
        <f t="shared" si="14"/>
        <v>0</v>
      </c>
      <c r="AS33" s="16">
        <f t="shared" si="7"/>
        <v>0</v>
      </c>
      <c r="AT33" s="16">
        <f t="shared" si="15"/>
        <v>100</v>
      </c>
      <c r="AU33" s="16">
        <v>100</v>
      </c>
      <c r="AV33" s="16">
        <f t="shared" si="8"/>
        <v>0</v>
      </c>
    </row>
    <row r="34" spans="2:48" s="18" customFormat="1" ht="27" customHeight="1">
      <c r="B34" s="13" t="s">
        <v>60</v>
      </c>
      <c r="C34" s="14" t="s">
        <v>61</v>
      </c>
      <c r="D34" s="15">
        <v>49</v>
      </c>
      <c r="E34" s="15">
        <v>49</v>
      </c>
      <c r="F34" s="16">
        <v>185</v>
      </c>
      <c r="G34" s="16">
        <v>0</v>
      </c>
      <c r="H34" s="16">
        <v>0</v>
      </c>
      <c r="I34" s="16">
        <v>0</v>
      </c>
      <c r="J34" s="16">
        <v>0</v>
      </c>
      <c r="K34" s="16">
        <f t="shared" si="0"/>
        <v>185</v>
      </c>
      <c r="L34" s="17">
        <v>185</v>
      </c>
      <c r="M34" s="16">
        <f t="shared" si="1"/>
        <v>0</v>
      </c>
      <c r="N34" s="16">
        <v>0</v>
      </c>
      <c r="O34" s="16">
        <v>0</v>
      </c>
      <c r="P34" s="16">
        <v>1</v>
      </c>
      <c r="Q34" s="16">
        <v>0</v>
      </c>
      <c r="R34" s="16">
        <f t="shared" si="2"/>
        <v>184</v>
      </c>
      <c r="S34" s="16">
        <v>184</v>
      </c>
      <c r="T34" s="16">
        <f t="shared" si="3"/>
        <v>0</v>
      </c>
      <c r="U34" s="16">
        <v>0</v>
      </c>
      <c r="V34" s="16">
        <v>0</v>
      </c>
      <c r="W34" s="16">
        <v>0</v>
      </c>
      <c r="X34" s="16">
        <v>0</v>
      </c>
      <c r="Y34" s="16">
        <f t="shared" si="4"/>
        <v>184</v>
      </c>
      <c r="Z34" s="16">
        <v>184</v>
      </c>
      <c r="AA34" s="16">
        <f t="shared" si="9"/>
        <v>0</v>
      </c>
      <c r="AB34" s="16">
        <v>0</v>
      </c>
      <c r="AC34" s="16">
        <v>0</v>
      </c>
      <c r="AD34" s="16">
        <v>1</v>
      </c>
      <c r="AE34" s="16">
        <v>0</v>
      </c>
      <c r="AF34" s="16">
        <f t="shared" si="10"/>
        <v>183</v>
      </c>
      <c r="AG34" s="16">
        <v>183</v>
      </c>
      <c r="AH34" s="16">
        <f t="shared" si="11"/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f t="shared" si="12"/>
        <v>183</v>
      </c>
      <c r="AN34" s="16">
        <v>183</v>
      </c>
      <c r="AO34" s="16">
        <f t="shared" si="13"/>
        <v>0</v>
      </c>
      <c r="AP34" s="16">
        <f t="shared" si="5"/>
        <v>0</v>
      </c>
      <c r="AQ34" s="16">
        <f t="shared" si="6"/>
        <v>0</v>
      </c>
      <c r="AR34" s="16">
        <f t="shared" si="14"/>
        <v>2</v>
      </c>
      <c r="AS34" s="16">
        <f t="shared" si="7"/>
        <v>0</v>
      </c>
      <c r="AT34" s="16">
        <f t="shared" si="15"/>
        <v>183</v>
      </c>
      <c r="AU34" s="16">
        <v>183</v>
      </c>
      <c r="AV34" s="16">
        <f t="shared" si="8"/>
        <v>0</v>
      </c>
    </row>
    <row r="35" spans="2:48" s="18" customFormat="1" ht="27" customHeight="1">
      <c r="B35" s="13" t="s">
        <v>62</v>
      </c>
      <c r="C35" s="14" t="s">
        <v>63</v>
      </c>
      <c r="D35" s="15">
        <v>6.98</v>
      </c>
      <c r="E35" s="15">
        <v>6.98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f t="shared" si="0"/>
        <v>0</v>
      </c>
      <c r="L35" s="17">
        <v>0</v>
      </c>
      <c r="M35" s="16">
        <f t="shared" si="1"/>
        <v>0</v>
      </c>
      <c r="N35" s="16">
        <v>0</v>
      </c>
      <c r="O35" s="16">
        <v>0</v>
      </c>
      <c r="P35" s="16">
        <v>0</v>
      </c>
      <c r="Q35" s="16">
        <v>0</v>
      </c>
      <c r="R35" s="16">
        <f t="shared" si="2"/>
        <v>0</v>
      </c>
      <c r="S35" s="16">
        <v>0</v>
      </c>
      <c r="T35" s="16">
        <f t="shared" si="3"/>
        <v>0</v>
      </c>
      <c r="U35" s="16">
        <v>0</v>
      </c>
      <c r="V35" s="16">
        <v>0</v>
      </c>
      <c r="W35" s="16">
        <v>0</v>
      </c>
      <c r="X35" s="16">
        <v>0</v>
      </c>
      <c r="Y35" s="16">
        <f t="shared" si="4"/>
        <v>0</v>
      </c>
      <c r="Z35" s="16">
        <v>0</v>
      </c>
      <c r="AA35" s="16">
        <f t="shared" si="9"/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f t="shared" si="10"/>
        <v>0</v>
      </c>
      <c r="AG35" s="16">
        <v>0</v>
      </c>
      <c r="AH35" s="16">
        <f t="shared" si="11"/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f t="shared" si="12"/>
        <v>0</v>
      </c>
      <c r="AN35" s="16">
        <v>0</v>
      </c>
      <c r="AO35" s="16">
        <f t="shared" si="13"/>
        <v>0</v>
      </c>
      <c r="AP35" s="16">
        <f t="shared" si="5"/>
        <v>0</v>
      </c>
      <c r="AQ35" s="16">
        <f t="shared" si="6"/>
        <v>0</v>
      </c>
      <c r="AR35" s="16">
        <f t="shared" si="14"/>
        <v>0</v>
      </c>
      <c r="AS35" s="16">
        <f t="shared" si="7"/>
        <v>0</v>
      </c>
      <c r="AT35" s="16">
        <f t="shared" si="15"/>
        <v>0</v>
      </c>
      <c r="AU35" s="16">
        <f t="shared" si="16"/>
        <v>0</v>
      </c>
      <c r="AV35" s="16">
        <f t="shared" si="8"/>
        <v>0</v>
      </c>
    </row>
    <row r="36" spans="2:48" s="18" customFormat="1" ht="27" customHeight="1">
      <c r="B36" s="13" t="s">
        <v>64</v>
      </c>
      <c r="C36" s="14" t="s">
        <v>65</v>
      </c>
      <c r="D36" s="15">
        <v>24</v>
      </c>
      <c r="E36" s="15">
        <v>24</v>
      </c>
      <c r="F36" s="16">
        <v>948</v>
      </c>
      <c r="G36" s="16">
        <v>0</v>
      </c>
      <c r="H36" s="16">
        <v>0</v>
      </c>
      <c r="I36" s="16">
        <v>58</v>
      </c>
      <c r="J36" s="16">
        <v>0</v>
      </c>
      <c r="K36" s="16">
        <f t="shared" si="0"/>
        <v>890</v>
      </c>
      <c r="L36" s="17">
        <v>890</v>
      </c>
      <c r="M36" s="16">
        <f t="shared" si="1"/>
        <v>0</v>
      </c>
      <c r="N36" s="16">
        <v>0</v>
      </c>
      <c r="O36" s="16">
        <v>0</v>
      </c>
      <c r="P36" s="16">
        <v>22</v>
      </c>
      <c r="Q36" s="16">
        <v>0</v>
      </c>
      <c r="R36" s="16">
        <f t="shared" si="2"/>
        <v>868</v>
      </c>
      <c r="S36" s="16">
        <v>868</v>
      </c>
      <c r="T36" s="16">
        <f t="shared" si="3"/>
        <v>0</v>
      </c>
      <c r="U36" s="16">
        <v>0</v>
      </c>
      <c r="V36" s="16">
        <v>0</v>
      </c>
      <c r="W36" s="16">
        <v>17</v>
      </c>
      <c r="X36" s="16">
        <v>0</v>
      </c>
      <c r="Y36" s="16">
        <f t="shared" si="4"/>
        <v>851</v>
      </c>
      <c r="Z36" s="16">
        <v>851</v>
      </c>
      <c r="AA36" s="16">
        <f t="shared" si="9"/>
        <v>0</v>
      </c>
      <c r="AB36" s="16">
        <v>0</v>
      </c>
      <c r="AC36" s="16">
        <v>0</v>
      </c>
      <c r="AD36" s="16">
        <v>21</v>
      </c>
      <c r="AE36" s="16">
        <v>0</v>
      </c>
      <c r="AF36" s="16">
        <f t="shared" si="10"/>
        <v>830</v>
      </c>
      <c r="AG36" s="16">
        <v>830</v>
      </c>
      <c r="AH36" s="16">
        <f t="shared" si="11"/>
        <v>0</v>
      </c>
      <c r="AI36" s="16">
        <v>0</v>
      </c>
      <c r="AJ36" s="16">
        <v>0</v>
      </c>
      <c r="AK36" s="16">
        <v>2</v>
      </c>
      <c r="AL36" s="16">
        <v>0</v>
      </c>
      <c r="AM36" s="16">
        <f t="shared" si="12"/>
        <v>828</v>
      </c>
      <c r="AN36" s="16">
        <v>828</v>
      </c>
      <c r="AO36" s="16">
        <f t="shared" si="13"/>
        <v>0</v>
      </c>
      <c r="AP36" s="16">
        <f t="shared" si="5"/>
        <v>0</v>
      </c>
      <c r="AQ36" s="16">
        <f t="shared" si="6"/>
        <v>0</v>
      </c>
      <c r="AR36" s="16">
        <f t="shared" si="14"/>
        <v>120</v>
      </c>
      <c r="AS36" s="16">
        <f t="shared" si="7"/>
        <v>0</v>
      </c>
      <c r="AT36" s="16">
        <f t="shared" si="15"/>
        <v>828</v>
      </c>
      <c r="AU36" s="16">
        <v>828</v>
      </c>
      <c r="AV36" s="16">
        <f t="shared" si="8"/>
        <v>0</v>
      </c>
    </row>
    <row r="37" spans="2:48" s="18" customFormat="1" ht="27" customHeight="1">
      <c r="B37" s="13" t="s">
        <v>66</v>
      </c>
      <c r="C37" s="14" t="s">
        <v>67</v>
      </c>
      <c r="D37" s="15">
        <v>207.06</v>
      </c>
      <c r="E37" s="15">
        <v>207.06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f t="shared" si="0"/>
        <v>0</v>
      </c>
      <c r="L37" s="17">
        <v>0</v>
      </c>
      <c r="M37" s="16">
        <f t="shared" si="1"/>
        <v>0</v>
      </c>
      <c r="N37" s="16">
        <v>0</v>
      </c>
      <c r="O37" s="16">
        <v>0</v>
      </c>
      <c r="P37" s="16">
        <v>0</v>
      </c>
      <c r="Q37" s="16">
        <v>0</v>
      </c>
      <c r="R37" s="16">
        <f t="shared" si="2"/>
        <v>0</v>
      </c>
      <c r="S37" s="16">
        <v>0</v>
      </c>
      <c r="T37" s="16">
        <f t="shared" si="3"/>
        <v>0</v>
      </c>
      <c r="U37" s="16">
        <v>0</v>
      </c>
      <c r="V37" s="16">
        <v>0</v>
      </c>
      <c r="W37" s="16">
        <v>0</v>
      </c>
      <c r="X37" s="16">
        <v>0</v>
      </c>
      <c r="Y37" s="16">
        <f t="shared" si="4"/>
        <v>0</v>
      </c>
      <c r="Z37" s="16">
        <v>0</v>
      </c>
      <c r="AA37" s="16">
        <f t="shared" si="9"/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f t="shared" si="10"/>
        <v>0</v>
      </c>
      <c r="AG37" s="16">
        <v>0</v>
      </c>
      <c r="AH37" s="16">
        <f t="shared" si="11"/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f t="shared" si="12"/>
        <v>0</v>
      </c>
      <c r="AN37" s="16">
        <v>0</v>
      </c>
      <c r="AO37" s="16">
        <f t="shared" si="13"/>
        <v>0</v>
      </c>
      <c r="AP37" s="16">
        <f t="shared" si="5"/>
        <v>0</v>
      </c>
      <c r="AQ37" s="16">
        <f t="shared" si="6"/>
        <v>0</v>
      </c>
      <c r="AR37" s="16">
        <f t="shared" si="14"/>
        <v>0</v>
      </c>
      <c r="AS37" s="16">
        <f t="shared" si="7"/>
        <v>0</v>
      </c>
      <c r="AT37" s="16">
        <f t="shared" si="15"/>
        <v>0</v>
      </c>
      <c r="AU37" s="16">
        <f t="shared" si="16"/>
        <v>0</v>
      </c>
      <c r="AV37" s="16">
        <f t="shared" si="8"/>
        <v>0</v>
      </c>
    </row>
    <row r="38" spans="2:48" s="18" customFormat="1" ht="27" customHeight="1">
      <c r="B38" s="13" t="s">
        <v>68</v>
      </c>
      <c r="C38" s="14" t="s">
        <v>69</v>
      </c>
      <c r="D38" s="15">
        <v>56.16</v>
      </c>
      <c r="E38" s="15">
        <v>56.16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f t="shared" si="0"/>
        <v>0</v>
      </c>
      <c r="L38" s="17">
        <v>0</v>
      </c>
      <c r="M38" s="16">
        <f t="shared" si="1"/>
        <v>0</v>
      </c>
      <c r="N38" s="16">
        <v>0</v>
      </c>
      <c r="O38" s="16">
        <v>0</v>
      </c>
      <c r="P38" s="16">
        <v>0</v>
      </c>
      <c r="Q38" s="16">
        <v>0</v>
      </c>
      <c r="R38" s="16">
        <f t="shared" si="2"/>
        <v>0</v>
      </c>
      <c r="S38" s="16">
        <v>0</v>
      </c>
      <c r="T38" s="16">
        <f t="shared" si="3"/>
        <v>0</v>
      </c>
      <c r="U38" s="16">
        <v>0</v>
      </c>
      <c r="V38" s="16">
        <v>0</v>
      </c>
      <c r="W38" s="16">
        <v>0</v>
      </c>
      <c r="X38" s="16">
        <v>0</v>
      </c>
      <c r="Y38" s="16">
        <f t="shared" si="4"/>
        <v>0</v>
      </c>
      <c r="Z38" s="16">
        <v>0</v>
      </c>
      <c r="AA38" s="16">
        <f t="shared" si="9"/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f t="shared" si="10"/>
        <v>0</v>
      </c>
      <c r="AG38" s="16">
        <v>0</v>
      </c>
      <c r="AH38" s="16">
        <f t="shared" si="11"/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f t="shared" si="12"/>
        <v>0</v>
      </c>
      <c r="AN38" s="16">
        <v>0</v>
      </c>
      <c r="AO38" s="16">
        <f t="shared" si="13"/>
        <v>0</v>
      </c>
      <c r="AP38" s="16">
        <f t="shared" si="5"/>
        <v>0</v>
      </c>
      <c r="AQ38" s="16">
        <f t="shared" si="6"/>
        <v>0</v>
      </c>
      <c r="AR38" s="16">
        <f t="shared" si="14"/>
        <v>0</v>
      </c>
      <c r="AS38" s="16">
        <f t="shared" si="7"/>
        <v>0</v>
      </c>
      <c r="AT38" s="16">
        <f t="shared" si="15"/>
        <v>0</v>
      </c>
      <c r="AU38" s="16">
        <f t="shared" si="16"/>
        <v>0</v>
      </c>
      <c r="AV38" s="16">
        <f t="shared" si="8"/>
        <v>0</v>
      </c>
    </row>
    <row r="39" spans="2:48" s="18" customFormat="1" ht="27" customHeight="1">
      <c r="B39" s="13" t="s">
        <v>70</v>
      </c>
      <c r="C39" s="14" t="s">
        <v>71</v>
      </c>
      <c r="D39" s="15">
        <v>100.09</v>
      </c>
      <c r="E39" s="15">
        <v>100.09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f t="shared" si="0"/>
        <v>0</v>
      </c>
      <c r="L39" s="17">
        <v>0</v>
      </c>
      <c r="M39" s="16">
        <f t="shared" si="1"/>
        <v>0</v>
      </c>
      <c r="N39" s="16">
        <v>0</v>
      </c>
      <c r="O39" s="16">
        <v>0</v>
      </c>
      <c r="P39" s="16">
        <v>0</v>
      </c>
      <c r="Q39" s="16">
        <v>0</v>
      </c>
      <c r="R39" s="16">
        <f t="shared" si="2"/>
        <v>0</v>
      </c>
      <c r="S39" s="16">
        <v>0</v>
      </c>
      <c r="T39" s="16">
        <f t="shared" si="3"/>
        <v>0</v>
      </c>
      <c r="U39" s="16">
        <v>0</v>
      </c>
      <c r="V39" s="16">
        <v>0</v>
      </c>
      <c r="W39" s="16">
        <v>0</v>
      </c>
      <c r="X39" s="16">
        <v>0</v>
      </c>
      <c r="Y39" s="16">
        <f t="shared" si="4"/>
        <v>0</v>
      </c>
      <c r="Z39" s="16">
        <v>0</v>
      </c>
      <c r="AA39" s="16">
        <f t="shared" si="9"/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f t="shared" si="10"/>
        <v>0</v>
      </c>
      <c r="AG39" s="16">
        <v>0</v>
      </c>
      <c r="AH39" s="16">
        <f t="shared" si="11"/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f t="shared" si="12"/>
        <v>0</v>
      </c>
      <c r="AN39" s="16">
        <v>0</v>
      </c>
      <c r="AO39" s="16">
        <f t="shared" si="13"/>
        <v>0</v>
      </c>
      <c r="AP39" s="16">
        <f t="shared" si="5"/>
        <v>0</v>
      </c>
      <c r="AQ39" s="16">
        <f t="shared" si="6"/>
        <v>0</v>
      </c>
      <c r="AR39" s="16">
        <f t="shared" si="14"/>
        <v>0</v>
      </c>
      <c r="AS39" s="16">
        <f t="shared" si="7"/>
        <v>0</v>
      </c>
      <c r="AT39" s="16">
        <f t="shared" si="15"/>
        <v>0</v>
      </c>
      <c r="AU39" s="16">
        <f t="shared" si="16"/>
        <v>0</v>
      </c>
      <c r="AV39" s="16">
        <f t="shared" si="8"/>
        <v>0</v>
      </c>
    </row>
    <row r="40" spans="2:48" s="18" customFormat="1" ht="27" customHeight="1">
      <c r="B40" s="13" t="s">
        <v>72</v>
      </c>
      <c r="C40" s="14" t="s">
        <v>73</v>
      </c>
      <c r="D40" s="15">
        <v>42.58</v>
      </c>
      <c r="E40" s="15">
        <v>42.58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f t="shared" si="0"/>
        <v>0</v>
      </c>
      <c r="L40" s="17">
        <v>0</v>
      </c>
      <c r="M40" s="16">
        <f t="shared" si="1"/>
        <v>0</v>
      </c>
      <c r="N40" s="16">
        <v>0</v>
      </c>
      <c r="O40" s="16">
        <v>0</v>
      </c>
      <c r="P40" s="16">
        <v>0</v>
      </c>
      <c r="Q40" s="16">
        <v>0</v>
      </c>
      <c r="R40" s="16">
        <f t="shared" si="2"/>
        <v>0</v>
      </c>
      <c r="S40" s="16">
        <v>0</v>
      </c>
      <c r="T40" s="16">
        <f t="shared" si="3"/>
        <v>0</v>
      </c>
      <c r="U40" s="16">
        <v>0</v>
      </c>
      <c r="V40" s="16">
        <v>0</v>
      </c>
      <c r="W40" s="16">
        <v>0</v>
      </c>
      <c r="X40" s="16">
        <v>0</v>
      </c>
      <c r="Y40" s="16">
        <f t="shared" si="4"/>
        <v>0</v>
      </c>
      <c r="Z40" s="16">
        <v>0</v>
      </c>
      <c r="AA40" s="16">
        <f t="shared" si="9"/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f t="shared" si="10"/>
        <v>0</v>
      </c>
      <c r="AG40" s="16">
        <v>0</v>
      </c>
      <c r="AH40" s="16">
        <f t="shared" si="11"/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f t="shared" si="12"/>
        <v>0</v>
      </c>
      <c r="AN40" s="16">
        <v>0</v>
      </c>
      <c r="AO40" s="16">
        <f t="shared" si="13"/>
        <v>0</v>
      </c>
      <c r="AP40" s="16">
        <f t="shared" si="5"/>
        <v>0</v>
      </c>
      <c r="AQ40" s="16">
        <f t="shared" si="6"/>
        <v>0</v>
      </c>
      <c r="AR40" s="16">
        <f t="shared" si="14"/>
        <v>0</v>
      </c>
      <c r="AS40" s="16">
        <f t="shared" si="7"/>
        <v>0</v>
      </c>
      <c r="AT40" s="16">
        <f t="shared" si="15"/>
        <v>0</v>
      </c>
      <c r="AU40" s="16">
        <f t="shared" si="16"/>
        <v>0</v>
      </c>
      <c r="AV40" s="16">
        <f t="shared" si="8"/>
        <v>0</v>
      </c>
    </row>
    <row r="41" spans="2:48" s="18" customFormat="1" ht="27" customHeight="1">
      <c r="B41" s="13" t="s">
        <v>74</v>
      </c>
      <c r="C41" s="14" t="s">
        <v>75</v>
      </c>
      <c r="D41" s="15">
        <v>54</v>
      </c>
      <c r="E41" s="15">
        <v>54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f t="shared" si="0"/>
        <v>0</v>
      </c>
      <c r="L41" s="17">
        <v>0</v>
      </c>
      <c r="M41" s="16">
        <f t="shared" si="1"/>
        <v>0</v>
      </c>
      <c r="N41" s="16">
        <v>0</v>
      </c>
      <c r="O41" s="16">
        <v>0</v>
      </c>
      <c r="P41" s="16">
        <v>0</v>
      </c>
      <c r="Q41" s="16">
        <v>0</v>
      </c>
      <c r="R41" s="16">
        <f t="shared" si="2"/>
        <v>0</v>
      </c>
      <c r="S41" s="16">
        <v>0</v>
      </c>
      <c r="T41" s="16">
        <f t="shared" si="3"/>
        <v>0</v>
      </c>
      <c r="U41" s="16">
        <v>0</v>
      </c>
      <c r="V41" s="16">
        <v>0</v>
      </c>
      <c r="W41" s="16">
        <v>0</v>
      </c>
      <c r="X41" s="16">
        <v>0</v>
      </c>
      <c r="Y41" s="16">
        <f t="shared" si="4"/>
        <v>0</v>
      </c>
      <c r="Z41" s="16">
        <v>0</v>
      </c>
      <c r="AA41" s="16">
        <f t="shared" si="9"/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f t="shared" si="10"/>
        <v>0</v>
      </c>
      <c r="AG41" s="16">
        <v>0</v>
      </c>
      <c r="AH41" s="16">
        <f t="shared" si="11"/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f t="shared" si="12"/>
        <v>0</v>
      </c>
      <c r="AN41" s="16">
        <v>0</v>
      </c>
      <c r="AO41" s="16">
        <f t="shared" si="13"/>
        <v>0</v>
      </c>
      <c r="AP41" s="16">
        <f t="shared" si="5"/>
        <v>0</v>
      </c>
      <c r="AQ41" s="16">
        <f t="shared" si="6"/>
        <v>0</v>
      </c>
      <c r="AR41" s="16">
        <f t="shared" si="14"/>
        <v>0</v>
      </c>
      <c r="AS41" s="16">
        <f t="shared" si="7"/>
        <v>0</v>
      </c>
      <c r="AT41" s="16">
        <f t="shared" si="15"/>
        <v>0</v>
      </c>
      <c r="AU41" s="16">
        <f t="shared" si="16"/>
        <v>0</v>
      </c>
      <c r="AV41" s="16">
        <f t="shared" si="8"/>
        <v>0</v>
      </c>
    </row>
    <row r="42" spans="2:48" s="18" customFormat="1" ht="27" customHeight="1">
      <c r="B42" s="13" t="s">
        <v>76</v>
      </c>
      <c r="C42" s="14" t="s">
        <v>77</v>
      </c>
      <c r="D42" s="15">
        <v>6.25</v>
      </c>
      <c r="E42" s="15">
        <v>6.25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f t="shared" si="0"/>
        <v>0</v>
      </c>
      <c r="L42" s="17">
        <v>0</v>
      </c>
      <c r="M42" s="16">
        <f t="shared" si="1"/>
        <v>0</v>
      </c>
      <c r="N42" s="16">
        <v>0</v>
      </c>
      <c r="O42" s="16">
        <v>0</v>
      </c>
      <c r="P42" s="16">
        <v>0</v>
      </c>
      <c r="Q42" s="16">
        <v>0</v>
      </c>
      <c r="R42" s="16">
        <f t="shared" si="2"/>
        <v>0</v>
      </c>
      <c r="S42" s="16">
        <v>0</v>
      </c>
      <c r="T42" s="16">
        <f t="shared" si="3"/>
        <v>0</v>
      </c>
      <c r="U42" s="16">
        <v>0</v>
      </c>
      <c r="V42" s="16">
        <v>0</v>
      </c>
      <c r="W42" s="16">
        <v>0</v>
      </c>
      <c r="X42" s="16">
        <v>0</v>
      </c>
      <c r="Y42" s="16">
        <f t="shared" si="4"/>
        <v>0</v>
      </c>
      <c r="Z42" s="16">
        <v>0</v>
      </c>
      <c r="AA42" s="16">
        <f t="shared" si="9"/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f t="shared" si="10"/>
        <v>0</v>
      </c>
      <c r="AG42" s="16">
        <v>0</v>
      </c>
      <c r="AH42" s="16">
        <f t="shared" si="11"/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f t="shared" si="12"/>
        <v>0</v>
      </c>
      <c r="AN42" s="16">
        <v>0</v>
      </c>
      <c r="AO42" s="16">
        <f t="shared" si="13"/>
        <v>0</v>
      </c>
      <c r="AP42" s="16">
        <f t="shared" si="5"/>
        <v>0</v>
      </c>
      <c r="AQ42" s="16">
        <f t="shared" si="6"/>
        <v>0</v>
      </c>
      <c r="AR42" s="16">
        <f t="shared" si="14"/>
        <v>0</v>
      </c>
      <c r="AS42" s="16">
        <f t="shared" si="7"/>
        <v>0</v>
      </c>
      <c r="AT42" s="16">
        <f t="shared" si="15"/>
        <v>0</v>
      </c>
      <c r="AU42" s="16">
        <f t="shared" si="16"/>
        <v>0</v>
      </c>
      <c r="AV42" s="16">
        <f t="shared" si="8"/>
        <v>0</v>
      </c>
    </row>
    <row r="43" spans="2:48" s="18" customFormat="1" ht="27" customHeight="1">
      <c r="B43" s="13" t="s">
        <v>78</v>
      </c>
      <c r="C43" s="14" t="s">
        <v>79</v>
      </c>
      <c r="D43" s="15">
        <v>27.87</v>
      </c>
      <c r="E43" s="15">
        <v>27.87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f t="shared" si="0"/>
        <v>0</v>
      </c>
      <c r="L43" s="17">
        <v>0</v>
      </c>
      <c r="M43" s="16">
        <f t="shared" si="1"/>
        <v>0</v>
      </c>
      <c r="N43" s="16">
        <v>0</v>
      </c>
      <c r="O43" s="16">
        <v>0</v>
      </c>
      <c r="P43" s="16">
        <v>0</v>
      </c>
      <c r="Q43" s="16">
        <v>0</v>
      </c>
      <c r="R43" s="16">
        <f t="shared" si="2"/>
        <v>0</v>
      </c>
      <c r="S43" s="16">
        <v>0</v>
      </c>
      <c r="T43" s="16">
        <f t="shared" si="3"/>
        <v>0</v>
      </c>
      <c r="U43" s="16">
        <v>0</v>
      </c>
      <c r="V43" s="16">
        <v>0</v>
      </c>
      <c r="W43" s="16">
        <v>0</v>
      </c>
      <c r="X43" s="16">
        <v>0</v>
      </c>
      <c r="Y43" s="16">
        <f t="shared" si="4"/>
        <v>0</v>
      </c>
      <c r="Z43" s="16">
        <v>0</v>
      </c>
      <c r="AA43" s="16">
        <f t="shared" si="9"/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f t="shared" si="10"/>
        <v>0</v>
      </c>
      <c r="AG43" s="16">
        <v>0</v>
      </c>
      <c r="AH43" s="16">
        <f t="shared" si="11"/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f t="shared" si="12"/>
        <v>0</v>
      </c>
      <c r="AN43" s="16">
        <v>0</v>
      </c>
      <c r="AO43" s="16">
        <f t="shared" si="13"/>
        <v>0</v>
      </c>
      <c r="AP43" s="16">
        <f t="shared" ref="AP43:AP74" si="17">G43+N43+U43+AB43</f>
        <v>0</v>
      </c>
      <c r="AQ43" s="16">
        <f t="shared" ref="AQ43:AQ74" si="18">H43+O43+V43+AC43</f>
        <v>0</v>
      </c>
      <c r="AR43" s="16">
        <f t="shared" si="14"/>
        <v>0</v>
      </c>
      <c r="AS43" s="16">
        <f t="shared" ref="AS43:AS74" si="19">J43+Q43+X43+AE43</f>
        <v>0</v>
      </c>
      <c r="AT43" s="16">
        <f t="shared" si="15"/>
        <v>0</v>
      </c>
      <c r="AU43" s="16">
        <f t="shared" si="16"/>
        <v>0</v>
      </c>
      <c r="AV43" s="16">
        <f t="shared" si="8"/>
        <v>0</v>
      </c>
    </row>
    <row r="44" spans="2:48" s="18" customFormat="1" ht="27" customHeight="1">
      <c r="B44" s="13" t="s">
        <v>80</v>
      </c>
      <c r="C44" s="14" t="s">
        <v>81</v>
      </c>
      <c r="D44" s="15">
        <v>50.4</v>
      </c>
      <c r="E44" s="15">
        <v>50.4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f t="shared" si="0"/>
        <v>0</v>
      </c>
      <c r="L44" s="17">
        <v>0</v>
      </c>
      <c r="M44" s="16">
        <f t="shared" si="1"/>
        <v>0</v>
      </c>
      <c r="N44" s="16">
        <v>0</v>
      </c>
      <c r="O44" s="16">
        <v>0</v>
      </c>
      <c r="P44" s="16">
        <v>0</v>
      </c>
      <c r="Q44" s="16">
        <v>0</v>
      </c>
      <c r="R44" s="16">
        <f t="shared" si="2"/>
        <v>0</v>
      </c>
      <c r="S44" s="16">
        <v>0</v>
      </c>
      <c r="T44" s="16">
        <f t="shared" si="3"/>
        <v>0</v>
      </c>
      <c r="U44" s="16">
        <v>0</v>
      </c>
      <c r="V44" s="16">
        <v>0</v>
      </c>
      <c r="W44" s="16">
        <v>0</v>
      </c>
      <c r="X44" s="16">
        <v>0</v>
      </c>
      <c r="Y44" s="16">
        <f t="shared" si="4"/>
        <v>0</v>
      </c>
      <c r="Z44" s="16">
        <v>0</v>
      </c>
      <c r="AA44" s="16">
        <f t="shared" si="9"/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f t="shared" si="10"/>
        <v>0</v>
      </c>
      <c r="AG44" s="16">
        <v>0</v>
      </c>
      <c r="AH44" s="16">
        <f t="shared" si="11"/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f t="shared" si="12"/>
        <v>0</v>
      </c>
      <c r="AN44" s="16">
        <v>0</v>
      </c>
      <c r="AO44" s="16">
        <f t="shared" si="13"/>
        <v>0</v>
      </c>
      <c r="AP44" s="16">
        <f t="shared" si="17"/>
        <v>0</v>
      </c>
      <c r="AQ44" s="16">
        <f t="shared" si="18"/>
        <v>0</v>
      </c>
      <c r="AR44" s="16">
        <f t="shared" si="14"/>
        <v>0</v>
      </c>
      <c r="AS44" s="16">
        <f t="shared" si="19"/>
        <v>0</v>
      </c>
      <c r="AT44" s="16">
        <f t="shared" si="15"/>
        <v>0</v>
      </c>
      <c r="AU44" s="16">
        <f t="shared" si="16"/>
        <v>0</v>
      </c>
      <c r="AV44" s="16">
        <f t="shared" si="8"/>
        <v>0</v>
      </c>
    </row>
    <row r="45" spans="2:48" s="18" customFormat="1" ht="27" customHeight="1">
      <c r="B45" s="13" t="s">
        <v>82</v>
      </c>
      <c r="C45" s="14" t="s">
        <v>83</v>
      </c>
      <c r="D45" s="15">
        <v>37</v>
      </c>
      <c r="E45" s="15">
        <v>37</v>
      </c>
      <c r="F45" s="16">
        <v>145</v>
      </c>
      <c r="G45" s="16">
        <v>0</v>
      </c>
      <c r="H45" s="16">
        <v>0</v>
      </c>
      <c r="I45" s="16">
        <v>8</v>
      </c>
      <c r="J45" s="16">
        <v>0</v>
      </c>
      <c r="K45" s="16">
        <f t="shared" si="0"/>
        <v>137</v>
      </c>
      <c r="L45" s="17">
        <v>137</v>
      </c>
      <c r="M45" s="16">
        <f t="shared" si="1"/>
        <v>0</v>
      </c>
      <c r="N45" s="16">
        <v>0</v>
      </c>
      <c r="O45" s="16">
        <v>0</v>
      </c>
      <c r="P45" s="16">
        <v>5</v>
      </c>
      <c r="Q45" s="16">
        <v>0</v>
      </c>
      <c r="R45" s="16">
        <f t="shared" si="2"/>
        <v>132</v>
      </c>
      <c r="S45" s="16">
        <v>132</v>
      </c>
      <c r="T45" s="16">
        <f t="shared" si="3"/>
        <v>0</v>
      </c>
      <c r="U45" s="16">
        <v>0</v>
      </c>
      <c r="V45" s="16">
        <v>0</v>
      </c>
      <c r="W45" s="16">
        <v>4</v>
      </c>
      <c r="X45" s="16">
        <v>0</v>
      </c>
      <c r="Y45" s="16">
        <f t="shared" si="4"/>
        <v>128</v>
      </c>
      <c r="Z45" s="16">
        <v>128</v>
      </c>
      <c r="AA45" s="16">
        <f t="shared" si="9"/>
        <v>0</v>
      </c>
      <c r="AB45" s="16">
        <v>0</v>
      </c>
      <c r="AC45" s="16">
        <v>0</v>
      </c>
      <c r="AD45" s="16">
        <v>2</v>
      </c>
      <c r="AE45" s="16">
        <v>0</v>
      </c>
      <c r="AF45" s="16">
        <f t="shared" si="10"/>
        <v>126</v>
      </c>
      <c r="AG45" s="16">
        <v>126</v>
      </c>
      <c r="AH45" s="16">
        <f t="shared" si="11"/>
        <v>0</v>
      </c>
      <c r="AI45" s="16">
        <v>0</v>
      </c>
      <c r="AJ45" s="16">
        <v>0</v>
      </c>
      <c r="AK45" s="16">
        <v>1</v>
      </c>
      <c r="AL45" s="16">
        <v>0</v>
      </c>
      <c r="AM45" s="16">
        <f t="shared" si="12"/>
        <v>125</v>
      </c>
      <c r="AN45" s="16">
        <v>125</v>
      </c>
      <c r="AO45" s="16">
        <f t="shared" si="13"/>
        <v>0</v>
      </c>
      <c r="AP45" s="16">
        <f t="shared" si="17"/>
        <v>0</v>
      </c>
      <c r="AQ45" s="16">
        <f t="shared" si="18"/>
        <v>0</v>
      </c>
      <c r="AR45" s="16">
        <f t="shared" si="14"/>
        <v>20</v>
      </c>
      <c r="AS45" s="16">
        <f t="shared" si="19"/>
        <v>0</v>
      </c>
      <c r="AT45" s="16">
        <f t="shared" si="15"/>
        <v>125</v>
      </c>
      <c r="AU45" s="16">
        <v>125</v>
      </c>
      <c r="AV45" s="16">
        <f t="shared" si="8"/>
        <v>0</v>
      </c>
    </row>
    <row r="46" spans="2:48" s="18" customFormat="1" ht="27" customHeight="1">
      <c r="B46" s="13" t="s">
        <v>84</v>
      </c>
      <c r="C46" s="14" t="s">
        <v>85</v>
      </c>
      <c r="D46" s="15">
        <v>31</v>
      </c>
      <c r="E46" s="15">
        <v>31</v>
      </c>
      <c r="F46" s="16">
        <v>505</v>
      </c>
      <c r="G46" s="16">
        <v>0</v>
      </c>
      <c r="H46" s="16">
        <v>0</v>
      </c>
      <c r="I46" s="16">
        <v>24</v>
      </c>
      <c r="J46" s="16">
        <v>0</v>
      </c>
      <c r="K46" s="16">
        <f t="shared" si="0"/>
        <v>481</v>
      </c>
      <c r="L46" s="17">
        <v>481</v>
      </c>
      <c r="M46" s="16">
        <f t="shared" si="1"/>
        <v>0</v>
      </c>
      <c r="N46" s="16">
        <v>0</v>
      </c>
      <c r="O46" s="16">
        <v>0</v>
      </c>
      <c r="P46" s="16">
        <v>11</v>
      </c>
      <c r="Q46" s="16">
        <v>0</v>
      </c>
      <c r="R46" s="16">
        <f t="shared" si="2"/>
        <v>470</v>
      </c>
      <c r="S46" s="16">
        <v>470</v>
      </c>
      <c r="T46" s="16">
        <f t="shared" si="3"/>
        <v>0</v>
      </c>
      <c r="U46" s="16">
        <v>0</v>
      </c>
      <c r="V46" s="16">
        <v>0</v>
      </c>
      <c r="W46" s="16">
        <v>13</v>
      </c>
      <c r="X46" s="16">
        <v>0</v>
      </c>
      <c r="Y46" s="16">
        <f t="shared" si="4"/>
        <v>457</v>
      </c>
      <c r="Z46" s="16">
        <v>457</v>
      </c>
      <c r="AA46" s="16">
        <f t="shared" si="9"/>
        <v>0</v>
      </c>
      <c r="AB46" s="16">
        <v>0</v>
      </c>
      <c r="AC46" s="16">
        <v>0</v>
      </c>
      <c r="AD46" s="16">
        <v>12</v>
      </c>
      <c r="AE46" s="16">
        <v>0</v>
      </c>
      <c r="AF46" s="16">
        <f t="shared" si="10"/>
        <v>445</v>
      </c>
      <c r="AG46" s="16">
        <v>445</v>
      </c>
      <c r="AH46" s="16">
        <f t="shared" si="11"/>
        <v>0</v>
      </c>
      <c r="AI46" s="16">
        <v>0</v>
      </c>
      <c r="AJ46" s="16">
        <v>0</v>
      </c>
      <c r="AK46" s="16">
        <v>4</v>
      </c>
      <c r="AL46" s="16">
        <v>0</v>
      </c>
      <c r="AM46" s="16">
        <f t="shared" si="12"/>
        <v>441</v>
      </c>
      <c r="AN46" s="16">
        <v>441</v>
      </c>
      <c r="AO46" s="16">
        <f t="shared" si="13"/>
        <v>0</v>
      </c>
      <c r="AP46" s="16">
        <f t="shared" si="17"/>
        <v>0</v>
      </c>
      <c r="AQ46" s="16">
        <f t="shared" si="18"/>
        <v>0</v>
      </c>
      <c r="AR46" s="16">
        <f t="shared" si="14"/>
        <v>64</v>
      </c>
      <c r="AS46" s="16">
        <f t="shared" si="19"/>
        <v>0</v>
      </c>
      <c r="AT46" s="16">
        <f t="shared" si="15"/>
        <v>441</v>
      </c>
      <c r="AU46" s="16">
        <v>441</v>
      </c>
      <c r="AV46" s="16">
        <f t="shared" si="8"/>
        <v>0</v>
      </c>
    </row>
    <row r="47" spans="2:48" s="18" customFormat="1" ht="27" customHeight="1">
      <c r="B47" s="13" t="s">
        <v>86</v>
      </c>
      <c r="C47" s="14" t="s">
        <v>87</v>
      </c>
      <c r="D47" s="15">
        <v>26.25</v>
      </c>
      <c r="E47" s="15">
        <v>26.25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f t="shared" si="0"/>
        <v>0</v>
      </c>
      <c r="L47" s="17">
        <v>0</v>
      </c>
      <c r="M47" s="16">
        <f t="shared" si="1"/>
        <v>0</v>
      </c>
      <c r="N47" s="16">
        <v>0</v>
      </c>
      <c r="O47" s="16">
        <v>0</v>
      </c>
      <c r="P47" s="16">
        <v>0</v>
      </c>
      <c r="Q47" s="16">
        <v>0</v>
      </c>
      <c r="R47" s="16">
        <f t="shared" si="2"/>
        <v>0</v>
      </c>
      <c r="S47" s="16">
        <v>0</v>
      </c>
      <c r="T47" s="16">
        <f t="shared" si="3"/>
        <v>0</v>
      </c>
      <c r="U47" s="16">
        <v>0</v>
      </c>
      <c r="V47" s="16">
        <v>0</v>
      </c>
      <c r="W47" s="16">
        <v>0</v>
      </c>
      <c r="X47" s="16">
        <v>0</v>
      </c>
      <c r="Y47" s="16">
        <f t="shared" si="4"/>
        <v>0</v>
      </c>
      <c r="Z47" s="16">
        <v>0</v>
      </c>
      <c r="AA47" s="16">
        <f t="shared" si="9"/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f t="shared" si="10"/>
        <v>0</v>
      </c>
      <c r="AG47" s="16">
        <v>0</v>
      </c>
      <c r="AH47" s="16">
        <f t="shared" si="11"/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f t="shared" si="12"/>
        <v>0</v>
      </c>
      <c r="AN47" s="16">
        <v>0</v>
      </c>
      <c r="AO47" s="16">
        <f t="shared" si="13"/>
        <v>0</v>
      </c>
      <c r="AP47" s="16">
        <f t="shared" si="17"/>
        <v>0</v>
      </c>
      <c r="AQ47" s="16">
        <f t="shared" si="18"/>
        <v>0</v>
      </c>
      <c r="AR47" s="16">
        <f t="shared" si="14"/>
        <v>0</v>
      </c>
      <c r="AS47" s="16">
        <f t="shared" si="19"/>
        <v>0</v>
      </c>
      <c r="AT47" s="16">
        <f t="shared" si="15"/>
        <v>0</v>
      </c>
      <c r="AU47" s="16">
        <f t="shared" si="16"/>
        <v>0</v>
      </c>
      <c r="AV47" s="16">
        <f t="shared" si="8"/>
        <v>0</v>
      </c>
    </row>
    <row r="48" spans="2:48" s="18" customFormat="1" ht="27" customHeight="1">
      <c r="B48" s="13" t="s">
        <v>88</v>
      </c>
      <c r="C48" s="14" t="s">
        <v>89</v>
      </c>
      <c r="D48" s="15">
        <v>42</v>
      </c>
      <c r="E48" s="15">
        <v>42</v>
      </c>
      <c r="F48" s="16">
        <v>270</v>
      </c>
      <c r="G48" s="16">
        <v>0</v>
      </c>
      <c r="H48" s="16">
        <v>0</v>
      </c>
      <c r="I48" s="16">
        <v>0</v>
      </c>
      <c r="J48" s="16">
        <v>0</v>
      </c>
      <c r="K48" s="16">
        <f t="shared" si="0"/>
        <v>270</v>
      </c>
      <c r="L48" s="17">
        <v>270</v>
      </c>
      <c r="M48" s="16">
        <f t="shared" si="1"/>
        <v>0</v>
      </c>
      <c r="N48" s="16">
        <v>0</v>
      </c>
      <c r="O48" s="16">
        <v>0</v>
      </c>
      <c r="P48" s="16">
        <v>1</v>
      </c>
      <c r="Q48" s="16">
        <v>0</v>
      </c>
      <c r="R48" s="16">
        <f t="shared" si="2"/>
        <v>269</v>
      </c>
      <c r="S48" s="16">
        <v>269</v>
      </c>
      <c r="T48" s="16">
        <f t="shared" si="3"/>
        <v>0</v>
      </c>
      <c r="U48" s="16">
        <v>0</v>
      </c>
      <c r="V48" s="16">
        <v>0</v>
      </c>
      <c r="W48" s="16">
        <v>3</v>
      </c>
      <c r="X48" s="16">
        <v>0</v>
      </c>
      <c r="Y48" s="16">
        <f t="shared" si="4"/>
        <v>266</v>
      </c>
      <c r="Z48" s="16">
        <v>266</v>
      </c>
      <c r="AA48" s="16">
        <f t="shared" si="9"/>
        <v>0</v>
      </c>
      <c r="AB48" s="16">
        <v>0</v>
      </c>
      <c r="AC48" s="16">
        <v>0</v>
      </c>
      <c r="AD48" s="16">
        <v>3</v>
      </c>
      <c r="AE48" s="16">
        <v>0</v>
      </c>
      <c r="AF48" s="16">
        <f t="shared" si="10"/>
        <v>263</v>
      </c>
      <c r="AG48" s="16">
        <v>263</v>
      </c>
      <c r="AH48" s="16">
        <f t="shared" si="11"/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f t="shared" si="12"/>
        <v>263</v>
      </c>
      <c r="AN48" s="16">
        <v>263</v>
      </c>
      <c r="AO48" s="16">
        <f t="shared" si="13"/>
        <v>0</v>
      </c>
      <c r="AP48" s="16">
        <f t="shared" si="17"/>
        <v>0</v>
      </c>
      <c r="AQ48" s="16">
        <f t="shared" si="18"/>
        <v>0</v>
      </c>
      <c r="AR48" s="16">
        <f t="shared" si="14"/>
        <v>7</v>
      </c>
      <c r="AS48" s="16">
        <f t="shared" si="19"/>
        <v>0</v>
      </c>
      <c r="AT48" s="16">
        <f t="shared" si="15"/>
        <v>263</v>
      </c>
      <c r="AU48" s="16">
        <v>263</v>
      </c>
      <c r="AV48" s="16">
        <f t="shared" si="8"/>
        <v>0</v>
      </c>
    </row>
    <row r="49" spans="2:48" s="18" customFormat="1" ht="27" customHeight="1">
      <c r="B49" s="13" t="s">
        <v>90</v>
      </c>
      <c r="C49" s="14" t="s">
        <v>91</v>
      </c>
      <c r="D49" s="15">
        <v>24</v>
      </c>
      <c r="E49" s="15">
        <v>24</v>
      </c>
      <c r="F49" s="16">
        <v>1547</v>
      </c>
      <c r="G49" s="16">
        <v>0</v>
      </c>
      <c r="H49" s="16">
        <v>0</v>
      </c>
      <c r="I49" s="16">
        <v>6</v>
      </c>
      <c r="J49" s="16">
        <v>0</v>
      </c>
      <c r="K49" s="16">
        <f t="shared" si="0"/>
        <v>1541</v>
      </c>
      <c r="L49" s="17">
        <v>1541</v>
      </c>
      <c r="M49" s="16">
        <f t="shared" si="1"/>
        <v>0</v>
      </c>
      <c r="N49" s="16">
        <v>0</v>
      </c>
      <c r="O49" s="16">
        <v>0</v>
      </c>
      <c r="P49" s="16">
        <v>4</v>
      </c>
      <c r="Q49" s="16">
        <v>0</v>
      </c>
      <c r="R49" s="16">
        <f t="shared" si="2"/>
        <v>1537</v>
      </c>
      <c r="S49" s="16">
        <v>1537</v>
      </c>
      <c r="T49" s="16">
        <f t="shared" si="3"/>
        <v>0</v>
      </c>
      <c r="U49" s="16">
        <v>0</v>
      </c>
      <c r="V49" s="16">
        <v>0</v>
      </c>
      <c r="W49" s="16">
        <v>5</v>
      </c>
      <c r="X49" s="16">
        <v>0</v>
      </c>
      <c r="Y49" s="16">
        <f t="shared" si="4"/>
        <v>1532</v>
      </c>
      <c r="Z49" s="16">
        <v>1532</v>
      </c>
      <c r="AA49" s="16">
        <f t="shared" si="9"/>
        <v>0</v>
      </c>
      <c r="AB49" s="16">
        <v>0</v>
      </c>
      <c r="AC49" s="16">
        <v>0</v>
      </c>
      <c r="AD49" s="16">
        <v>7</v>
      </c>
      <c r="AE49" s="16">
        <v>0</v>
      </c>
      <c r="AF49" s="16">
        <f t="shared" si="10"/>
        <v>1525</v>
      </c>
      <c r="AG49" s="16">
        <v>1525</v>
      </c>
      <c r="AH49" s="16">
        <f t="shared" si="11"/>
        <v>0</v>
      </c>
      <c r="AI49" s="16">
        <v>0</v>
      </c>
      <c r="AJ49" s="16">
        <v>0</v>
      </c>
      <c r="AK49" s="16">
        <v>2</v>
      </c>
      <c r="AL49" s="16">
        <v>0</v>
      </c>
      <c r="AM49" s="16">
        <f t="shared" si="12"/>
        <v>1523</v>
      </c>
      <c r="AN49" s="16">
        <v>1523</v>
      </c>
      <c r="AO49" s="16">
        <f t="shared" si="13"/>
        <v>0</v>
      </c>
      <c r="AP49" s="16">
        <f t="shared" si="17"/>
        <v>0</v>
      </c>
      <c r="AQ49" s="16">
        <f t="shared" si="18"/>
        <v>0</v>
      </c>
      <c r="AR49" s="16">
        <f t="shared" si="14"/>
        <v>24</v>
      </c>
      <c r="AS49" s="16">
        <f t="shared" si="19"/>
        <v>0</v>
      </c>
      <c r="AT49" s="16">
        <f t="shared" si="15"/>
        <v>1523</v>
      </c>
      <c r="AU49" s="16">
        <v>1523</v>
      </c>
      <c r="AV49" s="16">
        <f t="shared" si="8"/>
        <v>0</v>
      </c>
    </row>
    <row r="50" spans="2:48" s="18" customFormat="1" ht="27" customHeight="1">
      <c r="B50" s="13" t="s">
        <v>92</v>
      </c>
      <c r="C50" s="14" t="s">
        <v>93</v>
      </c>
      <c r="D50" s="15">
        <v>28</v>
      </c>
      <c r="E50" s="15">
        <v>28</v>
      </c>
      <c r="F50" s="16">
        <v>129</v>
      </c>
      <c r="G50" s="16">
        <v>0</v>
      </c>
      <c r="H50" s="16">
        <v>0</v>
      </c>
      <c r="I50" s="16">
        <v>53</v>
      </c>
      <c r="J50" s="16">
        <v>0</v>
      </c>
      <c r="K50" s="16">
        <f t="shared" si="0"/>
        <v>76</v>
      </c>
      <c r="L50" s="17">
        <v>76</v>
      </c>
      <c r="M50" s="16">
        <f t="shared" si="1"/>
        <v>0</v>
      </c>
      <c r="N50" s="16">
        <v>0</v>
      </c>
      <c r="O50" s="16">
        <v>0</v>
      </c>
      <c r="P50" s="16">
        <v>18</v>
      </c>
      <c r="Q50" s="16">
        <v>0</v>
      </c>
      <c r="R50" s="16">
        <f t="shared" si="2"/>
        <v>58</v>
      </c>
      <c r="S50" s="16">
        <v>58</v>
      </c>
      <c r="T50" s="16">
        <f t="shared" si="3"/>
        <v>0</v>
      </c>
      <c r="U50" s="16">
        <v>0</v>
      </c>
      <c r="V50" s="16">
        <v>0</v>
      </c>
      <c r="W50" s="16">
        <v>26</v>
      </c>
      <c r="X50" s="16">
        <v>0</v>
      </c>
      <c r="Y50" s="16">
        <f t="shared" si="4"/>
        <v>32</v>
      </c>
      <c r="Z50" s="16">
        <v>32</v>
      </c>
      <c r="AA50" s="16">
        <f t="shared" si="9"/>
        <v>0</v>
      </c>
      <c r="AB50" s="16">
        <v>0</v>
      </c>
      <c r="AC50" s="16">
        <v>0</v>
      </c>
      <c r="AD50" s="16">
        <v>9</v>
      </c>
      <c r="AE50" s="16">
        <v>0</v>
      </c>
      <c r="AF50" s="16">
        <f t="shared" si="10"/>
        <v>23</v>
      </c>
      <c r="AG50" s="16">
        <v>23</v>
      </c>
      <c r="AH50" s="16">
        <f t="shared" si="11"/>
        <v>0</v>
      </c>
      <c r="AI50" s="16">
        <v>0</v>
      </c>
      <c r="AJ50" s="16">
        <v>0</v>
      </c>
      <c r="AK50" s="16">
        <v>3</v>
      </c>
      <c r="AL50" s="16">
        <v>0</v>
      </c>
      <c r="AM50" s="16">
        <f t="shared" si="12"/>
        <v>20</v>
      </c>
      <c r="AN50" s="16">
        <v>20</v>
      </c>
      <c r="AO50" s="16">
        <f t="shared" si="13"/>
        <v>0</v>
      </c>
      <c r="AP50" s="16">
        <f t="shared" si="17"/>
        <v>0</v>
      </c>
      <c r="AQ50" s="16">
        <f t="shared" si="18"/>
        <v>0</v>
      </c>
      <c r="AR50" s="16">
        <f t="shared" si="14"/>
        <v>109</v>
      </c>
      <c r="AS50" s="16">
        <f t="shared" si="19"/>
        <v>0</v>
      </c>
      <c r="AT50" s="16">
        <f t="shared" si="15"/>
        <v>20</v>
      </c>
      <c r="AU50" s="16">
        <v>20</v>
      </c>
      <c r="AV50" s="16">
        <f t="shared" si="8"/>
        <v>0</v>
      </c>
    </row>
    <row r="51" spans="2:48" s="18" customFormat="1" ht="27" customHeight="1">
      <c r="B51" s="13" t="s">
        <v>94</v>
      </c>
      <c r="C51" s="14" t="s">
        <v>95</v>
      </c>
      <c r="D51" s="15">
        <v>67</v>
      </c>
      <c r="E51" s="15">
        <v>67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f t="shared" si="0"/>
        <v>0</v>
      </c>
      <c r="L51" s="17">
        <v>0</v>
      </c>
      <c r="M51" s="16">
        <f t="shared" si="1"/>
        <v>0</v>
      </c>
      <c r="N51" s="16">
        <v>0</v>
      </c>
      <c r="O51" s="16">
        <v>0</v>
      </c>
      <c r="P51" s="16">
        <v>0</v>
      </c>
      <c r="Q51" s="16">
        <v>0</v>
      </c>
      <c r="R51" s="16">
        <f t="shared" si="2"/>
        <v>0</v>
      </c>
      <c r="S51" s="16">
        <v>0</v>
      </c>
      <c r="T51" s="16">
        <f t="shared" si="3"/>
        <v>0</v>
      </c>
      <c r="U51" s="16">
        <v>0</v>
      </c>
      <c r="V51" s="16">
        <v>0</v>
      </c>
      <c r="W51" s="16">
        <v>0</v>
      </c>
      <c r="X51" s="16">
        <v>0</v>
      </c>
      <c r="Y51" s="16">
        <f t="shared" si="4"/>
        <v>0</v>
      </c>
      <c r="Z51" s="16">
        <v>0</v>
      </c>
      <c r="AA51" s="16">
        <f t="shared" si="9"/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f t="shared" si="10"/>
        <v>0</v>
      </c>
      <c r="AG51" s="16">
        <v>0</v>
      </c>
      <c r="AH51" s="16">
        <f t="shared" si="11"/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f t="shared" si="12"/>
        <v>0</v>
      </c>
      <c r="AN51" s="16">
        <v>0</v>
      </c>
      <c r="AO51" s="16">
        <f t="shared" si="13"/>
        <v>0</v>
      </c>
      <c r="AP51" s="16">
        <f t="shared" si="17"/>
        <v>0</v>
      </c>
      <c r="AQ51" s="16">
        <f t="shared" si="18"/>
        <v>0</v>
      </c>
      <c r="AR51" s="16">
        <f t="shared" si="14"/>
        <v>0</v>
      </c>
      <c r="AS51" s="16">
        <f t="shared" si="19"/>
        <v>0</v>
      </c>
      <c r="AT51" s="16">
        <f t="shared" si="15"/>
        <v>0</v>
      </c>
      <c r="AU51" s="16">
        <f t="shared" si="16"/>
        <v>0</v>
      </c>
      <c r="AV51" s="16">
        <f t="shared" si="8"/>
        <v>0</v>
      </c>
    </row>
    <row r="52" spans="2:48" s="18" customFormat="1" ht="27" customHeight="1">
      <c r="B52" s="13" t="s">
        <v>96</v>
      </c>
      <c r="C52" s="14" t="s">
        <v>97</v>
      </c>
      <c r="D52" s="15">
        <v>25</v>
      </c>
      <c r="E52" s="15">
        <v>25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f t="shared" si="0"/>
        <v>0</v>
      </c>
      <c r="L52" s="17">
        <v>0</v>
      </c>
      <c r="M52" s="16">
        <f t="shared" si="1"/>
        <v>0</v>
      </c>
      <c r="N52" s="16">
        <v>0</v>
      </c>
      <c r="O52" s="16">
        <v>0</v>
      </c>
      <c r="P52" s="16">
        <v>0</v>
      </c>
      <c r="Q52" s="16">
        <v>0</v>
      </c>
      <c r="R52" s="16">
        <f t="shared" si="2"/>
        <v>0</v>
      </c>
      <c r="S52" s="16">
        <v>0</v>
      </c>
      <c r="T52" s="16">
        <f t="shared" si="3"/>
        <v>0</v>
      </c>
      <c r="U52" s="16">
        <v>0</v>
      </c>
      <c r="V52" s="16">
        <v>0</v>
      </c>
      <c r="W52" s="16">
        <v>0</v>
      </c>
      <c r="X52" s="16">
        <v>0</v>
      </c>
      <c r="Y52" s="16">
        <f t="shared" si="4"/>
        <v>0</v>
      </c>
      <c r="Z52" s="16">
        <v>0</v>
      </c>
      <c r="AA52" s="16">
        <f t="shared" si="9"/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f t="shared" si="10"/>
        <v>0</v>
      </c>
      <c r="AG52" s="16">
        <v>0</v>
      </c>
      <c r="AH52" s="16">
        <f t="shared" si="11"/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f t="shared" si="12"/>
        <v>0</v>
      </c>
      <c r="AN52" s="16">
        <v>0</v>
      </c>
      <c r="AO52" s="16">
        <f t="shared" si="13"/>
        <v>0</v>
      </c>
      <c r="AP52" s="16">
        <f t="shared" si="17"/>
        <v>0</v>
      </c>
      <c r="AQ52" s="16">
        <f t="shared" si="18"/>
        <v>0</v>
      </c>
      <c r="AR52" s="16">
        <f t="shared" si="14"/>
        <v>0</v>
      </c>
      <c r="AS52" s="16">
        <f t="shared" si="19"/>
        <v>0</v>
      </c>
      <c r="AT52" s="16">
        <f t="shared" si="15"/>
        <v>0</v>
      </c>
      <c r="AU52" s="16">
        <f t="shared" si="16"/>
        <v>0</v>
      </c>
      <c r="AV52" s="16">
        <f t="shared" si="8"/>
        <v>0</v>
      </c>
    </row>
    <row r="53" spans="2:48" s="18" customFormat="1" ht="27" customHeight="1">
      <c r="B53" s="13" t="s">
        <v>98</v>
      </c>
      <c r="C53" s="14" t="s">
        <v>99</v>
      </c>
      <c r="D53" s="15">
        <v>20.71</v>
      </c>
      <c r="E53" s="15">
        <v>20.71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f t="shared" si="0"/>
        <v>0</v>
      </c>
      <c r="L53" s="17">
        <v>0</v>
      </c>
      <c r="M53" s="16">
        <f t="shared" si="1"/>
        <v>0</v>
      </c>
      <c r="N53" s="16">
        <v>0</v>
      </c>
      <c r="O53" s="16">
        <v>0</v>
      </c>
      <c r="P53" s="16">
        <v>0</v>
      </c>
      <c r="Q53" s="16">
        <v>0</v>
      </c>
      <c r="R53" s="16">
        <f t="shared" si="2"/>
        <v>0</v>
      </c>
      <c r="S53" s="16">
        <v>0</v>
      </c>
      <c r="T53" s="16">
        <f t="shared" si="3"/>
        <v>0</v>
      </c>
      <c r="U53" s="16">
        <v>0</v>
      </c>
      <c r="V53" s="16">
        <v>0</v>
      </c>
      <c r="W53" s="16">
        <v>0</v>
      </c>
      <c r="X53" s="16">
        <v>0</v>
      </c>
      <c r="Y53" s="16">
        <f t="shared" si="4"/>
        <v>0</v>
      </c>
      <c r="Z53" s="16">
        <v>0</v>
      </c>
      <c r="AA53" s="16">
        <f t="shared" si="9"/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f t="shared" si="10"/>
        <v>0</v>
      </c>
      <c r="AG53" s="16">
        <v>0</v>
      </c>
      <c r="AH53" s="16">
        <f t="shared" si="11"/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f t="shared" si="12"/>
        <v>0</v>
      </c>
      <c r="AN53" s="16">
        <v>0</v>
      </c>
      <c r="AO53" s="16">
        <f t="shared" si="13"/>
        <v>0</v>
      </c>
      <c r="AP53" s="16">
        <f t="shared" si="17"/>
        <v>0</v>
      </c>
      <c r="AQ53" s="16">
        <f t="shared" si="18"/>
        <v>0</v>
      </c>
      <c r="AR53" s="16">
        <f t="shared" si="14"/>
        <v>0</v>
      </c>
      <c r="AS53" s="16">
        <f t="shared" si="19"/>
        <v>0</v>
      </c>
      <c r="AT53" s="16">
        <f t="shared" si="15"/>
        <v>0</v>
      </c>
      <c r="AU53" s="16">
        <f t="shared" si="16"/>
        <v>0</v>
      </c>
      <c r="AV53" s="16">
        <f t="shared" si="8"/>
        <v>0</v>
      </c>
    </row>
    <row r="54" spans="2:48" s="18" customFormat="1" ht="27" customHeight="1">
      <c r="B54" s="13" t="s">
        <v>100</v>
      </c>
      <c r="C54" s="14" t="s">
        <v>101</v>
      </c>
      <c r="D54" s="15">
        <v>31</v>
      </c>
      <c r="E54" s="15">
        <v>31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f t="shared" si="0"/>
        <v>0</v>
      </c>
      <c r="L54" s="17">
        <v>0</v>
      </c>
      <c r="M54" s="16">
        <f t="shared" si="1"/>
        <v>0</v>
      </c>
      <c r="N54" s="16">
        <v>0</v>
      </c>
      <c r="O54" s="16">
        <v>0</v>
      </c>
      <c r="P54" s="16">
        <v>0</v>
      </c>
      <c r="Q54" s="16">
        <v>0</v>
      </c>
      <c r="R54" s="16">
        <f t="shared" si="2"/>
        <v>0</v>
      </c>
      <c r="S54" s="16">
        <v>0</v>
      </c>
      <c r="T54" s="16">
        <f t="shared" si="3"/>
        <v>0</v>
      </c>
      <c r="U54" s="16">
        <v>0</v>
      </c>
      <c r="V54" s="16">
        <v>0</v>
      </c>
      <c r="W54" s="16">
        <v>0</v>
      </c>
      <c r="X54" s="16">
        <v>0</v>
      </c>
      <c r="Y54" s="16">
        <f t="shared" si="4"/>
        <v>0</v>
      </c>
      <c r="Z54" s="16">
        <v>0</v>
      </c>
      <c r="AA54" s="16">
        <f t="shared" si="9"/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f t="shared" si="10"/>
        <v>0</v>
      </c>
      <c r="AG54" s="16">
        <v>0</v>
      </c>
      <c r="AH54" s="16">
        <f t="shared" si="11"/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f t="shared" si="12"/>
        <v>0</v>
      </c>
      <c r="AN54" s="16">
        <v>0</v>
      </c>
      <c r="AO54" s="16">
        <f t="shared" si="13"/>
        <v>0</v>
      </c>
      <c r="AP54" s="16">
        <f t="shared" si="17"/>
        <v>0</v>
      </c>
      <c r="AQ54" s="16">
        <f t="shared" si="18"/>
        <v>0</v>
      </c>
      <c r="AR54" s="16">
        <f t="shared" si="14"/>
        <v>0</v>
      </c>
      <c r="AS54" s="16">
        <f t="shared" si="19"/>
        <v>0</v>
      </c>
      <c r="AT54" s="16">
        <f t="shared" si="15"/>
        <v>0</v>
      </c>
      <c r="AU54" s="16">
        <f t="shared" si="16"/>
        <v>0</v>
      </c>
      <c r="AV54" s="16">
        <f t="shared" si="8"/>
        <v>0</v>
      </c>
    </row>
    <row r="55" spans="2:48" s="18" customFormat="1" ht="27" customHeight="1">
      <c r="B55" s="13" t="s">
        <v>102</v>
      </c>
      <c r="C55" s="14" t="s">
        <v>103</v>
      </c>
      <c r="D55" s="15">
        <v>133.92000000000002</v>
      </c>
      <c r="E55" s="15">
        <v>133.92000000000002</v>
      </c>
      <c r="F55" s="16">
        <v>41</v>
      </c>
      <c r="G55" s="16">
        <v>0</v>
      </c>
      <c r="H55" s="16">
        <v>0</v>
      </c>
      <c r="I55" s="16">
        <v>0</v>
      </c>
      <c r="J55" s="16">
        <v>0</v>
      </c>
      <c r="K55" s="16">
        <f t="shared" si="0"/>
        <v>41</v>
      </c>
      <c r="L55" s="17">
        <v>41</v>
      </c>
      <c r="M55" s="16">
        <f t="shared" si="1"/>
        <v>0</v>
      </c>
      <c r="N55" s="16">
        <v>0</v>
      </c>
      <c r="O55" s="16">
        <v>0</v>
      </c>
      <c r="P55" s="16">
        <v>1</v>
      </c>
      <c r="Q55" s="16">
        <v>0</v>
      </c>
      <c r="R55" s="16">
        <f t="shared" si="2"/>
        <v>40</v>
      </c>
      <c r="S55" s="16">
        <v>40</v>
      </c>
      <c r="T55" s="16">
        <f t="shared" si="3"/>
        <v>0</v>
      </c>
      <c r="U55" s="16">
        <v>0</v>
      </c>
      <c r="V55" s="16">
        <v>0</v>
      </c>
      <c r="W55" s="16">
        <v>1</v>
      </c>
      <c r="X55" s="16">
        <v>0</v>
      </c>
      <c r="Y55" s="16">
        <f t="shared" si="4"/>
        <v>39</v>
      </c>
      <c r="Z55" s="16">
        <v>39</v>
      </c>
      <c r="AA55" s="16">
        <f t="shared" si="9"/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f t="shared" si="10"/>
        <v>39</v>
      </c>
      <c r="AG55" s="16">
        <v>39</v>
      </c>
      <c r="AH55" s="16">
        <f t="shared" si="11"/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f t="shared" si="12"/>
        <v>39</v>
      </c>
      <c r="AN55" s="16">
        <v>39</v>
      </c>
      <c r="AO55" s="16">
        <f t="shared" si="13"/>
        <v>0</v>
      </c>
      <c r="AP55" s="16">
        <f t="shared" si="17"/>
        <v>0</v>
      </c>
      <c r="AQ55" s="16">
        <f t="shared" si="18"/>
        <v>0</v>
      </c>
      <c r="AR55" s="16">
        <f t="shared" si="14"/>
        <v>2</v>
      </c>
      <c r="AS55" s="16">
        <f t="shared" si="19"/>
        <v>0</v>
      </c>
      <c r="AT55" s="16">
        <f t="shared" si="15"/>
        <v>39</v>
      </c>
      <c r="AU55" s="16">
        <f t="shared" si="16"/>
        <v>39</v>
      </c>
      <c r="AV55" s="16">
        <f t="shared" si="8"/>
        <v>0</v>
      </c>
    </row>
    <row r="56" spans="2:48" s="18" customFormat="1" ht="27" customHeight="1">
      <c r="B56" s="13" t="s">
        <v>104</v>
      </c>
      <c r="C56" s="14" t="s">
        <v>105</v>
      </c>
      <c r="D56" s="15">
        <v>260</v>
      </c>
      <c r="E56" s="15">
        <v>260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f t="shared" si="0"/>
        <v>0</v>
      </c>
      <c r="L56" s="17">
        <v>0</v>
      </c>
      <c r="M56" s="16">
        <f t="shared" si="1"/>
        <v>0</v>
      </c>
      <c r="N56" s="16">
        <v>0</v>
      </c>
      <c r="O56" s="16">
        <v>0</v>
      </c>
      <c r="P56" s="16">
        <v>0</v>
      </c>
      <c r="Q56" s="16">
        <v>0</v>
      </c>
      <c r="R56" s="16">
        <f t="shared" si="2"/>
        <v>0</v>
      </c>
      <c r="S56" s="16">
        <v>0</v>
      </c>
      <c r="T56" s="16">
        <f t="shared" si="3"/>
        <v>0</v>
      </c>
      <c r="U56" s="16">
        <v>0</v>
      </c>
      <c r="V56" s="16">
        <v>0</v>
      </c>
      <c r="W56" s="16">
        <v>0</v>
      </c>
      <c r="X56" s="16">
        <v>0</v>
      </c>
      <c r="Y56" s="16">
        <f t="shared" si="4"/>
        <v>0</v>
      </c>
      <c r="Z56" s="16">
        <v>0</v>
      </c>
      <c r="AA56" s="16">
        <f t="shared" si="9"/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f t="shared" si="10"/>
        <v>0</v>
      </c>
      <c r="AG56" s="16">
        <v>0</v>
      </c>
      <c r="AH56" s="16">
        <f t="shared" si="11"/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f t="shared" si="12"/>
        <v>0</v>
      </c>
      <c r="AN56" s="16">
        <v>0</v>
      </c>
      <c r="AO56" s="16">
        <f t="shared" si="13"/>
        <v>0</v>
      </c>
      <c r="AP56" s="16">
        <f t="shared" si="17"/>
        <v>0</v>
      </c>
      <c r="AQ56" s="16">
        <f t="shared" si="18"/>
        <v>0</v>
      </c>
      <c r="AR56" s="16">
        <f t="shared" si="14"/>
        <v>0</v>
      </c>
      <c r="AS56" s="16">
        <f t="shared" si="19"/>
        <v>0</v>
      </c>
      <c r="AT56" s="16">
        <f t="shared" si="15"/>
        <v>0</v>
      </c>
      <c r="AU56" s="16">
        <f t="shared" si="16"/>
        <v>0</v>
      </c>
      <c r="AV56" s="16">
        <f t="shared" si="8"/>
        <v>0</v>
      </c>
    </row>
    <row r="57" spans="2:48" s="18" customFormat="1" ht="27" customHeight="1">
      <c r="B57" s="13" t="s">
        <v>106</v>
      </c>
      <c r="C57" s="14" t="s">
        <v>107</v>
      </c>
      <c r="D57" s="15">
        <v>140.54</v>
      </c>
      <c r="E57" s="15">
        <v>140.54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f t="shared" si="0"/>
        <v>0</v>
      </c>
      <c r="L57" s="17">
        <v>0</v>
      </c>
      <c r="M57" s="16">
        <f t="shared" si="1"/>
        <v>0</v>
      </c>
      <c r="N57" s="16">
        <v>0</v>
      </c>
      <c r="O57" s="16">
        <v>0</v>
      </c>
      <c r="P57" s="16">
        <v>0</v>
      </c>
      <c r="Q57" s="16">
        <v>0</v>
      </c>
      <c r="R57" s="16">
        <f t="shared" si="2"/>
        <v>0</v>
      </c>
      <c r="S57" s="16">
        <v>0</v>
      </c>
      <c r="T57" s="16">
        <f t="shared" si="3"/>
        <v>0</v>
      </c>
      <c r="U57" s="16">
        <v>0</v>
      </c>
      <c r="V57" s="16">
        <v>0</v>
      </c>
      <c r="W57" s="16">
        <v>0</v>
      </c>
      <c r="X57" s="16">
        <v>0</v>
      </c>
      <c r="Y57" s="16">
        <f t="shared" si="4"/>
        <v>0</v>
      </c>
      <c r="Z57" s="16">
        <v>0</v>
      </c>
      <c r="AA57" s="16">
        <f t="shared" si="9"/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f t="shared" si="10"/>
        <v>0</v>
      </c>
      <c r="AG57" s="16">
        <v>0</v>
      </c>
      <c r="AH57" s="16">
        <f t="shared" si="11"/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f t="shared" si="12"/>
        <v>0</v>
      </c>
      <c r="AN57" s="16">
        <v>0</v>
      </c>
      <c r="AO57" s="16">
        <f t="shared" si="13"/>
        <v>0</v>
      </c>
      <c r="AP57" s="16">
        <f t="shared" si="17"/>
        <v>0</v>
      </c>
      <c r="AQ57" s="16">
        <f t="shared" si="18"/>
        <v>0</v>
      </c>
      <c r="AR57" s="16">
        <f t="shared" si="14"/>
        <v>0</v>
      </c>
      <c r="AS57" s="16">
        <f t="shared" si="19"/>
        <v>0</v>
      </c>
      <c r="AT57" s="16">
        <f t="shared" si="15"/>
        <v>0</v>
      </c>
      <c r="AU57" s="16">
        <f t="shared" si="16"/>
        <v>0</v>
      </c>
      <c r="AV57" s="16">
        <f t="shared" si="8"/>
        <v>0</v>
      </c>
    </row>
    <row r="58" spans="2:48" s="18" customFormat="1" ht="27" customHeight="1">
      <c r="B58" s="13" t="s">
        <v>108</v>
      </c>
      <c r="C58" s="14" t="s">
        <v>109</v>
      </c>
      <c r="D58" s="15">
        <v>68.87</v>
      </c>
      <c r="E58" s="15">
        <v>68.87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f t="shared" si="0"/>
        <v>0</v>
      </c>
      <c r="L58" s="17">
        <v>0</v>
      </c>
      <c r="M58" s="16">
        <f t="shared" si="1"/>
        <v>0</v>
      </c>
      <c r="N58" s="16">
        <v>0</v>
      </c>
      <c r="O58" s="16">
        <v>0</v>
      </c>
      <c r="P58" s="16">
        <v>0</v>
      </c>
      <c r="Q58" s="16">
        <v>0</v>
      </c>
      <c r="R58" s="16">
        <f t="shared" si="2"/>
        <v>0</v>
      </c>
      <c r="S58" s="16">
        <v>0</v>
      </c>
      <c r="T58" s="16">
        <f t="shared" si="3"/>
        <v>0</v>
      </c>
      <c r="U58" s="16">
        <v>0</v>
      </c>
      <c r="V58" s="16">
        <v>0</v>
      </c>
      <c r="W58" s="16">
        <v>0</v>
      </c>
      <c r="X58" s="16">
        <v>0</v>
      </c>
      <c r="Y58" s="16">
        <f t="shared" si="4"/>
        <v>0</v>
      </c>
      <c r="Z58" s="16">
        <v>0</v>
      </c>
      <c r="AA58" s="16">
        <f t="shared" si="9"/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f t="shared" si="10"/>
        <v>0</v>
      </c>
      <c r="AG58" s="16">
        <v>0</v>
      </c>
      <c r="AH58" s="16">
        <f t="shared" si="11"/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f t="shared" si="12"/>
        <v>0</v>
      </c>
      <c r="AN58" s="16">
        <v>0</v>
      </c>
      <c r="AO58" s="16">
        <f t="shared" si="13"/>
        <v>0</v>
      </c>
      <c r="AP58" s="16">
        <f t="shared" si="17"/>
        <v>0</v>
      </c>
      <c r="AQ58" s="16">
        <f t="shared" si="18"/>
        <v>0</v>
      </c>
      <c r="AR58" s="16">
        <f t="shared" si="14"/>
        <v>0</v>
      </c>
      <c r="AS58" s="16">
        <f t="shared" si="19"/>
        <v>0</v>
      </c>
      <c r="AT58" s="16">
        <f t="shared" si="15"/>
        <v>0</v>
      </c>
      <c r="AU58" s="16">
        <f t="shared" si="16"/>
        <v>0</v>
      </c>
      <c r="AV58" s="16">
        <f t="shared" si="8"/>
        <v>0</v>
      </c>
    </row>
    <row r="59" spans="2:48" s="18" customFormat="1" ht="27" customHeight="1">
      <c r="B59" s="13" t="s">
        <v>110</v>
      </c>
      <c r="C59" s="14" t="s">
        <v>111</v>
      </c>
      <c r="D59" s="15">
        <v>77.62</v>
      </c>
      <c r="E59" s="15">
        <v>77.62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f t="shared" si="0"/>
        <v>0</v>
      </c>
      <c r="L59" s="17">
        <v>0</v>
      </c>
      <c r="M59" s="16">
        <f t="shared" si="1"/>
        <v>0</v>
      </c>
      <c r="N59" s="16">
        <v>0</v>
      </c>
      <c r="O59" s="16">
        <v>0</v>
      </c>
      <c r="P59" s="16">
        <v>0</v>
      </c>
      <c r="Q59" s="16">
        <v>0</v>
      </c>
      <c r="R59" s="16">
        <f t="shared" si="2"/>
        <v>0</v>
      </c>
      <c r="S59" s="16">
        <v>0</v>
      </c>
      <c r="T59" s="16">
        <f t="shared" si="3"/>
        <v>0</v>
      </c>
      <c r="U59" s="16">
        <v>0</v>
      </c>
      <c r="V59" s="16">
        <v>0</v>
      </c>
      <c r="W59" s="16">
        <v>0</v>
      </c>
      <c r="X59" s="16">
        <v>0</v>
      </c>
      <c r="Y59" s="16">
        <f t="shared" si="4"/>
        <v>0</v>
      </c>
      <c r="Z59" s="16">
        <v>0</v>
      </c>
      <c r="AA59" s="16">
        <f t="shared" si="9"/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f t="shared" si="10"/>
        <v>0</v>
      </c>
      <c r="AG59" s="16">
        <v>0</v>
      </c>
      <c r="AH59" s="16">
        <f t="shared" si="11"/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f t="shared" si="12"/>
        <v>0</v>
      </c>
      <c r="AN59" s="16">
        <v>0</v>
      </c>
      <c r="AO59" s="16">
        <f t="shared" si="13"/>
        <v>0</v>
      </c>
      <c r="AP59" s="16">
        <f t="shared" si="17"/>
        <v>0</v>
      </c>
      <c r="AQ59" s="16">
        <f t="shared" si="18"/>
        <v>0</v>
      </c>
      <c r="AR59" s="16">
        <f t="shared" si="14"/>
        <v>0</v>
      </c>
      <c r="AS59" s="16">
        <f t="shared" si="19"/>
        <v>0</v>
      </c>
      <c r="AT59" s="16">
        <f t="shared" si="15"/>
        <v>0</v>
      </c>
      <c r="AU59" s="16">
        <f t="shared" si="16"/>
        <v>0</v>
      </c>
      <c r="AV59" s="16">
        <f t="shared" si="8"/>
        <v>0</v>
      </c>
    </row>
    <row r="60" spans="2:48" s="18" customFormat="1" ht="27" customHeight="1">
      <c r="B60" s="13" t="s">
        <v>112</v>
      </c>
      <c r="C60" s="14" t="s">
        <v>113</v>
      </c>
      <c r="D60" s="15">
        <v>81</v>
      </c>
      <c r="E60" s="15">
        <v>81</v>
      </c>
      <c r="F60" s="16">
        <v>84</v>
      </c>
      <c r="G60" s="16">
        <v>0</v>
      </c>
      <c r="H60" s="16">
        <v>0</v>
      </c>
      <c r="I60" s="16">
        <v>28</v>
      </c>
      <c r="J60" s="16">
        <v>0</v>
      </c>
      <c r="K60" s="16">
        <f t="shared" si="0"/>
        <v>56</v>
      </c>
      <c r="L60" s="17">
        <v>56</v>
      </c>
      <c r="M60" s="16">
        <f t="shared" si="1"/>
        <v>0</v>
      </c>
      <c r="N60" s="16">
        <v>0</v>
      </c>
      <c r="O60" s="16">
        <v>0</v>
      </c>
      <c r="P60" s="16">
        <v>24</v>
      </c>
      <c r="Q60" s="16">
        <v>0</v>
      </c>
      <c r="R60" s="16">
        <f t="shared" si="2"/>
        <v>32</v>
      </c>
      <c r="S60" s="16">
        <v>32</v>
      </c>
      <c r="T60" s="16">
        <f t="shared" si="3"/>
        <v>0</v>
      </c>
      <c r="U60" s="16">
        <v>0</v>
      </c>
      <c r="V60" s="16">
        <v>0</v>
      </c>
      <c r="W60" s="16">
        <v>8</v>
      </c>
      <c r="X60" s="16">
        <v>0</v>
      </c>
      <c r="Y60" s="16">
        <f t="shared" si="4"/>
        <v>24</v>
      </c>
      <c r="Z60" s="16">
        <v>24</v>
      </c>
      <c r="AA60" s="16">
        <f t="shared" si="9"/>
        <v>0</v>
      </c>
      <c r="AB60" s="16">
        <v>0</v>
      </c>
      <c r="AC60" s="16">
        <v>0</v>
      </c>
      <c r="AD60" s="16">
        <v>16</v>
      </c>
      <c r="AE60" s="16">
        <v>0</v>
      </c>
      <c r="AF60" s="16">
        <f t="shared" si="10"/>
        <v>8</v>
      </c>
      <c r="AG60" s="16">
        <v>8</v>
      </c>
      <c r="AH60" s="16">
        <f t="shared" si="11"/>
        <v>0</v>
      </c>
      <c r="AI60" s="16">
        <v>0</v>
      </c>
      <c r="AJ60" s="16">
        <v>0</v>
      </c>
      <c r="AK60" s="16">
        <v>4</v>
      </c>
      <c r="AL60" s="16">
        <v>0</v>
      </c>
      <c r="AM60" s="16">
        <f t="shared" si="12"/>
        <v>4</v>
      </c>
      <c r="AN60" s="16">
        <v>4</v>
      </c>
      <c r="AO60" s="16">
        <f t="shared" si="13"/>
        <v>0</v>
      </c>
      <c r="AP60" s="16">
        <f t="shared" si="17"/>
        <v>0</v>
      </c>
      <c r="AQ60" s="16">
        <f t="shared" si="18"/>
        <v>0</v>
      </c>
      <c r="AR60" s="16">
        <f t="shared" si="14"/>
        <v>80</v>
      </c>
      <c r="AS60" s="16">
        <f t="shared" si="19"/>
        <v>0</v>
      </c>
      <c r="AT60" s="16">
        <f t="shared" si="15"/>
        <v>4</v>
      </c>
      <c r="AU60" s="16">
        <v>4</v>
      </c>
      <c r="AV60" s="16">
        <f t="shared" si="8"/>
        <v>0</v>
      </c>
    </row>
    <row r="61" spans="2:48" s="18" customFormat="1" ht="27" customHeight="1">
      <c r="B61" s="13" t="s">
        <v>114</v>
      </c>
      <c r="C61" s="14" t="s">
        <v>115</v>
      </c>
      <c r="D61" s="15">
        <v>77.62</v>
      </c>
      <c r="E61" s="15">
        <v>77.62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f t="shared" si="0"/>
        <v>0</v>
      </c>
      <c r="L61" s="17">
        <v>0</v>
      </c>
      <c r="M61" s="16">
        <f t="shared" si="1"/>
        <v>0</v>
      </c>
      <c r="N61" s="16">
        <v>0</v>
      </c>
      <c r="O61" s="16">
        <v>0</v>
      </c>
      <c r="P61" s="16">
        <v>0</v>
      </c>
      <c r="Q61" s="16">
        <v>0</v>
      </c>
      <c r="R61" s="16">
        <f t="shared" si="2"/>
        <v>0</v>
      </c>
      <c r="S61" s="16">
        <v>0</v>
      </c>
      <c r="T61" s="16">
        <f t="shared" si="3"/>
        <v>0</v>
      </c>
      <c r="U61" s="16">
        <v>0</v>
      </c>
      <c r="V61" s="16">
        <v>0</v>
      </c>
      <c r="W61" s="16">
        <v>0</v>
      </c>
      <c r="X61" s="16">
        <v>0</v>
      </c>
      <c r="Y61" s="16">
        <f t="shared" si="4"/>
        <v>0</v>
      </c>
      <c r="Z61" s="16">
        <v>0</v>
      </c>
      <c r="AA61" s="16">
        <f t="shared" si="9"/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f t="shared" si="10"/>
        <v>0</v>
      </c>
      <c r="AG61" s="16">
        <v>0</v>
      </c>
      <c r="AH61" s="16">
        <f t="shared" si="11"/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f t="shared" si="12"/>
        <v>0</v>
      </c>
      <c r="AN61" s="16">
        <v>0</v>
      </c>
      <c r="AO61" s="16">
        <f t="shared" si="13"/>
        <v>0</v>
      </c>
      <c r="AP61" s="16">
        <f t="shared" si="17"/>
        <v>0</v>
      </c>
      <c r="AQ61" s="16">
        <f t="shared" si="18"/>
        <v>0</v>
      </c>
      <c r="AR61" s="16">
        <f t="shared" si="14"/>
        <v>0</v>
      </c>
      <c r="AS61" s="16">
        <f t="shared" si="19"/>
        <v>0</v>
      </c>
      <c r="AT61" s="16">
        <f t="shared" si="15"/>
        <v>0</v>
      </c>
      <c r="AU61" s="16">
        <f t="shared" si="16"/>
        <v>0</v>
      </c>
      <c r="AV61" s="16">
        <f t="shared" si="8"/>
        <v>0</v>
      </c>
    </row>
    <row r="62" spans="2:48" s="18" customFormat="1" ht="27" customHeight="1">
      <c r="B62" s="13" t="s">
        <v>116</v>
      </c>
      <c r="C62" s="14" t="s">
        <v>117</v>
      </c>
      <c r="D62" s="15">
        <v>134</v>
      </c>
      <c r="E62" s="15">
        <v>134</v>
      </c>
      <c r="F62" s="16">
        <v>181</v>
      </c>
      <c r="G62" s="16">
        <v>0</v>
      </c>
      <c r="H62" s="16">
        <v>0</v>
      </c>
      <c r="I62" s="16">
        <v>11</v>
      </c>
      <c r="J62" s="16">
        <v>0</v>
      </c>
      <c r="K62" s="16">
        <f t="shared" si="0"/>
        <v>170</v>
      </c>
      <c r="L62" s="17">
        <v>170</v>
      </c>
      <c r="M62" s="16">
        <f t="shared" si="1"/>
        <v>0</v>
      </c>
      <c r="N62" s="16">
        <v>0</v>
      </c>
      <c r="O62" s="16">
        <v>0</v>
      </c>
      <c r="P62" s="16">
        <v>1</v>
      </c>
      <c r="Q62" s="16">
        <v>0</v>
      </c>
      <c r="R62" s="16">
        <f t="shared" si="2"/>
        <v>169</v>
      </c>
      <c r="S62" s="16">
        <v>169</v>
      </c>
      <c r="T62" s="16">
        <v>0</v>
      </c>
      <c r="U62" s="16">
        <v>0</v>
      </c>
      <c r="V62" s="16">
        <v>0</v>
      </c>
      <c r="W62" s="16">
        <v>2</v>
      </c>
      <c r="X62" s="16">
        <v>0</v>
      </c>
      <c r="Y62" s="16">
        <f t="shared" si="4"/>
        <v>167</v>
      </c>
      <c r="Z62" s="16">
        <v>167</v>
      </c>
      <c r="AA62" s="16">
        <f t="shared" si="9"/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f t="shared" si="10"/>
        <v>166</v>
      </c>
      <c r="AG62" s="16">
        <v>166</v>
      </c>
      <c r="AH62" s="16">
        <f t="shared" si="11"/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f t="shared" si="12"/>
        <v>166</v>
      </c>
      <c r="AN62" s="16">
        <v>166</v>
      </c>
      <c r="AO62" s="16">
        <f t="shared" si="13"/>
        <v>0</v>
      </c>
      <c r="AP62" s="16">
        <f t="shared" si="17"/>
        <v>0</v>
      </c>
      <c r="AQ62" s="16">
        <f t="shared" si="18"/>
        <v>0</v>
      </c>
      <c r="AR62" s="16">
        <f t="shared" si="14"/>
        <v>15</v>
      </c>
      <c r="AS62" s="16">
        <f t="shared" si="19"/>
        <v>0</v>
      </c>
      <c r="AT62" s="16">
        <f t="shared" si="15"/>
        <v>166</v>
      </c>
      <c r="AU62" s="16">
        <f t="shared" si="16"/>
        <v>166</v>
      </c>
      <c r="AV62" s="16">
        <f t="shared" si="8"/>
        <v>0</v>
      </c>
    </row>
    <row r="63" spans="2:48" s="18" customFormat="1" ht="27" customHeight="1">
      <c r="B63" s="23" t="s">
        <v>118</v>
      </c>
      <c r="C63" s="14" t="s">
        <v>119</v>
      </c>
      <c r="D63" s="15">
        <v>172.72</v>
      </c>
      <c r="E63" s="15">
        <v>172.72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f t="shared" si="0"/>
        <v>0</v>
      </c>
      <c r="L63" s="17">
        <v>0</v>
      </c>
      <c r="M63" s="16">
        <f t="shared" si="1"/>
        <v>0</v>
      </c>
      <c r="N63" s="16">
        <v>0</v>
      </c>
      <c r="O63" s="16">
        <v>0</v>
      </c>
      <c r="P63" s="16">
        <v>0</v>
      </c>
      <c r="Q63" s="16">
        <v>0</v>
      </c>
      <c r="R63" s="16">
        <f t="shared" si="2"/>
        <v>0</v>
      </c>
      <c r="S63" s="16">
        <v>0</v>
      </c>
      <c r="T63" s="16">
        <f t="shared" si="3"/>
        <v>0</v>
      </c>
      <c r="U63" s="16">
        <v>0</v>
      </c>
      <c r="V63" s="16">
        <v>0</v>
      </c>
      <c r="W63" s="16">
        <v>0</v>
      </c>
      <c r="X63" s="16">
        <v>0</v>
      </c>
      <c r="Y63" s="16">
        <f t="shared" si="4"/>
        <v>0</v>
      </c>
      <c r="Z63" s="16">
        <v>0</v>
      </c>
      <c r="AA63" s="16">
        <f t="shared" si="9"/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f t="shared" si="10"/>
        <v>0</v>
      </c>
      <c r="AG63" s="16">
        <v>0</v>
      </c>
      <c r="AH63" s="16">
        <f t="shared" si="11"/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f t="shared" si="12"/>
        <v>0</v>
      </c>
      <c r="AN63" s="16">
        <v>0</v>
      </c>
      <c r="AO63" s="16">
        <f t="shared" si="13"/>
        <v>0</v>
      </c>
      <c r="AP63" s="16">
        <f t="shared" si="17"/>
        <v>0</v>
      </c>
      <c r="AQ63" s="16">
        <f t="shared" si="18"/>
        <v>0</v>
      </c>
      <c r="AR63" s="16">
        <f t="shared" si="14"/>
        <v>0</v>
      </c>
      <c r="AS63" s="16">
        <f t="shared" si="19"/>
        <v>0</v>
      </c>
      <c r="AT63" s="16">
        <f t="shared" si="15"/>
        <v>0</v>
      </c>
      <c r="AU63" s="16">
        <f t="shared" si="16"/>
        <v>0</v>
      </c>
      <c r="AV63" s="16">
        <f t="shared" si="8"/>
        <v>0</v>
      </c>
    </row>
    <row r="64" spans="2:48" s="18" customFormat="1" ht="27" customHeight="1">
      <c r="B64" s="13" t="s">
        <v>120</v>
      </c>
      <c r="C64" s="14" t="s">
        <v>121</v>
      </c>
      <c r="D64" s="15">
        <v>134</v>
      </c>
      <c r="E64" s="15">
        <v>134</v>
      </c>
      <c r="F64" s="16">
        <v>197</v>
      </c>
      <c r="G64" s="16">
        <v>0</v>
      </c>
      <c r="H64" s="16">
        <v>0</v>
      </c>
      <c r="I64" s="16">
        <v>8</v>
      </c>
      <c r="J64" s="16">
        <v>0</v>
      </c>
      <c r="K64" s="16">
        <f t="shared" si="0"/>
        <v>189</v>
      </c>
      <c r="L64" s="17">
        <v>189</v>
      </c>
      <c r="M64" s="16">
        <f t="shared" si="1"/>
        <v>0</v>
      </c>
      <c r="N64" s="16">
        <v>0</v>
      </c>
      <c r="O64" s="16">
        <v>0</v>
      </c>
      <c r="P64" s="16">
        <v>7</v>
      </c>
      <c r="Q64" s="16">
        <v>0</v>
      </c>
      <c r="R64" s="16">
        <f t="shared" si="2"/>
        <v>182</v>
      </c>
      <c r="S64" s="16">
        <v>182</v>
      </c>
      <c r="T64" s="16">
        <f t="shared" si="3"/>
        <v>0</v>
      </c>
      <c r="U64" s="16">
        <v>0</v>
      </c>
      <c r="V64" s="16">
        <v>0</v>
      </c>
      <c r="W64" s="16">
        <v>3</v>
      </c>
      <c r="X64" s="16">
        <v>0</v>
      </c>
      <c r="Y64" s="16">
        <f t="shared" si="4"/>
        <v>179</v>
      </c>
      <c r="Z64" s="16">
        <v>179</v>
      </c>
      <c r="AA64" s="16">
        <f t="shared" si="9"/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f t="shared" si="10"/>
        <v>179</v>
      </c>
      <c r="AG64" s="16">
        <v>179</v>
      </c>
      <c r="AH64" s="16">
        <f t="shared" si="11"/>
        <v>0</v>
      </c>
      <c r="AI64" s="16">
        <v>0</v>
      </c>
      <c r="AJ64" s="16">
        <v>0</v>
      </c>
      <c r="AK64" s="16">
        <v>1</v>
      </c>
      <c r="AL64" s="16">
        <v>0</v>
      </c>
      <c r="AM64" s="16">
        <f t="shared" si="12"/>
        <v>178</v>
      </c>
      <c r="AN64" s="16">
        <v>178</v>
      </c>
      <c r="AO64" s="16">
        <f t="shared" si="13"/>
        <v>0</v>
      </c>
      <c r="AP64" s="16">
        <f t="shared" si="17"/>
        <v>0</v>
      </c>
      <c r="AQ64" s="16">
        <f t="shared" si="18"/>
        <v>0</v>
      </c>
      <c r="AR64" s="16">
        <f t="shared" si="14"/>
        <v>19</v>
      </c>
      <c r="AS64" s="16">
        <f t="shared" si="19"/>
        <v>0</v>
      </c>
      <c r="AT64" s="16">
        <f t="shared" si="15"/>
        <v>178</v>
      </c>
      <c r="AU64" s="16">
        <v>178</v>
      </c>
      <c r="AV64" s="16">
        <f t="shared" si="8"/>
        <v>0</v>
      </c>
    </row>
    <row r="65" spans="2:48" s="18" customFormat="1" ht="27" customHeight="1">
      <c r="B65" s="13" t="s">
        <v>122</v>
      </c>
      <c r="C65" s="14" t="s">
        <v>123</v>
      </c>
      <c r="D65" s="15">
        <v>197.06</v>
      </c>
      <c r="E65" s="15">
        <v>197.06</v>
      </c>
      <c r="F65" s="16">
        <v>50</v>
      </c>
      <c r="G65" s="16">
        <v>0</v>
      </c>
      <c r="H65" s="16">
        <v>0</v>
      </c>
      <c r="I65" s="16">
        <v>0</v>
      </c>
      <c r="J65" s="16">
        <v>0</v>
      </c>
      <c r="K65" s="16">
        <f t="shared" si="0"/>
        <v>50</v>
      </c>
      <c r="L65" s="17">
        <v>50</v>
      </c>
      <c r="M65" s="16">
        <f t="shared" si="1"/>
        <v>0</v>
      </c>
      <c r="N65" s="16">
        <v>0</v>
      </c>
      <c r="O65" s="16">
        <v>0</v>
      </c>
      <c r="P65" s="16">
        <v>0</v>
      </c>
      <c r="Q65" s="16">
        <v>0</v>
      </c>
      <c r="R65" s="16">
        <f t="shared" si="2"/>
        <v>50</v>
      </c>
      <c r="S65" s="16">
        <v>50</v>
      </c>
      <c r="T65" s="16">
        <f t="shared" si="3"/>
        <v>0</v>
      </c>
      <c r="U65" s="16">
        <v>0</v>
      </c>
      <c r="V65" s="16">
        <v>0</v>
      </c>
      <c r="W65" s="16">
        <v>0</v>
      </c>
      <c r="X65" s="16">
        <v>0</v>
      </c>
      <c r="Y65" s="16">
        <f t="shared" si="4"/>
        <v>50</v>
      </c>
      <c r="Z65" s="16">
        <v>50</v>
      </c>
      <c r="AA65" s="16">
        <f t="shared" si="9"/>
        <v>0</v>
      </c>
      <c r="AB65" s="16">
        <v>0</v>
      </c>
      <c r="AC65" s="16">
        <v>0</v>
      </c>
      <c r="AD65" s="16">
        <v>3</v>
      </c>
      <c r="AE65" s="16">
        <v>0</v>
      </c>
      <c r="AF65" s="16">
        <f t="shared" si="10"/>
        <v>47</v>
      </c>
      <c r="AG65" s="16">
        <v>47</v>
      </c>
      <c r="AH65" s="16">
        <f t="shared" si="11"/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f t="shared" si="12"/>
        <v>47</v>
      </c>
      <c r="AN65" s="16">
        <v>47</v>
      </c>
      <c r="AO65" s="16">
        <f t="shared" si="13"/>
        <v>0</v>
      </c>
      <c r="AP65" s="16">
        <f t="shared" si="17"/>
        <v>0</v>
      </c>
      <c r="AQ65" s="16">
        <f t="shared" si="18"/>
        <v>0</v>
      </c>
      <c r="AR65" s="16">
        <f t="shared" si="14"/>
        <v>3</v>
      </c>
      <c r="AS65" s="16">
        <f t="shared" si="19"/>
        <v>0</v>
      </c>
      <c r="AT65" s="16">
        <f t="shared" si="15"/>
        <v>47</v>
      </c>
      <c r="AU65" s="16">
        <f t="shared" si="16"/>
        <v>47</v>
      </c>
      <c r="AV65" s="16">
        <f t="shared" si="8"/>
        <v>0</v>
      </c>
    </row>
    <row r="66" spans="2:48" s="18" customFormat="1" ht="27" customHeight="1">
      <c r="B66" s="13" t="s">
        <v>124</v>
      </c>
      <c r="C66" s="14" t="s">
        <v>125</v>
      </c>
      <c r="D66" s="15">
        <v>197.06</v>
      </c>
      <c r="E66" s="15">
        <v>197.06</v>
      </c>
      <c r="F66" s="16">
        <v>49</v>
      </c>
      <c r="G66" s="16">
        <v>0</v>
      </c>
      <c r="H66" s="16">
        <v>0</v>
      </c>
      <c r="I66" s="16">
        <v>0</v>
      </c>
      <c r="J66" s="16">
        <v>0</v>
      </c>
      <c r="K66" s="16">
        <f t="shared" si="0"/>
        <v>49</v>
      </c>
      <c r="L66" s="17">
        <v>49</v>
      </c>
      <c r="M66" s="16">
        <f t="shared" si="1"/>
        <v>0</v>
      </c>
      <c r="N66" s="16">
        <v>0</v>
      </c>
      <c r="O66" s="16">
        <v>0</v>
      </c>
      <c r="P66" s="16">
        <v>0</v>
      </c>
      <c r="Q66" s="16">
        <v>0</v>
      </c>
      <c r="R66" s="16">
        <f t="shared" si="2"/>
        <v>49</v>
      </c>
      <c r="S66" s="16">
        <v>49</v>
      </c>
      <c r="T66" s="16">
        <f t="shared" si="3"/>
        <v>0</v>
      </c>
      <c r="U66" s="16">
        <v>0</v>
      </c>
      <c r="V66" s="16">
        <v>0</v>
      </c>
      <c r="W66" s="16">
        <v>0</v>
      </c>
      <c r="X66" s="16">
        <v>0</v>
      </c>
      <c r="Y66" s="16">
        <f t="shared" si="4"/>
        <v>49</v>
      </c>
      <c r="Z66" s="16">
        <v>49</v>
      </c>
      <c r="AA66" s="16">
        <f t="shared" si="9"/>
        <v>0</v>
      </c>
      <c r="AB66" s="16">
        <v>0</v>
      </c>
      <c r="AC66" s="16">
        <v>0</v>
      </c>
      <c r="AD66" s="16">
        <v>1</v>
      </c>
      <c r="AE66" s="16">
        <v>0</v>
      </c>
      <c r="AF66" s="16">
        <f t="shared" si="10"/>
        <v>48</v>
      </c>
      <c r="AG66" s="16">
        <v>48</v>
      </c>
      <c r="AH66" s="16">
        <f t="shared" si="11"/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f t="shared" si="12"/>
        <v>48</v>
      </c>
      <c r="AN66" s="16">
        <v>48</v>
      </c>
      <c r="AO66" s="16">
        <f t="shared" si="13"/>
        <v>0</v>
      </c>
      <c r="AP66" s="16">
        <f t="shared" si="17"/>
        <v>0</v>
      </c>
      <c r="AQ66" s="16">
        <f t="shared" si="18"/>
        <v>0</v>
      </c>
      <c r="AR66" s="16">
        <f t="shared" si="14"/>
        <v>1</v>
      </c>
      <c r="AS66" s="16">
        <f t="shared" si="19"/>
        <v>0</v>
      </c>
      <c r="AT66" s="16">
        <f t="shared" si="15"/>
        <v>48</v>
      </c>
      <c r="AU66" s="16">
        <f t="shared" si="16"/>
        <v>48</v>
      </c>
      <c r="AV66" s="16">
        <f t="shared" si="8"/>
        <v>0</v>
      </c>
    </row>
    <row r="67" spans="2:48" s="18" customFormat="1" ht="27" customHeight="1">
      <c r="B67" s="13" t="s">
        <v>126</v>
      </c>
      <c r="C67" s="14" t="s">
        <v>127</v>
      </c>
      <c r="D67" s="15">
        <v>197.06</v>
      </c>
      <c r="E67" s="15">
        <v>197.06</v>
      </c>
      <c r="F67" s="16">
        <v>70</v>
      </c>
      <c r="G67" s="16">
        <v>0</v>
      </c>
      <c r="H67" s="16">
        <v>0</v>
      </c>
      <c r="I67" s="16">
        <v>0</v>
      </c>
      <c r="J67" s="16">
        <v>0</v>
      </c>
      <c r="K67" s="16">
        <f t="shared" si="0"/>
        <v>70</v>
      </c>
      <c r="L67" s="17">
        <v>70</v>
      </c>
      <c r="M67" s="16">
        <f t="shared" si="1"/>
        <v>0</v>
      </c>
      <c r="N67" s="16">
        <v>0</v>
      </c>
      <c r="O67" s="16">
        <v>0</v>
      </c>
      <c r="P67" s="16">
        <v>0</v>
      </c>
      <c r="Q67" s="16">
        <v>0</v>
      </c>
      <c r="R67" s="16">
        <f t="shared" si="2"/>
        <v>70</v>
      </c>
      <c r="S67" s="16">
        <v>70</v>
      </c>
      <c r="T67" s="16">
        <f t="shared" si="3"/>
        <v>0</v>
      </c>
      <c r="U67" s="16">
        <v>0</v>
      </c>
      <c r="V67" s="16">
        <v>0</v>
      </c>
      <c r="W67" s="16">
        <v>0</v>
      </c>
      <c r="X67" s="16">
        <v>0</v>
      </c>
      <c r="Y67" s="16">
        <f t="shared" si="4"/>
        <v>70</v>
      </c>
      <c r="Z67" s="16">
        <v>70</v>
      </c>
      <c r="AA67" s="16">
        <f t="shared" si="9"/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f t="shared" si="10"/>
        <v>70</v>
      </c>
      <c r="AG67" s="16">
        <v>70</v>
      </c>
      <c r="AH67" s="16">
        <f t="shared" si="11"/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f t="shared" si="12"/>
        <v>70</v>
      </c>
      <c r="AN67" s="16">
        <v>70</v>
      </c>
      <c r="AO67" s="16">
        <f t="shared" si="13"/>
        <v>0</v>
      </c>
      <c r="AP67" s="16">
        <f t="shared" si="17"/>
        <v>0</v>
      </c>
      <c r="AQ67" s="16">
        <f t="shared" si="18"/>
        <v>0</v>
      </c>
      <c r="AR67" s="16">
        <f t="shared" si="14"/>
        <v>0</v>
      </c>
      <c r="AS67" s="16">
        <f t="shared" si="19"/>
        <v>0</v>
      </c>
      <c r="AT67" s="16">
        <f t="shared" si="15"/>
        <v>70</v>
      </c>
      <c r="AU67" s="16">
        <f t="shared" si="16"/>
        <v>70</v>
      </c>
      <c r="AV67" s="16">
        <f t="shared" si="8"/>
        <v>0</v>
      </c>
    </row>
    <row r="68" spans="2:48" s="18" customFormat="1" ht="27" customHeight="1">
      <c r="B68" s="13" t="s">
        <v>128</v>
      </c>
      <c r="C68" s="14" t="s">
        <v>129</v>
      </c>
      <c r="D68" s="15">
        <v>197.06</v>
      </c>
      <c r="E68" s="15">
        <v>197.06</v>
      </c>
      <c r="F68" s="16">
        <v>44</v>
      </c>
      <c r="G68" s="16">
        <v>0</v>
      </c>
      <c r="H68" s="16">
        <v>0</v>
      </c>
      <c r="I68" s="16">
        <v>0</v>
      </c>
      <c r="J68" s="16">
        <v>0</v>
      </c>
      <c r="K68" s="16">
        <f t="shared" si="0"/>
        <v>44</v>
      </c>
      <c r="L68" s="17">
        <v>44</v>
      </c>
      <c r="M68" s="16">
        <f t="shared" si="1"/>
        <v>0</v>
      </c>
      <c r="N68" s="16">
        <v>0</v>
      </c>
      <c r="O68" s="16">
        <v>0</v>
      </c>
      <c r="P68" s="16">
        <v>0</v>
      </c>
      <c r="Q68" s="16">
        <v>0</v>
      </c>
      <c r="R68" s="16">
        <f t="shared" si="2"/>
        <v>44</v>
      </c>
      <c r="S68" s="16">
        <v>44</v>
      </c>
      <c r="T68" s="16">
        <f t="shared" si="3"/>
        <v>0</v>
      </c>
      <c r="U68" s="16">
        <v>0</v>
      </c>
      <c r="V68" s="16">
        <v>0</v>
      </c>
      <c r="W68" s="16">
        <v>0</v>
      </c>
      <c r="X68" s="16">
        <v>0</v>
      </c>
      <c r="Y68" s="16">
        <f t="shared" si="4"/>
        <v>44</v>
      </c>
      <c r="Z68" s="16">
        <v>44</v>
      </c>
      <c r="AA68" s="16">
        <f t="shared" si="9"/>
        <v>0</v>
      </c>
      <c r="AB68" s="16">
        <v>0</v>
      </c>
      <c r="AC68" s="16">
        <v>0</v>
      </c>
      <c r="AD68" s="16">
        <v>1</v>
      </c>
      <c r="AE68" s="16">
        <v>0</v>
      </c>
      <c r="AF68" s="16">
        <f t="shared" si="10"/>
        <v>43</v>
      </c>
      <c r="AG68" s="16">
        <v>43</v>
      </c>
      <c r="AH68" s="16">
        <f t="shared" si="11"/>
        <v>0</v>
      </c>
      <c r="AI68" s="16">
        <v>0</v>
      </c>
      <c r="AJ68" s="16">
        <v>0</v>
      </c>
      <c r="AK68" s="16">
        <v>1</v>
      </c>
      <c r="AL68" s="16">
        <v>0</v>
      </c>
      <c r="AM68" s="16">
        <f t="shared" si="12"/>
        <v>42</v>
      </c>
      <c r="AN68" s="16">
        <v>42</v>
      </c>
      <c r="AO68" s="16">
        <f t="shared" si="13"/>
        <v>0</v>
      </c>
      <c r="AP68" s="16">
        <f t="shared" si="17"/>
        <v>0</v>
      </c>
      <c r="AQ68" s="16">
        <f t="shared" si="18"/>
        <v>0</v>
      </c>
      <c r="AR68" s="16">
        <f t="shared" si="14"/>
        <v>2</v>
      </c>
      <c r="AS68" s="16">
        <f t="shared" si="19"/>
        <v>0</v>
      </c>
      <c r="AT68" s="16">
        <f t="shared" si="15"/>
        <v>42</v>
      </c>
      <c r="AU68" s="16">
        <v>42</v>
      </c>
      <c r="AV68" s="16">
        <f t="shared" si="8"/>
        <v>0</v>
      </c>
    </row>
    <row r="69" spans="2:48" s="18" customFormat="1" ht="27" customHeight="1">
      <c r="B69" s="13" t="s">
        <v>130</v>
      </c>
      <c r="C69" s="14" t="s">
        <v>131</v>
      </c>
      <c r="D69" s="15">
        <v>9.73</v>
      </c>
      <c r="E69" s="15">
        <v>9.73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f t="shared" si="0"/>
        <v>0</v>
      </c>
      <c r="L69" s="17">
        <v>0</v>
      </c>
      <c r="M69" s="16">
        <f t="shared" si="1"/>
        <v>0</v>
      </c>
      <c r="N69" s="16">
        <v>0</v>
      </c>
      <c r="O69" s="16">
        <v>0</v>
      </c>
      <c r="P69" s="16">
        <v>0</v>
      </c>
      <c r="Q69" s="16">
        <v>0</v>
      </c>
      <c r="R69" s="16">
        <f t="shared" si="2"/>
        <v>0</v>
      </c>
      <c r="S69" s="16">
        <v>0</v>
      </c>
      <c r="T69" s="16">
        <f t="shared" si="3"/>
        <v>0</v>
      </c>
      <c r="U69" s="16">
        <v>0</v>
      </c>
      <c r="V69" s="16">
        <v>0</v>
      </c>
      <c r="W69" s="16">
        <v>0</v>
      </c>
      <c r="X69" s="16">
        <v>0</v>
      </c>
      <c r="Y69" s="16">
        <f t="shared" si="4"/>
        <v>0</v>
      </c>
      <c r="Z69" s="16">
        <v>0</v>
      </c>
      <c r="AA69" s="16">
        <f t="shared" si="9"/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f t="shared" si="10"/>
        <v>0</v>
      </c>
      <c r="AG69" s="16">
        <v>0</v>
      </c>
      <c r="AH69" s="16">
        <f t="shared" si="11"/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f t="shared" si="12"/>
        <v>0</v>
      </c>
      <c r="AN69" s="16">
        <v>0</v>
      </c>
      <c r="AO69" s="16">
        <f t="shared" si="13"/>
        <v>0</v>
      </c>
      <c r="AP69" s="16">
        <f t="shared" si="17"/>
        <v>0</v>
      </c>
      <c r="AQ69" s="16">
        <f t="shared" si="18"/>
        <v>0</v>
      </c>
      <c r="AR69" s="16">
        <f t="shared" si="14"/>
        <v>0</v>
      </c>
      <c r="AS69" s="16">
        <f t="shared" si="19"/>
        <v>0</v>
      </c>
      <c r="AT69" s="16">
        <f t="shared" si="15"/>
        <v>0</v>
      </c>
      <c r="AU69" s="16">
        <f t="shared" si="16"/>
        <v>0</v>
      </c>
      <c r="AV69" s="16">
        <f t="shared" si="8"/>
        <v>0</v>
      </c>
    </row>
    <row r="70" spans="2:48" s="18" customFormat="1" ht="27" customHeight="1">
      <c r="B70" s="13" t="s">
        <v>132</v>
      </c>
      <c r="C70" s="14" t="s">
        <v>133</v>
      </c>
      <c r="D70" s="15">
        <v>33</v>
      </c>
      <c r="E70" s="15">
        <v>33</v>
      </c>
      <c r="F70" s="16">
        <v>441</v>
      </c>
      <c r="G70" s="16">
        <v>0</v>
      </c>
      <c r="H70" s="16">
        <v>0</v>
      </c>
      <c r="I70" s="16">
        <v>7</v>
      </c>
      <c r="J70" s="16">
        <v>0</v>
      </c>
      <c r="K70" s="16">
        <f t="shared" si="0"/>
        <v>434</v>
      </c>
      <c r="L70" s="17">
        <v>434</v>
      </c>
      <c r="M70" s="16">
        <f t="shared" si="1"/>
        <v>0</v>
      </c>
      <c r="N70" s="16">
        <v>0</v>
      </c>
      <c r="O70" s="16">
        <v>0</v>
      </c>
      <c r="P70" s="16">
        <v>2</v>
      </c>
      <c r="Q70" s="16">
        <v>0</v>
      </c>
      <c r="R70" s="16">
        <f t="shared" si="2"/>
        <v>432</v>
      </c>
      <c r="S70" s="16">
        <v>432</v>
      </c>
      <c r="T70" s="16">
        <f t="shared" si="3"/>
        <v>0</v>
      </c>
      <c r="U70" s="16">
        <v>0</v>
      </c>
      <c r="V70" s="16">
        <v>0</v>
      </c>
      <c r="W70" s="16">
        <v>3</v>
      </c>
      <c r="X70" s="16">
        <v>0</v>
      </c>
      <c r="Y70" s="16">
        <f t="shared" si="4"/>
        <v>429</v>
      </c>
      <c r="Z70" s="16">
        <v>429</v>
      </c>
      <c r="AA70" s="16">
        <f t="shared" si="9"/>
        <v>0</v>
      </c>
      <c r="AB70" s="16">
        <v>0</v>
      </c>
      <c r="AC70" s="16">
        <v>0</v>
      </c>
      <c r="AD70" s="16">
        <v>9</v>
      </c>
      <c r="AE70" s="16">
        <v>0</v>
      </c>
      <c r="AF70" s="16">
        <f t="shared" si="10"/>
        <v>420</v>
      </c>
      <c r="AG70" s="16">
        <v>420</v>
      </c>
      <c r="AH70" s="16">
        <f t="shared" si="11"/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f t="shared" si="12"/>
        <v>419</v>
      </c>
      <c r="AN70" s="16">
        <v>419</v>
      </c>
      <c r="AO70" s="16">
        <f t="shared" si="13"/>
        <v>0</v>
      </c>
      <c r="AP70" s="16">
        <f t="shared" si="17"/>
        <v>0</v>
      </c>
      <c r="AQ70" s="16">
        <f t="shared" si="18"/>
        <v>0</v>
      </c>
      <c r="AR70" s="16">
        <f t="shared" si="14"/>
        <v>22</v>
      </c>
      <c r="AS70" s="16">
        <f t="shared" si="19"/>
        <v>0</v>
      </c>
      <c r="AT70" s="16">
        <f t="shared" si="15"/>
        <v>419</v>
      </c>
      <c r="AU70" s="16">
        <v>419</v>
      </c>
      <c r="AV70" s="16">
        <f t="shared" si="8"/>
        <v>0</v>
      </c>
    </row>
    <row r="71" spans="2:48" s="18" customFormat="1" ht="27" customHeight="1">
      <c r="B71" s="13" t="s">
        <v>134</v>
      </c>
      <c r="C71" s="14" t="s">
        <v>135</v>
      </c>
      <c r="D71" s="15">
        <v>38</v>
      </c>
      <c r="E71" s="15">
        <v>38</v>
      </c>
      <c r="F71" s="16">
        <v>81</v>
      </c>
      <c r="G71" s="16">
        <v>0</v>
      </c>
      <c r="H71" s="16">
        <v>0</v>
      </c>
      <c r="I71" s="16">
        <v>4</v>
      </c>
      <c r="J71" s="16">
        <v>0</v>
      </c>
      <c r="K71" s="16">
        <f t="shared" si="0"/>
        <v>77</v>
      </c>
      <c r="L71" s="17">
        <v>77</v>
      </c>
      <c r="M71" s="16">
        <f t="shared" si="1"/>
        <v>0</v>
      </c>
      <c r="N71" s="16">
        <v>0</v>
      </c>
      <c r="O71" s="16">
        <v>0</v>
      </c>
      <c r="P71" s="16">
        <v>3</v>
      </c>
      <c r="Q71" s="16">
        <v>0</v>
      </c>
      <c r="R71" s="16">
        <f t="shared" si="2"/>
        <v>74</v>
      </c>
      <c r="S71" s="16">
        <v>74</v>
      </c>
      <c r="T71" s="16">
        <f t="shared" si="3"/>
        <v>0</v>
      </c>
      <c r="U71" s="16">
        <v>0</v>
      </c>
      <c r="V71" s="16">
        <v>0</v>
      </c>
      <c r="W71" s="16">
        <v>3</v>
      </c>
      <c r="X71" s="16">
        <v>0</v>
      </c>
      <c r="Y71" s="16">
        <f t="shared" si="4"/>
        <v>71</v>
      </c>
      <c r="Z71" s="16">
        <v>71</v>
      </c>
      <c r="AA71" s="16">
        <f t="shared" si="9"/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f t="shared" si="10"/>
        <v>71</v>
      </c>
      <c r="AG71" s="16">
        <v>71</v>
      </c>
      <c r="AH71" s="16">
        <f t="shared" si="11"/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f t="shared" si="12"/>
        <v>71</v>
      </c>
      <c r="AN71" s="16">
        <v>71</v>
      </c>
      <c r="AO71" s="16">
        <f t="shared" si="13"/>
        <v>0</v>
      </c>
      <c r="AP71" s="16">
        <f t="shared" si="17"/>
        <v>0</v>
      </c>
      <c r="AQ71" s="16">
        <f t="shared" si="18"/>
        <v>0</v>
      </c>
      <c r="AR71" s="16">
        <f t="shared" si="14"/>
        <v>10</v>
      </c>
      <c r="AS71" s="16">
        <f t="shared" si="19"/>
        <v>0</v>
      </c>
      <c r="AT71" s="16">
        <f t="shared" si="15"/>
        <v>71</v>
      </c>
      <c r="AU71" s="16">
        <f t="shared" si="16"/>
        <v>71</v>
      </c>
      <c r="AV71" s="16">
        <f t="shared" si="8"/>
        <v>0</v>
      </c>
    </row>
    <row r="72" spans="2:48" s="18" customFormat="1" ht="27" customHeight="1">
      <c r="B72" s="13" t="s">
        <v>136</v>
      </c>
      <c r="C72" s="14" t="s">
        <v>137</v>
      </c>
      <c r="D72" s="15">
        <v>31</v>
      </c>
      <c r="E72" s="15">
        <v>31</v>
      </c>
      <c r="F72" s="16">
        <v>22</v>
      </c>
      <c r="G72" s="16">
        <v>0</v>
      </c>
      <c r="H72" s="16">
        <v>0</v>
      </c>
      <c r="I72" s="16">
        <v>4</v>
      </c>
      <c r="J72" s="16">
        <v>0</v>
      </c>
      <c r="K72" s="16">
        <f t="shared" si="0"/>
        <v>18</v>
      </c>
      <c r="L72" s="17">
        <v>18</v>
      </c>
      <c r="M72" s="16">
        <f t="shared" si="1"/>
        <v>0</v>
      </c>
      <c r="N72" s="16">
        <v>0</v>
      </c>
      <c r="O72" s="16">
        <v>0</v>
      </c>
      <c r="P72" s="16">
        <v>1</v>
      </c>
      <c r="Q72" s="16">
        <v>0</v>
      </c>
      <c r="R72" s="16">
        <f t="shared" si="2"/>
        <v>17</v>
      </c>
      <c r="S72" s="16">
        <v>17</v>
      </c>
      <c r="T72" s="16">
        <f t="shared" si="3"/>
        <v>0</v>
      </c>
      <c r="U72" s="16">
        <v>0</v>
      </c>
      <c r="V72" s="16">
        <v>0</v>
      </c>
      <c r="W72" s="16">
        <v>0</v>
      </c>
      <c r="X72" s="16">
        <v>0</v>
      </c>
      <c r="Y72" s="16">
        <f t="shared" si="4"/>
        <v>17</v>
      </c>
      <c r="Z72" s="16">
        <v>17</v>
      </c>
      <c r="AA72" s="16">
        <f t="shared" si="9"/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f t="shared" si="10"/>
        <v>16</v>
      </c>
      <c r="AG72" s="16">
        <v>16</v>
      </c>
      <c r="AH72" s="16">
        <f t="shared" si="11"/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f t="shared" si="12"/>
        <v>16</v>
      </c>
      <c r="AN72" s="16">
        <v>16</v>
      </c>
      <c r="AO72" s="16">
        <f t="shared" si="13"/>
        <v>0</v>
      </c>
      <c r="AP72" s="16">
        <f t="shared" si="17"/>
        <v>0</v>
      </c>
      <c r="AQ72" s="16">
        <f t="shared" si="18"/>
        <v>0</v>
      </c>
      <c r="AR72" s="16">
        <f t="shared" si="14"/>
        <v>6</v>
      </c>
      <c r="AS72" s="16">
        <f t="shared" si="19"/>
        <v>0</v>
      </c>
      <c r="AT72" s="16">
        <f t="shared" si="15"/>
        <v>16</v>
      </c>
      <c r="AU72" s="16">
        <f t="shared" si="16"/>
        <v>16</v>
      </c>
      <c r="AV72" s="16">
        <f t="shared" si="8"/>
        <v>0</v>
      </c>
    </row>
    <row r="73" spans="2:48" s="18" customFormat="1" ht="27" customHeight="1">
      <c r="B73" s="13" t="s">
        <v>138</v>
      </c>
      <c r="C73" s="14" t="s">
        <v>139</v>
      </c>
      <c r="D73" s="15">
        <v>66.87</v>
      </c>
      <c r="E73" s="15">
        <v>66.87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f t="shared" si="0"/>
        <v>0</v>
      </c>
      <c r="L73" s="17">
        <v>0</v>
      </c>
      <c r="M73" s="16">
        <f t="shared" si="1"/>
        <v>0</v>
      </c>
      <c r="N73" s="16">
        <v>0</v>
      </c>
      <c r="O73" s="16">
        <v>0</v>
      </c>
      <c r="P73" s="16">
        <v>0</v>
      </c>
      <c r="Q73" s="16">
        <v>0</v>
      </c>
      <c r="R73" s="16">
        <f t="shared" si="2"/>
        <v>0</v>
      </c>
      <c r="S73" s="16">
        <v>0</v>
      </c>
      <c r="T73" s="16">
        <f t="shared" si="3"/>
        <v>0</v>
      </c>
      <c r="U73" s="16">
        <v>0</v>
      </c>
      <c r="V73" s="16">
        <v>0</v>
      </c>
      <c r="W73" s="16">
        <v>0</v>
      </c>
      <c r="X73" s="16">
        <v>0</v>
      </c>
      <c r="Y73" s="16">
        <f t="shared" si="4"/>
        <v>0</v>
      </c>
      <c r="Z73" s="16">
        <v>0</v>
      </c>
      <c r="AA73" s="16">
        <f t="shared" si="9"/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f t="shared" si="10"/>
        <v>0</v>
      </c>
      <c r="AG73" s="16">
        <v>0</v>
      </c>
      <c r="AH73" s="16">
        <f t="shared" si="11"/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f t="shared" si="12"/>
        <v>0</v>
      </c>
      <c r="AN73" s="16">
        <v>0</v>
      </c>
      <c r="AO73" s="16">
        <f t="shared" si="13"/>
        <v>0</v>
      </c>
      <c r="AP73" s="16">
        <f t="shared" si="17"/>
        <v>0</v>
      </c>
      <c r="AQ73" s="16">
        <f t="shared" si="18"/>
        <v>0</v>
      </c>
      <c r="AR73" s="16">
        <f t="shared" si="14"/>
        <v>0</v>
      </c>
      <c r="AS73" s="16">
        <f t="shared" si="19"/>
        <v>0</v>
      </c>
      <c r="AT73" s="16">
        <f t="shared" si="15"/>
        <v>0</v>
      </c>
      <c r="AU73" s="16">
        <f t="shared" si="16"/>
        <v>0</v>
      </c>
      <c r="AV73" s="16">
        <f t="shared" si="8"/>
        <v>0</v>
      </c>
    </row>
    <row r="74" spans="2:48" s="18" customFormat="1" ht="27" customHeight="1">
      <c r="B74" s="13" t="s">
        <v>140</v>
      </c>
      <c r="C74" s="14" t="s">
        <v>141</v>
      </c>
      <c r="D74" s="15">
        <v>9.33</v>
      </c>
      <c r="E74" s="15">
        <v>9.33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f t="shared" si="0"/>
        <v>0</v>
      </c>
      <c r="L74" s="17">
        <v>0</v>
      </c>
      <c r="M74" s="16">
        <f t="shared" si="1"/>
        <v>0</v>
      </c>
      <c r="N74" s="16">
        <v>0</v>
      </c>
      <c r="O74" s="16">
        <v>0</v>
      </c>
      <c r="P74" s="16">
        <v>0</v>
      </c>
      <c r="Q74" s="16">
        <v>0</v>
      </c>
      <c r="R74" s="16">
        <f t="shared" si="2"/>
        <v>0</v>
      </c>
      <c r="S74" s="16">
        <v>0</v>
      </c>
      <c r="T74" s="16">
        <f t="shared" si="3"/>
        <v>0</v>
      </c>
      <c r="U74" s="16">
        <v>0</v>
      </c>
      <c r="V74" s="16">
        <v>0</v>
      </c>
      <c r="W74" s="16">
        <v>0</v>
      </c>
      <c r="X74" s="16">
        <v>0</v>
      </c>
      <c r="Y74" s="16">
        <f t="shared" si="4"/>
        <v>0</v>
      </c>
      <c r="Z74" s="16">
        <v>0</v>
      </c>
      <c r="AA74" s="16">
        <f t="shared" si="9"/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f t="shared" si="10"/>
        <v>0</v>
      </c>
      <c r="AG74" s="16">
        <v>0</v>
      </c>
      <c r="AH74" s="16">
        <f t="shared" si="11"/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f t="shared" si="12"/>
        <v>0</v>
      </c>
      <c r="AN74" s="16">
        <v>0</v>
      </c>
      <c r="AO74" s="16">
        <f t="shared" si="13"/>
        <v>0</v>
      </c>
      <c r="AP74" s="16">
        <f t="shared" si="17"/>
        <v>0</v>
      </c>
      <c r="AQ74" s="16">
        <f t="shared" si="18"/>
        <v>0</v>
      </c>
      <c r="AR74" s="16">
        <f t="shared" si="14"/>
        <v>0</v>
      </c>
      <c r="AS74" s="16">
        <f t="shared" si="19"/>
        <v>0</v>
      </c>
      <c r="AT74" s="16">
        <f t="shared" si="15"/>
        <v>0</v>
      </c>
      <c r="AU74" s="16">
        <f t="shared" si="16"/>
        <v>0</v>
      </c>
      <c r="AV74" s="16">
        <f t="shared" si="8"/>
        <v>0</v>
      </c>
    </row>
    <row r="75" spans="2:48" s="18" customFormat="1" ht="27" customHeight="1">
      <c r="B75" s="13" t="s">
        <v>142</v>
      </c>
      <c r="C75" s="14" t="s">
        <v>143</v>
      </c>
      <c r="D75" s="15">
        <v>31.89</v>
      </c>
      <c r="E75" s="15">
        <v>31.89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f t="shared" ref="K75:K95" si="20">F75+G75+H75-I75-J75</f>
        <v>0</v>
      </c>
      <c r="L75" s="17">
        <v>0</v>
      </c>
      <c r="M75" s="16">
        <f t="shared" ref="M75:M95" si="21">L75-K75</f>
        <v>0</v>
      </c>
      <c r="N75" s="16">
        <v>0</v>
      </c>
      <c r="O75" s="16">
        <v>0</v>
      </c>
      <c r="P75" s="16">
        <v>0</v>
      </c>
      <c r="Q75" s="16">
        <v>0</v>
      </c>
      <c r="R75" s="16">
        <f t="shared" ref="R75:R95" si="22">K75+N75+O75-P75-Q75</f>
        <v>0</v>
      </c>
      <c r="S75" s="16">
        <v>0</v>
      </c>
      <c r="T75" s="16">
        <f t="shared" ref="T75:T95" si="23">S75-R75</f>
        <v>0</v>
      </c>
      <c r="U75" s="16">
        <v>0</v>
      </c>
      <c r="V75" s="16">
        <v>0</v>
      </c>
      <c r="W75" s="16">
        <v>0</v>
      </c>
      <c r="X75" s="16">
        <v>0</v>
      </c>
      <c r="Y75" s="16">
        <f t="shared" ref="Y75:Y95" si="24">R75+U75+V75-W75-X75</f>
        <v>0</v>
      </c>
      <c r="Z75" s="16">
        <v>0</v>
      </c>
      <c r="AA75" s="16">
        <f t="shared" si="9"/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f t="shared" si="10"/>
        <v>0</v>
      </c>
      <c r="AG75" s="16">
        <v>0</v>
      </c>
      <c r="AH75" s="16">
        <f t="shared" si="11"/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f t="shared" si="12"/>
        <v>0</v>
      </c>
      <c r="AN75" s="16">
        <v>0</v>
      </c>
      <c r="AO75" s="16">
        <f t="shared" si="13"/>
        <v>0</v>
      </c>
      <c r="AP75" s="16">
        <f t="shared" ref="AP75:AP95" si="25">G75+N75+U75+AB75</f>
        <v>0</v>
      </c>
      <c r="AQ75" s="16">
        <f t="shared" ref="AQ75:AQ95" si="26">H75+O75+V75+AC75</f>
        <v>0</v>
      </c>
      <c r="AR75" s="16">
        <f t="shared" si="14"/>
        <v>0</v>
      </c>
      <c r="AS75" s="16">
        <f t="shared" ref="AS75:AS95" si="27">J75+Q75+X75+AE75</f>
        <v>0</v>
      </c>
      <c r="AT75" s="16">
        <f t="shared" si="15"/>
        <v>0</v>
      </c>
      <c r="AU75" s="16">
        <f t="shared" ref="AU75:AU93" si="28">AG75</f>
        <v>0</v>
      </c>
      <c r="AV75" s="16">
        <f t="shared" ref="AV75:AV95" si="29">AU75-AT75</f>
        <v>0</v>
      </c>
    </row>
    <row r="76" spans="2:48" s="18" customFormat="1" ht="27" customHeight="1">
      <c r="B76" s="13" t="s">
        <v>144</v>
      </c>
      <c r="C76" s="14" t="s">
        <v>145</v>
      </c>
      <c r="D76" s="15">
        <v>96.1</v>
      </c>
      <c r="E76" s="15">
        <v>96.1</v>
      </c>
      <c r="F76" s="16">
        <v>115</v>
      </c>
      <c r="G76" s="16">
        <v>0</v>
      </c>
      <c r="H76" s="16">
        <v>0</v>
      </c>
      <c r="I76" s="16">
        <v>6</v>
      </c>
      <c r="J76" s="16">
        <v>0</v>
      </c>
      <c r="K76" s="16">
        <f t="shared" si="20"/>
        <v>109</v>
      </c>
      <c r="L76" s="17">
        <v>109</v>
      </c>
      <c r="M76" s="16">
        <f t="shared" si="21"/>
        <v>0</v>
      </c>
      <c r="N76" s="16">
        <v>0</v>
      </c>
      <c r="O76" s="16">
        <v>0</v>
      </c>
      <c r="P76" s="16">
        <v>0</v>
      </c>
      <c r="Q76" s="16">
        <v>0</v>
      </c>
      <c r="R76" s="16">
        <f t="shared" si="22"/>
        <v>109</v>
      </c>
      <c r="S76" s="16">
        <v>109</v>
      </c>
      <c r="T76" s="16">
        <f t="shared" si="23"/>
        <v>0</v>
      </c>
      <c r="U76" s="16">
        <v>0</v>
      </c>
      <c r="V76" s="16">
        <v>0</v>
      </c>
      <c r="W76" s="16">
        <v>0</v>
      </c>
      <c r="X76" s="16">
        <v>0</v>
      </c>
      <c r="Y76" s="16">
        <f t="shared" si="24"/>
        <v>109</v>
      </c>
      <c r="Z76" s="16">
        <v>109</v>
      </c>
      <c r="AA76" s="16">
        <f t="shared" ref="AA76:AA95" si="30">Z76-Y76</f>
        <v>0</v>
      </c>
      <c r="AB76" s="16">
        <v>0</v>
      </c>
      <c r="AC76" s="16">
        <v>0</v>
      </c>
      <c r="AD76" s="16">
        <v>2</v>
      </c>
      <c r="AE76" s="16">
        <v>0</v>
      </c>
      <c r="AF76" s="16">
        <f t="shared" ref="AF76:AF95" si="31">Y76+AB76+AC76-AD76-AE76</f>
        <v>107</v>
      </c>
      <c r="AG76" s="16">
        <v>107</v>
      </c>
      <c r="AH76" s="16">
        <f t="shared" ref="AH76:AH95" si="32">AG76-AF76</f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f t="shared" ref="AM76:AM95" si="33">AF76+AI76+AJ76-AK76-AL76</f>
        <v>107</v>
      </c>
      <c r="AN76" s="16">
        <v>107</v>
      </c>
      <c r="AO76" s="16">
        <f t="shared" ref="AO76:AO95" si="34">AN76-AM76</f>
        <v>0</v>
      </c>
      <c r="AP76" s="16">
        <f t="shared" si="25"/>
        <v>0</v>
      </c>
      <c r="AQ76" s="16">
        <f t="shared" si="26"/>
        <v>0</v>
      </c>
      <c r="AR76" s="16">
        <f t="shared" ref="AR76:AR95" si="35">I76+P76+W76+AD76+AK76</f>
        <v>8</v>
      </c>
      <c r="AS76" s="16">
        <f t="shared" si="27"/>
        <v>0</v>
      </c>
      <c r="AT76" s="16">
        <f t="shared" ref="AT76:AT95" si="36">F76-AR76</f>
        <v>107</v>
      </c>
      <c r="AU76" s="16">
        <f t="shared" si="28"/>
        <v>107</v>
      </c>
      <c r="AV76" s="16">
        <f t="shared" si="29"/>
        <v>0</v>
      </c>
    </row>
    <row r="77" spans="2:48" s="18" customFormat="1" ht="27" customHeight="1">
      <c r="B77" s="13" t="s">
        <v>146</v>
      </c>
      <c r="C77" s="14" t="s">
        <v>147</v>
      </c>
      <c r="D77" s="15">
        <v>79</v>
      </c>
      <c r="E77" s="15">
        <v>79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f t="shared" si="20"/>
        <v>0</v>
      </c>
      <c r="L77" s="17">
        <v>0</v>
      </c>
      <c r="M77" s="16">
        <f t="shared" si="21"/>
        <v>0</v>
      </c>
      <c r="N77" s="16">
        <v>0</v>
      </c>
      <c r="O77" s="16">
        <v>0</v>
      </c>
      <c r="P77" s="16">
        <v>0</v>
      </c>
      <c r="Q77" s="16">
        <v>0</v>
      </c>
      <c r="R77" s="16">
        <f t="shared" si="22"/>
        <v>0</v>
      </c>
      <c r="S77" s="16">
        <v>0</v>
      </c>
      <c r="T77" s="16">
        <f t="shared" si="23"/>
        <v>0</v>
      </c>
      <c r="U77" s="16">
        <v>0</v>
      </c>
      <c r="V77" s="16">
        <v>0</v>
      </c>
      <c r="W77" s="16">
        <v>0</v>
      </c>
      <c r="X77" s="16">
        <v>0</v>
      </c>
      <c r="Y77" s="16">
        <f t="shared" si="24"/>
        <v>0</v>
      </c>
      <c r="Z77" s="16">
        <v>0</v>
      </c>
      <c r="AA77" s="16">
        <f t="shared" si="30"/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f t="shared" si="31"/>
        <v>0</v>
      </c>
      <c r="AG77" s="16">
        <v>0</v>
      </c>
      <c r="AH77" s="16">
        <f t="shared" si="32"/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f t="shared" si="33"/>
        <v>0</v>
      </c>
      <c r="AN77" s="16">
        <v>0</v>
      </c>
      <c r="AO77" s="16">
        <f t="shared" si="34"/>
        <v>0</v>
      </c>
      <c r="AP77" s="16">
        <f t="shared" si="25"/>
        <v>0</v>
      </c>
      <c r="AQ77" s="16">
        <f t="shared" si="26"/>
        <v>0</v>
      </c>
      <c r="AR77" s="16">
        <f t="shared" si="35"/>
        <v>0</v>
      </c>
      <c r="AS77" s="16">
        <f t="shared" si="27"/>
        <v>0</v>
      </c>
      <c r="AT77" s="16">
        <f t="shared" si="36"/>
        <v>0</v>
      </c>
      <c r="AU77" s="16">
        <f t="shared" si="28"/>
        <v>0</v>
      </c>
      <c r="AV77" s="16">
        <f t="shared" si="29"/>
        <v>0</v>
      </c>
    </row>
    <row r="78" spans="2:48" s="18" customFormat="1" ht="27" customHeight="1">
      <c r="B78" s="13" t="s">
        <v>148</v>
      </c>
      <c r="C78" s="14" t="s">
        <v>149</v>
      </c>
      <c r="D78" s="15">
        <v>44</v>
      </c>
      <c r="E78" s="15">
        <v>44</v>
      </c>
      <c r="F78" s="16">
        <v>294</v>
      </c>
      <c r="G78" s="16">
        <v>0</v>
      </c>
      <c r="H78" s="16">
        <v>0</v>
      </c>
      <c r="I78" s="16">
        <v>5</v>
      </c>
      <c r="J78" s="16">
        <v>0</v>
      </c>
      <c r="K78" s="16">
        <f t="shared" si="20"/>
        <v>289</v>
      </c>
      <c r="L78" s="17">
        <v>289</v>
      </c>
      <c r="M78" s="16">
        <f t="shared" si="21"/>
        <v>0</v>
      </c>
      <c r="N78" s="16">
        <v>0</v>
      </c>
      <c r="O78" s="16">
        <v>0</v>
      </c>
      <c r="P78" s="16">
        <v>15</v>
      </c>
      <c r="Q78" s="16">
        <v>0</v>
      </c>
      <c r="R78" s="16">
        <f t="shared" si="22"/>
        <v>274</v>
      </c>
      <c r="S78" s="16">
        <v>274</v>
      </c>
      <c r="T78" s="16">
        <f t="shared" si="23"/>
        <v>0</v>
      </c>
      <c r="U78" s="16">
        <v>0</v>
      </c>
      <c r="V78" s="16">
        <v>0</v>
      </c>
      <c r="W78" s="16">
        <v>5</v>
      </c>
      <c r="X78" s="16">
        <v>0</v>
      </c>
      <c r="Y78" s="16">
        <f t="shared" si="24"/>
        <v>269</v>
      </c>
      <c r="Z78" s="16">
        <v>269</v>
      </c>
      <c r="AA78" s="16">
        <f t="shared" si="30"/>
        <v>0</v>
      </c>
      <c r="AB78" s="16">
        <v>0</v>
      </c>
      <c r="AC78" s="16">
        <v>0</v>
      </c>
      <c r="AD78" s="16">
        <v>1</v>
      </c>
      <c r="AE78" s="16">
        <v>0</v>
      </c>
      <c r="AF78" s="16">
        <f t="shared" si="31"/>
        <v>268</v>
      </c>
      <c r="AG78" s="16">
        <v>268</v>
      </c>
      <c r="AH78" s="16">
        <f t="shared" si="32"/>
        <v>0</v>
      </c>
      <c r="AI78" s="16">
        <v>0</v>
      </c>
      <c r="AJ78" s="16">
        <v>0</v>
      </c>
      <c r="AK78" s="16">
        <v>1</v>
      </c>
      <c r="AL78" s="16">
        <v>0</v>
      </c>
      <c r="AM78" s="16">
        <f t="shared" si="33"/>
        <v>267</v>
      </c>
      <c r="AN78" s="16">
        <v>267</v>
      </c>
      <c r="AO78" s="16">
        <f t="shared" si="34"/>
        <v>0</v>
      </c>
      <c r="AP78" s="16">
        <f t="shared" si="25"/>
        <v>0</v>
      </c>
      <c r="AQ78" s="16">
        <f t="shared" si="26"/>
        <v>0</v>
      </c>
      <c r="AR78" s="16">
        <f t="shared" si="35"/>
        <v>27</v>
      </c>
      <c r="AS78" s="16">
        <f t="shared" si="27"/>
        <v>0</v>
      </c>
      <c r="AT78" s="16">
        <f t="shared" si="36"/>
        <v>267</v>
      </c>
      <c r="AU78" s="16">
        <v>267</v>
      </c>
      <c r="AV78" s="16">
        <f t="shared" si="29"/>
        <v>0</v>
      </c>
    </row>
    <row r="79" spans="2:48" s="18" customFormat="1" ht="27" customHeight="1">
      <c r="B79" s="13" t="s">
        <v>150</v>
      </c>
      <c r="C79" s="14" t="s">
        <v>151</v>
      </c>
      <c r="D79" s="15">
        <v>45.38</v>
      </c>
      <c r="E79" s="15">
        <v>45.38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f t="shared" si="20"/>
        <v>0</v>
      </c>
      <c r="L79" s="17">
        <v>0</v>
      </c>
      <c r="M79" s="16">
        <f t="shared" si="21"/>
        <v>0</v>
      </c>
      <c r="N79" s="16">
        <v>0</v>
      </c>
      <c r="O79" s="16">
        <v>0</v>
      </c>
      <c r="P79" s="16">
        <v>0</v>
      </c>
      <c r="Q79" s="16">
        <v>0</v>
      </c>
      <c r="R79" s="16">
        <f t="shared" si="22"/>
        <v>0</v>
      </c>
      <c r="S79" s="16">
        <v>0</v>
      </c>
      <c r="T79" s="16">
        <f t="shared" si="23"/>
        <v>0</v>
      </c>
      <c r="U79" s="16">
        <v>0</v>
      </c>
      <c r="V79" s="16">
        <v>0</v>
      </c>
      <c r="W79" s="16">
        <v>0</v>
      </c>
      <c r="X79" s="16">
        <v>0</v>
      </c>
      <c r="Y79" s="16">
        <f t="shared" si="24"/>
        <v>0</v>
      </c>
      <c r="Z79" s="16">
        <v>0</v>
      </c>
      <c r="AA79" s="16">
        <f t="shared" si="30"/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f t="shared" si="31"/>
        <v>0</v>
      </c>
      <c r="AG79" s="16">
        <v>0</v>
      </c>
      <c r="AH79" s="16">
        <f t="shared" si="32"/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f t="shared" si="33"/>
        <v>0</v>
      </c>
      <c r="AN79" s="16">
        <v>0</v>
      </c>
      <c r="AO79" s="16">
        <f t="shared" si="34"/>
        <v>0</v>
      </c>
      <c r="AP79" s="16">
        <f t="shared" si="25"/>
        <v>0</v>
      </c>
      <c r="AQ79" s="16">
        <f t="shared" si="26"/>
        <v>0</v>
      </c>
      <c r="AR79" s="16">
        <f t="shared" si="35"/>
        <v>0</v>
      </c>
      <c r="AS79" s="16">
        <f t="shared" si="27"/>
        <v>0</v>
      </c>
      <c r="AT79" s="16">
        <f t="shared" si="36"/>
        <v>0</v>
      </c>
      <c r="AU79" s="16">
        <f t="shared" si="28"/>
        <v>0</v>
      </c>
      <c r="AV79" s="16">
        <f t="shared" si="29"/>
        <v>0</v>
      </c>
    </row>
    <row r="80" spans="2:48" s="18" customFormat="1" ht="27" customHeight="1">
      <c r="B80" s="13" t="s">
        <v>152</v>
      </c>
      <c r="C80" s="24" t="s">
        <v>153</v>
      </c>
      <c r="D80" s="25">
        <v>56</v>
      </c>
      <c r="E80" s="25">
        <v>56</v>
      </c>
      <c r="F80" s="16">
        <v>148</v>
      </c>
      <c r="G80" s="16">
        <v>0</v>
      </c>
      <c r="H80" s="16">
        <v>0</v>
      </c>
      <c r="I80" s="16">
        <v>7</v>
      </c>
      <c r="J80" s="16">
        <v>0</v>
      </c>
      <c r="K80" s="16">
        <f t="shared" si="20"/>
        <v>141</v>
      </c>
      <c r="L80" s="17">
        <v>141</v>
      </c>
      <c r="M80" s="16">
        <f t="shared" si="21"/>
        <v>0</v>
      </c>
      <c r="N80" s="16">
        <v>0</v>
      </c>
      <c r="O80" s="16">
        <v>0</v>
      </c>
      <c r="P80" s="16">
        <v>1</v>
      </c>
      <c r="Q80" s="16">
        <v>0</v>
      </c>
      <c r="R80" s="16">
        <f t="shared" si="22"/>
        <v>140</v>
      </c>
      <c r="S80" s="16">
        <v>140</v>
      </c>
      <c r="T80" s="16">
        <f t="shared" si="23"/>
        <v>0</v>
      </c>
      <c r="U80" s="16">
        <v>0</v>
      </c>
      <c r="V80" s="16">
        <v>0</v>
      </c>
      <c r="W80" s="16">
        <v>1</v>
      </c>
      <c r="X80" s="16">
        <v>0</v>
      </c>
      <c r="Y80" s="16">
        <f t="shared" si="24"/>
        <v>139</v>
      </c>
      <c r="Z80" s="16">
        <v>139</v>
      </c>
      <c r="AA80" s="16">
        <f t="shared" si="30"/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f t="shared" si="31"/>
        <v>139</v>
      </c>
      <c r="AG80" s="16">
        <v>139</v>
      </c>
      <c r="AH80" s="16">
        <f t="shared" si="32"/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f t="shared" si="33"/>
        <v>139</v>
      </c>
      <c r="AN80" s="16">
        <v>139</v>
      </c>
      <c r="AO80" s="16">
        <f t="shared" si="34"/>
        <v>0</v>
      </c>
      <c r="AP80" s="16">
        <f t="shared" si="25"/>
        <v>0</v>
      </c>
      <c r="AQ80" s="16">
        <f t="shared" si="26"/>
        <v>0</v>
      </c>
      <c r="AR80" s="16">
        <f t="shared" si="35"/>
        <v>9</v>
      </c>
      <c r="AS80" s="16">
        <f t="shared" si="27"/>
        <v>0</v>
      </c>
      <c r="AT80" s="16">
        <f t="shared" si="36"/>
        <v>139</v>
      </c>
      <c r="AU80" s="16">
        <f t="shared" si="28"/>
        <v>139</v>
      </c>
      <c r="AV80" s="16">
        <f t="shared" si="29"/>
        <v>0</v>
      </c>
    </row>
    <row r="81" spans="1:48" s="18" customFormat="1" ht="27" customHeight="1">
      <c r="B81" s="13" t="s">
        <v>154</v>
      </c>
      <c r="C81" s="24" t="s">
        <v>155</v>
      </c>
      <c r="D81" s="25">
        <v>49</v>
      </c>
      <c r="E81" s="25">
        <v>49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f t="shared" si="20"/>
        <v>0</v>
      </c>
      <c r="L81" s="17">
        <v>0</v>
      </c>
      <c r="M81" s="16">
        <f t="shared" si="21"/>
        <v>0</v>
      </c>
      <c r="N81" s="16">
        <v>0</v>
      </c>
      <c r="O81" s="16">
        <v>0</v>
      </c>
      <c r="P81" s="16">
        <v>0</v>
      </c>
      <c r="Q81" s="16">
        <v>0</v>
      </c>
      <c r="R81" s="16">
        <f t="shared" si="22"/>
        <v>0</v>
      </c>
      <c r="S81" s="16">
        <v>0</v>
      </c>
      <c r="T81" s="16">
        <f t="shared" si="23"/>
        <v>0</v>
      </c>
      <c r="U81" s="16">
        <v>0</v>
      </c>
      <c r="V81" s="16">
        <v>0</v>
      </c>
      <c r="W81" s="16">
        <v>0</v>
      </c>
      <c r="X81" s="16">
        <v>0</v>
      </c>
      <c r="Y81" s="16">
        <f t="shared" si="24"/>
        <v>0</v>
      </c>
      <c r="Z81" s="16">
        <v>0</v>
      </c>
      <c r="AA81" s="16">
        <f t="shared" si="30"/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f t="shared" si="31"/>
        <v>0</v>
      </c>
      <c r="AG81" s="16">
        <v>0</v>
      </c>
      <c r="AH81" s="16">
        <f t="shared" si="32"/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f t="shared" si="33"/>
        <v>0</v>
      </c>
      <c r="AN81" s="16">
        <v>0</v>
      </c>
      <c r="AO81" s="16">
        <f t="shared" si="34"/>
        <v>0</v>
      </c>
      <c r="AP81" s="16">
        <f t="shared" si="25"/>
        <v>0</v>
      </c>
      <c r="AQ81" s="16">
        <f t="shared" si="26"/>
        <v>0</v>
      </c>
      <c r="AR81" s="16">
        <f t="shared" si="35"/>
        <v>0</v>
      </c>
      <c r="AS81" s="16">
        <f t="shared" si="27"/>
        <v>0</v>
      </c>
      <c r="AT81" s="16">
        <f t="shared" si="36"/>
        <v>0</v>
      </c>
      <c r="AU81" s="16">
        <f t="shared" si="28"/>
        <v>0</v>
      </c>
      <c r="AV81" s="16">
        <f t="shared" si="29"/>
        <v>0</v>
      </c>
    </row>
    <row r="82" spans="1:48" s="18" customFormat="1" ht="27" customHeight="1">
      <c r="B82" s="13" t="s">
        <v>156</v>
      </c>
      <c r="C82" s="24" t="s">
        <v>157</v>
      </c>
      <c r="D82" s="25">
        <v>67</v>
      </c>
      <c r="E82" s="25">
        <v>67</v>
      </c>
      <c r="F82" s="16">
        <v>434</v>
      </c>
      <c r="G82" s="16">
        <v>0</v>
      </c>
      <c r="H82" s="16">
        <v>0</v>
      </c>
      <c r="I82" s="16">
        <v>3</v>
      </c>
      <c r="J82" s="16">
        <v>0</v>
      </c>
      <c r="K82" s="16">
        <f t="shared" si="20"/>
        <v>431</v>
      </c>
      <c r="L82" s="17">
        <v>431</v>
      </c>
      <c r="M82" s="16">
        <f t="shared" si="21"/>
        <v>0</v>
      </c>
      <c r="N82" s="16">
        <v>0</v>
      </c>
      <c r="O82" s="16">
        <v>0</v>
      </c>
      <c r="P82" s="16">
        <v>5</v>
      </c>
      <c r="Q82" s="16">
        <v>0</v>
      </c>
      <c r="R82" s="16">
        <f t="shared" si="22"/>
        <v>426</v>
      </c>
      <c r="S82" s="16">
        <v>426</v>
      </c>
      <c r="T82" s="16">
        <f t="shared" si="23"/>
        <v>0</v>
      </c>
      <c r="U82" s="16">
        <v>0</v>
      </c>
      <c r="V82" s="16">
        <v>0</v>
      </c>
      <c r="W82" s="16">
        <v>2</v>
      </c>
      <c r="X82" s="16">
        <v>0</v>
      </c>
      <c r="Y82" s="16">
        <f t="shared" si="24"/>
        <v>424</v>
      </c>
      <c r="Z82" s="16">
        <v>424</v>
      </c>
      <c r="AA82" s="16">
        <f t="shared" si="30"/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f t="shared" si="31"/>
        <v>424</v>
      </c>
      <c r="AG82" s="16">
        <v>424</v>
      </c>
      <c r="AH82" s="16">
        <f t="shared" si="32"/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f t="shared" si="33"/>
        <v>424</v>
      </c>
      <c r="AN82" s="16">
        <v>424</v>
      </c>
      <c r="AO82" s="16">
        <f t="shared" si="34"/>
        <v>0</v>
      </c>
      <c r="AP82" s="16">
        <f t="shared" si="25"/>
        <v>0</v>
      </c>
      <c r="AQ82" s="16">
        <f t="shared" si="26"/>
        <v>0</v>
      </c>
      <c r="AR82" s="16">
        <f t="shared" si="35"/>
        <v>10</v>
      </c>
      <c r="AS82" s="16">
        <f t="shared" si="27"/>
        <v>0</v>
      </c>
      <c r="AT82" s="16">
        <f t="shared" si="36"/>
        <v>424</v>
      </c>
      <c r="AU82" s="16">
        <f t="shared" si="28"/>
        <v>424</v>
      </c>
      <c r="AV82" s="16">
        <f t="shared" si="29"/>
        <v>0</v>
      </c>
    </row>
    <row r="83" spans="1:48" s="18" customFormat="1" ht="27" customHeight="1">
      <c r="B83" s="13" t="s">
        <v>158</v>
      </c>
      <c r="C83" s="24" t="s">
        <v>159</v>
      </c>
      <c r="D83" s="25">
        <v>73.69</v>
      </c>
      <c r="E83" s="25">
        <v>73.69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f t="shared" si="20"/>
        <v>0</v>
      </c>
      <c r="L83" s="17">
        <v>0</v>
      </c>
      <c r="M83" s="16">
        <f t="shared" si="21"/>
        <v>0</v>
      </c>
      <c r="N83" s="16">
        <v>0</v>
      </c>
      <c r="O83" s="16">
        <v>0</v>
      </c>
      <c r="P83" s="16">
        <v>0</v>
      </c>
      <c r="Q83" s="16">
        <v>0</v>
      </c>
      <c r="R83" s="16">
        <f t="shared" si="22"/>
        <v>0</v>
      </c>
      <c r="S83" s="16">
        <v>0</v>
      </c>
      <c r="T83" s="16">
        <f t="shared" si="23"/>
        <v>0</v>
      </c>
      <c r="U83" s="16">
        <v>0</v>
      </c>
      <c r="V83" s="16">
        <v>0</v>
      </c>
      <c r="W83" s="16">
        <v>0</v>
      </c>
      <c r="X83" s="16">
        <v>0</v>
      </c>
      <c r="Y83" s="16">
        <f t="shared" si="24"/>
        <v>0</v>
      </c>
      <c r="Z83" s="16">
        <v>0</v>
      </c>
      <c r="AA83" s="16">
        <f t="shared" si="30"/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f t="shared" si="31"/>
        <v>0</v>
      </c>
      <c r="AG83" s="16">
        <v>0</v>
      </c>
      <c r="AH83" s="16">
        <f t="shared" si="32"/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f t="shared" si="33"/>
        <v>0</v>
      </c>
      <c r="AN83" s="16">
        <v>0</v>
      </c>
      <c r="AO83" s="16">
        <f t="shared" si="34"/>
        <v>0</v>
      </c>
      <c r="AP83" s="16">
        <f t="shared" si="25"/>
        <v>0</v>
      </c>
      <c r="AQ83" s="16">
        <f t="shared" si="26"/>
        <v>0</v>
      </c>
      <c r="AR83" s="16">
        <f t="shared" si="35"/>
        <v>0</v>
      </c>
      <c r="AS83" s="16">
        <f t="shared" si="27"/>
        <v>0</v>
      </c>
      <c r="AT83" s="16">
        <f t="shared" si="36"/>
        <v>0</v>
      </c>
      <c r="AU83" s="16">
        <f t="shared" si="28"/>
        <v>0</v>
      </c>
      <c r="AV83" s="16">
        <f t="shared" si="29"/>
        <v>0</v>
      </c>
    </row>
    <row r="84" spans="1:48" s="18" customFormat="1" ht="27" customHeight="1">
      <c r="B84" s="13" t="s">
        <v>160</v>
      </c>
      <c r="C84" s="14" t="s">
        <v>161</v>
      </c>
      <c r="D84" s="15">
        <v>65</v>
      </c>
      <c r="E84" s="15">
        <v>65</v>
      </c>
      <c r="F84" s="16">
        <v>134</v>
      </c>
      <c r="G84" s="16">
        <v>0</v>
      </c>
      <c r="H84" s="16">
        <v>0</v>
      </c>
      <c r="I84" s="16">
        <v>5</v>
      </c>
      <c r="J84" s="16">
        <v>0</v>
      </c>
      <c r="K84" s="16">
        <f t="shared" si="20"/>
        <v>129</v>
      </c>
      <c r="L84" s="17">
        <v>129</v>
      </c>
      <c r="M84" s="16">
        <f t="shared" si="21"/>
        <v>0</v>
      </c>
      <c r="N84" s="16">
        <v>0</v>
      </c>
      <c r="O84" s="16">
        <v>0</v>
      </c>
      <c r="P84" s="16">
        <v>3</v>
      </c>
      <c r="Q84" s="16">
        <v>0</v>
      </c>
      <c r="R84" s="16">
        <f t="shared" si="22"/>
        <v>126</v>
      </c>
      <c r="S84" s="16">
        <v>126</v>
      </c>
      <c r="T84" s="16">
        <f t="shared" si="23"/>
        <v>0</v>
      </c>
      <c r="U84" s="16">
        <v>0</v>
      </c>
      <c r="V84" s="16">
        <v>0</v>
      </c>
      <c r="W84" s="16">
        <v>1</v>
      </c>
      <c r="X84" s="16">
        <v>0</v>
      </c>
      <c r="Y84" s="16">
        <f t="shared" si="24"/>
        <v>125</v>
      </c>
      <c r="Z84" s="16">
        <v>125</v>
      </c>
      <c r="AA84" s="16">
        <f t="shared" si="30"/>
        <v>0</v>
      </c>
      <c r="AB84" s="16">
        <v>0</v>
      </c>
      <c r="AC84" s="16">
        <v>0</v>
      </c>
      <c r="AD84" s="16">
        <v>4</v>
      </c>
      <c r="AE84" s="16">
        <v>0</v>
      </c>
      <c r="AF84" s="16">
        <f t="shared" si="31"/>
        <v>121</v>
      </c>
      <c r="AG84" s="16">
        <v>121</v>
      </c>
      <c r="AH84" s="16">
        <f t="shared" si="32"/>
        <v>0</v>
      </c>
      <c r="AI84" s="16">
        <v>0</v>
      </c>
      <c r="AJ84" s="16">
        <v>0</v>
      </c>
      <c r="AK84" s="16">
        <v>1</v>
      </c>
      <c r="AL84" s="16">
        <v>0</v>
      </c>
      <c r="AM84" s="16">
        <f t="shared" si="33"/>
        <v>120</v>
      </c>
      <c r="AN84" s="16">
        <v>120</v>
      </c>
      <c r="AO84" s="16">
        <f t="shared" si="34"/>
        <v>0</v>
      </c>
      <c r="AP84" s="16">
        <f t="shared" si="25"/>
        <v>0</v>
      </c>
      <c r="AQ84" s="16">
        <f t="shared" si="26"/>
        <v>0</v>
      </c>
      <c r="AR84" s="16">
        <f t="shared" si="35"/>
        <v>14</v>
      </c>
      <c r="AS84" s="16">
        <f t="shared" si="27"/>
        <v>0</v>
      </c>
      <c r="AT84" s="16">
        <f t="shared" si="36"/>
        <v>120</v>
      </c>
      <c r="AU84" s="16">
        <v>120</v>
      </c>
      <c r="AV84" s="16">
        <f t="shared" si="29"/>
        <v>0</v>
      </c>
    </row>
    <row r="85" spans="1:48" s="18" customFormat="1" ht="27" customHeight="1">
      <c r="B85" s="13" t="s">
        <v>162</v>
      </c>
      <c r="C85" s="26" t="s">
        <v>163</v>
      </c>
      <c r="D85" s="27">
        <v>73.62</v>
      </c>
      <c r="E85" s="27">
        <v>73.62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f t="shared" si="20"/>
        <v>0</v>
      </c>
      <c r="L85" s="17">
        <v>0</v>
      </c>
      <c r="M85" s="16">
        <f t="shared" si="21"/>
        <v>0</v>
      </c>
      <c r="N85" s="16">
        <v>0</v>
      </c>
      <c r="O85" s="16">
        <v>0</v>
      </c>
      <c r="P85" s="16">
        <v>0</v>
      </c>
      <c r="Q85" s="16">
        <v>0</v>
      </c>
      <c r="R85" s="16">
        <f t="shared" si="22"/>
        <v>0</v>
      </c>
      <c r="S85" s="16">
        <v>0</v>
      </c>
      <c r="T85" s="16">
        <f t="shared" si="23"/>
        <v>0</v>
      </c>
      <c r="U85" s="16">
        <v>0</v>
      </c>
      <c r="V85" s="16">
        <v>0</v>
      </c>
      <c r="W85" s="16">
        <v>0</v>
      </c>
      <c r="X85" s="16">
        <v>0</v>
      </c>
      <c r="Y85" s="16">
        <f t="shared" si="24"/>
        <v>0</v>
      </c>
      <c r="Z85" s="16">
        <v>0</v>
      </c>
      <c r="AA85" s="16">
        <f t="shared" si="30"/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f t="shared" si="31"/>
        <v>0</v>
      </c>
      <c r="AG85" s="16">
        <v>0</v>
      </c>
      <c r="AH85" s="16">
        <f t="shared" si="32"/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f t="shared" si="33"/>
        <v>0</v>
      </c>
      <c r="AN85" s="16">
        <v>0</v>
      </c>
      <c r="AO85" s="16">
        <f t="shared" si="34"/>
        <v>0</v>
      </c>
      <c r="AP85" s="16">
        <f t="shared" si="25"/>
        <v>0</v>
      </c>
      <c r="AQ85" s="16">
        <f t="shared" si="26"/>
        <v>0</v>
      </c>
      <c r="AR85" s="16">
        <f t="shared" si="35"/>
        <v>0</v>
      </c>
      <c r="AS85" s="16">
        <f t="shared" si="27"/>
        <v>0</v>
      </c>
      <c r="AT85" s="16">
        <f t="shared" si="36"/>
        <v>0</v>
      </c>
      <c r="AU85" s="16">
        <f t="shared" si="28"/>
        <v>0</v>
      </c>
      <c r="AV85" s="16">
        <f t="shared" si="29"/>
        <v>0</v>
      </c>
    </row>
    <row r="86" spans="1:48" s="18" customFormat="1" ht="27" customHeight="1">
      <c r="B86" s="13" t="s">
        <v>164</v>
      </c>
      <c r="C86" s="14" t="s">
        <v>165</v>
      </c>
      <c r="D86" s="15">
        <v>73.81</v>
      </c>
      <c r="E86" s="15">
        <v>73.81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f t="shared" si="20"/>
        <v>0</v>
      </c>
      <c r="L86" s="17">
        <v>0</v>
      </c>
      <c r="M86" s="16">
        <f t="shared" si="21"/>
        <v>0</v>
      </c>
      <c r="N86" s="16">
        <v>0</v>
      </c>
      <c r="O86" s="16">
        <v>0</v>
      </c>
      <c r="P86" s="16">
        <v>0</v>
      </c>
      <c r="Q86" s="16">
        <v>0</v>
      </c>
      <c r="R86" s="16">
        <f t="shared" si="22"/>
        <v>0</v>
      </c>
      <c r="S86" s="16">
        <v>0</v>
      </c>
      <c r="T86" s="16">
        <f t="shared" si="23"/>
        <v>0</v>
      </c>
      <c r="U86" s="16">
        <v>0</v>
      </c>
      <c r="V86" s="16">
        <v>0</v>
      </c>
      <c r="W86" s="16">
        <v>0</v>
      </c>
      <c r="X86" s="16">
        <v>0</v>
      </c>
      <c r="Y86" s="16">
        <f t="shared" si="24"/>
        <v>0</v>
      </c>
      <c r="Z86" s="16">
        <v>0</v>
      </c>
      <c r="AA86" s="16">
        <f t="shared" si="30"/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f t="shared" si="31"/>
        <v>0</v>
      </c>
      <c r="AG86" s="16">
        <v>0</v>
      </c>
      <c r="AH86" s="16">
        <f t="shared" si="32"/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f t="shared" si="33"/>
        <v>0</v>
      </c>
      <c r="AN86" s="16">
        <v>0</v>
      </c>
      <c r="AO86" s="16">
        <f t="shared" si="34"/>
        <v>0</v>
      </c>
      <c r="AP86" s="16">
        <f t="shared" si="25"/>
        <v>0</v>
      </c>
      <c r="AQ86" s="16">
        <f t="shared" si="26"/>
        <v>0</v>
      </c>
      <c r="AR86" s="16">
        <f t="shared" si="35"/>
        <v>0</v>
      </c>
      <c r="AS86" s="16">
        <f t="shared" si="27"/>
        <v>0</v>
      </c>
      <c r="AT86" s="16">
        <f t="shared" si="36"/>
        <v>0</v>
      </c>
      <c r="AU86" s="16">
        <f t="shared" si="28"/>
        <v>0</v>
      </c>
      <c r="AV86" s="16">
        <f t="shared" si="29"/>
        <v>0</v>
      </c>
    </row>
    <row r="87" spans="1:48" s="18" customFormat="1" ht="27" customHeight="1">
      <c r="B87" s="13" t="s">
        <v>166</v>
      </c>
      <c r="C87" s="14" t="s">
        <v>167</v>
      </c>
      <c r="D87" s="15">
        <v>31</v>
      </c>
      <c r="E87" s="15">
        <v>31</v>
      </c>
      <c r="F87" s="16">
        <v>312</v>
      </c>
      <c r="G87" s="16">
        <v>0</v>
      </c>
      <c r="H87" s="16">
        <v>0</v>
      </c>
      <c r="I87" s="16">
        <v>5</v>
      </c>
      <c r="J87" s="16">
        <v>0</v>
      </c>
      <c r="K87" s="16">
        <f t="shared" si="20"/>
        <v>307</v>
      </c>
      <c r="L87" s="17">
        <v>307</v>
      </c>
      <c r="M87" s="16">
        <f t="shared" si="21"/>
        <v>0</v>
      </c>
      <c r="N87" s="16">
        <v>0</v>
      </c>
      <c r="O87" s="16">
        <v>0</v>
      </c>
      <c r="P87" s="16">
        <v>7</v>
      </c>
      <c r="Q87" s="16">
        <v>0</v>
      </c>
      <c r="R87" s="16">
        <f t="shared" si="22"/>
        <v>300</v>
      </c>
      <c r="S87" s="16">
        <v>300</v>
      </c>
      <c r="T87" s="16">
        <f t="shared" si="23"/>
        <v>0</v>
      </c>
      <c r="U87" s="16">
        <v>0</v>
      </c>
      <c r="V87" s="16">
        <v>0</v>
      </c>
      <c r="W87" s="16">
        <v>2</v>
      </c>
      <c r="X87" s="16">
        <v>0</v>
      </c>
      <c r="Y87" s="16">
        <f t="shared" si="24"/>
        <v>298</v>
      </c>
      <c r="Z87" s="16">
        <v>298</v>
      </c>
      <c r="AA87" s="16">
        <f t="shared" si="30"/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f t="shared" si="31"/>
        <v>298</v>
      </c>
      <c r="AG87" s="16">
        <v>298</v>
      </c>
      <c r="AH87" s="16">
        <f t="shared" si="32"/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f t="shared" si="33"/>
        <v>298</v>
      </c>
      <c r="AN87" s="16">
        <v>298</v>
      </c>
      <c r="AO87" s="16">
        <f t="shared" si="34"/>
        <v>0</v>
      </c>
      <c r="AP87" s="16">
        <f t="shared" si="25"/>
        <v>0</v>
      </c>
      <c r="AQ87" s="16">
        <f t="shared" si="26"/>
        <v>0</v>
      </c>
      <c r="AR87" s="16">
        <f t="shared" si="35"/>
        <v>14</v>
      </c>
      <c r="AS87" s="16">
        <f t="shared" si="27"/>
        <v>0</v>
      </c>
      <c r="AT87" s="16">
        <f t="shared" si="36"/>
        <v>298</v>
      </c>
      <c r="AU87" s="16">
        <f t="shared" si="28"/>
        <v>298</v>
      </c>
      <c r="AV87" s="16">
        <f t="shared" si="29"/>
        <v>0</v>
      </c>
    </row>
    <row r="88" spans="1:48" s="18" customFormat="1" ht="35.25" customHeight="1">
      <c r="B88" s="13" t="s">
        <v>168</v>
      </c>
      <c r="C88" s="14" t="s">
        <v>169</v>
      </c>
      <c r="D88" s="15">
        <v>40</v>
      </c>
      <c r="E88" s="15">
        <v>40</v>
      </c>
      <c r="F88" s="16">
        <v>382</v>
      </c>
      <c r="G88" s="16">
        <v>0</v>
      </c>
      <c r="H88" s="16">
        <v>0</v>
      </c>
      <c r="I88" s="16">
        <v>5</v>
      </c>
      <c r="J88" s="16">
        <v>0</v>
      </c>
      <c r="K88" s="16">
        <f t="shared" si="20"/>
        <v>377</v>
      </c>
      <c r="L88" s="17">
        <v>377</v>
      </c>
      <c r="M88" s="16">
        <f t="shared" si="21"/>
        <v>0</v>
      </c>
      <c r="N88" s="16">
        <v>0</v>
      </c>
      <c r="O88" s="16">
        <v>0</v>
      </c>
      <c r="P88" s="16">
        <v>2</v>
      </c>
      <c r="Q88" s="16">
        <v>0</v>
      </c>
      <c r="R88" s="16">
        <f t="shared" si="22"/>
        <v>375</v>
      </c>
      <c r="S88" s="16">
        <v>375</v>
      </c>
      <c r="T88" s="16">
        <f t="shared" si="23"/>
        <v>0</v>
      </c>
      <c r="U88" s="16">
        <v>0</v>
      </c>
      <c r="V88" s="16">
        <v>0</v>
      </c>
      <c r="W88" s="16">
        <v>0</v>
      </c>
      <c r="X88" s="16">
        <v>0</v>
      </c>
      <c r="Y88" s="16">
        <f t="shared" si="24"/>
        <v>375</v>
      </c>
      <c r="Z88" s="16">
        <v>375</v>
      </c>
      <c r="AA88" s="16">
        <f t="shared" si="30"/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f t="shared" si="31"/>
        <v>375</v>
      </c>
      <c r="AG88" s="16">
        <v>375</v>
      </c>
      <c r="AH88" s="16">
        <f t="shared" si="32"/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f t="shared" si="33"/>
        <v>375</v>
      </c>
      <c r="AN88" s="16">
        <v>375</v>
      </c>
      <c r="AO88" s="16">
        <f t="shared" si="34"/>
        <v>0</v>
      </c>
      <c r="AP88" s="16">
        <f t="shared" si="25"/>
        <v>0</v>
      </c>
      <c r="AQ88" s="16">
        <f t="shared" si="26"/>
        <v>0</v>
      </c>
      <c r="AR88" s="16">
        <f t="shared" si="35"/>
        <v>7</v>
      </c>
      <c r="AS88" s="16">
        <f t="shared" si="27"/>
        <v>0</v>
      </c>
      <c r="AT88" s="16">
        <f t="shared" si="36"/>
        <v>375</v>
      </c>
      <c r="AU88" s="16">
        <f t="shared" si="28"/>
        <v>375</v>
      </c>
      <c r="AV88" s="16">
        <f t="shared" si="29"/>
        <v>0</v>
      </c>
    </row>
    <row r="89" spans="1:48" s="18" customFormat="1" ht="27" customHeight="1">
      <c r="B89" s="13" t="s">
        <v>170</v>
      </c>
      <c r="C89" s="14" t="s">
        <v>171</v>
      </c>
      <c r="D89" s="15">
        <v>16.809999999999999</v>
      </c>
      <c r="E89" s="15">
        <v>16.809999999999999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f t="shared" si="20"/>
        <v>0</v>
      </c>
      <c r="L89" s="17">
        <v>0</v>
      </c>
      <c r="M89" s="16">
        <f t="shared" si="21"/>
        <v>0</v>
      </c>
      <c r="N89" s="16">
        <v>0</v>
      </c>
      <c r="O89" s="16">
        <v>0</v>
      </c>
      <c r="P89" s="16">
        <v>0</v>
      </c>
      <c r="Q89" s="16">
        <v>0</v>
      </c>
      <c r="R89" s="16">
        <f t="shared" si="22"/>
        <v>0</v>
      </c>
      <c r="S89" s="16">
        <v>0</v>
      </c>
      <c r="T89" s="16">
        <f t="shared" si="23"/>
        <v>0</v>
      </c>
      <c r="U89" s="16">
        <v>0</v>
      </c>
      <c r="V89" s="16">
        <v>0</v>
      </c>
      <c r="W89" s="16">
        <v>0</v>
      </c>
      <c r="X89" s="16">
        <v>0</v>
      </c>
      <c r="Y89" s="16">
        <f t="shared" si="24"/>
        <v>0</v>
      </c>
      <c r="Z89" s="16">
        <v>0</v>
      </c>
      <c r="AA89" s="16">
        <f t="shared" si="30"/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f t="shared" si="31"/>
        <v>0</v>
      </c>
      <c r="AG89" s="16">
        <v>0</v>
      </c>
      <c r="AH89" s="16">
        <f t="shared" si="32"/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f t="shared" si="33"/>
        <v>0</v>
      </c>
      <c r="AN89" s="16">
        <v>0</v>
      </c>
      <c r="AO89" s="16">
        <f t="shared" si="34"/>
        <v>0</v>
      </c>
      <c r="AP89" s="16">
        <f t="shared" si="25"/>
        <v>0</v>
      </c>
      <c r="AQ89" s="16">
        <f t="shared" si="26"/>
        <v>0</v>
      </c>
      <c r="AR89" s="16">
        <f t="shared" si="35"/>
        <v>0</v>
      </c>
      <c r="AS89" s="16">
        <f t="shared" si="27"/>
        <v>0</v>
      </c>
      <c r="AT89" s="16">
        <f t="shared" si="36"/>
        <v>0</v>
      </c>
      <c r="AU89" s="16">
        <f t="shared" si="28"/>
        <v>0</v>
      </c>
      <c r="AV89" s="16">
        <f t="shared" si="29"/>
        <v>0</v>
      </c>
    </row>
    <row r="90" spans="1:48" s="18" customFormat="1" ht="27" customHeight="1">
      <c r="B90" s="13" t="s">
        <v>172</v>
      </c>
      <c r="C90" s="14" t="s">
        <v>173</v>
      </c>
      <c r="D90" s="15">
        <v>68</v>
      </c>
      <c r="E90" s="15">
        <v>68</v>
      </c>
      <c r="F90" s="16">
        <v>194</v>
      </c>
      <c r="G90" s="16">
        <v>0</v>
      </c>
      <c r="H90" s="16">
        <v>0</v>
      </c>
      <c r="I90" s="16">
        <v>3</v>
      </c>
      <c r="J90" s="16">
        <v>0</v>
      </c>
      <c r="K90" s="16">
        <f t="shared" si="20"/>
        <v>191</v>
      </c>
      <c r="L90" s="17">
        <v>191</v>
      </c>
      <c r="M90" s="16">
        <f t="shared" si="21"/>
        <v>0</v>
      </c>
      <c r="N90" s="16">
        <v>0</v>
      </c>
      <c r="O90" s="16">
        <v>0</v>
      </c>
      <c r="P90" s="16">
        <v>2</v>
      </c>
      <c r="Q90" s="16">
        <v>0</v>
      </c>
      <c r="R90" s="16">
        <f t="shared" si="22"/>
        <v>189</v>
      </c>
      <c r="S90" s="16">
        <v>189</v>
      </c>
      <c r="T90" s="16">
        <f t="shared" si="23"/>
        <v>0</v>
      </c>
      <c r="U90" s="16">
        <v>0</v>
      </c>
      <c r="V90" s="16">
        <v>0</v>
      </c>
      <c r="W90" s="16">
        <v>5</v>
      </c>
      <c r="X90" s="16">
        <v>0</v>
      </c>
      <c r="Y90" s="16">
        <f t="shared" si="24"/>
        <v>184</v>
      </c>
      <c r="Z90" s="16">
        <v>184</v>
      </c>
      <c r="AA90" s="16">
        <f t="shared" si="30"/>
        <v>0</v>
      </c>
      <c r="AB90" s="16">
        <v>0</v>
      </c>
      <c r="AC90" s="16">
        <v>0</v>
      </c>
      <c r="AD90" s="16">
        <v>2</v>
      </c>
      <c r="AE90" s="16">
        <v>0</v>
      </c>
      <c r="AF90" s="16">
        <f t="shared" si="31"/>
        <v>182</v>
      </c>
      <c r="AG90" s="16">
        <v>182</v>
      </c>
      <c r="AH90" s="16">
        <f t="shared" si="32"/>
        <v>0</v>
      </c>
      <c r="AI90" s="16">
        <v>0</v>
      </c>
      <c r="AJ90" s="16">
        <v>0</v>
      </c>
      <c r="AK90" s="16">
        <v>1</v>
      </c>
      <c r="AL90" s="16">
        <v>0</v>
      </c>
      <c r="AM90" s="16">
        <f t="shared" si="33"/>
        <v>181</v>
      </c>
      <c r="AN90" s="16">
        <v>181</v>
      </c>
      <c r="AO90" s="16">
        <f t="shared" si="34"/>
        <v>0</v>
      </c>
      <c r="AP90" s="16">
        <f t="shared" si="25"/>
        <v>0</v>
      </c>
      <c r="AQ90" s="16">
        <f t="shared" si="26"/>
        <v>0</v>
      </c>
      <c r="AR90" s="16">
        <f t="shared" si="35"/>
        <v>13</v>
      </c>
      <c r="AS90" s="16">
        <f t="shared" si="27"/>
        <v>0</v>
      </c>
      <c r="AT90" s="16">
        <f t="shared" si="36"/>
        <v>181</v>
      </c>
      <c r="AU90" s="16">
        <v>181</v>
      </c>
      <c r="AV90" s="16">
        <f t="shared" si="29"/>
        <v>0</v>
      </c>
    </row>
    <row r="91" spans="1:48" s="18" customFormat="1" ht="27" customHeight="1">
      <c r="B91" s="13" t="s">
        <v>174</v>
      </c>
      <c r="C91" s="14" t="s">
        <v>175</v>
      </c>
      <c r="D91" s="15">
        <v>48</v>
      </c>
      <c r="E91" s="15">
        <v>48</v>
      </c>
      <c r="F91" s="16">
        <v>14</v>
      </c>
      <c r="G91" s="16">
        <v>0</v>
      </c>
      <c r="H91" s="16">
        <v>0</v>
      </c>
      <c r="I91" s="16">
        <v>1</v>
      </c>
      <c r="J91" s="16">
        <v>0</v>
      </c>
      <c r="K91" s="16">
        <f t="shared" si="20"/>
        <v>13</v>
      </c>
      <c r="L91" s="17">
        <v>13</v>
      </c>
      <c r="M91" s="16">
        <f t="shared" si="21"/>
        <v>0</v>
      </c>
      <c r="N91" s="16">
        <v>0</v>
      </c>
      <c r="O91" s="16">
        <v>0</v>
      </c>
      <c r="P91" s="16">
        <v>1</v>
      </c>
      <c r="Q91" s="16">
        <v>0</v>
      </c>
      <c r="R91" s="16">
        <f t="shared" si="22"/>
        <v>12</v>
      </c>
      <c r="S91" s="16">
        <v>12</v>
      </c>
      <c r="T91" s="16">
        <f t="shared" si="23"/>
        <v>0</v>
      </c>
      <c r="U91" s="16">
        <v>0</v>
      </c>
      <c r="V91" s="16">
        <v>0</v>
      </c>
      <c r="W91" s="16">
        <v>0</v>
      </c>
      <c r="X91" s="16">
        <v>0</v>
      </c>
      <c r="Y91" s="16">
        <f t="shared" si="24"/>
        <v>12</v>
      </c>
      <c r="Z91" s="16">
        <v>12</v>
      </c>
      <c r="AA91" s="16">
        <f t="shared" si="30"/>
        <v>0</v>
      </c>
      <c r="AB91" s="16">
        <v>0</v>
      </c>
      <c r="AC91" s="16">
        <v>0</v>
      </c>
      <c r="AD91" s="16">
        <v>1</v>
      </c>
      <c r="AE91" s="16">
        <v>0</v>
      </c>
      <c r="AF91" s="16">
        <f t="shared" si="31"/>
        <v>11</v>
      </c>
      <c r="AG91" s="16">
        <v>11</v>
      </c>
      <c r="AH91" s="16">
        <f t="shared" si="32"/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f t="shared" si="33"/>
        <v>11</v>
      </c>
      <c r="AN91" s="16">
        <v>11</v>
      </c>
      <c r="AO91" s="16">
        <f t="shared" si="34"/>
        <v>0</v>
      </c>
      <c r="AP91" s="16">
        <f t="shared" si="25"/>
        <v>0</v>
      </c>
      <c r="AQ91" s="16">
        <f t="shared" si="26"/>
        <v>0</v>
      </c>
      <c r="AR91" s="16">
        <f t="shared" si="35"/>
        <v>3</v>
      </c>
      <c r="AS91" s="16">
        <f t="shared" si="27"/>
        <v>0</v>
      </c>
      <c r="AT91" s="16">
        <f t="shared" si="36"/>
        <v>11</v>
      </c>
      <c r="AU91" s="16">
        <f t="shared" si="28"/>
        <v>11</v>
      </c>
      <c r="AV91" s="16">
        <f t="shared" si="29"/>
        <v>0</v>
      </c>
    </row>
    <row r="92" spans="1:48" s="18" customFormat="1" ht="33.75" customHeight="1">
      <c r="B92" s="13" t="s">
        <v>176</v>
      </c>
      <c r="C92" s="14" t="s">
        <v>177</v>
      </c>
      <c r="D92" s="15">
        <v>550</v>
      </c>
      <c r="E92" s="15">
        <v>550</v>
      </c>
      <c r="F92" s="16">
        <v>197</v>
      </c>
      <c r="G92" s="16">
        <v>0</v>
      </c>
      <c r="H92" s="16">
        <v>0</v>
      </c>
      <c r="I92" s="16">
        <v>0</v>
      </c>
      <c r="J92" s="16">
        <v>0</v>
      </c>
      <c r="K92" s="16">
        <f t="shared" si="20"/>
        <v>197</v>
      </c>
      <c r="L92" s="17">
        <v>197</v>
      </c>
      <c r="M92" s="16">
        <f t="shared" si="21"/>
        <v>0</v>
      </c>
      <c r="N92" s="16">
        <v>0</v>
      </c>
      <c r="O92" s="16">
        <v>0</v>
      </c>
      <c r="P92" s="16">
        <v>0</v>
      </c>
      <c r="Q92" s="16">
        <v>0</v>
      </c>
      <c r="R92" s="16">
        <f t="shared" si="22"/>
        <v>197</v>
      </c>
      <c r="S92" s="16">
        <v>197</v>
      </c>
      <c r="T92" s="16">
        <f t="shared" si="23"/>
        <v>0</v>
      </c>
      <c r="U92" s="16">
        <v>0</v>
      </c>
      <c r="V92" s="16">
        <v>0</v>
      </c>
      <c r="W92" s="16">
        <v>0</v>
      </c>
      <c r="X92" s="16">
        <v>0</v>
      </c>
      <c r="Y92" s="16">
        <f t="shared" si="24"/>
        <v>197</v>
      </c>
      <c r="Z92" s="16">
        <v>197</v>
      </c>
      <c r="AA92" s="16">
        <f t="shared" si="30"/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f t="shared" si="31"/>
        <v>197</v>
      </c>
      <c r="AG92" s="16">
        <v>197</v>
      </c>
      <c r="AH92" s="16">
        <f t="shared" si="32"/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f t="shared" si="33"/>
        <v>197</v>
      </c>
      <c r="AN92" s="16">
        <v>197</v>
      </c>
      <c r="AO92" s="16">
        <f t="shared" si="34"/>
        <v>0</v>
      </c>
      <c r="AP92" s="16">
        <f t="shared" si="25"/>
        <v>0</v>
      </c>
      <c r="AQ92" s="16">
        <f t="shared" si="26"/>
        <v>0</v>
      </c>
      <c r="AR92" s="16">
        <f t="shared" si="35"/>
        <v>0</v>
      </c>
      <c r="AS92" s="16">
        <f t="shared" si="27"/>
        <v>0</v>
      </c>
      <c r="AT92" s="16">
        <f t="shared" si="36"/>
        <v>197</v>
      </c>
      <c r="AU92" s="16">
        <f t="shared" si="28"/>
        <v>197</v>
      </c>
      <c r="AV92" s="16">
        <f t="shared" si="29"/>
        <v>0</v>
      </c>
    </row>
    <row r="93" spans="1:48" s="18" customFormat="1" ht="27" customHeight="1">
      <c r="B93" s="13" t="s">
        <v>178</v>
      </c>
      <c r="C93" s="14" t="s">
        <v>179</v>
      </c>
      <c r="D93" s="15">
        <v>19.079999999999998</v>
      </c>
      <c r="E93" s="15">
        <v>19.079999999999998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f t="shared" si="20"/>
        <v>0</v>
      </c>
      <c r="L93" s="17">
        <v>0</v>
      </c>
      <c r="M93" s="16">
        <f t="shared" si="21"/>
        <v>0</v>
      </c>
      <c r="N93" s="16">
        <v>0</v>
      </c>
      <c r="O93" s="16">
        <v>0</v>
      </c>
      <c r="P93" s="16">
        <v>0</v>
      </c>
      <c r="Q93" s="16">
        <v>0</v>
      </c>
      <c r="R93" s="16">
        <f t="shared" si="22"/>
        <v>0</v>
      </c>
      <c r="S93" s="16">
        <v>0</v>
      </c>
      <c r="T93" s="16">
        <f t="shared" si="23"/>
        <v>0</v>
      </c>
      <c r="U93" s="16">
        <v>0</v>
      </c>
      <c r="V93" s="16">
        <v>0</v>
      </c>
      <c r="W93" s="16">
        <v>0</v>
      </c>
      <c r="X93" s="16">
        <v>0</v>
      </c>
      <c r="Y93" s="16">
        <f t="shared" si="24"/>
        <v>0</v>
      </c>
      <c r="Z93" s="16">
        <v>0</v>
      </c>
      <c r="AA93" s="16">
        <f t="shared" si="30"/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f t="shared" si="31"/>
        <v>0</v>
      </c>
      <c r="AG93" s="16">
        <v>0</v>
      </c>
      <c r="AH93" s="16">
        <f t="shared" si="32"/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f t="shared" si="33"/>
        <v>0</v>
      </c>
      <c r="AN93" s="16">
        <v>0</v>
      </c>
      <c r="AO93" s="16">
        <f t="shared" si="34"/>
        <v>0</v>
      </c>
      <c r="AP93" s="16">
        <f t="shared" si="25"/>
        <v>0</v>
      </c>
      <c r="AQ93" s="16">
        <f t="shared" si="26"/>
        <v>0</v>
      </c>
      <c r="AR93" s="16">
        <f t="shared" si="35"/>
        <v>0</v>
      </c>
      <c r="AS93" s="16">
        <f t="shared" si="27"/>
        <v>0</v>
      </c>
      <c r="AT93" s="16">
        <f t="shared" si="36"/>
        <v>0</v>
      </c>
      <c r="AU93" s="16">
        <f t="shared" si="28"/>
        <v>0</v>
      </c>
      <c r="AV93" s="16">
        <f t="shared" si="29"/>
        <v>0</v>
      </c>
    </row>
    <row r="94" spans="1:48" s="18" customFormat="1" ht="27" customHeight="1">
      <c r="B94" s="28"/>
      <c r="C94" s="24" t="s">
        <v>180</v>
      </c>
      <c r="D94" s="25">
        <v>0</v>
      </c>
      <c r="E94" s="25"/>
      <c r="F94" s="29">
        <v>40</v>
      </c>
      <c r="G94" s="16">
        <v>0</v>
      </c>
      <c r="H94" s="16">
        <v>0</v>
      </c>
      <c r="I94" s="16">
        <v>4</v>
      </c>
      <c r="J94" s="16">
        <v>0</v>
      </c>
      <c r="K94" s="16">
        <f t="shared" si="20"/>
        <v>36</v>
      </c>
      <c r="L94" s="17">
        <v>36</v>
      </c>
      <c r="M94" s="16">
        <f t="shared" si="21"/>
        <v>0</v>
      </c>
      <c r="N94" s="16">
        <v>0</v>
      </c>
      <c r="O94" s="16">
        <v>0</v>
      </c>
      <c r="P94" s="16">
        <v>1</v>
      </c>
      <c r="Q94" s="16">
        <v>0</v>
      </c>
      <c r="R94" s="16">
        <f t="shared" si="22"/>
        <v>35</v>
      </c>
      <c r="S94" s="16">
        <v>35</v>
      </c>
      <c r="T94" s="16">
        <f t="shared" si="23"/>
        <v>0</v>
      </c>
      <c r="U94" s="16">
        <v>0</v>
      </c>
      <c r="V94" s="16">
        <v>0</v>
      </c>
      <c r="W94" s="16">
        <v>3</v>
      </c>
      <c r="X94" s="16">
        <v>0</v>
      </c>
      <c r="Y94" s="16">
        <f t="shared" si="24"/>
        <v>32</v>
      </c>
      <c r="Z94" s="16">
        <v>32</v>
      </c>
      <c r="AA94" s="16">
        <f t="shared" si="30"/>
        <v>0</v>
      </c>
      <c r="AB94" s="16">
        <v>0</v>
      </c>
      <c r="AC94" s="16">
        <v>0</v>
      </c>
      <c r="AD94" s="16">
        <v>4</v>
      </c>
      <c r="AE94" s="16">
        <v>0</v>
      </c>
      <c r="AF94" s="16">
        <f t="shared" si="31"/>
        <v>28</v>
      </c>
      <c r="AG94" s="16">
        <v>28</v>
      </c>
      <c r="AH94" s="16">
        <f t="shared" si="32"/>
        <v>0</v>
      </c>
      <c r="AI94" s="16">
        <v>0</v>
      </c>
      <c r="AJ94" s="16">
        <v>0</v>
      </c>
      <c r="AK94" s="16">
        <v>3</v>
      </c>
      <c r="AL94" s="16">
        <v>0</v>
      </c>
      <c r="AM94" s="16">
        <f t="shared" si="33"/>
        <v>25</v>
      </c>
      <c r="AN94" s="16">
        <v>25</v>
      </c>
      <c r="AO94" s="16">
        <f t="shared" si="34"/>
        <v>0</v>
      </c>
      <c r="AP94" s="16">
        <f t="shared" si="25"/>
        <v>0</v>
      </c>
      <c r="AQ94" s="16">
        <f t="shared" si="26"/>
        <v>0</v>
      </c>
      <c r="AR94" s="16">
        <f t="shared" si="35"/>
        <v>15</v>
      </c>
      <c r="AS94" s="16">
        <f t="shared" si="27"/>
        <v>0</v>
      </c>
      <c r="AT94" s="16">
        <f t="shared" si="36"/>
        <v>25</v>
      </c>
      <c r="AU94" s="16">
        <v>25</v>
      </c>
      <c r="AV94" s="16">
        <f t="shared" si="29"/>
        <v>0</v>
      </c>
    </row>
    <row r="95" spans="1:48" s="18" customFormat="1" ht="27" customHeight="1" thickBot="1">
      <c r="B95" s="28" t="s">
        <v>181</v>
      </c>
      <c r="C95" s="24" t="s">
        <v>182</v>
      </c>
      <c r="D95" s="25">
        <v>29.5</v>
      </c>
      <c r="E95" s="25">
        <v>29.5</v>
      </c>
      <c r="F95" s="29">
        <v>6882</v>
      </c>
      <c r="G95" s="16">
        <v>0</v>
      </c>
      <c r="H95" s="16">
        <v>0</v>
      </c>
      <c r="I95" s="16">
        <v>112</v>
      </c>
      <c r="J95" s="16">
        <v>0</v>
      </c>
      <c r="K95" s="16">
        <f t="shared" si="20"/>
        <v>6770</v>
      </c>
      <c r="L95" s="17">
        <v>6770</v>
      </c>
      <c r="M95" s="16">
        <f t="shared" si="21"/>
        <v>0</v>
      </c>
      <c r="N95" s="16">
        <v>0</v>
      </c>
      <c r="O95" s="16">
        <v>0</v>
      </c>
      <c r="P95" s="16">
        <v>71</v>
      </c>
      <c r="Q95" s="16">
        <v>0</v>
      </c>
      <c r="R95" s="16">
        <f t="shared" si="22"/>
        <v>6699</v>
      </c>
      <c r="S95" s="16">
        <v>6699</v>
      </c>
      <c r="T95" s="16">
        <f t="shared" si="23"/>
        <v>0</v>
      </c>
      <c r="U95" s="16">
        <v>0</v>
      </c>
      <c r="V95" s="16">
        <v>0</v>
      </c>
      <c r="W95" s="16">
        <v>34</v>
      </c>
      <c r="X95" s="16">
        <v>0</v>
      </c>
      <c r="Y95" s="16">
        <f t="shared" si="24"/>
        <v>6665</v>
      </c>
      <c r="Z95" s="17">
        <v>6665</v>
      </c>
      <c r="AA95" s="16">
        <f t="shared" si="30"/>
        <v>0</v>
      </c>
      <c r="AB95" s="16">
        <v>0</v>
      </c>
      <c r="AC95" s="16">
        <v>0</v>
      </c>
      <c r="AD95" s="16">
        <v>90</v>
      </c>
      <c r="AE95" s="16">
        <v>0</v>
      </c>
      <c r="AF95" s="16">
        <f t="shared" si="31"/>
        <v>6575</v>
      </c>
      <c r="AG95" s="16">
        <v>6575</v>
      </c>
      <c r="AH95" s="16">
        <f t="shared" si="32"/>
        <v>0</v>
      </c>
      <c r="AI95" s="16">
        <v>0</v>
      </c>
      <c r="AJ95" s="16">
        <v>0</v>
      </c>
      <c r="AK95" s="16">
        <v>71</v>
      </c>
      <c r="AL95" s="16">
        <v>0</v>
      </c>
      <c r="AM95" s="16">
        <f t="shared" si="33"/>
        <v>6504</v>
      </c>
      <c r="AN95" s="16">
        <v>6504</v>
      </c>
      <c r="AO95" s="16">
        <f t="shared" si="34"/>
        <v>0</v>
      </c>
      <c r="AP95" s="16">
        <f t="shared" si="25"/>
        <v>0</v>
      </c>
      <c r="AQ95" s="16">
        <f t="shared" si="26"/>
        <v>0</v>
      </c>
      <c r="AR95" s="16">
        <f t="shared" si="35"/>
        <v>378</v>
      </c>
      <c r="AS95" s="16">
        <f t="shared" si="27"/>
        <v>0</v>
      </c>
      <c r="AT95" s="16">
        <f t="shared" si="36"/>
        <v>6504</v>
      </c>
      <c r="AU95" s="16">
        <v>6504</v>
      </c>
      <c r="AV95" s="16">
        <f t="shared" si="29"/>
        <v>0</v>
      </c>
    </row>
    <row r="96" spans="1:48" ht="15.75" thickBot="1">
      <c r="A96" s="30"/>
      <c r="B96" s="31" t="s">
        <v>183</v>
      </c>
      <c r="C96" s="32"/>
      <c r="D96" s="33">
        <f t="shared" ref="D96:AV96" si="37">SUM(D11:D95)</f>
        <v>6785.5100000000011</v>
      </c>
      <c r="E96" s="33">
        <f t="shared" si="37"/>
        <v>6785.5100000000011</v>
      </c>
      <c r="F96" s="34">
        <v>15267</v>
      </c>
      <c r="G96" s="34">
        <f t="shared" si="37"/>
        <v>0</v>
      </c>
      <c r="H96" s="34">
        <f t="shared" si="37"/>
        <v>0</v>
      </c>
      <c r="I96" s="34">
        <f>SUM(I11:I95)</f>
        <v>426</v>
      </c>
      <c r="J96" s="34">
        <f t="shared" si="37"/>
        <v>0</v>
      </c>
      <c r="K96" s="34">
        <f t="shared" si="37"/>
        <v>14841</v>
      </c>
      <c r="L96" s="34">
        <f t="shared" si="37"/>
        <v>14841</v>
      </c>
      <c r="M96" s="34">
        <f t="shared" si="37"/>
        <v>0</v>
      </c>
      <c r="N96" s="34">
        <f t="shared" si="37"/>
        <v>0</v>
      </c>
      <c r="O96" s="34">
        <f t="shared" si="37"/>
        <v>0</v>
      </c>
      <c r="P96" s="34">
        <f>SUM(P11:P95)</f>
        <v>241</v>
      </c>
      <c r="Q96" s="34">
        <f t="shared" si="37"/>
        <v>0</v>
      </c>
      <c r="R96" s="34">
        <f t="shared" si="37"/>
        <v>14600</v>
      </c>
      <c r="S96" s="34">
        <f t="shared" si="37"/>
        <v>14600</v>
      </c>
      <c r="T96" s="34">
        <f t="shared" si="37"/>
        <v>0</v>
      </c>
      <c r="U96" s="34">
        <f t="shared" si="37"/>
        <v>0</v>
      </c>
      <c r="V96" s="34">
        <f t="shared" si="37"/>
        <v>0</v>
      </c>
      <c r="W96" s="34">
        <f t="shared" si="37"/>
        <v>161</v>
      </c>
      <c r="X96" s="34">
        <f t="shared" si="37"/>
        <v>0</v>
      </c>
      <c r="Y96" s="34">
        <f t="shared" si="37"/>
        <v>14439</v>
      </c>
      <c r="Z96" s="34">
        <f t="shared" si="37"/>
        <v>14439</v>
      </c>
      <c r="AA96" s="34">
        <f t="shared" si="37"/>
        <v>0</v>
      </c>
      <c r="AB96" s="34">
        <f t="shared" si="37"/>
        <v>0</v>
      </c>
      <c r="AC96" s="34">
        <f t="shared" si="37"/>
        <v>0</v>
      </c>
      <c r="AD96" s="34">
        <v>229</v>
      </c>
      <c r="AE96" s="34">
        <f t="shared" si="37"/>
        <v>0</v>
      </c>
      <c r="AF96" s="34">
        <f t="shared" si="37"/>
        <v>14210</v>
      </c>
      <c r="AG96" s="34">
        <f t="shared" si="37"/>
        <v>14210</v>
      </c>
      <c r="AH96" s="34">
        <f t="shared" si="37"/>
        <v>0</v>
      </c>
      <c r="AI96" s="34">
        <f t="shared" ref="AI96:AJ96" si="38">SUM(AI11:AI95)</f>
        <v>0</v>
      </c>
      <c r="AJ96" s="34">
        <f t="shared" si="38"/>
        <v>0</v>
      </c>
      <c r="AK96" s="34"/>
      <c r="AL96" s="34">
        <f t="shared" ref="AL96:AO96" si="39">SUM(AL11:AL95)</f>
        <v>0</v>
      </c>
      <c r="AM96" s="34">
        <f t="shared" si="39"/>
        <v>14097</v>
      </c>
      <c r="AN96" s="34">
        <f t="shared" si="39"/>
        <v>14097</v>
      </c>
      <c r="AO96" s="34">
        <f t="shared" si="39"/>
        <v>0</v>
      </c>
      <c r="AP96" s="34">
        <f t="shared" si="37"/>
        <v>0</v>
      </c>
      <c r="AQ96" s="34">
        <f t="shared" si="37"/>
        <v>0</v>
      </c>
      <c r="AR96" s="34">
        <f t="shared" si="37"/>
        <v>1170</v>
      </c>
      <c r="AS96" s="34">
        <f t="shared" si="37"/>
        <v>0</v>
      </c>
      <c r="AT96" s="34">
        <f t="shared" si="37"/>
        <v>14097</v>
      </c>
      <c r="AU96" s="34" t="s">
        <v>272</v>
      </c>
      <c r="AV96" s="34">
        <f t="shared" si="37"/>
        <v>0</v>
      </c>
    </row>
    <row r="97" ht="15" thickTop="1"/>
  </sheetData>
  <autoFilter ref="A10:AV96" xr:uid="{00000000-0009-0000-0000-000000000000}"/>
  <mergeCells count="15">
    <mergeCell ref="C3:M3"/>
    <mergeCell ref="C4:M4"/>
    <mergeCell ref="C5:M5"/>
    <mergeCell ref="C6:M6"/>
    <mergeCell ref="G8:M8"/>
    <mergeCell ref="U8:AA8"/>
    <mergeCell ref="AB8:AH8"/>
    <mergeCell ref="AP8:AV8"/>
    <mergeCell ref="G9:M9"/>
    <mergeCell ref="N9:T9"/>
    <mergeCell ref="U9:AA9"/>
    <mergeCell ref="AB9:AH9"/>
    <mergeCell ref="N8:T8"/>
    <mergeCell ref="AI8:AO8"/>
    <mergeCell ref="AI9:AO9"/>
  </mergeCells>
  <pageMargins left="0.70866141732283472" right="0.70866141732283472" top="0.74803149606299213" bottom="0.74803149606299213" header="0.31496062992125984" footer="0.31496062992125984"/>
  <pageSetup fitToHeight="3" orientation="portrait" r:id="rId1"/>
  <ignoredErrors>
    <ignoredError sqref="AR11 AR12:AR9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P77"/>
  <sheetViews>
    <sheetView workbookViewId="0">
      <selection activeCell="E13" sqref="E13"/>
    </sheetView>
  </sheetViews>
  <sheetFormatPr baseColWidth="10" defaultColWidth="13.140625" defaultRowHeight="15"/>
  <cols>
    <col min="1" max="1" width="3.5703125" customWidth="1"/>
    <col min="2" max="2" width="12.7109375" style="61" bestFit="1" customWidth="1"/>
    <col min="3" max="3" width="40" bestFit="1" customWidth="1"/>
    <col min="4" max="4" width="17.5703125" style="62" bestFit="1" customWidth="1"/>
    <col min="5" max="5" width="36.7109375" bestFit="1" customWidth="1"/>
    <col min="6" max="6" width="43.42578125" bestFit="1" customWidth="1"/>
    <col min="7" max="7" width="11.5703125" customWidth="1"/>
    <col min="8" max="8" width="16.140625" bestFit="1" customWidth="1"/>
    <col min="9" max="9" width="12" customWidth="1"/>
    <col min="10" max="10" width="12.7109375" bestFit="1" customWidth="1"/>
    <col min="11" max="11" width="12" customWidth="1"/>
    <col min="12" max="12" width="13.85546875" bestFit="1" customWidth="1"/>
    <col min="13" max="14" width="11" customWidth="1"/>
    <col min="15" max="15" width="18.85546875" style="58" bestFit="1" customWidth="1"/>
    <col min="16" max="16" width="19.85546875" style="59" bestFit="1" customWidth="1"/>
    <col min="17" max="19" width="11.85546875" customWidth="1"/>
    <col min="20" max="20" width="13.140625" bestFit="1" customWidth="1"/>
    <col min="21" max="22" width="11.85546875" customWidth="1"/>
    <col min="23" max="23" width="13.140625" bestFit="1" customWidth="1"/>
    <col min="24" max="24" width="16.7109375" bestFit="1" customWidth="1"/>
    <col min="25" max="25" width="13.7109375" bestFit="1" customWidth="1"/>
    <col min="26" max="26" width="6.7109375" bestFit="1" customWidth="1"/>
    <col min="27" max="27" width="7.85546875" bestFit="1" customWidth="1"/>
    <col min="28" max="28" width="5.5703125" bestFit="1" customWidth="1"/>
    <col min="29" max="29" width="3.28515625" bestFit="1" customWidth="1"/>
    <col min="30" max="30" width="16.7109375" bestFit="1" customWidth="1"/>
    <col min="31" max="31" width="13.7109375" bestFit="1" customWidth="1"/>
    <col min="32" max="32" width="13.5703125" bestFit="1" customWidth="1"/>
    <col min="33" max="33" width="9" bestFit="1" customWidth="1"/>
    <col min="34" max="34" width="3.28515625" bestFit="1" customWidth="1"/>
    <col min="35" max="35" width="16.7109375" bestFit="1" customWidth="1"/>
    <col min="36" max="36" width="13.7109375" bestFit="1" customWidth="1"/>
    <col min="37" max="37" width="16.7109375" bestFit="1" customWidth="1"/>
  </cols>
  <sheetData>
    <row r="1" spans="1:16">
      <c r="A1" s="54" t="s">
        <v>0</v>
      </c>
      <c r="B1" s="55"/>
      <c r="C1" s="56"/>
      <c r="D1" s="56"/>
      <c r="E1" s="56"/>
      <c r="F1" s="57"/>
    </row>
    <row r="2" spans="1:16">
      <c r="A2" s="54" t="s">
        <v>216</v>
      </c>
      <c r="B2" s="55"/>
      <c r="C2" s="56"/>
      <c r="D2" s="56"/>
      <c r="E2" s="56"/>
      <c r="F2" s="57"/>
    </row>
    <row r="3" spans="1:16">
      <c r="A3" s="54" t="s">
        <v>233</v>
      </c>
      <c r="B3" s="55"/>
      <c r="C3" s="56"/>
      <c r="D3" s="56"/>
      <c r="E3" s="56"/>
      <c r="F3" s="57"/>
      <c r="O3" s="60" t="s">
        <v>217</v>
      </c>
      <c r="P3" t="s">
        <v>218</v>
      </c>
    </row>
    <row r="4" spans="1:16" ht="15.75" thickBot="1">
      <c r="G4" s="63" t="s">
        <v>219</v>
      </c>
      <c r="H4" s="63"/>
      <c r="I4" s="63"/>
      <c r="J4" s="63"/>
      <c r="K4" s="63"/>
      <c r="L4" s="63"/>
      <c r="O4"/>
      <c r="P4"/>
    </row>
    <row r="5" spans="1:16" ht="26.25" thickBot="1">
      <c r="A5" s="64" t="s">
        <v>220</v>
      </c>
      <c r="B5" s="65" t="s">
        <v>217</v>
      </c>
      <c r="C5" s="66" t="s">
        <v>221</v>
      </c>
      <c r="D5" s="67" t="s">
        <v>222</v>
      </c>
      <c r="E5" s="66" t="s">
        <v>223</v>
      </c>
      <c r="F5" s="66" t="s">
        <v>5</v>
      </c>
      <c r="G5" s="68" t="s">
        <v>209</v>
      </c>
      <c r="H5" s="66" t="s">
        <v>224</v>
      </c>
      <c r="I5" s="66" t="s">
        <v>225</v>
      </c>
      <c r="J5" s="66" t="s">
        <v>226</v>
      </c>
      <c r="K5" s="69" t="s">
        <v>227</v>
      </c>
      <c r="L5" s="66" t="s">
        <v>183</v>
      </c>
      <c r="M5" s="70" t="s">
        <v>228</v>
      </c>
      <c r="O5" s="71" t="s">
        <v>229</v>
      </c>
      <c r="P5" s="71" t="s">
        <v>230</v>
      </c>
    </row>
    <row r="6" spans="1:16">
      <c r="A6" s="72"/>
      <c r="B6" s="72"/>
      <c r="C6" s="72"/>
      <c r="D6" s="72"/>
      <c r="E6" s="72"/>
      <c r="F6" s="72"/>
      <c r="G6" s="72"/>
      <c r="H6" s="73"/>
      <c r="I6" s="73">
        <v>0</v>
      </c>
      <c r="J6" s="74">
        <f t="shared" ref="J6:J14" si="0">H6*0.16</f>
        <v>0</v>
      </c>
      <c r="K6" s="73">
        <v>0</v>
      </c>
      <c r="L6" s="73">
        <f>H6+I6+J6-K6</f>
        <v>0</v>
      </c>
      <c r="M6" s="73" t="e">
        <f>(H6+I6)/G6</f>
        <v>#DIV/0!</v>
      </c>
      <c r="O6" s="75" t="s">
        <v>218</v>
      </c>
      <c r="P6" s="71"/>
    </row>
    <row r="7" spans="1:16">
      <c r="A7" s="71"/>
      <c r="B7" s="71"/>
      <c r="C7" s="71"/>
      <c r="D7" s="71"/>
      <c r="E7" s="71"/>
      <c r="F7" s="71"/>
      <c r="G7" s="71"/>
      <c r="H7" s="74"/>
      <c r="I7" s="74">
        <v>0</v>
      </c>
      <c r="J7" s="74">
        <f t="shared" si="0"/>
        <v>0</v>
      </c>
      <c r="K7" s="74">
        <v>0</v>
      </c>
      <c r="L7" s="74">
        <f t="shared" ref="L7:L25" si="1">H7+I7+J7-K7</f>
        <v>0</v>
      </c>
      <c r="M7" s="74" t="e">
        <f t="shared" ref="M7:M25" si="2">(H7+I7)/G7</f>
        <v>#DIV/0!</v>
      </c>
      <c r="O7" s="76" t="s">
        <v>231</v>
      </c>
      <c r="P7" s="71"/>
    </row>
    <row r="8" spans="1:16">
      <c r="A8" s="71"/>
      <c r="B8" s="71"/>
      <c r="C8" s="71"/>
      <c r="D8" s="71"/>
      <c r="E8" s="71"/>
      <c r="F8" s="71"/>
      <c r="G8" s="71"/>
      <c r="H8" s="74"/>
      <c r="I8" s="74">
        <v>0</v>
      </c>
      <c r="J8" s="74">
        <f t="shared" si="0"/>
        <v>0</v>
      </c>
      <c r="K8" s="74">
        <v>0</v>
      </c>
      <c r="L8" s="74">
        <f t="shared" si="1"/>
        <v>0</v>
      </c>
      <c r="M8" s="74" t="e">
        <f t="shared" si="2"/>
        <v>#DIV/0!</v>
      </c>
      <c r="O8"/>
      <c r="P8"/>
    </row>
    <row r="9" spans="1:16">
      <c r="A9" s="71"/>
      <c r="B9" s="71"/>
      <c r="C9" s="71"/>
      <c r="D9" s="71"/>
      <c r="E9" s="71"/>
      <c r="F9" s="71"/>
      <c r="G9" s="71"/>
      <c r="H9" s="74"/>
      <c r="I9" s="74">
        <v>0</v>
      </c>
      <c r="J9" s="74">
        <f t="shared" si="0"/>
        <v>0</v>
      </c>
      <c r="K9" s="74">
        <v>0</v>
      </c>
      <c r="L9" s="74">
        <f t="shared" si="1"/>
        <v>0</v>
      </c>
      <c r="M9" s="74" t="e">
        <f t="shared" si="2"/>
        <v>#DIV/0!</v>
      </c>
      <c r="O9"/>
      <c r="P9"/>
    </row>
    <row r="10" spans="1:16">
      <c r="A10" s="71"/>
      <c r="B10" s="71"/>
      <c r="C10" s="71"/>
      <c r="D10" s="71"/>
      <c r="E10" s="71"/>
      <c r="F10" s="71"/>
      <c r="G10" s="71"/>
      <c r="H10" s="74"/>
      <c r="I10" s="74">
        <v>0</v>
      </c>
      <c r="J10" s="74">
        <f t="shared" si="0"/>
        <v>0</v>
      </c>
      <c r="K10" s="74">
        <v>0</v>
      </c>
      <c r="L10" s="74">
        <f t="shared" si="1"/>
        <v>0</v>
      </c>
      <c r="M10" s="74" t="e">
        <f t="shared" si="2"/>
        <v>#DIV/0!</v>
      </c>
      <c r="O10"/>
      <c r="P10"/>
    </row>
    <row r="11" spans="1:16">
      <c r="A11" s="71"/>
      <c r="B11" s="71"/>
      <c r="C11" s="71"/>
      <c r="D11" s="71"/>
      <c r="E11" s="71"/>
      <c r="F11" s="71"/>
      <c r="G11" s="71"/>
      <c r="H11" s="74"/>
      <c r="I11" s="74">
        <v>0</v>
      </c>
      <c r="J11" s="74">
        <f t="shared" si="0"/>
        <v>0</v>
      </c>
      <c r="K11" s="74">
        <v>0</v>
      </c>
      <c r="L11" s="74">
        <f t="shared" si="1"/>
        <v>0</v>
      </c>
      <c r="M11" s="74" t="e">
        <f t="shared" si="2"/>
        <v>#DIV/0!</v>
      </c>
      <c r="O11"/>
      <c r="P11"/>
    </row>
    <row r="12" spans="1:16">
      <c r="A12" s="71"/>
      <c r="B12" s="71"/>
      <c r="C12" s="71"/>
      <c r="D12" s="71"/>
      <c r="E12" s="71"/>
      <c r="F12" s="71"/>
      <c r="G12" s="71"/>
      <c r="H12" s="74"/>
      <c r="I12" s="74">
        <v>0</v>
      </c>
      <c r="J12" s="74">
        <f t="shared" si="0"/>
        <v>0</v>
      </c>
      <c r="K12" s="74">
        <v>0</v>
      </c>
      <c r="L12" s="74">
        <f t="shared" si="1"/>
        <v>0</v>
      </c>
      <c r="M12" s="74" t="e">
        <f t="shared" si="2"/>
        <v>#DIV/0!</v>
      </c>
      <c r="O12"/>
      <c r="P12"/>
    </row>
    <row r="13" spans="1:16">
      <c r="A13" s="71"/>
      <c r="B13" s="71"/>
      <c r="C13" s="71"/>
      <c r="D13" s="71"/>
      <c r="E13" s="71"/>
      <c r="F13" s="71"/>
      <c r="G13" s="71"/>
      <c r="H13" s="74"/>
      <c r="I13" s="74">
        <v>0</v>
      </c>
      <c r="J13" s="74">
        <f t="shared" si="0"/>
        <v>0</v>
      </c>
      <c r="K13" s="74">
        <v>0</v>
      </c>
      <c r="L13" s="74">
        <f t="shared" si="1"/>
        <v>0</v>
      </c>
      <c r="M13" s="74" t="e">
        <f t="shared" si="2"/>
        <v>#DIV/0!</v>
      </c>
      <c r="O13"/>
      <c r="P13"/>
    </row>
    <row r="14" spans="1:16">
      <c r="A14" s="71"/>
      <c r="B14" s="71"/>
      <c r="C14" s="71"/>
      <c r="D14" s="71"/>
      <c r="E14" s="71"/>
      <c r="F14" s="71"/>
      <c r="G14" s="71"/>
      <c r="H14" s="74"/>
      <c r="I14" s="74">
        <v>0</v>
      </c>
      <c r="J14" s="74">
        <f t="shared" si="0"/>
        <v>0</v>
      </c>
      <c r="K14" s="74">
        <v>0</v>
      </c>
      <c r="L14" s="74">
        <f t="shared" si="1"/>
        <v>0</v>
      </c>
      <c r="M14" s="74" t="e">
        <f t="shared" si="2"/>
        <v>#DIV/0!</v>
      </c>
      <c r="O14"/>
      <c r="P14"/>
    </row>
    <row r="15" spans="1:16">
      <c r="A15" s="71"/>
      <c r="B15" s="71"/>
      <c r="C15" s="71"/>
      <c r="D15" s="71"/>
      <c r="E15" s="71"/>
      <c r="F15" s="71"/>
      <c r="G15" s="71"/>
      <c r="H15" s="74"/>
      <c r="I15" s="74">
        <v>0</v>
      </c>
      <c r="J15" s="74">
        <f>H15*0.16</f>
        <v>0</v>
      </c>
      <c r="K15" s="74">
        <v>0</v>
      </c>
      <c r="L15" s="74">
        <f t="shared" si="1"/>
        <v>0</v>
      </c>
      <c r="M15" s="74" t="e">
        <f t="shared" si="2"/>
        <v>#DIV/0!</v>
      </c>
      <c r="O15"/>
      <c r="P15"/>
    </row>
    <row r="16" spans="1:16">
      <c r="A16" s="71"/>
      <c r="B16" s="71"/>
      <c r="C16" s="71"/>
      <c r="D16" s="71"/>
      <c r="E16" s="71"/>
      <c r="F16" s="71"/>
      <c r="G16" s="71"/>
      <c r="H16" s="74"/>
      <c r="I16" s="74">
        <v>0</v>
      </c>
      <c r="J16" s="74">
        <f t="shared" ref="J16:J25" si="3">H16*0.16</f>
        <v>0</v>
      </c>
      <c r="K16" s="74">
        <v>0</v>
      </c>
      <c r="L16" s="74">
        <f t="shared" si="1"/>
        <v>0</v>
      </c>
      <c r="M16" s="74" t="e">
        <f t="shared" si="2"/>
        <v>#DIV/0!</v>
      </c>
      <c r="O16"/>
      <c r="P16"/>
    </row>
    <row r="17" spans="1:16">
      <c r="A17" s="71"/>
      <c r="B17" s="71"/>
      <c r="C17" s="71"/>
      <c r="D17" s="71"/>
      <c r="E17" s="71"/>
      <c r="F17" s="71"/>
      <c r="G17" s="71"/>
      <c r="H17" s="74"/>
      <c r="I17" s="74">
        <v>0</v>
      </c>
      <c r="J17" s="74">
        <f t="shared" si="3"/>
        <v>0</v>
      </c>
      <c r="K17" s="74">
        <v>0</v>
      </c>
      <c r="L17" s="74">
        <f t="shared" si="1"/>
        <v>0</v>
      </c>
      <c r="M17" s="74" t="e">
        <f t="shared" si="2"/>
        <v>#DIV/0!</v>
      </c>
      <c r="O17"/>
      <c r="P17"/>
    </row>
    <row r="18" spans="1:16">
      <c r="A18" s="71"/>
      <c r="B18" s="71"/>
      <c r="C18" s="71"/>
      <c r="D18" s="71"/>
      <c r="E18" s="71"/>
      <c r="F18" s="71"/>
      <c r="G18" s="71"/>
      <c r="H18" s="74"/>
      <c r="I18" s="74">
        <v>0</v>
      </c>
      <c r="J18" s="74">
        <f t="shared" si="3"/>
        <v>0</v>
      </c>
      <c r="K18" s="74">
        <v>0</v>
      </c>
      <c r="L18" s="74">
        <f t="shared" si="1"/>
        <v>0</v>
      </c>
      <c r="M18" s="74" t="e">
        <f>(H18+I18)/G18</f>
        <v>#DIV/0!</v>
      </c>
      <c r="O18"/>
      <c r="P18"/>
    </row>
    <row r="19" spans="1:16">
      <c r="A19" s="71"/>
      <c r="B19" s="71"/>
      <c r="C19" s="71"/>
      <c r="D19" s="71"/>
      <c r="E19" s="71"/>
      <c r="F19" s="71"/>
      <c r="G19" s="71"/>
      <c r="H19" s="74"/>
      <c r="I19" s="74">
        <v>0</v>
      </c>
      <c r="J19" s="74">
        <f t="shared" si="3"/>
        <v>0</v>
      </c>
      <c r="K19" s="74">
        <v>0</v>
      </c>
      <c r="L19" s="74">
        <f t="shared" si="1"/>
        <v>0</v>
      </c>
      <c r="M19" s="74" t="e">
        <f t="shared" si="2"/>
        <v>#DIV/0!</v>
      </c>
      <c r="O19"/>
      <c r="P19"/>
    </row>
    <row r="20" spans="1:16">
      <c r="A20" s="71"/>
      <c r="B20" s="71"/>
      <c r="C20" s="71"/>
      <c r="D20" s="71"/>
      <c r="E20" s="71"/>
      <c r="F20" s="71"/>
      <c r="G20" s="71"/>
      <c r="H20" s="74"/>
      <c r="I20" s="74">
        <v>0</v>
      </c>
      <c r="J20" s="74">
        <f t="shared" si="3"/>
        <v>0</v>
      </c>
      <c r="K20" s="74">
        <v>0</v>
      </c>
      <c r="L20" s="74">
        <f t="shared" si="1"/>
        <v>0</v>
      </c>
      <c r="M20" s="74" t="e">
        <f t="shared" si="2"/>
        <v>#DIV/0!</v>
      </c>
      <c r="O20"/>
      <c r="P20"/>
    </row>
    <row r="21" spans="1:16">
      <c r="A21" s="71"/>
      <c r="B21" s="71"/>
      <c r="C21" s="71"/>
      <c r="D21" s="71"/>
      <c r="E21" s="71"/>
      <c r="F21" s="71"/>
      <c r="G21" s="71"/>
      <c r="H21" s="74"/>
      <c r="I21" s="74">
        <v>0</v>
      </c>
      <c r="J21" s="74">
        <f t="shared" si="3"/>
        <v>0</v>
      </c>
      <c r="K21" s="74">
        <v>0</v>
      </c>
      <c r="L21" s="74">
        <f t="shared" si="1"/>
        <v>0</v>
      </c>
      <c r="M21" s="74" t="e">
        <f t="shared" si="2"/>
        <v>#DIV/0!</v>
      </c>
      <c r="O21"/>
      <c r="P21"/>
    </row>
    <row r="22" spans="1:16">
      <c r="A22" s="71"/>
      <c r="B22" s="71"/>
      <c r="C22" s="71"/>
      <c r="D22" s="71"/>
      <c r="E22" s="71"/>
      <c r="F22" s="71"/>
      <c r="G22" s="71"/>
      <c r="H22" s="74"/>
      <c r="I22" s="74">
        <v>0</v>
      </c>
      <c r="J22" s="74">
        <f t="shared" si="3"/>
        <v>0</v>
      </c>
      <c r="K22" s="74">
        <v>0</v>
      </c>
      <c r="L22" s="74">
        <f t="shared" si="1"/>
        <v>0</v>
      </c>
      <c r="M22" s="74" t="e">
        <f t="shared" si="2"/>
        <v>#DIV/0!</v>
      </c>
      <c r="O22"/>
      <c r="P22"/>
    </row>
    <row r="23" spans="1:16">
      <c r="A23" s="71"/>
      <c r="B23" s="71"/>
      <c r="C23" s="71"/>
      <c r="D23" s="71"/>
      <c r="E23" s="71"/>
      <c r="F23" s="71"/>
      <c r="G23" s="71"/>
      <c r="H23" s="74"/>
      <c r="I23" s="74">
        <v>0</v>
      </c>
      <c r="J23" s="74">
        <f t="shared" si="3"/>
        <v>0</v>
      </c>
      <c r="K23" s="74">
        <v>0</v>
      </c>
      <c r="L23" s="74">
        <f t="shared" si="1"/>
        <v>0</v>
      </c>
      <c r="M23" s="74" t="e">
        <f t="shared" si="2"/>
        <v>#DIV/0!</v>
      </c>
      <c r="O23"/>
      <c r="P23"/>
    </row>
    <row r="24" spans="1:16" s="71" customFormat="1" ht="15.75" thickBot="1">
      <c r="I24" s="71">
        <v>0</v>
      </c>
      <c r="J24" s="71">
        <f t="shared" si="3"/>
        <v>0</v>
      </c>
      <c r="K24" s="71">
        <v>0</v>
      </c>
      <c r="L24" s="71">
        <f t="shared" si="1"/>
        <v>0</v>
      </c>
      <c r="M24" s="71" t="e">
        <f t="shared" si="2"/>
        <v>#DIV/0!</v>
      </c>
    </row>
    <row r="25" spans="1:16" ht="15.75" thickBot="1">
      <c r="A25" s="72"/>
      <c r="B25" s="72"/>
      <c r="C25" s="72"/>
      <c r="D25" s="71"/>
      <c r="E25" s="71"/>
      <c r="F25" s="71"/>
      <c r="G25" s="71"/>
      <c r="H25" s="74"/>
      <c r="I25" s="74">
        <v>0</v>
      </c>
      <c r="J25" s="74">
        <f t="shared" si="3"/>
        <v>0</v>
      </c>
      <c r="K25" s="74">
        <v>240.41</v>
      </c>
      <c r="L25" s="74">
        <f t="shared" si="1"/>
        <v>-240.41</v>
      </c>
      <c r="M25" s="74" t="e">
        <f t="shared" si="2"/>
        <v>#DIV/0!</v>
      </c>
      <c r="O25"/>
      <c r="P25"/>
    </row>
    <row r="26" spans="1:16" ht="15.75" thickBot="1">
      <c r="F26" s="77" t="s">
        <v>232</v>
      </c>
      <c r="G26" s="78">
        <f t="shared" ref="G26:M26" si="4">SUBTOTAL(9,G6:G25)</f>
        <v>0</v>
      </c>
      <c r="H26" s="79">
        <f t="shared" si="4"/>
        <v>0</v>
      </c>
      <c r="I26" s="79">
        <f t="shared" si="4"/>
        <v>0</v>
      </c>
      <c r="J26" s="79">
        <f t="shared" si="4"/>
        <v>0</v>
      </c>
      <c r="K26" s="79">
        <f t="shared" si="4"/>
        <v>240.41</v>
      </c>
      <c r="L26" s="79">
        <f t="shared" si="4"/>
        <v>-240.41</v>
      </c>
      <c r="M26" s="79" t="e">
        <f t="shared" si="4"/>
        <v>#DIV/0!</v>
      </c>
      <c r="O26"/>
      <c r="P26"/>
    </row>
    <row r="27" spans="1:16" ht="15.75" thickTop="1">
      <c r="O27"/>
      <c r="P27"/>
    </row>
    <row r="28" spans="1:16">
      <c r="O28"/>
      <c r="P28"/>
    </row>
    <row r="29" spans="1:16">
      <c r="O29"/>
      <c r="P29"/>
    </row>
    <row r="30" spans="1:16">
      <c r="O30"/>
      <c r="P30"/>
    </row>
    <row r="31" spans="1:16">
      <c r="O31"/>
      <c r="P31"/>
    </row>
    <row r="32" spans="1:16">
      <c r="O32"/>
      <c r="P32"/>
    </row>
    <row r="33" spans="15:16">
      <c r="O33"/>
      <c r="P33"/>
    </row>
    <row r="34" spans="15:16">
      <c r="O34"/>
      <c r="P34"/>
    </row>
    <row r="35" spans="15:16">
      <c r="O35"/>
      <c r="P35"/>
    </row>
    <row r="36" spans="15:16">
      <c r="O36"/>
      <c r="P36"/>
    </row>
    <row r="37" spans="15:16">
      <c r="O37"/>
      <c r="P37"/>
    </row>
    <row r="38" spans="15:16">
      <c r="O38"/>
      <c r="P38"/>
    </row>
    <row r="39" spans="15:16">
      <c r="O39"/>
      <c r="P39"/>
    </row>
    <row r="40" spans="15:16">
      <c r="O40"/>
      <c r="P40"/>
    </row>
    <row r="41" spans="15:16">
      <c r="O41"/>
      <c r="P41"/>
    </row>
    <row r="42" spans="15:16">
      <c r="O42"/>
      <c r="P42"/>
    </row>
    <row r="43" spans="15:16">
      <c r="O43"/>
      <c r="P43"/>
    </row>
    <row r="44" spans="15:16">
      <c r="O44"/>
      <c r="P44"/>
    </row>
    <row r="45" spans="15:16">
      <c r="O45"/>
      <c r="P45"/>
    </row>
    <row r="46" spans="15:16">
      <c r="O46"/>
      <c r="P46"/>
    </row>
    <row r="47" spans="15:16">
      <c r="O47"/>
      <c r="P47"/>
    </row>
    <row r="48" spans="15:16">
      <c r="O48"/>
      <c r="P48"/>
    </row>
    <row r="49" spans="15:16">
      <c r="O49"/>
      <c r="P49"/>
    </row>
    <row r="50" spans="15:16">
      <c r="O50"/>
      <c r="P50"/>
    </row>
    <row r="51" spans="15:16">
      <c r="O51"/>
      <c r="P51"/>
    </row>
    <row r="52" spans="15:16">
      <c r="O52"/>
      <c r="P52"/>
    </row>
    <row r="53" spans="15:16">
      <c r="O53"/>
      <c r="P53"/>
    </row>
    <row r="54" spans="15:16">
      <c r="O54"/>
      <c r="P54"/>
    </row>
    <row r="55" spans="15:16">
      <c r="O55"/>
      <c r="P55"/>
    </row>
    <row r="56" spans="15:16">
      <c r="O56"/>
      <c r="P56"/>
    </row>
    <row r="57" spans="15:16">
      <c r="O57"/>
      <c r="P57"/>
    </row>
    <row r="58" spans="15:16">
      <c r="O58"/>
      <c r="P58"/>
    </row>
    <row r="59" spans="15:16">
      <c r="O59"/>
      <c r="P59"/>
    </row>
    <row r="60" spans="15:16">
      <c r="O60"/>
      <c r="P60"/>
    </row>
    <row r="61" spans="15:16">
      <c r="O61"/>
      <c r="P61"/>
    </row>
    <row r="62" spans="15:16">
      <c r="O62"/>
      <c r="P62"/>
    </row>
    <row r="63" spans="15:16">
      <c r="O63"/>
      <c r="P63"/>
    </row>
    <row r="64" spans="15:16">
      <c r="O64"/>
      <c r="P64"/>
    </row>
    <row r="65" spans="15:16">
      <c r="O65"/>
      <c r="P65"/>
    </row>
    <row r="66" spans="15:16">
      <c r="O66"/>
      <c r="P66"/>
    </row>
    <row r="67" spans="15:16">
      <c r="O67"/>
      <c r="P67"/>
    </row>
    <row r="68" spans="15:16">
      <c r="O68"/>
      <c r="P68"/>
    </row>
    <row r="69" spans="15:16">
      <c r="O69"/>
      <c r="P69"/>
    </row>
    <row r="70" spans="15:16">
      <c r="O70"/>
      <c r="P70"/>
    </row>
    <row r="71" spans="15:16">
      <c r="O71"/>
      <c r="P71"/>
    </row>
    <row r="72" spans="15:16">
      <c r="O72"/>
      <c r="P72"/>
    </row>
    <row r="73" spans="15:16">
      <c r="O73"/>
      <c r="P73"/>
    </row>
    <row r="74" spans="15:16">
      <c r="O74"/>
      <c r="P74"/>
    </row>
    <row r="75" spans="15:16">
      <c r="O75"/>
      <c r="P75"/>
    </row>
    <row r="76" spans="15:16">
      <c r="O76"/>
      <c r="P76"/>
    </row>
    <row r="77" spans="15:16">
      <c r="O77"/>
      <c r="P77"/>
    </row>
  </sheetData>
  <autoFilter ref="A5:M25" xr:uid="{00000000-0009-0000-0000-000001000000}"/>
  <dataValidations count="1">
    <dataValidation type="list" allowBlank="1" showInputMessage="1" showErrorMessage="1" sqref="E6:E25" xr:uid="{00000000-0002-0000-0100-000000000000}"/>
  </dataValidations>
  <pageMargins left="0.25" right="0.25" top="0.75" bottom="0.75" header="0.3" footer="0.3"/>
  <pageSetup scale="65" fitToHeight="0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>
      <selection activeCell="L11" sqref="L11"/>
    </sheetView>
  </sheetViews>
  <sheetFormatPr baseColWidth="10" defaultRowHeight="12.75"/>
  <cols>
    <col min="1" max="1" width="38" style="39" customWidth="1"/>
    <col min="2" max="2" width="13" style="51" customWidth="1"/>
    <col min="3" max="8" width="10.5703125" style="39" customWidth="1"/>
    <col min="9" max="9" width="11.85546875" style="39" customWidth="1"/>
    <col min="10" max="257" width="9.140625" style="39" customWidth="1"/>
    <col min="258" max="258" width="38" style="39" customWidth="1"/>
    <col min="259" max="264" width="10.5703125" style="39" customWidth="1"/>
    <col min="265" max="265" width="11.85546875" style="39" customWidth="1"/>
    <col min="266" max="513" width="9.140625" style="39" customWidth="1"/>
    <col min="514" max="514" width="38" style="39" customWidth="1"/>
    <col min="515" max="520" width="10.5703125" style="39" customWidth="1"/>
    <col min="521" max="521" width="11.85546875" style="39" customWidth="1"/>
    <col min="522" max="769" width="9.140625" style="39" customWidth="1"/>
    <col min="770" max="770" width="38" style="39" customWidth="1"/>
    <col min="771" max="776" width="10.5703125" style="39" customWidth="1"/>
    <col min="777" max="777" width="11.85546875" style="39" customWidth="1"/>
    <col min="778" max="1025" width="9.140625" style="39" customWidth="1"/>
    <col min="1026" max="1026" width="38" style="39" customWidth="1"/>
    <col min="1027" max="1032" width="10.5703125" style="39" customWidth="1"/>
    <col min="1033" max="1033" width="11.85546875" style="39" customWidth="1"/>
    <col min="1034" max="1281" width="9.140625" style="39" customWidth="1"/>
    <col min="1282" max="1282" width="38" style="39" customWidth="1"/>
    <col min="1283" max="1288" width="10.5703125" style="39" customWidth="1"/>
    <col min="1289" max="1289" width="11.85546875" style="39" customWidth="1"/>
    <col min="1290" max="1537" width="9.140625" style="39" customWidth="1"/>
    <col min="1538" max="1538" width="38" style="39" customWidth="1"/>
    <col min="1539" max="1544" width="10.5703125" style="39" customWidth="1"/>
    <col min="1545" max="1545" width="11.85546875" style="39" customWidth="1"/>
    <col min="1546" max="1793" width="9.140625" style="39" customWidth="1"/>
    <col min="1794" max="1794" width="38" style="39" customWidth="1"/>
    <col min="1795" max="1800" width="10.5703125" style="39" customWidth="1"/>
    <col min="1801" max="1801" width="11.85546875" style="39" customWidth="1"/>
    <col min="1802" max="2049" width="9.140625" style="39" customWidth="1"/>
    <col min="2050" max="2050" width="38" style="39" customWidth="1"/>
    <col min="2051" max="2056" width="10.5703125" style="39" customWidth="1"/>
    <col min="2057" max="2057" width="11.85546875" style="39" customWidth="1"/>
    <col min="2058" max="2305" width="9.140625" style="39" customWidth="1"/>
    <col min="2306" max="2306" width="38" style="39" customWidth="1"/>
    <col min="2307" max="2312" width="10.5703125" style="39" customWidth="1"/>
    <col min="2313" max="2313" width="11.85546875" style="39" customWidth="1"/>
    <col min="2314" max="2561" width="9.140625" style="39" customWidth="1"/>
    <col min="2562" max="2562" width="38" style="39" customWidth="1"/>
    <col min="2563" max="2568" width="10.5703125" style="39" customWidth="1"/>
    <col min="2569" max="2569" width="11.85546875" style="39" customWidth="1"/>
    <col min="2570" max="2817" width="9.140625" style="39" customWidth="1"/>
    <col min="2818" max="2818" width="38" style="39" customWidth="1"/>
    <col min="2819" max="2824" width="10.5703125" style="39" customWidth="1"/>
    <col min="2825" max="2825" width="11.85546875" style="39" customWidth="1"/>
    <col min="2826" max="3073" width="9.140625" style="39" customWidth="1"/>
    <col min="3074" max="3074" width="38" style="39" customWidth="1"/>
    <col min="3075" max="3080" width="10.5703125" style="39" customWidth="1"/>
    <col min="3081" max="3081" width="11.85546875" style="39" customWidth="1"/>
    <col min="3082" max="3329" width="9.140625" style="39" customWidth="1"/>
    <col min="3330" max="3330" width="38" style="39" customWidth="1"/>
    <col min="3331" max="3336" width="10.5703125" style="39" customWidth="1"/>
    <col min="3337" max="3337" width="11.85546875" style="39" customWidth="1"/>
    <col min="3338" max="3585" width="9.140625" style="39" customWidth="1"/>
    <col min="3586" max="3586" width="38" style="39" customWidth="1"/>
    <col min="3587" max="3592" width="10.5703125" style="39" customWidth="1"/>
    <col min="3593" max="3593" width="11.85546875" style="39" customWidth="1"/>
    <col min="3594" max="3841" width="9.140625" style="39" customWidth="1"/>
    <col min="3842" max="3842" width="38" style="39" customWidth="1"/>
    <col min="3843" max="3848" width="10.5703125" style="39" customWidth="1"/>
    <col min="3849" max="3849" width="11.85546875" style="39" customWidth="1"/>
    <col min="3850" max="4097" width="9.140625" style="39" customWidth="1"/>
    <col min="4098" max="4098" width="38" style="39" customWidth="1"/>
    <col min="4099" max="4104" width="10.5703125" style="39" customWidth="1"/>
    <col min="4105" max="4105" width="11.85546875" style="39" customWidth="1"/>
    <col min="4106" max="4353" width="9.140625" style="39" customWidth="1"/>
    <col min="4354" max="4354" width="38" style="39" customWidth="1"/>
    <col min="4355" max="4360" width="10.5703125" style="39" customWidth="1"/>
    <col min="4361" max="4361" width="11.85546875" style="39" customWidth="1"/>
    <col min="4362" max="4609" width="9.140625" style="39" customWidth="1"/>
    <col min="4610" max="4610" width="38" style="39" customWidth="1"/>
    <col min="4611" max="4616" width="10.5703125" style="39" customWidth="1"/>
    <col min="4617" max="4617" width="11.85546875" style="39" customWidth="1"/>
    <col min="4618" max="4865" width="9.140625" style="39" customWidth="1"/>
    <col min="4866" max="4866" width="38" style="39" customWidth="1"/>
    <col min="4867" max="4872" width="10.5703125" style="39" customWidth="1"/>
    <col min="4873" max="4873" width="11.85546875" style="39" customWidth="1"/>
    <col min="4874" max="5121" width="9.140625" style="39" customWidth="1"/>
    <col min="5122" max="5122" width="38" style="39" customWidth="1"/>
    <col min="5123" max="5128" width="10.5703125" style="39" customWidth="1"/>
    <col min="5129" max="5129" width="11.85546875" style="39" customWidth="1"/>
    <col min="5130" max="5377" width="9.140625" style="39" customWidth="1"/>
    <col min="5378" max="5378" width="38" style="39" customWidth="1"/>
    <col min="5379" max="5384" width="10.5703125" style="39" customWidth="1"/>
    <col min="5385" max="5385" width="11.85546875" style="39" customWidth="1"/>
    <col min="5386" max="5633" width="9.140625" style="39" customWidth="1"/>
    <col min="5634" max="5634" width="38" style="39" customWidth="1"/>
    <col min="5635" max="5640" width="10.5703125" style="39" customWidth="1"/>
    <col min="5641" max="5641" width="11.85546875" style="39" customWidth="1"/>
    <col min="5642" max="5889" width="9.140625" style="39" customWidth="1"/>
    <col min="5890" max="5890" width="38" style="39" customWidth="1"/>
    <col min="5891" max="5896" width="10.5703125" style="39" customWidth="1"/>
    <col min="5897" max="5897" width="11.85546875" style="39" customWidth="1"/>
    <col min="5898" max="6145" width="9.140625" style="39" customWidth="1"/>
    <col min="6146" max="6146" width="38" style="39" customWidth="1"/>
    <col min="6147" max="6152" width="10.5703125" style="39" customWidth="1"/>
    <col min="6153" max="6153" width="11.85546875" style="39" customWidth="1"/>
    <col min="6154" max="6401" width="9.140625" style="39" customWidth="1"/>
    <col min="6402" max="6402" width="38" style="39" customWidth="1"/>
    <col min="6403" max="6408" width="10.5703125" style="39" customWidth="1"/>
    <col min="6409" max="6409" width="11.85546875" style="39" customWidth="1"/>
    <col min="6410" max="6657" width="9.140625" style="39" customWidth="1"/>
    <col min="6658" max="6658" width="38" style="39" customWidth="1"/>
    <col min="6659" max="6664" width="10.5703125" style="39" customWidth="1"/>
    <col min="6665" max="6665" width="11.85546875" style="39" customWidth="1"/>
    <col min="6666" max="6913" width="9.140625" style="39" customWidth="1"/>
    <col min="6914" max="6914" width="38" style="39" customWidth="1"/>
    <col min="6915" max="6920" width="10.5703125" style="39" customWidth="1"/>
    <col min="6921" max="6921" width="11.85546875" style="39" customWidth="1"/>
    <col min="6922" max="7169" width="9.140625" style="39" customWidth="1"/>
    <col min="7170" max="7170" width="38" style="39" customWidth="1"/>
    <col min="7171" max="7176" width="10.5703125" style="39" customWidth="1"/>
    <col min="7177" max="7177" width="11.85546875" style="39" customWidth="1"/>
    <col min="7178" max="7425" width="9.140625" style="39" customWidth="1"/>
    <col min="7426" max="7426" width="38" style="39" customWidth="1"/>
    <col min="7427" max="7432" width="10.5703125" style="39" customWidth="1"/>
    <col min="7433" max="7433" width="11.85546875" style="39" customWidth="1"/>
    <col min="7434" max="7681" width="9.140625" style="39" customWidth="1"/>
    <col min="7682" max="7682" width="38" style="39" customWidth="1"/>
    <col min="7683" max="7688" width="10.5703125" style="39" customWidth="1"/>
    <col min="7689" max="7689" width="11.85546875" style="39" customWidth="1"/>
    <col min="7690" max="7937" width="9.140625" style="39" customWidth="1"/>
    <col min="7938" max="7938" width="38" style="39" customWidth="1"/>
    <col min="7939" max="7944" width="10.5703125" style="39" customWidth="1"/>
    <col min="7945" max="7945" width="11.85546875" style="39" customWidth="1"/>
    <col min="7946" max="8193" width="9.140625" style="39" customWidth="1"/>
    <col min="8194" max="8194" width="38" style="39" customWidth="1"/>
    <col min="8195" max="8200" width="10.5703125" style="39" customWidth="1"/>
    <col min="8201" max="8201" width="11.85546875" style="39" customWidth="1"/>
    <col min="8202" max="8449" width="9.140625" style="39" customWidth="1"/>
    <col min="8450" max="8450" width="38" style="39" customWidth="1"/>
    <col min="8451" max="8456" width="10.5703125" style="39" customWidth="1"/>
    <col min="8457" max="8457" width="11.85546875" style="39" customWidth="1"/>
    <col min="8458" max="8705" width="9.140625" style="39" customWidth="1"/>
    <col min="8706" max="8706" width="38" style="39" customWidth="1"/>
    <col min="8707" max="8712" width="10.5703125" style="39" customWidth="1"/>
    <col min="8713" max="8713" width="11.85546875" style="39" customWidth="1"/>
    <col min="8714" max="8961" width="9.140625" style="39" customWidth="1"/>
    <col min="8962" max="8962" width="38" style="39" customWidth="1"/>
    <col min="8963" max="8968" width="10.5703125" style="39" customWidth="1"/>
    <col min="8969" max="8969" width="11.85546875" style="39" customWidth="1"/>
    <col min="8970" max="9217" width="9.140625" style="39" customWidth="1"/>
    <col min="9218" max="9218" width="38" style="39" customWidth="1"/>
    <col min="9219" max="9224" width="10.5703125" style="39" customWidth="1"/>
    <col min="9225" max="9225" width="11.85546875" style="39" customWidth="1"/>
    <col min="9226" max="9473" width="9.140625" style="39" customWidth="1"/>
    <col min="9474" max="9474" width="38" style="39" customWidth="1"/>
    <col min="9475" max="9480" width="10.5703125" style="39" customWidth="1"/>
    <col min="9481" max="9481" width="11.85546875" style="39" customWidth="1"/>
    <col min="9482" max="9729" width="9.140625" style="39" customWidth="1"/>
    <col min="9730" max="9730" width="38" style="39" customWidth="1"/>
    <col min="9731" max="9736" width="10.5703125" style="39" customWidth="1"/>
    <col min="9737" max="9737" width="11.85546875" style="39" customWidth="1"/>
    <col min="9738" max="9985" width="9.140625" style="39" customWidth="1"/>
    <col min="9986" max="9986" width="38" style="39" customWidth="1"/>
    <col min="9987" max="9992" width="10.5703125" style="39" customWidth="1"/>
    <col min="9993" max="9993" width="11.85546875" style="39" customWidth="1"/>
    <col min="9994" max="10241" width="9.140625" style="39" customWidth="1"/>
    <col min="10242" max="10242" width="38" style="39" customWidth="1"/>
    <col min="10243" max="10248" width="10.5703125" style="39" customWidth="1"/>
    <col min="10249" max="10249" width="11.85546875" style="39" customWidth="1"/>
    <col min="10250" max="10497" width="9.140625" style="39" customWidth="1"/>
    <col min="10498" max="10498" width="38" style="39" customWidth="1"/>
    <col min="10499" max="10504" width="10.5703125" style="39" customWidth="1"/>
    <col min="10505" max="10505" width="11.85546875" style="39" customWidth="1"/>
    <col min="10506" max="10753" width="9.140625" style="39" customWidth="1"/>
    <col min="10754" max="10754" width="38" style="39" customWidth="1"/>
    <col min="10755" max="10760" width="10.5703125" style="39" customWidth="1"/>
    <col min="10761" max="10761" width="11.85546875" style="39" customWidth="1"/>
    <col min="10762" max="11009" width="9.140625" style="39" customWidth="1"/>
    <col min="11010" max="11010" width="38" style="39" customWidth="1"/>
    <col min="11011" max="11016" width="10.5703125" style="39" customWidth="1"/>
    <col min="11017" max="11017" width="11.85546875" style="39" customWidth="1"/>
    <col min="11018" max="11265" width="9.140625" style="39" customWidth="1"/>
    <col min="11266" max="11266" width="38" style="39" customWidth="1"/>
    <col min="11267" max="11272" width="10.5703125" style="39" customWidth="1"/>
    <col min="11273" max="11273" width="11.85546875" style="39" customWidth="1"/>
    <col min="11274" max="11521" width="9.140625" style="39" customWidth="1"/>
    <col min="11522" max="11522" width="38" style="39" customWidth="1"/>
    <col min="11523" max="11528" width="10.5703125" style="39" customWidth="1"/>
    <col min="11529" max="11529" width="11.85546875" style="39" customWidth="1"/>
    <col min="11530" max="11777" width="9.140625" style="39" customWidth="1"/>
    <col min="11778" max="11778" width="38" style="39" customWidth="1"/>
    <col min="11779" max="11784" width="10.5703125" style="39" customWidth="1"/>
    <col min="11785" max="11785" width="11.85546875" style="39" customWidth="1"/>
    <col min="11786" max="12033" width="9.140625" style="39" customWidth="1"/>
    <col min="12034" max="12034" width="38" style="39" customWidth="1"/>
    <col min="12035" max="12040" width="10.5703125" style="39" customWidth="1"/>
    <col min="12041" max="12041" width="11.85546875" style="39" customWidth="1"/>
    <col min="12042" max="12289" width="9.140625" style="39" customWidth="1"/>
    <col min="12290" max="12290" width="38" style="39" customWidth="1"/>
    <col min="12291" max="12296" width="10.5703125" style="39" customWidth="1"/>
    <col min="12297" max="12297" width="11.85546875" style="39" customWidth="1"/>
    <col min="12298" max="12545" width="9.140625" style="39" customWidth="1"/>
    <col min="12546" max="12546" width="38" style="39" customWidth="1"/>
    <col min="12547" max="12552" width="10.5703125" style="39" customWidth="1"/>
    <col min="12553" max="12553" width="11.85546875" style="39" customWidth="1"/>
    <col min="12554" max="12801" width="9.140625" style="39" customWidth="1"/>
    <col min="12802" max="12802" width="38" style="39" customWidth="1"/>
    <col min="12803" max="12808" width="10.5703125" style="39" customWidth="1"/>
    <col min="12809" max="12809" width="11.85546875" style="39" customWidth="1"/>
    <col min="12810" max="13057" width="9.140625" style="39" customWidth="1"/>
    <col min="13058" max="13058" width="38" style="39" customWidth="1"/>
    <col min="13059" max="13064" width="10.5703125" style="39" customWidth="1"/>
    <col min="13065" max="13065" width="11.85546875" style="39" customWidth="1"/>
    <col min="13066" max="13313" width="9.140625" style="39" customWidth="1"/>
    <col min="13314" max="13314" width="38" style="39" customWidth="1"/>
    <col min="13315" max="13320" width="10.5703125" style="39" customWidth="1"/>
    <col min="13321" max="13321" width="11.85546875" style="39" customWidth="1"/>
    <col min="13322" max="13569" width="9.140625" style="39" customWidth="1"/>
    <col min="13570" max="13570" width="38" style="39" customWidth="1"/>
    <col min="13571" max="13576" width="10.5703125" style="39" customWidth="1"/>
    <col min="13577" max="13577" width="11.85546875" style="39" customWidth="1"/>
    <col min="13578" max="13825" width="9.140625" style="39" customWidth="1"/>
    <col min="13826" max="13826" width="38" style="39" customWidth="1"/>
    <col min="13827" max="13832" width="10.5703125" style="39" customWidth="1"/>
    <col min="13833" max="13833" width="11.85546875" style="39" customWidth="1"/>
    <col min="13834" max="14081" width="9.140625" style="39" customWidth="1"/>
    <col min="14082" max="14082" width="38" style="39" customWidth="1"/>
    <col min="14083" max="14088" width="10.5703125" style="39" customWidth="1"/>
    <col min="14089" max="14089" width="11.85546875" style="39" customWidth="1"/>
    <col min="14090" max="14337" width="9.140625" style="39" customWidth="1"/>
    <col min="14338" max="14338" width="38" style="39" customWidth="1"/>
    <col min="14339" max="14344" width="10.5703125" style="39" customWidth="1"/>
    <col min="14345" max="14345" width="11.85546875" style="39" customWidth="1"/>
    <col min="14346" max="14593" width="9.140625" style="39" customWidth="1"/>
    <col min="14594" max="14594" width="38" style="39" customWidth="1"/>
    <col min="14595" max="14600" width="10.5703125" style="39" customWidth="1"/>
    <col min="14601" max="14601" width="11.85546875" style="39" customWidth="1"/>
    <col min="14602" max="14849" width="9.140625" style="39" customWidth="1"/>
    <col min="14850" max="14850" width="38" style="39" customWidth="1"/>
    <col min="14851" max="14856" width="10.5703125" style="39" customWidth="1"/>
    <col min="14857" max="14857" width="11.85546875" style="39" customWidth="1"/>
    <col min="14858" max="15105" width="9.140625" style="39" customWidth="1"/>
    <col min="15106" max="15106" width="38" style="39" customWidth="1"/>
    <col min="15107" max="15112" width="10.5703125" style="39" customWidth="1"/>
    <col min="15113" max="15113" width="11.85546875" style="39" customWidth="1"/>
    <col min="15114" max="15361" width="9.140625" style="39" customWidth="1"/>
    <col min="15362" max="15362" width="38" style="39" customWidth="1"/>
    <col min="15363" max="15368" width="10.5703125" style="39" customWidth="1"/>
    <col min="15369" max="15369" width="11.85546875" style="39" customWidth="1"/>
    <col min="15370" max="15617" width="9.140625" style="39" customWidth="1"/>
    <col min="15618" max="15618" width="38" style="39" customWidth="1"/>
    <col min="15619" max="15624" width="10.5703125" style="39" customWidth="1"/>
    <col min="15625" max="15625" width="11.85546875" style="39" customWidth="1"/>
    <col min="15626" max="15873" width="9.140625" style="39" customWidth="1"/>
    <col min="15874" max="15874" width="38" style="39" customWidth="1"/>
    <col min="15875" max="15880" width="10.5703125" style="39" customWidth="1"/>
    <col min="15881" max="15881" width="11.85546875" style="39" customWidth="1"/>
    <col min="15882" max="16129" width="9.140625" style="39" customWidth="1"/>
    <col min="16130" max="16130" width="38" style="39" customWidth="1"/>
    <col min="16131" max="16136" width="10.5703125" style="39" customWidth="1"/>
    <col min="16137" max="16137" width="11.85546875" style="39" customWidth="1"/>
    <col min="16138" max="16384" width="9.140625" style="39" customWidth="1"/>
  </cols>
  <sheetData>
    <row r="1" spans="1:10" ht="12.6" customHeight="1">
      <c r="A1" s="43" t="s">
        <v>184</v>
      </c>
      <c r="B1" s="48" t="s">
        <v>208</v>
      </c>
      <c r="C1" s="43" t="s">
        <v>185</v>
      </c>
      <c r="D1" s="43" t="s">
        <v>186</v>
      </c>
      <c r="E1" s="43" t="s">
        <v>187</v>
      </c>
      <c r="F1" s="43" t="s">
        <v>188</v>
      </c>
      <c r="G1" s="43" t="s">
        <v>189</v>
      </c>
      <c r="H1" s="43" t="s">
        <v>190</v>
      </c>
      <c r="I1" s="44" t="s">
        <v>191</v>
      </c>
      <c r="J1" s="39" t="s">
        <v>209</v>
      </c>
    </row>
    <row r="2" spans="1:10" ht="15" customHeight="1">
      <c r="A2" s="40" t="s">
        <v>192</v>
      </c>
      <c r="B2" s="49">
        <v>100</v>
      </c>
      <c r="C2" s="41"/>
      <c r="D2" s="41">
        <v>200</v>
      </c>
      <c r="E2" s="41"/>
      <c r="F2" s="41"/>
      <c r="G2" s="41">
        <v>300</v>
      </c>
      <c r="H2" s="41">
        <v>100</v>
      </c>
      <c r="I2" s="42">
        <f>C2+D2+E2+F2+G2+H2</f>
        <v>600</v>
      </c>
      <c r="J2" s="39">
        <f>I2/B2</f>
        <v>6</v>
      </c>
    </row>
    <row r="3" spans="1:10" ht="15" customHeight="1">
      <c r="A3" s="40" t="s">
        <v>193</v>
      </c>
      <c r="B3" s="49">
        <v>40</v>
      </c>
      <c r="C3" s="41">
        <v>120</v>
      </c>
      <c r="D3" s="41">
        <v>200</v>
      </c>
      <c r="E3" s="41">
        <v>160</v>
      </c>
      <c r="F3" s="41">
        <v>240</v>
      </c>
      <c r="G3" s="41">
        <v>320</v>
      </c>
      <c r="H3" s="41"/>
      <c r="I3" s="42">
        <f t="shared" ref="I3:I32" si="0">C3+D3+E3+F3+G3+H3</f>
        <v>1040</v>
      </c>
      <c r="J3" s="39">
        <f t="shared" ref="J3:J31" si="1">I3/B3</f>
        <v>26</v>
      </c>
    </row>
    <row r="4" spans="1:10" ht="15" customHeight="1">
      <c r="A4" s="40" t="s">
        <v>194</v>
      </c>
      <c r="B4" s="49">
        <v>110</v>
      </c>
      <c r="C4" s="41"/>
      <c r="D4" s="41"/>
      <c r="E4" s="41">
        <v>110</v>
      </c>
      <c r="F4" s="41"/>
      <c r="G4" s="41"/>
      <c r="H4" s="41"/>
      <c r="I4" s="42">
        <f t="shared" si="0"/>
        <v>110</v>
      </c>
      <c r="J4" s="39">
        <f t="shared" si="1"/>
        <v>1</v>
      </c>
    </row>
    <row r="5" spans="1:10" ht="15" customHeight="1">
      <c r="A5" s="40" t="s">
        <v>27</v>
      </c>
      <c r="B5" s="49">
        <v>120</v>
      </c>
      <c r="C5" s="41">
        <v>120</v>
      </c>
      <c r="D5" s="41"/>
      <c r="E5" s="41">
        <v>360</v>
      </c>
      <c r="F5" s="41"/>
      <c r="G5" s="41"/>
      <c r="H5" s="41"/>
      <c r="I5" s="42">
        <f t="shared" si="0"/>
        <v>480</v>
      </c>
      <c r="J5" s="39">
        <f t="shared" si="1"/>
        <v>4</v>
      </c>
    </row>
    <row r="6" spans="1:10" ht="15" customHeight="1">
      <c r="A6" s="40" t="s">
        <v>31</v>
      </c>
      <c r="B6" s="49">
        <v>40</v>
      </c>
      <c r="C6" s="41"/>
      <c r="D6" s="41"/>
      <c r="E6" s="41">
        <v>200</v>
      </c>
      <c r="F6" s="41"/>
      <c r="G6" s="41"/>
      <c r="H6" s="41"/>
      <c r="I6" s="42">
        <f t="shared" si="0"/>
        <v>200</v>
      </c>
      <c r="J6" s="39">
        <f t="shared" si="1"/>
        <v>5</v>
      </c>
    </row>
    <row r="7" spans="1:10" ht="15" customHeight="1">
      <c r="A7" s="40" t="s">
        <v>195</v>
      </c>
      <c r="B7" s="49">
        <v>30</v>
      </c>
      <c r="C7" s="41">
        <v>30</v>
      </c>
      <c r="D7" s="41">
        <v>60</v>
      </c>
      <c r="E7" s="41">
        <v>120</v>
      </c>
      <c r="F7" s="41">
        <v>30</v>
      </c>
      <c r="G7" s="41"/>
      <c r="H7" s="41"/>
      <c r="I7" s="42">
        <f t="shared" si="0"/>
        <v>240</v>
      </c>
      <c r="J7" s="39">
        <f t="shared" si="1"/>
        <v>8</v>
      </c>
    </row>
    <row r="8" spans="1:10" ht="15" customHeight="1">
      <c r="A8" s="40" t="s">
        <v>43</v>
      </c>
      <c r="B8" s="49">
        <v>170</v>
      </c>
      <c r="C8" s="41"/>
      <c r="D8" s="41">
        <v>340</v>
      </c>
      <c r="E8" s="41">
        <v>680</v>
      </c>
      <c r="F8" s="41">
        <v>170</v>
      </c>
      <c r="G8" s="41"/>
      <c r="H8" s="41"/>
      <c r="I8" s="42">
        <f t="shared" si="0"/>
        <v>1190</v>
      </c>
      <c r="J8" s="39">
        <f t="shared" si="1"/>
        <v>7</v>
      </c>
    </row>
    <row r="9" spans="1:10" ht="15" customHeight="1">
      <c r="A9" s="40" t="s">
        <v>53</v>
      </c>
      <c r="B9" s="49">
        <v>40</v>
      </c>
      <c r="C9" s="41"/>
      <c r="D9" s="41"/>
      <c r="E9" s="41"/>
      <c r="F9" s="41">
        <v>40</v>
      </c>
      <c r="G9" s="41">
        <v>40</v>
      </c>
      <c r="H9" s="41"/>
      <c r="I9" s="42">
        <f t="shared" si="0"/>
        <v>80</v>
      </c>
      <c r="J9" s="39">
        <f t="shared" si="1"/>
        <v>2</v>
      </c>
    </row>
    <row r="10" spans="1:10" ht="15" customHeight="1">
      <c r="A10" s="40" t="s">
        <v>196</v>
      </c>
      <c r="B10" s="49">
        <v>40</v>
      </c>
      <c r="C10" s="41">
        <v>600</v>
      </c>
      <c r="D10" s="41">
        <v>360</v>
      </c>
      <c r="E10" s="41">
        <v>360</v>
      </c>
      <c r="F10" s="41">
        <v>520</v>
      </c>
      <c r="G10" s="41">
        <v>400</v>
      </c>
      <c r="H10" s="41">
        <v>80</v>
      </c>
      <c r="I10" s="42">
        <f t="shared" si="0"/>
        <v>2320</v>
      </c>
      <c r="J10" s="39">
        <f t="shared" si="1"/>
        <v>58</v>
      </c>
    </row>
    <row r="11" spans="1:10" ht="15" customHeight="1">
      <c r="A11" s="40" t="s">
        <v>83</v>
      </c>
      <c r="B11" s="49">
        <v>65</v>
      </c>
      <c r="C11" s="41">
        <v>65</v>
      </c>
      <c r="D11" s="41">
        <v>325</v>
      </c>
      <c r="E11" s="41">
        <v>65</v>
      </c>
      <c r="F11" s="41"/>
      <c r="G11" s="41"/>
      <c r="H11" s="41">
        <v>65</v>
      </c>
      <c r="I11" s="42">
        <f t="shared" si="0"/>
        <v>520</v>
      </c>
      <c r="J11" s="39">
        <f t="shared" si="1"/>
        <v>8</v>
      </c>
    </row>
    <row r="12" spans="1:10" ht="15" customHeight="1">
      <c r="A12" s="40" t="s">
        <v>197</v>
      </c>
      <c r="B12" s="49">
        <v>75</v>
      </c>
      <c r="C12" s="41">
        <v>150</v>
      </c>
      <c r="D12" s="41">
        <v>450</v>
      </c>
      <c r="E12" s="41">
        <v>300</v>
      </c>
      <c r="F12" s="41">
        <v>600</v>
      </c>
      <c r="G12" s="41">
        <v>300</v>
      </c>
      <c r="H12" s="41"/>
      <c r="I12" s="42">
        <f t="shared" si="0"/>
        <v>1800</v>
      </c>
      <c r="J12" s="39">
        <f t="shared" si="1"/>
        <v>24</v>
      </c>
    </row>
    <row r="13" spans="1:10" ht="15" customHeight="1">
      <c r="A13" s="40" t="s">
        <v>198</v>
      </c>
      <c r="B13" s="49">
        <v>40</v>
      </c>
      <c r="C13" s="41">
        <v>120</v>
      </c>
      <c r="D13" s="41"/>
      <c r="E13" s="41">
        <v>40</v>
      </c>
      <c r="F13" s="41">
        <v>80</v>
      </c>
      <c r="G13" s="41"/>
      <c r="H13" s="41"/>
      <c r="I13" s="42">
        <f t="shared" si="0"/>
        <v>240</v>
      </c>
      <c r="J13" s="39">
        <f t="shared" si="1"/>
        <v>6</v>
      </c>
    </row>
    <row r="14" spans="1:10" ht="15" customHeight="1">
      <c r="A14" s="40" t="s">
        <v>199</v>
      </c>
      <c r="B14" s="49">
        <v>75</v>
      </c>
      <c r="C14" s="41">
        <v>300</v>
      </c>
      <c r="D14" s="41">
        <v>225</v>
      </c>
      <c r="E14" s="41">
        <v>1800</v>
      </c>
      <c r="F14" s="41">
        <v>375</v>
      </c>
      <c r="G14" s="41">
        <v>1125</v>
      </c>
      <c r="H14" s="41">
        <v>150</v>
      </c>
      <c r="I14" s="42">
        <f t="shared" si="0"/>
        <v>3975</v>
      </c>
      <c r="J14" s="39">
        <f t="shared" si="1"/>
        <v>53</v>
      </c>
    </row>
    <row r="15" spans="1:10" ht="15" customHeight="1">
      <c r="A15" s="40" t="s">
        <v>200</v>
      </c>
      <c r="B15" s="49">
        <v>160</v>
      </c>
      <c r="C15" s="41">
        <v>320</v>
      </c>
      <c r="D15" s="41">
        <v>960</v>
      </c>
      <c r="E15" s="41">
        <v>960</v>
      </c>
      <c r="F15" s="41">
        <v>1280</v>
      </c>
      <c r="G15" s="41">
        <v>800</v>
      </c>
      <c r="H15" s="41">
        <v>160</v>
      </c>
      <c r="I15" s="42">
        <f t="shared" si="0"/>
        <v>4480</v>
      </c>
      <c r="J15" s="39">
        <f t="shared" si="1"/>
        <v>28</v>
      </c>
    </row>
    <row r="16" spans="1:10" ht="15" customHeight="1">
      <c r="A16" s="40" t="s">
        <v>201</v>
      </c>
      <c r="B16" s="49">
        <v>230</v>
      </c>
      <c r="C16" s="41"/>
      <c r="D16" s="41">
        <v>460</v>
      </c>
      <c r="E16" s="41">
        <v>460</v>
      </c>
      <c r="F16" s="41">
        <v>460</v>
      </c>
      <c r="G16" s="41">
        <v>460</v>
      </c>
      <c r="H16" s="41"/>
      <c r="I16" s="42">
        <f t="shared" si="0"/>
        <v>1840</v>
      </c>
      <c r="J16" s="39">
        <f t="shared" si="1"/>
        <v>8</v>
      </c>
    </row>
    <row r="17" spans="1:10" ht="15" customHeight="1">
      <c r="A17" s="40" t="s">
        <v>202</v>
      </c>
      <c r="B17" s="49">
        <v>250</v>
      </c>
      <c r="C17" s="41">
        <v>500</v>
      </c>
      <c r="D17" s="41">
        <v>750</v>
      </c>
      <c r="E17" s="41">
        <v>250</v>
      </c>
      <c r="F17" s="41">
        <v>750</v>
      </c>
      <c r="G17" s="41">
        <v>250</v>
      </c>
      <c r="H17" s="41">
        <v>250</v>
      </c>
      <c r="I17" s="42">
        <f t="shared" si="0"/>
        <v>2750</v>
      </c>
      <c r="J17" s="39">
        <f t="shared" si="1"/>
        <v>11</v>
      </c>
    </row>
    <row r="18" spans="1:10" ht="15" customHeight="1">
      <c r="A18" s="40" t="s">
        <v>133</v>
      </c>
      <c r="B18" s="49">
        <v>60</v>
      </c>
      <c r="C18" s="41">
        <v>180</v>
      </c>
      <c r="D18" s="41"/>
      <c r="E18" s="41">
        <v>180</v>
      </c>
      <c r="F18" s="41"/>
      <c r="G18" s="41">
        <v>60</v>
      </c>
      <c r="H18" s="41"/>
      <c r="I18" s="42">
        <f t="shared" si="0"/>
        <v>420</v>
      </c>
      <c r="J18" s="39">
        <f t="shared" si="1"/>
        <v>7</v>
      </c>
    </row>
    <row r="19" spans="1:10" ht="15" customHeight="1">
      <c r="A19" s="40" t="s">
        <v>203</v>
      </c>
      <c r="B19" s="49">
        <v>70</v>
      </c>
      <c r="C19" s="41"/>
      <c r="D19" s="41"/>
      <c r="E19" s="41">
        <v>210</v>
      </c>
      <c r="F19" s="41">
        <v>70</v>
      </c>
      <c r="G19" s="41"/>
      <c r="H19" s="41"/>
      <c r="I19" s="42">
        <f t="shared" si="0"/>
        <v>280</v>
      </c>
      <c r="J19" s="39">
        <f t="shared" si="1"/>
        <v>4</v>
      </c>
    </row>
    <row r="20" spans="1:10" ht="15" customHeight="1">
      <c r="A20" s="40" t="s">
        <v>137</v>
      </c>
      <c r="B20" s="49">
        <v>60</v>
      </c>
      <c r="C20" s="41"/>
      <c r="D20" s="41"/>
      <c r="E20" s="41"/>
      <c r="F20" s="41"/>
      <c r="G20" s="41">
        <v>240</v>
      </c>
      <c r="H20" s="41"/>
      <c r="I20" s="42">
        <f t="shared" si="0"/>
        <v>240</v>
      </c>
      <c r="J20" s="39">
        <f t="shared" si="1"/>
        <v>4</v>
      </c>
    </row>
    <row r="21" spans="1:10" ht="15" customHeight="1">
      <c r="A21" s="40" t="s">
        <v>204</v>
      </c>
      <c r="B21" s="49">
        <v>220</v>
      </c>
      <c r="C21" s="41"/>
      <c r="D21" s="41">
        <v>220</v>
      </c>
      <c r="E21" s="41">
        <v>880</v>
      </c>
      <c r="F21" s="41">
        <v>220</v>
      </c>
      <c r="G21" s="41"/>
      <c r="H21" s="41"/>
      <c r="I21" s="42">
        <f t="shared" si="0"/>
        <v>1320</v>
      </c>
      <c r="J21" s="39">
        <f t="shared" si="1"/>
        <v>6</v>
      </c>
    </row>
    <row r="22" spans="1:10" ht="15" customHeight="1">
      <c r="A22" s="40" t="s">
        <v>149</v>
      </c>
      <c r="B22" s="49">
        <v>90</v>
      </c>
      <c r="C22" s="41"/>
      <c r="D22" s="41">
        <v>90</v>
      </c>
      <c r="E22" s="41">
        <v>270</v>
      </c>
      <c r="F22" s="41"/>
      <c r="G22" s="41">
        <v>90</v>
      </c>
      <c r="H22" s="41"/>
      <c r="I22" s="42">
        <f t="shared" si="0"/>
        <v>450</v>
      </c>
      <c r="J22" s="39">
        <f t="shared" si="1"/>
        <v>5</v>
      </c>
    </row>
    <row r="23" spans="1:10" ht="15" customHeight="1">
      <c r="A23" s="40" t="s">
        <v>205</v>
      </c>
      <c r="B23" s="49">
        <v>95</v>
      </c>
      <c r="C23" s="41"/>
      <c r="D23" s="41">
        <v>190</v>
      </c>
      <c r="E23" s="41">
        <v>95</v>
      </c>
      <c r="F23" s="41"/>
      <c r="G23" s="41">
        <v>380</v>
      </c>
      <c r="H23" s="41"/>
      <c r="I23" s="42">
        <f t="shared" si="0"/>
        <v>665</v>
      </c>
      <c r="J23" s="39">
        <f t="shared" si="1"/>
        <v>7</v>
      </c>
    </row>
    <row r="24" spans="1:10" ht="15" customHeight="1">
      <c r="A24" s="40" t="s">
        <v>157</v>
      </c>
      <c r="B24" s="49">
        <v>110</v>
      </c>
      <c r="C24" s="41"/>
      <c r="D24" s="41"/>
      <c r="E24" s="41">
        <v>110</v>
      </c>
      <c r="F24" s="41">
        <v>110</v>
      </c>
      <c r="G24" s="41">
        <v>110</v>
      </c>
      <c r="H24" s="41"/>
      <c r="I24" s="42">
        <f t="shared" si="0"/>
        <v>330</v>
      </c>
      <c r="J24" s="39">
        <f t="shared" si="1"/>
        <v>3</v>
      </c>
    </row>
    <row r="25" spans="1:10" ht="15" customHeight="1">
      <c r="A25" s="40" t="s">
        <v>161</v>
      </c>
      <c r="B25" s="49">
        <v>110</v>
      </c>
      <c r="C25" s="41">
        <v>220</v>
      </c>
      <c r="D25" s="41"/>
      <c r="E25" s="41"/>
      <c r="F25" s="41">
        <v>220</v>
      </c>
      <c r="G25" s="41">
        <v>110</v>
      </c>
      <c r="H25" s="41"/>
      <c r="I25" s="42">
        <f t="shared" si="0"/>
        <v>550</v>
      </c>
      <c r="J25" s="39">
        <f t="shared" si="1"/>
        <v>5</v>
      </c>
    </row>
    <row r="26" spans="1:10" ht="15" customHeight="1">
      <c r="A26" s="40" t="s">
        <v>167</v>
      </c>
      <c r="B26" s="49">
        <v>85</v>
      </c>
      <c r="C26" s="41"/>
      <c r="D26" s="41"/>
      <c r="E26" s="41"/>
      <c r="F26" s="41">
        <v>85</v>
      </c>
      <c r="G26" s="41">
        <v>340</v>
      </c>
      <c r="H26" s="41"/>
      <c r="I26" s="42">
        <f t="shared" si="0"/>
        <v>425</v>
      </c>
      <c r="J26" s="39">
        <f t="shared" si="1"/>
        <v>5</v>
      </c>
    </row>
    <row r="27" spans="1:10" ht="15" customHeight="1">
      <c r="A27" s="40" t="s">
        <v>169</v>
      </c>
      <c r="B27" s="49">
        <v>80</v>
      </c>
      <c r="C27" s="41"/>
      <c r="D27" s="41">
        <v>80</v>
      </c>
      <c r="E27" s="41"/>
      <c r="F27" s="41">
        <v>320</v>
      </c>
      <c r="G27" s="41"/>
      <c r="H27" s="41"/>
      <c r="I27" s="42">
        <f t="shared" si="0"/>
        <v>400</v>
      </c>
      <c r="J27" s="39">
        <f t="shared" si="1"/>
        <v>5</v>
      </c>
    </row>
    <row r="28" spans="1:10" ht="15" customHeight="1">
      <c r="A28" s="40" t="s">
        <v>173</v>
      </c>
      <c r="B28" s="49">
        <v>130</v>
      </c>
      <c r="C28" s="41">
        <v>130</v>
      </c>
      <c r="D28" s="41"/>
      <c r="E28" s="41"/>
      <c r="F28" s="41"/>
      <c r="G28" s="41">
        <v>260</v>
      </c>
      <c r="H28" s="41"/>
      <c r="I28" s="42">
        <f t="shared" si="0"/>
        <v>390</v>
      </c>
      <c r="J28" s="39">
        <f t="shared" si="1"/>
        <v>3</v>
      </c>
    </row>
    <row r="29" spans="1:10" ht="15" customHeight="1">
      <c r="A29" s="40" t="s">
        <v>175</v>
      </c>
      <c r="B29" s="49">
        <v>100</v>
      </c>
      <c r="C29" s="41"/>
      <c r="D29" s="41"/>
      <c r="E29" s="41"/>
      <c r="F29" s="41"/>
      <c r="G29" s="41"/>
      <c r="H29" s="41">
        <v>100</v>
      </c>
      <c r="I29" s="42">
        <f t="shared" si="0"/>
        <v>100</v>
      </c>
      <c r="J29" s="39">
        <f t="shared" si="1"/>
        <v>1</v>
      </c>
    </row>
    <row r="30" spans="1:10" ht="15" customHeight="1">
      <c r="A30" s="40" t="s">
        <v>206</v>
      </c>
      <c r="B30" s="49">
        <v>210</v>
      </c>
      <c r="C30" s="41"/>
      <c r="D30" s="41"/>
      <c r="E30" s="41">
        <v>840</v>
      </c>
      <c r="F30" s="41"/>
      <c r="G30" s="41"/>
      <c r="H30" s="41"/>
      <c r="I30" s="42">
        <f t="shared" si="0"/>
        <v>840</v>
      </c>
      <c r="J30" s="39">
        <f t="shared" si="1"/>
        <v>4</v>
      </c>
    </row>
    <row r="31" spans="1:10" ht="15" customHeight="1">
      <c r="A31" s="40" t="s">
        <v>182</v>
      </c>
      <c r="B31" s="49">
        <v>70</v>
      </c>
      <c r="C31" s="41">
        <v>1820</v>
      </c>
      <c r="D31" s="41">
        <v>1610</v>
      </c>
      <c r="E31" s="41">
        <v>1890</v>
      </c>
      <c r="F31" s="41">
        <v>1400</v>
      </c>
      <c r="G31" s="41">
        <v>770</v>
      </c>
      <c r="H31" s="41">
        <v>350</v>
      </c>
      <c r="I31" s="42">
        <f t="shared" si="0"/>
        <v>7840</v>
      </c>
      <c r="J31" s="39">
        <f t="shared" si="1"/>
        <v>112</v>
      </c>
    </row>
    <row r="32" spans="1:10" ht="15" customHeight="1">
      <c r="A32" s="45" t="s">
        <v>207</v>
      </c>
      <c r="B32" s="50"/>
      <c r="C32" s="42">
        <v>4675</v>
      </c>
      <c r="D32" s="42">
        <v>6520</v>
      </c>
      <c r="E32" s="42">
        <v>10340</v>
      </c>
      <c r="F32" s="42">
        <v>6970</v>
      </c>
      <c r="G32" s="42">
        <v>6355</v>
      </c>
      <c r="H32" s="42">
        <v>1255</v>
      </c>
      <c r="I32" s="42">
        <f t="shared" si="0"/>
        <v>36115</v>
      </c>
      <c r="J32" s="39">
        <f>SUM(J2:J31)</f>
        <v>426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E17" sqref="E17"/>
    </sheetView>
  </sheetViews>
  <sheetFormatPr baseColWidth="10" defaultRowHeight="12.75"/>
  <cols>
    <col min="1" max="1" width="38" style="39" customWidth="1"/>
    <col min="2" max="2" width="14" style="51" customWidth="1"/>
    <col min="3" max="8" width="10.5703125" style="39" customWidth="1"/>
    <col min="9" max="9" width="11.85546875" style="39" customWidth="1"/>
    <col min="10" max="10" width="9.140625" style="80" customWidth="1"/>
    <col min="11" max="251" width="9.140625" style="39" customWidth="1"/>
    <col min="252" max="252" width="38" style="39" customWidth="1"/>
    <col min="253" max="264" width="10.5703125" style="39" customWidth="1"/>
    <col min="265" max="265" width="11.85546875" style="39" customWidth="1"/>
    <col min="266" max="507" width="9.140625" style="39" customWidth="1"/>
    <col min="508" max="508" width="38" style="39" customWidth="1"/>
    <col min="509" max="520" width="10.5703125" style="39" customWidth="1"/>
    <col min="521" max="521" width="11.85546875" style="39" customWidth="1"/>
    <col min="522" max="763" width="9.140625" style="39" customWidth="1"/>
    <col min="764" max="764" width="38" style="39" customWidth="1"/>
    <col min="765" max="776" width="10.5703125" style="39" customWidth="1"/>
    <col min="777" max="777" width="11.85546875" style="39" customWidth="1"/>
    <col min="778" max="1019" width="9.140625" style="39" customWidth="1"/>
    <col min="1020" max="1020" width="38" style="39" customWidth="1"/>
    <col min="1021" max="1032" width="10.5703125" style="39" customWidth="1"/>
    <col min="1033" max="1033" width="11.85546875" style="39" customWidth="1"/>
    <col min="1034" max="1275" width="9.140625" style="39" customWidth="1"/>
    <col min="1276" max="1276" width="38" style="39" customWidth="1"/>
    <col min="1277" max="1288" width="10.5703125" style="39" customWidth="1"/>
    <col min="1289" max="1289" width="11.85546875" style="39" customWidth="1"/>
    <col min="1290" max="1531" width="9.140625" style="39" customWidth="1"/>
    <col min="1532" max="1532" width="38" style="39" customWidth="1"/>
    <col min="1533" max="1544" width="10.5703125" style="39" customWidth="1"/>
    <col min="1545" max="1545" width="11.85546875" style="39" customWidth="1"/>
    <col min="1546" max="1787" width="9.140625" style="39" customWidth="1"/>
    <col min="1788" max="1788" width="38" style="39" customWidth="1"/>
    <col min="1789" max="1800" width="10.5703125" style="39" customWidth="1"/>
    <col min="1801" max="1801" width="11.85546875" style="39" customWidth="1"/>
    <col min="1802" max="2043" width="9.140625" style="39" customWidth="1"/>
    <col min="2044" max="2044" width="38" style="39" customWidth="1"/>
    <col min="2045" max="2056" width="10.5703125" style="39" customWidth="1"/>
    <col min="2057" max="2057" width="11.85546875" style="39" customWidth="1"/>
    <col min="2058" max="2299" width="9.140625" style="39" customWidth="1"/>
    <col min="2300" max="2300" width="38" style="39" customWidth="1"/>
    <col min="2301" max="2312" width="10.5703125" style="39" customWidth="1"/>
    <col min="2313" max="2313" width="11.85546875" style="39" customWidth="1"/>
    <col min="2314" max="2555" width="9.140625" style="39" customWidth="1"/>
    <col min="2556" max="2556" width="38" style="39" customWidth="1"/>
    <col min="2557" max="2568" width="10.5703125" style="39" customWidth="1"/>
    <col min="2569" max="2569" width="11.85546875" style="39" customWidth="1"/>
    <col min="2570" max="2811" width="9.140625" style="39" customWidth="1"/>
    <col min="2812" max="2812" width="38" style="39" customWidth="1"/>
    <col min="2813" max="2824" width="10.5703125" style="39" customWidth="1"/>
    <col min="2825" max="2825" width="11.85546875" style="39" customWidth="1"/>
    <col min="2826" max="3067" width="9.140625" style="39" customWidth="1"/>
    <col min="3068" max="3068" width="38" style="39" customWidth="1"/>
    <col min="3069" max="3080" width="10.5703125" style="39" customWidth="1"/>
    <col min="3081" max="3081" width="11.85546875" style="39" customWidth="1"/>
    <col min="3082" max="3323" width="9.140625" style="39" customWidth="1"/>
    <col min="3324" max="3324" width="38" style="39" customWidth="1"/>
    <col min="3325" max="3336" width="10.5703125" style="39" customWidth="1"/>
    <col min="3337" max="3337" width="11.85546875" style="39" customWidth="1"/>
    <col min="3338" max="3579" width="9.140625" style="39" customWidth="1"/>
    <col min="3580" max="3580" width="38" style="39" customWidth="1"/>
    <col min="3581" max="3592" width="10.5703125" style="39" customWidth="1"/>
    <col min="3593" max="3593" width="11.85546875" style="39" customWidth="1"/>
    <col min="3594" max="3835" width="9.140625" style="39" customWidth="1"/>
    <col min="3836" max="3836" width="38" style="39" customWidth="1"/>
    <col min="3837" max="3848" width="10.5703125" style="39" customWidth="1"/>
    <col min="3849" max="3849" width="11.85546875" style="39" customWidth="1"/>
    <col min="3850" max="4091" width="9.140625" style="39" customWidth="1"/>
    <col min="4092" max="4092" width="38" style="39" customWidth="1"/>
    <col min="4093" max="4104" width="10.5703125" style="39" customWidth="1"/>
    <col min="4105" max="4105" width="11.85546875" style="39" customWidth="1"/>
    <col min="4106" max="4347" width="9.140625" style="39" customWidth="1"/>
    <col min="4348" max="4348" width="38" style="39" customWidth="1"/>
    <col min="4349" max="4360" width="10.5703125" style="39" customWidth="1"/>
    <col min="4361" max="4361" width="11.85546875" style="39" customWidth="1"/>
    <col min="4362" max="4603" width="9.140625" style="39" customWidth="1"/>
    <col min="4604" max="4604" width="38" style="39" customWidth="1"/>
    <col min="4605" max="4616" width="10.5703125" style="39" customWidth="1"/>
    <col min="4617" max="4617" width="11.85546875" style="39" customWidth="1"/>
    <col min="4618" max="4859" width="9.140625" style="39" customWidth="1"/>
    <col min="4860" max="4860" width="38" style="39" customWidth="1"/>
    <col min="4861" max="4872" width="10.5703125" style="39" customWidth="1"/>
    <col min="4873" max="4873" width="11.85546875" style="39" customWidth="1"/>
    <col min="4874" max="5115" width="9.140625" style="39" customWidth="1"/>
    <col min="5116" max="5116" width="38" style="39" customWidth="1"/>
    <col min="5117" max="5128" width="10.5703125" style="39" customWidth="1"/>
    <col min="5129" max="5129" width="11.85546875" style="39" customWidth="1"/>
    <col min="5130" max="5371" width="9.140625" style="39" customWidth="1"/>
    <col min="5372" max="5372" width="38" style="39" customWidth="1"/>
    <col min="5373" max="5384" width="10.5703125" style="39" customWidth="1"/>
    <col min="5385" max="5385" width="11.85546875" style="39" customWidth="1"/>
    <col min="5386" max="5627" width="9.140625" style="39" customWidth="1"/>
    <col min="5628" max="5628" width="38" style="39" customWidth="1"/>
    <col min="5629" max="5640" width="10.5703125" style="39" customWidth="1"/>
    <col min="5641" max="5641" width="11.85546875" style="39" customWidth="1"/>
    <col min="5642" max="5883" width="9.140625" style="39" customWidth="1"/>
    <col min="5884" max="5884" width="38" style="39" customWidth="1"/>
    <col min="5885" max="5896" width="10.5703125" style="39" customWidth="1"/>
    <col min="5897" max="5897" width="11.85546875" style="39" customWidth="1"/>
    <col min="5898" max="6139" width="9.140625" style="39" customWidth="1"/>
    <col min="6140" max="6140" width="38" style="39" customWidth="1"/>
    <col min="6141" max="6152" width="10.5703125" style="39" customWidth="1"/>
    <col min="6153" max="6153" width="11.85546875" style="39" customWidth="1"/>
    <col min="6154" max="6395" width="9.140625" style="39" customWidth="1"/>
    <col min="6396" max="6396" width="38" style="39" customWidth="1"/>
    <col min="6397" max="6408" width="10.5703125" style="39" customWidth="1"/>
    <col min="6409" max="6409" width="11.85546875" style="39" customWidth="1"/>
    <col min="6410" max="6651" width="9.140625" style="39" customWidth="1"/>
    <col min="6652" max="6652" width="38" style="39" customWidth="1"/>
    <col min="6653" max="6664" width="10.5703125" style="39" customWidth="1"/>
    <col min="6665" max="6665" width="11.85546875" style="39" customWidth="1"/>
    <col min="6666" max="6907" width="9.140625" style="39" customWidth="1"/>
    <col min="6908" max="6908" width="38" style="39" customWidth="1"/>
    <col min="6909" max="6920" width="10.5703125" style="39" customWidth="1"/>
    <col min="6921" max="6921" width="11.85546875" style="39" customWidth="1"/>
    <col min="6922" max="7163" width="9.140625" style="39" customWidth="1"/>
    <col min="7164" max="7164" width="38" style="39" customWidth="1"/>
    <col min="7165" max="7176" width="10.5703125" style="39" customWidth="1"/>
    <col min="7177" max="7177" width="11.85546875" style="39" customWidth="1"/>
    <col min="7178" max="7419" width="9.140625" style="39" customWidth="1"/>
    <col min="7420" max="7420" width="38" style="39" customWidth="1"/>
    <col min="7421" max="7432" width="10.5703125" style="39" customWidth="1"/>
    <col min="7433" max="7433" width="11.85546875" style="39" customWidth="1"/>
    <col min="7434" max="7675" width="9.140625" style="39" customWidth="1"/>
    <col min="7676" max="7676" width="38" style="39" customWidth="1"/>
    <col min="7677" max="7688" width="10.5703125" style="39" customWidth="1"/>
    <col min="7689" max="7689" width="11.85546875" style="39" customWidth="1"/>
    <col min="7690" max="7931" width="9.140625" style="39" customWidth="1"/>
    <col min="7932" max="7932" width="38" style="39" customWidth="1"/>
    <col min="7933" max="7944" width="10.5703125" style="39" customWidth="1"/>
    <col min="7945" max="7945" width="11.85546875" style="39" customWidth="1"/>
    <col min="7946" max="8187" width="9.140625" style="39" customWidth="1"/>
    <col min="8188" max="8188" width="38" style="39" customWidth="1"/>
    <col min="8189" max="8200" width="10.5703125" style="39" customWidth="1"/>
    <col min="8201" max="8201" width="11.85546875" style="39" customWidth="1"/>
    <col min="8202" max="8443" width="9.140625" style="39" customWidth="1"/>
    <col min="8444" max="8444" width="38" style="39" customWidth="1"/>
    <col min="8445" max="8456" width="10.5703125" style="39" customWidth="1"/>
    <col min="8457" max="8457" width="11.85546875" style="39" customWidth="1"/>
    <col min="8458" max="8699" width="9.140625" style="39" customWidth="1"/>
    <col min="8700" max="8700" width="38" style="39" customWidth="1"/>
    <col min="8701" max="8712" width="10.5703125" style="39" customWidth="1"/>
    <col min="8713" max="8713" width="11.85546875" style="39" customWidth="1"/>
    <col min="8714" max="8955" width="9.140625" style="39" customWidth="1"/>
    <col min="8956" max="8956" width="38" style="39" customWidth="1"/>
    <col min="8957" max="8968" width="10.5703125" style="39" customWidth="1"/>
    <col min="8969" max="8969" width="11.85546875" style="39" customWidth="1"/>
    <col min="8970" max="9211" width="9.140625" style="39" customWidth="1"/>
    <col min="9212" max="9212" width="38" style="39" customWidth="1"/>
    <col min="9213" max="9224" width="10.5703125" style="39" customWidth="1"/>
    <col min="9225" max="9225" width="11.85546875" style="39" customWidth="1"/>
    <col min="9226" max="9467" width="9.140625" style="39" customWidth="1"/>
    <col min="9468" max="9468" width="38" style="39" customWidth="1"/>
    <col min="9469" max="9480" width="10.5703125" style="39" customWidth="1"/>
    <col min="9481" max="9481" width="11.85546875" style="39" customWidth="1"/>
    <col min="9482" max="9723" width="9.140625" style="39" customWidth="1"/>
    <col min="9724" max="9724" width="38" style="39" customWidth="1"/>
    <col min="9725" max="9736" width="10.5703125" style="39" customWidth="1"/>
    <col min="9737" max="9737" width="11.85546875" style="39" customWidth="1"/>
    <col min="9738" max="9979" width="9.140625" style="39" customWidth="1"/>
    <col min="9980" max="9980" width="38" style="39" customWidth="1"/>
    <col min="9981" max="9992" width="10.5703125" style="39" customWidth="1"/>
    <col min="9993" max="9993" width="11.85546875" style="39" customWidth="1"/>
    <col min="9994" max="10235" width="9.140625" style="39" customWidth="1"/>
    <col min="10236" max="10236" width="38" style="39" customWidth="1"/>
    <col min="10237" max="10248" width="10.5703125" style="39" customWidth="1"/>
    <col min="10249" max="10249" width="11.85546875" style="39" customWidth="1"/>
    <col min="10250" max="10491" width="9.140625" style="39" customWidth="1"/>
    <col min="10492" max="10492" width="38" style="39" customWidth="1"/>
    <col min="10493" max="10504" width="10.5703125" style="39" customWidth="1"/>
    <col min="10505" max="10505" width="11.85546875" style="39" customWidth="1"/>
    <col min="10506" max="10747" width="9.140625" style="39" customWidth="1"/>
    <col min="10748" max="10748" width="38" style="39" customWidth="1"/>
    <col min="10749" max="10760" width="10.5703125" style="39" customWidth="1"/>
    <col min="10761" max="10761" width="11.85546875" style="39" customWidth="1"/>
    <col min="10762" max="11003" width="9.140625" style="39" customWidth="1"/>
    <col min="11004" max="11004" width="38" style="39" customWidth="1"/>
    <col min="11005" max="11016" width="10.5703125" style="39" customWidth="1"/>
    <col min="11017" max="11017" width="11.85546875" style="39" customWidth="1"/>
    <col min="11018" max="11259" width="9.140625" style="39" customWidth="1"/>
    <col min="11260" max="11260" width="38" style="39" customWidth="1"/>
    <col min="11261" max="11272" width="10.5703125" style="39" customWidth="1"/>
    <col min="11273" max="11273" width="11.85546875" style="39" customWidth="1"/>
    <col min="11274" max="11515" width="9.140625" style="39" customWidth="1"/>
    <col min="11516" max="11516" width="38" style="39" customWidth="1"/>
    <col min="11517" max="11528" width="10.5703125" style="39" customWidth="1"/>
    <col min="11529" max="11529" width="11.85546875" style="39" customWidth="1"/>
    <col min="11530" max="11771" width="9.140625" style="39" customWidth="1"/>
    <col min="11772" max="11772" width="38" style="39" customWidth="1"/>
    <col min="11773" max="11784" width="10.5703125" style="39" customWidth="1"/>
    <col min="11785" max="11785" width="11.85546875" style="39" customWidth="1"/>
    <col min="11786" max="12027" width="9.140625" style="39" customWidth="1"/>
    <col min="12028" max="12028" width="38" style="39" customWidth="1"/>
    <col min="12029" max="12040" width="10.5703125" style="39" customWidth="1"/>
    <col min="12041" max="12041" width="11.85546875" style="39" customWidth="1"/>
    <col min="12042" max="12283" width="9.140625" style="39" customWidth="1"/>
    <col min="12284" max="12284" width="38" style="39" customWidth="1"/>
    <col min="12285" max="12296" width="10.5703125" style="39" customWidth="1"/>
    <col min="12297" max="12297" width="11.85546875" style="39" customWidth="1"/>
    <col min="12298" max="12539" width="9.140625" style="39" customWidth="1"/>
    <col min="12540" max="12540" width="38" style="39" customWidth="1"/>
    <col min="12541" max="12552" width="10.5703125" style="39" customWidth="1"/>
    <col min="12553" max="12553" width="11.85546875" style="39" customWidth="1"/>
    <col min="12554" max="12795" width="9.140625" style="39" customWidth="1"/>
    <col min="12796" max="12796" width="38" style="39" customWidth="1"/>
    <col min="12797" max="12808" width="10.5703125" style="39" customWidth="1"/>
    <col min="12809" max="12809" width="11.85546875" style="39" customWidth="1"/>
    <col min="12810" max="13051" width="9.140625" style="39" customWidth="1"/>
    <col min="13052" max="13052" width="38" style="39" customWidth="1"/>
    <col min="13053" max="13064" width="10.5703125" style="39" customWidth="1"/>
    <col min="13065" max="13065" width="11.85546875" style="39" customWidth="1"/>
    <col min="13066" max="13307" width="9.140625" style="39" customWidth="1"/>
    <col min="13308" max="13308" width="38" style="39" customWidth="1"/>
    <col min="13309" max="13320" width="10.5703125" style="39" customWidth="1"/>
    <col min="13321" max="13321" width="11.85546875" style="39" customWidth="1"/>
    <col min="13322" max="13563" width="9.140625" style="39" customWidth="1"/>
    <col min="13564" max="13564" width="38" style="39" customWidth="1"/>
    <col min="13565" max="13576" width="10.5703125" style="39" customWidth="1"/>
    <col min="13577" max="13577" width="11.85546875" style="39" customWidth="1"/>
    <col min="13578" max="13819" width="9.140625" style="39" customWidth="1"/>
    <col min="13820" max="13820" width="38" style="39" customWidth="1"/>
    <col min="13821" max="13832" width="10.5703125" style="39" customWidth="1"/>
    <col min="13833" max="13833" width="11.85546875" style="39" customWidth="1"/>
    <col min="13834" max="14075" width="9.140625" style="39" customWidth="1"/>
    <col min="14076" max="14076" width="38" style="39" customWidth="1"/>
    <col min="14077" max="14088" width="10.5703125" style="39" customWidth="1"/>
    <col min="14089" max="14089" width="11.85546875" style="39" customWidth="1"/>
    <col min="14090" max="14331" width="9.140625" style="39" customWidth="1"/>
    <col min="14332" max="14332" width="38" style="39" customWidth="1"/>
    <col min="14333" max="14344" width="10.5703125" style="39" customWidth="1"/>
    <col min="14345" max="14345" width="11.85546875" style="39" customWidth="1"/>
    <col min="14346" max="14587" width="9.140625" style="39" customWidth="1"/>
    <col min="14588" max="14588" width="38" style="39" customWidth="1"/>
    <col min="14589" max="14600" width="10.5703125" style="39" customWidth="1"/>
    <col min="14601" max="14601" width="11.85546875" style="39" customWidth="1"/>
    <col min="14602" max="14843" width="9.140625" style="39" customWidth="1"/>
    <col min="14844" max="14844" width="38" style="39" customWidth="1"/>
    <col min="14845" max="14856" width="10.5703125" style="39" customWidth="1"/>
    <col min="14857" max="14857" width="11.85546875" style="39" customWidth="1"/>
    <col min="14858" max="15099" width="9.140625" style="39" customWidth="1"/>
    <col min="15100" max="15100" width="38" style="39" customWidth="1"/>
    <col min="15101" max="15112" width="10.5703125" style="39" customWidth="1"/>
    <col min="15113" max="15113" width="11.85546875" style="39" customWidth="1"/>
    <col min="15114" max="15355" width="9.140625" style="39" customWidth="1"/>
    <col min="15356" max="15356" width="38" style="39" customWidth="1"/>
    <col min="15357" max="15368" width="10.5703125" style="39" customWidth="1"/>
    <col min="15369" max="15369" width="11.85546875" style="39" customWidth="1"/>
    <col min="15370" max="15611" width="9.140625" style="39" customWidth="1"/>
    <col min="15612" max="15612" width="38" style="39" customWidth="1"/>
    <col min="15613" max="15624" width="10.5703125" style="39" customWidth="1"/>
    <col min="15625" max="15625" width="11.85546875" style="39" customWidth="1"/>
    <col min="15626" max="15867" width="9.140625" style="39" customWidth="1"/>
    <col min="15868" max="15868" width="38" style="39" customWidth="1"/>
    <col min="15869" max="15880" width="10.5703125" style="39" customWidth="1"/>
    <col min="15881" max="15881" width="11.85546875" style="39" customWidth="1"/>
    <col min="15882" max="16123" width="9.140625" style="39" customWidth="1"/>
    <col min="16124" max="16124" width="38" style="39" customWidth="1"/>
    <col min="16125" max="16136" width="10.5703125" style="39" customWidth="1"/>
    <col min="16137" max="16137" width="11.85546875" style="39" customWidth="1"/>
    <col min="16138" max="16384" width="9.140625" style="39" customWidth="1"/>
  </cols>
  <sheetData>
    <row r="1" spans="1:10" ht="12.6" customHeight="1">
      <c r="A1" s="43" t="s">
        <v>184</v>
      </c>
      <c r="B1" s="48" t="s">
        <v>208</v>
      </c>
      <c r="C1" s="43" t="s">
        <v>244</v>
      </c>
      <c r="D1" s="43" t="s">
        <v>245</v>
      </c>
      <c r="E1" s="43" t="s">
        <v>246</v>
      </c>
      <c r="F1" s="43" t="s">
        <v>247</v>
      </c>
      <c r="G1" s="43" t="s">
        <v>248</v>
      </c>
      <c r="H1" s="43" t="s">
        <v>249</v>
      </c>
      <c r="I1" s="44" t="s">
        <v>191</v>
      </c>
      <c r="J1" s="80" t="s">
        <v>209</v>
      </c>
    </row>
    <row r="2" spans="1:10" ht="15" customHeight="1">
      <c r="A2" s="40" t="s">
        <v>192</v>
      </c>
      <c r="B2" s="49">
        <v>100</v>
      </c>
      <c r="C2" s="41"/>
      <c r="D2" s="41">
        <v>100</v>
      </c>
      <c r="E2" s="41">
        <v>100</v>
      </c>
      <c r="F2" s="41"/>
      <c r="G2" s="41">
        <v>100</v>
      </c>
      <c r="H2" s="41">
        <v>200</v>
      </c>
      <c r="I2" s="42">
        <f>C2+D2+E2+F2+G2+H2</f>
        <v>500</v>
      </c>
      <c r="J2" s="80">
        <f>I2/B2</f>
        <v>5</v>
      </c>
    </row>
    <row r="3" spans="1:10" ht="15" customHeight="1">
      <c r="A3" s="40" t="s">
        <v>193</v>
      </c>
      <c r="B3" s="49">
        <v>40</v>
      </c>
      <c r="C3" s="41"/>
      <c r="D3" s="41"/>
      <c r="E3" s="41"/>
      <c r="F3" s="41">
        <v>40</v>
      </c>
      <c r="G3" s="41"/>
      <c r="H3" s="41">
        <v>120</v>
      </c>
      <c r="I3" s="42">
        <f t="shared" ref="I3:I36" si="0">C3+D3+E3+F3+G3+H3</f>
        <v>160</v>
      </c>
      <c r="J3" s="80">
        <f t="shared" ref="J3:J35" si="1">I3/B3</f>
        <v>4</v>
      </c>
    </row>
    <row r="4" spans="1:10" ht="15" customHeight="1">
      <c r="A4" s="40" t="s">
        <v>194</v>
      </c>
      <c r="B4" s="49">
        <v>110</v>
      </c>
      <c r="C4" s="41"/>
      <c r="D4" s="41"/>
      <c r="E4" s="41"/>
      <c r="F4" s="41"/>
      <c r="G4" s="41"/>
      <c r="H4" s="41"/>
      <c r="I4" s="42">
        <f t="shared" si="0"/>
        <v>0</v>
      </c>
      <c r="J4" s="80">
        <f t="shared" si="1"/>
        <v>0</v>
      </c>
    </row>
    <row r="5" spans="1:10" ht="15" customHeight="1">
      <c r="A5" s="40" t="s">
        <v>27</v>
      </c>
      <c r="B5" s="49">
        <v>120</v>
      </c>
      <c r="C5" s="41"/>
      <c r="D5" s="41">
        <v>240</v>
      </c>
      <c r="E5" s="41">
        <v>360</v>
      </c>
      <c r="F5" s="41"/>
      <c r="G5" s="41">
        <v>240</v>
      </c>
      <c r="H5" s="41">
        <v>120</v>
      </c>
      <c r="I5" s="42">
        <f t="shared" si="0"/>
        <v>960</v>
      </c>
      <c r="J5" s="80">
        <f t="shared" si="1"/>
        <v>8</v>
      </c>
    </row>
    <row r="6" spans="1:10" ht="15" customHeight="1">
      <c r="A6" s="40" t="s">
        <v>31</v>
      </c>
      <c r="B6" s="49">
        <v>40</v>
      </c>
      <c r="C6" s="41"/>
      <c r="D6" s="41"/>
      <c r="E6" s="41"/>
      <c r="F6" s="41"/>
      <c r="G6" s="41"/>
      <c r="H6" s="41">
        <v>40</v>
      </c>
      <c r="I6" s="42">
        <f t="shared" si="0"/>
        <v>40</v>
      </c>
      <c r="J6" s="80">
        <f t="shared" si="1"/>
        <v>1</v>
      </c>
    </row>
    <row r="7" spans="1:10" ht="15" customHeight="1">
      <c r="A7" s="40" t="s">
        <v>195</v>
      </c>
      <c r="B7" s="49">
        <v>30</v>
      </c>
      <c r="C7" s="41">
        <v>30</v>
      </c>
      <c r="D7" s="41"/>
      <c r="E7" s="41"/>
      <c r="F7" s="41">
        <v>90</v>
      </c>
      <c r="G7" s="41">
        <v>60</v>
      </c>
      <c r="H7" s="41">
        <v>30</v>
      </c>
      <c r="I7" s="42">
        <f t="shared" si="0"/>
        <v>210</v>
      </c>
      <c r="J7" s="80">
        <f t="shared" si="1"/>
        <v>7</v>
      </c>
    </row>
    <row r="8" spans="1:10" ht="15" customHeight="1">
      <c r="A8" s="40" t="s">
        <v>250</v>
      </c>
      <c r="B8" s="49">
        <v>180</v>
      </c>
      <c r="C8" s="41">
        <v>180</v>
      </c>
      <c r="D8" s="41"/>
      <c r="E8" s="41"/>
      <c r="F8" s="41"/>
      <c r="G8" s="41"/>
      <c r="H8" s="41"/>
      <c r="I8" s="42">
        <f t="shared" si="0"/>
        <v>180</v>
      </c>
      <c r="J8" s="80">
        <f t="shared" si="1"/>
        <v>1</v>
      </c>
    </row>
    <row r="9" spans="1:10" ht="15" customHeight="1">
      <c r="A9" s="40" t="s">
        <v>43</v>
      </c>
      <c r="B9" s="49">
        <v>170</v>
      </c>
      <c r="C9" s="41"/>
      <c r="D9" s="41"/>
      <c r="E9" s="41">
        <v>170</v>
      </c>
      <c r="F9" s="41">
        <v>170</v>
      </c>
      <c r="G9" s="41"/>
      <c r="H9" s="41">
        <v>340</v>
      </c>
      <c r="I9" s="42">
        <f t="shared" si="0"/>
        <v>680</v>
      </c>
      <c r="J9" s="80">
        <f t="shared" si="1"/>
        <v>4</v>
      </c>
    </row>
    <row r="10" spans="1:10" ht="15" customHeight="1">
      <c r="A10" s="40" t="s">
        <v>53</v>
      </c>
      <c r="B10" s="49">
        <v>40</v>
      </c>
      <c r="C10" s="41"/>
      <c r="D10" s="41"/>
      <c r="E10" s="41"/>
      <c r="F10" s="41">
        <v>80</v>
      </c>
      <c r="G10" s="41"/>
      <c r="H10" s="41"/>
      <c r="I10" s="42">
        <f t="shared" si="0"/>
        <v>80</v>
      </c>
      <c r="J10" s="80">
        <f t="shared" si="1"/>
        <v>2</v>
      </c>
    </row>
    <row r="11" spans="1:10" ht="15" customHeight="1">
      <c r="A11" s="40" t="s">
        <v>251</v>
      </c>
      <c r="B11" s="49">
        <v>165</v>
      </c>
      <c r="C11" s="41"/>
      <c r="D11" s="41"/>
      <c r="E11" s="41"/>
      <c r="F11" s="41"/>
      <c r="G11" s="41"/>
      <c r="H11" s="41">
        <v>165</v>
      </c>
      <c r="I11" s="42">
        <f t="shared" si="0"/>
        <v>165</v>
      </c>
      <c r="J11" s="80">
        <f t="shared" si="1"/>
        <v>1</v>
      </c>
    </row>
    <row r="12" spans="1:10" ht="15" customHeight="1">
      <c r="A12" s="40" t="s">
        <v>196</v>
      </c>
      <c r="B12" s="49">
        <v>40</v>
      </c>
      <c r="C12" s="41">
        <v>120</v>
      </c>
      <c r="D12" s="41">
        <v>160</v>
      </c>
      <c r="E12" s="41">
        <v>120</v>
      </c>
      <c r="F12" s="41">
        <v>280</v>
      </c>
      <c r="G12" s="41">
        <v>120</v>
      </c>
      <c r="H12" s="41">
        <v>80</v>
      </c>
      <c r="I12" s="42">
        <f t="shared" si="0"/>
        <v>880</v>
      </c>
      <c r="J12" s="80">
        <f t="shared" si="1"/>
        <v>22</v>
      </c>
    </row>
    <row r="13" spans="1:10" ht="15" customHeight="1">
      <c r="A13" s="40" t="s">
        <v>83</v>
      </c>
      <c r="B13" s="49">
        <v>65</v>
      </c>
      <c r="C13" s="41"/>
      <c r="D13" s="41">
        <v>65</v>
      </c>
      <c r="E13" s="41"/>
      <c r="F13" s="41">
        <v>260</v>
      </c>
      <c r="G13" s="41"/>
      <c r="H13" s="41"/>
      <c r="I13" s="42">
        <f t="shared" si="0"/>
        <v>325</v>
      </c>
      <c r="J13" s="80">
        <f t="shared" si="1"/>
        <v>5</v>
      </c>
    </row>
    <row r="14" spans="1:10" ht="15" customHeight="1">
      <c r="A14" s="40" t="s">
        <v>197</v>
      </c>
      <c r="B14" s="49">
        <v>75</v>
      </c>
      <c r="C14" s="41"/>
      <c r="D14" s="41">
        <v>75</v>
      </c>
      <c r="E14" s="41">
        <v>225</v>
      </c>
      <c r="F14" s="41">
        <v>300</v>
      </c>
      <c r="G14" s="41">
        <v>225</v>
      </c>
      <c r="H14" s="41"/>
      <c r="I14" s="42">
        <f t="shared" si="0"/>
        <v>825</v>
      </c>
      <c r="J14" s="80">
        <f t="shared" si="1"/>
        <v>11</v>
      </c>
    </row>
    <row r="15" spans="1:10" ht="15" customHeight="1">
      <c r="A15" s="40" t="s">
        <v>89</v>
      </c>
      <c r="B15" s="49">
        <v>70</v>
      </c>
      <c r="C15" s="41"/>
      <c r="D15" s="41"/>
      <c r="E15" s="41"/>
      <c r="F15" s="41"/>
      <c r="G15" s="41">
        <v>70</v>
      </c>
      <c r="H15" s="41"/>
      <c r="I15" s="42">
        <f t="shared" si="0"/>
        <v>70</v>
      </c>
      <c r="J15" s="80">
        <f t="shared" si="1"/>
        <v>1</v>
      </c>
    </row>
    <row r="16" spans="1:10" ht="15" customHeight="1">
      <c r="A16" s="40" t="s">
        <v>198</v>
      </c>
      <c r="B16" s="49">
        <v>40</v>
      </c>
      <c r="C16" s="41"/>
      <c r="D16" s="41"/>
      <c r="E16" s="41"/>
      <c r="F16" s="41">
        <v>120</v>
      </c>
      <c r="G16" s="41">
        <v>40</v>
      </c>
      <c r="H16" s="41"/>
      <c r="I16" s="42">
        <f t="shared" si="0"/>
        <v>160</v>
      </c>
      <c r="J16" s="80">
        <f t="shared" si="1"/>
        <v>4</v>
      </c>
    </row>
    <row r="17" spans="1:10" ht="15" customHeight="1">
      <c r="A17" s="40" t="s">
        <v>199</v>
      </c>
      <c r="B17" s="49">
        <v>75</v>
      </c>
      <c r="C17" s="41">
        <v>75</v>
      </c>
      <c r="D17" s="41">
        <v>75</v>
      </c>
      <c r="E17" s="41">
        <v>225</v>
      </c>
      <c r="F17" s="41">
        <v>525</v>
      </c>
      <c r="G17" s="41">
        <v>75</v>
      </c>
      <c r="H17" s="41">
        <v>375</v>
      </c>
      <c r="I17" s="42">
        <f t="shared" si="0"/>
        <v>1350</v>
      </c>
      <c r="J17" s="80">
        <f t="shared" si="1"/>
        <v>18</v>
      </c>
    </row>
    <row r="18" spans="1:10" ht="15" customHeight="1">
      <c r="A18" s="40" t="s">
        <v>252</v>
      </c>
      <c r="B18" s="49">
        <v>280</v>
      </c>
      <c r="C18" s="41">
        <v>280</v>
      </c>
      <c r="D18" s="41"/>
      <c r="E18" s="41"/>
      <c r="F18" s="41"/>
      <c r="G18" s="41"/>
      <c r="H18" s="41"/>
      <c r="I18" s="42">
        <f t="shared" si="0"/>
        <v>280</v>
      </c>
      <c r="J18" s="80">
        <f t="shared" si="1"/>
        <v>1</v>
      </c>
    </row>
    <row r="19" spans="1:10" ht="15" customHeight="1">
      <c r="A19" s="40" t="s">
        <v>200</v>
      </c>
      <c r="B19" s="49">
        <v>160</v>
      </c>
      <c r="C19" s="41">
        <v>320</v>
      </c>
      <c r="D19" s="41">
        <v>480</v>
      </c>
      <c r="E19" s="41">
        <v>640</v>
      </c>
      <c r="F19" s="41">
        <v>800</v>
      </c>
      <c r="G19" s="41">
        <v>1120</v>
      </c>
      <c r="H19" s="41">
        <v>480</v>
      </c>
      <c r="I19" s="42">
        <f t="shared" si="0"/>
        <v>3840</v>
      </c>
      <c r="J19" s="80">
        <f t="shared" si="1"/>
        <v>24</v>
      </c>
    </row>
    <row r="20" spans="1:10" ht="15" customHeight="1">
      <c r="A20" s="40" t="s">
        <v>201</v>
      </c>
      <c r="B20" s="49">
        <v>230</v>
      </c>
      <c r="C20" s="41">
        <v>230</v>
      </c>
      <c r="D20" s="41">
        <v>690</v>
      </c>
      <c r="E20" s="41"/>
      <c r="F20" s="41">
        <v>230</v>
      </c>
      <c r="G20" s="41">
        <v>230</v>
      </c>
      <c r="H20" s="41">
        <v>230</v>
      </c>
      <c r="I20" s="42">
        <f t="shared" si="0"/>
        <v>1610</v>
      </c>
      <c r="J20" s="80">
        <f t="shared" si="1"/>
        <v>7</v>
      </c>
    </row>
    <row r="21" spans="1:10" ht="15" customHeight="1">
      <c r="A21" s="40" t="s">
        <v>202</v>
      </c>
      <c r="B21" s="49">
        <v>250</v>
      </c>
      <c r="C21" s="41"/>
      <c r="D21" s="41"/>
      <c r="E21" s="41"/>
      <c r="F21" s="41"/>
      <c r="G21" s="41"/>
      <c r="H21" s="41">
        <v>250</v>
      </c>
      <c r="I21" s="42">
        <f t="shared" si="0"/>
        <v>250</v>
      </c>
      <c r="J21" s="80">
        <f t="shared" si="1"/>
        <v>1</v>
      </c>
    </row>
    <row r="22" spans="1:10" ht="15" customHeight="1">
      <c r="A22" s="40" t="s">
        <v>133</v>
      </c>
      <c r="B22" s="49">
        <v>60</v>
      </c>
      <c r="C22" s="41"/>
      <c r="D22" s="41">
        <v>60</v>
      </c>
      <c r="E22" s="41"/>
      <c r="F22" s="41">
        <v>60</v>
      </c>
      <c r="G22" s="41"/>
      <c r="H22" s="41"/>
      <c r="I22" s="42">
        <f t="shared" si="0"/>
        <v>120</v>
      </c>
      <c r="J22" s="80">
        <f t="shared" si="1"/>
        <v>2</v>
      </c>
    </row>
    <row r="23" spans="1:10" ht="15" customHeight="1">
      <c r="A23" s="40" t="s">
        <v>203</v>
      </c>
      <c r="B23" s="49">
        <v>70</v>
      </c>
      <c r="C23" s="41"/>
      <c r="D23" s="41">
        <v>70</v>
      </c>
      <c r="E23" s="41"/>
      <c r="F23" s="41">
        <v>140</v>
      </c>
      <c r="G23" s="41"/>
      <c r="H23" s="41"/>
      <c r="I23" s="42">
        <f t="shared" si="0"/>
        <v>210</v>
      </c>
      <c r="J23" s="80">
        <f t="shared" si="1"/>
        <v>3</v>
      </c>
    </row>
    <row r="24" spans="1:10" ht="15" customHeight="1">
      <c r="A24" s="40" t="s">
        <v>137</v>
      </c>
      <c r="B24" s="49">
        <v>60</v>
      </c>
      <c r="C24" s="41">
        <v>60</v>
      </c>
      <c r="D24" s="41"/>
      <c r="E24" s="41"/>
      <c r="F24" s="41"/>
      <c r="G24" s="41"/>
      <c r="H24" s="41"/>
      <c r="I24" s="42">
        <f t="shared" si="0"/>
        <v>60</v>
      </c>
      <c r="J24" s="80">
        <f t="shared" si="1"/>
        <v>1</v>
      </c>
    </row>
    <row r="25" spans="1:10" ht="15" customHeight="1">
      <c r="A25" s="40" t="s">
        <v>204</v>
      </c>
      <c r="B25" s="49">
        <v>0</v>
      </c>
      <c r="C25" s="41"/>
      <c r="D25" s="41"/>
      <c r="E25" s="41"/>
      <c r="F25" s="41"/>
      <c r="G25" s="41"/>
      <c r="H25" s="41"/>
      <c r="I25" s="42">
        <f t="shared" si="0"/>
        <v>0</v>
      </c>
      <c r="J25" s="80">
        <v>0</v>
      </c>
    </row>
    <row r="26" spans="1:10" ht="15" customHeight="1">
      <c r="A26" s="40" t="s">
        <v>149</v>
      </c>
      <c r="B26" s="49">
        <v>90</v>
      </c>
      <c r="C26" s="41"/>
      <c r="D26" s="41">
        <v>270</v>
      </c>
      <c r="E26" s="41">
        <v>360</v>
      </c>
      <c r="F26" s="41">
        <v>360</v>
      </c>
      <c r="G26" s="41">
        <v>180</v>
      </c>
      <c r="H26" s="41">
        <v>180</v>
      </c>
      <c r="I26" s="42">
        <f t="shared" si="0"/>
        <v>1350</v>
      </c>
      <c r="J26" s="80">
        <f t="shared" si="1"/>
        <v>15</v>
      </c>
    </row>
    <row r="27" spans="1:10" ht="15" customHeight="1">
      <c r="A27" s="40" t="s">
        <v>205</v>
      </c>
      <c r="B27" s="49">
        <v>95</v>
      </c>
      <c r="C27" s="41"/>
      <c r="D27" s="41"/>
      <c r="E27" s="41">
        <v>95</v>
      </c>
      <c r="F27" s="41"/>
      <c r="G27" s="41"/>
      <c r="H27" s="41"/>
      <c r="I27" s="42">
        <f t="shared" si="0"/>
        <v>95</v>
      </c>
      <c r="J27" s="80">
        <f t="shared" si="1"/>
        <v>1</v>
      </c>
    </row>
    <row r="28" spans="1:10" ht="15" customHeight="1">
      <c r="A28" s="40" t="s">
        <v>157</v>
      </c>
      <c r="B28" s="49">
        <v>110</v>
      </c>
      <c r="C28" s="41"/>
      <c r="D28" s="41"/>
      <c r="E28" s="41">
        <v>220</v>
      </c>
      <c r="F28" s="41">
        <v>110</v>
      </c>
      <c r="G28" s="41"/>
      <c r="H28" s="41">
        <v>220</v>
      </c>
      <c r="I28" s="42">
        <f t="shared" si="0"/>
        <v>550</v>
      </c>
      <c r="J28" s="80">
        <f t="shared" si="1"/>
        <v>5</v>
      </c>
    </row>
    <row r="29" spans="1:10" ht="15" customHeight="1">
      <c r="A29" s="40" t="s">
        <v>161</v>
      </c>
      <c r="B29" s="49">
        <v>110</v>
      </c>
      <c r="C29" s="41">
        <v>110</v>
      </c>
      <c r="D29" s="41"/>
      <c r="E29" s="41">
        <v>110</v>
      </c>
      <c r="F29" s="41"/>
      <c r="G29" s="41">
        <v>110</v>
      </c>
      <c r="H29" s="41"/>
      <c r="I29" s="42">
        <f t="shared" si="0"/>
        <v>330</v>
      </c>
      <c r="J29" s="80">
        <f t="shared" si="1"/>
        <v>3</v>
      </c>
    </row>
    <row r="30" spans="1:10" ht="15" customHeight="1">
      <c r="A30" s="40" t="s">
        <v>167</v>
      </c>
      <c r="B30" s="49">
        <v>85</v>
      </c>
      <c r="C30" s="41"/>
      <c r="D30" s="41"/>
      <c r="E30" s="41">
        <v>340</v>
      </c>
      <c r="F30" s="41">
        <v>170</v>
      </c>
      <c r="G30" s="41">
        <v>85</v>
      </c>
      <c r="H30" s="41"/>
      <c r="I30" s="42">
        <f t="shared" si="0"/>
        <v>595</v>
      </c>
      <c r="J30" s="80">
        <f t="shared" si="1"/>
        <v>7</v>
      </c>
    </row>
    <row r="31" spans="1:10" ht="15" customHeight="1">
      <c r="A31" s="40" t="s">
        <v>169</v>
      </c>
      <c r="B31" s="49">
        <v>80</v>
      </c>
      <c r="C31" s="41"/>
      <c r="D31" s="41">
        <v>80</v>
      </c>
      <c r="E31" s="41"/>
      <c r="F31" s="41"/>
      <c r="G31" s="41">
        <v>80</v>
      </c>
      <c r="H31" s="41"/>
      <c r="I31" s="42">
        <f t="shared" si="0"/>
        <v>160</v>
      </c>
      <c r="J31" s="80">
        <f t="shared" si="1"/>
        <v>2</v>
      </c>
    </row>
    <row r="32" spans="1:10" ht="15" customHeight="1">
      <c r="A32" s="40" t="s">
        <v>173</v>
      </c>
      <c r="B32" s="49">
        <v>130</v>
      </c>
      <c r="C32" s="41"/>
      <c r="D32" s="41"/>
      <c r="E32" s="41"/>
      <c r="F32" s="41">
        <v>260</v>
      </c>
      <c r="G32" s="41"/>
      <c r="H32" s="41"/>
      <c r="I32" s="42">
        <f t="shared" si="0"/>
        <v>260</v>
      </c>
      <c r="J32" s="80">
        <f t="shared" si="1"/>
        <v>2</v>
      </c>
    </row>
    <row r="33" spans="1:10" ht="15" customHeight="1">
      <c r="A33" s="40" t="s">
        <v>175</v>
      </c>
      <c r="B33" s="49">
        <v>100</v>
      </c>
      <c r="C33" s="41"/>
      <c r="D33" s="41">
        <v>100</v>
      </c>
      <c r="E33" s="41"/>
      <c r="F33" s="41"/>
      <c r="G33" s="41"/>
      <c r="H33" s="41"/>
      <c r="I33" s="42">
        <f t="shared" si="0"/>
        <v>100</v>
      </c>
      <c r="J33" s="80">
        <f t="shared" si="1"/>
        <v>1</v>
      </c>
    </row>
    <row r="34" spans="1:10" ht="15" customHeight="1">
      <c r="A34" s="40" t="s">
        <v>206</v>
      </c>
      <c r="B34" s="49">
        <v>210</v>
      </c>
      <c r="C34" s="41"/>
      <c r="D34" s="41"/>
      <c r="E34" s="41"/>
      <c r="F34" s="41"/>
      <c r="G34" s="41">
        <v>210</v>
      </c>
      <c r="H34" s="41"/>
      <c r="I34" s="42">
        <f t="shared" si="0"/>
        <v>210</v>
      </c>
      <c r="J34" s="80">
        <f t="shared" si="1"/>
        <v>1</v>
      </c>
    </row>
    <row r="35" spans="1:10" ht="15" customHeight="1">
      <c r="A35" s="40" t="s">
        <v>182</v>
      </c>
      <c r="B35" s="49">
        <v>70</v>
      </c>
      <c r="C35" s="41">
        <v>980</v>
      </c>
      <c r="D35" s="41">
        <v>1120</v>
      </c>
      <c r="E35" s="41">
        <v>560</v>
      </c>
      <c r="F35" s="41">
        <v>350</v>
      </c>
      <c r="G35" s="41">
        <v>770</v>
      </c>
      <c r="H35" s="41">
        <v>1190</v>
      </c>
      <c r="I35" s="42">
        <f t="shared" si="0"/>
        <v>4970</v>
      </c>
      <c r="J35" s="80">
        <f t="shared" si="1"/>
        <v>71</v>
      </c>
    </row>
    <row r="36" spans="1:10" ht="15" customHeight="1">
      <c r="A36" s="45" t="s">
        <v>207</v>
      </c>
      <c r="B36" s="50"/>
      <c r="C36" s="42">
        <v>2385</v>
      </c>
      <c r="D36" s="42">
        <v>3585</v>
      </c>
      <c r="E36" s="42">
        <v>3525</v>
      </c>
      <c r="F36" s="42">
        <v>4345</v>
      </c>
      <c r="G36" s="42">
        <v>3715</v>
      </c>
      <c r="H36" s="42">
        <v>4020</v>
      </c>
      <c r="I36" s="42">
        <f t="shared" si="0"/>
        <v>21575</v>
      </c>
      <c r="J36" s="80">
        <f>SUM(J2:J35)</f>
        <v>241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workbookViewId="0">
      <selection activeCell="F34" sqref="F34"/>
    </sheetView>
  </sheetViews>
  <sheetFormatPr baseColWidth="10" defaultRowHeight="12.75"/>
  <cols>
    <col min="1" max="1" width="38" style="81" customWidth="1"/>
    <col min="2" max="2" width="16.42578125" style="91" customWidth="1"/>
    <col min="3" max="8" width="10.5703125" style="81" customWidth="1"/>
    <col min="9" max="9" width="11.85546875" style="81" customWidth="1"/>
    <col min="10" max="245" width="9.140625" style="81" customWidth="1"/>
    <col min="246" max="246" width="38" style="81" customWidth="1"/>
    <col min="247" max="264" width="10.5703125" style="81" customWidth="1"/>
    <col min="265" max="265" width="11.85546875" style="81" customWidth="1"/>
    <col min="266" max="501" width="9.140625" style="81" customWidth="1"/>
    <col min="502" max="502" width="38" style="81" customWidth="1"/>
    <col min="503" max="520" width="10.5703125" style="81" customWidth="1"/>
    <col min="521" max="521" width="11.85546875" style="81" customWidth="1"/>
    <col min="522" max="757" width="9.140625" style="81" customWidth="1"/>
    <col min="758" max="758" width="38" style="81" customWidth="1"/>
    <col min="759" max="776" width="10.5703125" style="81" customWidth="1"/>
    <col min="777" max="777" width="11.85546875" style="81" customWidth="1"/>
    <col min="778" max="1013" width="9.140625" style="81" customWidth="1"/>
    <col min="1014" max="1014" width="38" style="81" customWidth="1"/>
    <col min="1015" max="1032" width="10.5703125" style="81" customWidth="1"/>
    <col min="1033" max="1033" width="11.85546875" style="81" customWidth="1"/>
    <col min="1034" max="1269" width="9.140625" style="81" customWidth="1"/>
    <col min="1270" max="1270" width="38" style="81" customWidth="1"/>
    <col min="1271" max="1288" width="10.5703125" style="81" customWidth="1"/>
    <col min="1289" max="1289" width="11.85546875" style="81" customWidth="1"/>
    <col min="1290" max="1525" width="9.140625" style="81" customWidth="1"/>
    <col min="1526" max="1526" width="38" style="81" customWidth="1"/>
    <col min="1527" max="1544" width="10.5703125" style="81" customWidth="1"/>
    <col min="1545" max="1545" width="11.85546875" style="81" customWidth="1"/>
    <col min="1546" max="1781" width="9.140625" style="81" customWidth="1"/>
    <col min="1782" max="1782" width="38" style="81" customWidth="1"/>
    <col min="1783" max="1800" width="10.5703125" style="81" customWidth="1"/>
    <col min="1801" max="1801" width="11.85546875" style="81" customWidth="1"/>
    <col min="1802" max="2037" width="9.140625" style="81" customWidth="1"/>
    <col min="2038" max="2038" width="38" style="81" customWidth="1"/>
    <col min="2039" max="2056" width="10.5703125" style="81" customWidth="1"/>
    <col min="2057" max="2057" width="11.85546875" style="81" customWidth="1"/>
    <col min="2058" max="2293" width="9.140625" style="81" customWidth="1"/>
    <col min="2294" max="2294" width="38" style="81" customWidth="1"/>
    <col min="2295" max="2312" width="10.5703125" style="81" customWidth="1"/>
    <col min="2313" max="2313" width="11.85546875" style="81" customWidth="1"/>
    <col min="2314" max="2549" width="9.140625" style="81" customWidth="1"/>
    <col min="2550" max="2550" width="38" style="81" customWidth="1"/>
    <col min="2551" max="2568" width="10.5703125" style="81" customWidth="1"/>
    <col min="2569" max="2569" width="11.85546875" style="81" customWidth="1"/>
    <col min="2570" max="2805" width="9.140625" style="81" customWidth="1"/>
    <col min="2806" max="2806" width="38" style="81" customWidth="1"/>
    <col min="2807" max="2824" width="10.5703125" style="81" customWidth="1"/>
    <col min="2825" max="2825" width="11.85546875" style="81" customWidth="1"/>
    <col min="2826" max="3061" width="9.140625" style="81" customWidth="1"/>
    <col min="3062" max="3062" width="38" style="81" customWidth="1"/>
    <col min="3063" max="3080" width="10.5703125" style="81" customWidth="1"/>
    <col min="3081" max="3081" width="11.85546875" style="81" customWidth="1"/>
    <col min="3082" max="3317" width="9.140625" style="81" customWidth="1"/>
    <col min="3318" max="3318" width="38" style="81" customWidth="1"/>
    <col min="3319" max="3336" width="10.5703125" style="81" customWidth="1"/>
    <col min="3337" max="3337" width="11.85546875" style="81" customWidth="1"/>
    <col min="3338" max="3573" width="9.140625" style="81" customWidth="1"/>
    <col min="3574" max="3574" width="38" style="81" customWidth="1"/>
    <col min="3575" max="3592" width="10.5703125" style="81" customWidth="1"/>
    <col min="3593" max="3593" width="11.85546875" style="81" customWidth="1"/>
    <col min="3594" max="3829" width="9.140625" style="81" customWidth="1"/>
    <col min="3830" max="3830" width="38" style="81" customWidth="1"/>
    <col min="3831" max="3848" width="10.5703125" style="81" customWidth="1"/>
    <col min="3849" max="3849" width="11.85546875" style="81" customWidth="1"/>
    <col min="3850" max="4085" width="9.140625" style="81" customWidth="1"/>
    <col min="4086" max="4086" width="38" style="81" customWidth="1"/>
    <col min="4087" max="4104" width="10.5703125" style="81" customWidth="1"/>
    <col min="4105" max="4105" width="11.85546875" style="81" customWidth="1"/>
    <col min="4106" max="4341" width="9.140625" style="81" customWidth="1"/>
    <col min="4342" max="4342" width="38" style="81" customWidth="1"/>
    <col min="4343" max="4360" width="10.5703125" style="81" customWidth="1"/>
    <col min="4361" max="4361" width="11.85546875" style="81" customWidth="1"/>
    <col min="4362" max="4597" width="9.140625" style="81" customWidth="1"/>
    <col min="4598" max="4598" width="38" style="81" customWidth="1"/>
    <col min="4599" max="4616" width="10.5703125" style="81" customWidth="1"/>
    <col min="4617" max="4617" width="11.85546875" style="81" customWidth="1"/>
    <col min="4618" max="4853" width="9.140625" style="81" customWidth="1"/>
    <col min="4854" max="4854" width="38" style="81" customWidth="1"/>
    <col min="4855" max="4872" width="10.5703125" style="81" customWidth="1"/>
    <col min="4873" max="4873" width="11.85546875" style="81" customWidth="1"/>
    <col min="4874" max="5109" width="9.140625" style="81" customWidth="1"/>
    <col min="5110" max="5110" width="38" style="81" customWidth="1"/>
    <col min="5111" max="5128" width="10.5703125" style="81" customWidth="1"/>
    <col min="5129" max="5129" width="11.85546875" style="81" customWidth="1"/>
    <col min="5130" max="5365" width="9.140625" style="81" customWidth="1"/>
    <col min="5366" max="5366" width="38" style="81" customWidth="1"/>
    <col min="5367" max="5384" width="10.5703125" style="81" customWidth="1"/>
    <col min="5385" max="5385" width="11.85546875" style="81" customWidth="1"/>
    <col min="5386" max="5621" width="9.140625" style="81" customWidth="1"/>
    <col min="5622" max="5622" width="38" style="81" customWidth="1"/>
    <col min="5623" max="5640" width="10.5703125" style="81" customWidth="1"/>
    <col min="5641" max="5641" width="11.85546875" style="81" customWidth="1"/>
    <col min="5642" max="5877" width="9.140625" style="81" customWidth="1"/>
    <col min="5878" max="5878" width="38" style="81" customWidth="1"/>
    <col min="5879" max="5896" width="10.5703125" style="81" customWidth="1"/>
    <col min="5897" max="5897" width="11.85546875" style="81" customWidth="1"/>
    <col min="5898" max="6133" width="9.140625" style="81" customWidth="1"/>
    <col min="6134" max="6134" width="38" style="81" customWidth="1"/>
    <col min="6135" max="6152" width="10.5703125" style="81" customWidth="1"/>
    <col min="6153" max="6153" width="11.85546875" style="81" customWidth="1"/>
    <col min="6154" max="6389" width="9.140625" style="81" customWidth="1"/>
    <col min="6390" max="6390" width="38" style="81" customWidth="1"/>
    <col min="6391" max="6408" width="10.5703125" style="81" customWidth="1"/>
    <col min="6409" max="6409" width="11.85546875" style="81" customWidth="1"/>
    <col min="6410" max="6645" width="9.140625" style="81" customWidth="1"/>
    <col min="6646" max="6646" width="38" style="81" customWidth="1"/>
    <col min="6647" max="6664" width="10.5703125" style="81" customWidth="1"/>
    <col min="6665" max="6665" width="11.85546875" style="81" customWidth="1"/>
    <col min="6666" max="6901" width="9.140625" style="81" customWidth="1"/>
    <col min="6902" max="6902" width="38" style="81" customWidth="1"/>
    <col min="6903" max="6920" width="10.5703125" style="81" customWidth="1"/>
    <col min="6921" max="6921" width="11.85546875" style="81" customWidth="1"/>
    <col min="6922" max="7157" width="9.140625" style="81" customWidth="1"/>
    <col min="7158" max="7158" width="38" style="81" customWidth="1"/>
    <col min="7159" max="7176" width="10.5703125" style="81" customWidth="1"/>
    <col min="7177" max="7177" width="11.85546875" style="81" customWidth="1"/>
    <col min="7178" max="7413" width="9.140625" style="81" customWidth="1"/>
    <col min="7414" max="7414" width="38" style="81" customWidth="1"/>
    <col min="7415" max="7432" width="10.5703125" style="81" customWidth="1"/>
    <col min="7433" max="7433" width="11.85546875" style="81" customWidth="1"/>
    <col min="7434" max="7669" width="9.140625" style="81" customWidth="1"/>
    <col min="7670" max="7670" width="38" style="81" customWidth="1"/>
    <col min="7671" max="7688" width="10.5703125" style="81" customWidth="1"/>
    <col min="7689" max="7689" width="11.85546875" style="81" customWidth="1"/>
    <col min="7690" max="7925" width="9.140625" style="81" customWidth="1"/>
    <col min="7926" max="7926" width="38" style="81" customWidth="1"/>
    <col min="7927" max="7944" width="10.5703125" style="81" customWidth="1"/>
    <col min="7945" max="7945" width="11.85546875" style="81" customWidth="1"/>
    <col min="7946" max="8181" width="9.140625" style="81" customWidth="1"/>
    <col min="8182" max="8182" width="38" style="81" customWidth="1"/>
    <col min="8183" max="8200" width="10.5703125" style="81" customWidth="1"/>
    <col min="8201" max="8201" width="11.85546875" style="81" customWidth="1"/>
    <col min="8202" max="8437" width="9.140625" style="81" customWidth="1"/>
    <col min="8438" max="8438" width="38" style="81" customWidth="1"/>
    <col min="8439" max="8456" width="10.5703125" style="81" customWidth="1"/>
    <col min="8457" max="8457" width="11.85546875" style="81" customWidth="1"/>
    <col min="8458" max="8693" width="9.140625" style="81" customWidth="1"/>
    <col min="8694" max="8694" width="38" style="81" customWidth="1"/>
    <col min="8695" max="8712" width="10.5703125" style="81" customWidth="1"/>
    <col min="8713" max="8713" width="11.85546875" style="81" customWidth="1"/>
    <col min="8714" max="8949" width="9.140625" style="81" customWidth="1"/>
    <col min="8950" max="8950" width="38" style="81" customWidth="1"/>
    <col min="8951" max="8968" width="10.5703125" style="81" customWidth="1"/>
    <col min="8969" max="8969" width="11.85546875" style="81" customWidth="1"/>
    <col min="8970" max="9205" width="9.140625" style="81" customWidth="1"/>
    <col min="9206" max="9206" width="38" style="81" customWidth="1"/>
    <col min="9207" max="9224" width="10.5703125" style="81" customWidth="1"/>
    <col min="9225" max="9225" width="11.85546875" style="81" customWidth="1"/>
    <col min="9226" max="9461" width="9.140625" style="81" customWidth="1"/>
    <col min="9462" max="9462" width="38" style="81" customWidth="1"/>
    <col min="9463" max="9480" width="10.5703125" style="81" customWidth="1"/>
    <col min="9481" max="9481" width="11.85546875" style="81" customWidth="1"/>
    <col min="9482" max="9717" width="9.140625" style="81" customWidth="1"/>
    <col min="9718" max="9718" width="38" style="81" customWidth="1"/>
    <col min="9719" max="9736" width="10.5703125" style="81" customWidth="1"/>
    <col min="9737" max="9737" width="11.85546875" style="81" customWidth="1"/>
    <col min="9738" max="9973" width="9.140625" style="81" customWidth="1"/>
    <col min="9974" max="9974" width="38" style="81" customWidth="1"/>
    <col min="9975" max="9992" width="10.5703125" style="81" customWidth="1"/>
    <col min="9993" max="9993" width="11.85546875" style="81" customWidth="1"/>
    <col min="9994" max="10229" width="9.140625" style="81" customWidth="1"/>
    <col min="10230" max="10230" width="38" style="81" customWidth="1"/>
    <col min="10231" max="10248" width="10.5703125" style="81" customWidth="1"/>
    <col min="10249" max="10249" width="11.85546875" style="81" customWidth="1"/>
    <col min="10250" max="10485" width="9.140625" style="81" customWidth="1"/>
    <col min="10486" max="10486" width="38" style="81" customWidth="1"/>
    <col min="10487" max="10504" width="10.5703125" style="81" customWidth="1"/>
    <col min="10505" max="10505" width="11.85546875" style="81" customWidth="1"/>
    <col min="10506" max="10741" width="9.140625" style="81" customWidth="1"/>
    <col min="10742" max="10742" width="38" style="81" customWidth="1"/>
    <col min="10743" max="10760" width="10.5703125" style="81" customWidth="1"/>
    <col min="10761" max="10761" width="11.85546875" style="81" customWidth="1"/>
    <col min="10762" max="10997" width="9.140625" style="81" customWidth="1"/>
    <col min="10998" max="10998" width="38" style="81" customWidth="1"/>
    <col min="10999" max="11016" width="10.5703125" style="81" customWidth="1"/>
    <col min="11017" max="11017" width="11.85546875" style="81" customWidth="1"/>
    <col min="11018" max="11253" width="9.140625" style="81" customWidth="1"/>
    <col min="11254" max="11254" width="38" style="81" customWidth="1"/>
    <col min="11255" max="11272" width="10.5703125" style="81" customWidth="1"/>
    <col min="11273" max="11273" width="11.85546875" style="81" customWidth="1"/>
    <col min="11274" max="11509" width="9.140625" style="81" customWidth="1"/>
    <col min="11510" max="11510" width="38" style="81" customWidth="1"/>
    <col min="11511" max="11528" width="10.5703125" style="81" customWidth="1"/>
    <col min="11529" max="11529" width="11.85546875" style="81" customWidth="1"/>
    <col min="11530" max="11765" width="9.140625" style="81" customWidth="1"/>
    <col min="11766" max="11766" width="38" style="81" customWidth="1"/>
    <col min="11767" max="11784" width="10.5703125" style="81" customWidth="1"/>
    <col min="11785" max="11785" width="11.85546875" style="81" customWidth="1"/>
    <col min="11786" max="12021" width="9.140625" style="81" customWidth="1"/>
    <col min="12022" max="12022" width="38" style="81" customWidth="1"/>
    <col min="12023" max="12040" width="10.5703125" style="81" customWidth="1"/>
    <col min="12041" max="12041" width="11.85546875" style="81" customWidth="1"/>
    <col min="12042" max="12277" width="9.140625" style="81" customWidth="1"/>
    <col min="12278" max="12278" width="38" style="81" customWidth="1"/>
    <col min="12279" max="12296" width="10.5703125" style="81" customWidth="1"/>
    <col min="12297" max="12297" width="11.85546875" style="81" customWidth="1"/>
    <col min="12298" max="12533" width="9.140625" style="81" customWidth="1"/>
    <col min="12534" max="12534" width="38" style="81" customWidth="1"/>
    <col min="12535" max="12552" width="10.5703125" style="81" customWidth="1"/>
    <col min="12553" max="12553" width="11.85546875" style="81" customWidth="1"/>
    <col min="12554" max="12789" width="9.140625" style="81" customWidth="1"/>
    <col min="12790" max="12790" width="38" style="81" customWidth="1"/>
    <col min="12791" max="12808" width="10.5703125" style="81" customWidth="1"/>
    <col min="12809" max="12809" width="11.85546875" style="81" customWidth="1"/>
    <col min="12810" max="13045" width="9.140625" style="81" customWidth="1"/>
    <col min="13046" max="13046" width="38" style="81" customWidth="1"/>
    <col min="13047" max="13064" width="10.5703125" style="81" customWidth="1"/>
    <col min="13065" max="13065" width="11.85546875" style="81" customWidth="1"/>
    <col min="13066" max="13301" width="9.140625" style="81" customWidth="1"/>
    <col min="13302" max="13302" width="38" style="81" customWidth="1"/>
    <col min="13303" max="13320" width="10.5703125" style="81" customWidth="1"/>
    <col min="13321" max="13321" width="11.85546875" style="81" customWidth="1"/>
    <col min="13322" max="13557" width="9.140625" style="81" customWidth="1"/>
    <col min="13558" max="13558" width="38" style="81" customWidth="1"/>
    <col min="13559" max="13576" width="10.5703125" style="81" customWidth="1"/>
    <col min="13577" max="13577" width="11.85546875" style="81" customWidth="1"/>
    <col min="13578" max="13813" width="9.140625" style="81" customWidth="1"/>
    <col min="13814" max="13814" width="38" style="81" customWidth="1"/>
    <col min="13815" max="13832" width="10.5703125" style="81" customWidth="1"/>
    <col min="13833" max="13833" width="11.85546875" style="81" customWidth="1"/>
    <col min="13834" max="14069" width="9.140625" style="81" customWidth="1"/>
    <col min="14070" max="14070" width="38" style="81" customWidth="1"/>
    <col min="14071" max="14088" width="10.5703125" style="81" customWidth="1"/>
    <col min="14089" max="14089" width="11.85546875" style="81" customWidth="1"/>
    <col min="14090" max="14325" width="9.140625" style="81" customWidth="1"/>
    <col min="14326" max="14326" width="38" style="81" customWidth="1"/>
    <col min="14327" max="14344" width="10.5703125" style="81" customWidth="1"/>
    <col min="14345" max="14345" width="11.85546875" style="81" customWidth="1"/>
    <col min="14346" max="14581" width="9.140625" style="81" customWidth="1"/>
    <col min="14582" max="14582" width="38" style="81" customWidth="1"/>
    <col min="14583" max="14600" width="10.5703125" style="81" customWidth="1"/>
    <col min="14601" max="14601" width="11.85546875" style="81" customWidth="1"/>
    <col min="14602" max="14837" width="9.140625" style="81" customWidth="1"/>
    <col min="14838" max="14838" width="38" style="81" customWidth="1"/>
    <col min="14839" max="14856" width="10.5703125" style="81" customWidth="1"/>
    <col min="14857" max="14857" width="11.85546875" style="81" customWidth="1"/>
    <col min="14858" max="15093" width="9.140625" style="81" customWidth="1"/>
    <col min="15094" max="15094" width="38" style="81" customWidth="1"/>
    <col min="15095" max="15112" width="10.5703125" style="81" customWidth="1"/>
    <col min="15113" max="15113" width="11.85546875" style="81" customWidth="1"/>
    <col min="15114" max="15349" width="9.140625" style="81" customWidth="1"/>
    <col min="15350" max="15350" width="38" style="81" customWidth="1"/>
    <col min="15351" max="15368" width="10.5703125" style="81" customWidth="1"/>
    <col min="15369" max="15369" width="11.85546875" style="81" customWidth="1"/>
    <col min="15370" max="15605" width="9.140625" style="81" customWidth="1"/>
    <col min="15606" max="15606" width="38" style="81" customWidth="1"/>
    <col min="15607" max="15624" width="10.5703125" style="81" customWidth="1"/>
    <col min="15625" max="15625" width="11.85546875" style="81" customWidth="1"/>
    <col min="15626" max="15861" width="9.140625" style="81" customWidth="1"/>
    <col min="15862" max="15862" width="38" style="81" customWidth="1"/>
    <col min="15863" max="15880" width="10.5703125" style="81" customWidth="1"/>
    <col min="15881" max="15881" width="11.85546875" style="81" customWidth="1"/>
    <col min="15882" max="16117" width="9.140625" style="81" customWidth="1"/>
    <col min="16118" max="16118" width="38" style="81" customWidth="1"/>
    <col min="16119" max="16136" width="10.5703125" style="81" customWidth="1"/>
    <col min="16137" max="16137" width="11.85546875" style="81" customWidth="1"/>
    <col min="16138" max="16384" width="9.140625" style="81" customWidth="1"/>
  </cols>
  <sheetData>
    <row r="1" spans="1:10" ht="12.6" customHeight="1">
      <c r="A1" s="85" t="s">
        <v>184</v>
      </c>
      <c r="B1" s="88" t="s">
        <v>208</v>
      </c>
      <c r="C1" s="85" t="s">
        <v>253</v>
      </c>
      <c r="D1" s="85" t="s">
        <v>254</v>
      </c>
      <c r="E1" s="85" t="s">
        <v>255</v>
      </c>
      <c r="F1" s="85" t="s">
        <v>256</v>
      </c>
      <c r="G1" s="85" t="s">
        <v>257</v>
      </c>
      <c r="H1" s="85" t="s">
        <v>258</v>
      </c>
      <c r="I1" s="86" t="s">
        <v>191</v>
      </c>
      <c r="J1" s="92" t="s">
        <v>209</v>
      </c>
    </row>
    <row r="2" spans="1:10" ht="15" customHeight="1">
      <c r="A2" s="82" t="s">
        <v>192</v>
      </c>
      <c r="B2" s="89">
        <v>100</v>
      </c>
      <c r="C2" s="83"/>
      <c r="D2" s="83"/>
      <c r="E2" s="83"/>
      <c r="F2" s="83"/>
      <c r="G2" s="83">
        <v>100</v>
      </c>
      <c r="H2" s="83">
        <v>100</v>
      </c>
      <c r="I2" s="84">
        <f>C2+D2+E2+F2+G2+H2</f>
        <v>200</v>
      </c>
      <c r="J2" s="81">
        <f>I2/B2</f>
        <v>2</v>
      </c>
    </row>
    <row r="3" spans="1:10" ht="15" customHeight="1">
      <c r="A3" s="82" t="s">
        <v>193</v>
      </c>
      <c r="B3" s="89">
        <v>40</v>
      </c>
      <c r="C3" s="83"/>
      <c r="D3" s="83"/>
      <c r="E3" s="83"/>
      <c r="F3" s="83"/>
      <c r="G3" s="83">
        <v>200</v>
      </c>
      <c r="H3" s="83">
        <v>160</v>
      </c>
      <c r="I3" s="84">
        <f t="shared" ref="I3:I36" si="0">C3+D3+E3+F3+G3+H3</f>
        <v>360</v>
      </c>
      <c r="J3" s="81">
        <f t="shared" ref="J3:J35" si="1">I3/B3</f>
        <v>9</v>
      </c>
    </row>
    <row r="4" spans="1:10" ht="15" customHeight="1">
      <c r="A4" s="82" t="s">
        <v>194</v>
      </c>
      <c r="B4" s="89">
        <v>110</v>
      </c>
      <c r="C4" s="83"/>
      <c r="D4" s="83"/>
      <c r="E4" s="83"/>
      <c r="F4" s="83"/>
      <c r="G4" s="83"/>
      <c r="H4" s="83">
        <v>110</v>
      </c>
      <c r="I4" s="84">
        <f t="shared" si="0"/>
        <v>110</v>
      </c>
      <c r="J4" s="81">
        <f t="shared" si="1"/>
        <v>1</v>
      </c>
    </row>
    <row r="5" spans="1:10" ht="15" customHeight="1">
      <c r="A5" s="82" t="s">
        <v>27</v>
      </c>
      <c r="B5" s="89">
        <v>120</v>
      </c>
      <c r="C5" s="83"/>
      <c r="D5" s="83"/>
      <c r="E5" s="83">
        <v>240</v>
      </c>
      <c r="F5" s="83"/>
      <c r="G5" s="83">
        <v>480</v>
      </c>
      <c r="H5" s="83"/>
      <c r="I5" s="84">
        <f t="shared" si="0"/>
        <v>720</v>
      </c>
      <c r="J5" s="81">
        <f t="shared" si="1"/>
        <v>6</v>
      </c>
    </row>
    <row r="6" spans="1:10" ht="15" customHeight="1">
      <c r="A6" s="82" t="s">
        <v>31</v>
      </c>
      <c r="B6" s="89">
        <v>40</v>
      </c>
      <c r="C6" s="83"/>
      <c r="D6" s="83"/>
      <c r="E6" s="83"/>
      <c r="F6" s="83"/>
      <c r="G6" s="83"/>
      <c r="H6" s="83"/>
      <c r="I6" s="84">
        <f t="shared" si="0"/>
        <v>0</v>
      </c>
      <c r="J6" s="81">
        <f t="shared" si="1"/>
        <v>0</v>
      </c>
    </row>
    <row r="7" spans="1:10" ht="15" customHeight="1">
      <c r="A7" s="82" t="s">
        <v>195</v>
      </c>
      <c r="B7" s="89">
        <v>30</v>
      </c>
      <c r="C7" s="83"/>
      <c r="D7" s="83"/>
      <c r="E7" s="83"/>
      <c r="F7" s="83"/>
      <c r="G7" s="83"/>
      <c r="H7" s="83"/>
      <c r="I7" s="84">
        <f t="shared" si="0"/>
        <v>0</v>
      </c>
      <c r="J7" s="81">
        <f t="shared" si="1"/>
        <v>0</v>
      </c>
    </row>
    <row r="8" spans="1:10" ht="15" customHeight="1">
      <c r="A8" s="82" t="s">
        <v>250</v>
      </c>
      <c r="B8" s="89">
        <v>180</v>
      </c>
      <c r="C8" s="83"/>
      <c r="D8" s="83"/>
      <c r="E8" s="83"/>
      <c r="F8" s="83"/>
      <c r="G8" s="83"/>
      <c r="H8" s="83"/>
      <c r="I8" s="84">
        <f t="shared" si="0"/>
        <v>0</v>
      </c>
      <c r="J8" s="81">
        <f t="shared" si="1"/>
        <v>0</v>
      </c>
    </row>
    <row r="9" spans="1:10" ht="15" customHeight="1">
      <c r="A9" s="82" t="s">
        <v>43</v>
      </c>
      <c r="B9" s="89">
        <v>170</v>
      </c>
      <c r="C9" s="83">
        <v>170</v>
      </c>
      <c r="D9" s="83"/>
      <c r="E9" s="83"/>
      <c r="F9" s="83"/>
      <c r="G9" s="83">
        <v>170</v>
      </c>
      <c r="H9" s="83"/>
      <c r="I9" s="84">
        <f t="shared" si="0"/>
        <v>340</v>
      </c>
      <c r="J9" s="81">
        <f t="shared" si="1"/>
        <v>2</v>
      </c>
    </row>
    <row r="10" spans="1:10" ht="15" customHeight="1">
      <c r="A10" s="82" t="s">
        <v>53</v>
      </c>
      <c r="B10" s="89">
        <v>40</v>
      </c>
      <c r="C10" s="83"/>
      <c r="D10" s="83"/>
      <c r="E10" s="83"/>
      <c r="F10" s="83"/>
      <c r="G10" s="83"/>
      <c r="H10" s="83"/>
      <c r="I10" s="84">
        <f t="shared" si="0"/>
        <v>0</v>
      </c>
      <c r="J10" s="81">
        <f t="shared" si="1"/>
        <v>0</v>
      </c>
    </row>
    <row r="11" spans="1:10" ht="15" customHeight="1">
      <c r="A11" s="82" t="s">
        <v>251</v>
      </c>
      <c r="B11" s="89">
        <v>165</v>
      </c>
      <c r="C11" s="83"/>
      <c r="D11" s="83"/>
      <c r="E11" s="83"/>
      <c r="F11" s="83"/>
      <c r="G11" s="83"/>
      <c r="H11" s="83"/>
      <c r="I11" s="84">
        <f t="shared" si="0"/>
        <v>0</v>
      </c>
      <c r="J11" s="81">
        <f t="shared" si="1"/>
        <v>0</v>
      </c>
    </row>
    <row r="12" spans="1:10" ht="15" customHeight="1">
      <c r="A12" s="82" t="s">
        <v>196</v>
      </c>
      <c r="B12" s="89">
        <v>40</v>
      </c>
      <c r="C12" s="83"/>
      <c r="D12" s="83">
        <v>280</v>
      </c>
      <c r="E12" s="83">
        <v>40</v>
      </c>
      <c r="F12" s="83">
        <v>40</v>
      </c>
      <c r="G12" s="83">
        <v>240</v>
      </c>
      <c r="H12" s="83">
        <v>80</v>
      </c>
      <c r="I12" s="84">
        <f t="shared" si="0"/>
        <v>680</v>
      </c>
      <c r="J12" s="81">
        <f t="shared" si="1"/>
        <v>17</v>
      </c>
    </row>
    <row r="13" spans="1:10" ht="15" customHeight="1">
      <c r="A13" s="82" t="s">
        <v>83</v>
      </c>
      <c r="B13" s="89">
        <v>65</v>
      </c>
      <c r="C13" s="83">
        <v>65</v>
      </c>
      <c r="D13" s="83"/>
      <c r="E13" s="83"/>
      <c r="F13" s="83"/>
      <c r="G13" s="83">
        <v>65</v>
      </c>
      <c r="H13" s="83">
        <v>130</v>
      </c>
      <c r="I13" s="84">
        <f t="shared" si="0"/>
        <v>260</v>
      </c>
      <c r="J13" s="81">
        <f t="shared" si="1"/>
        <v>4</v>
      </c>
    </row>
    <row r="14" spans="1:10" ht="15" customHeight="1">
      <c r="A14" s="82" t="s">
        <v>197</v>
      </c>
      <c r="B14" s="89">
        <v>75</v>
      </c>
      <c r="C14" s="83"/>
      <c r="D14" s="83">
        <v>450</v>
      </c>
      <c r="E14" s="83">
        <v>75</v>
      </c>
      <c r="F14" s="83"/>
      <c r="G14" s="83">
        <v>225</v>
      </c>
      <c r="H14" s="83">
        <v>225</v>
      </c>
      <c r="I14" s="84">
        <f t="shared" si="0"/>
        <v>975</v>
      </c>
      <c r="J14" s="81">
        <f t="shared" si="1"/>
        <v>13</v>
      </c>
    </row>
    <row r="15" spans="1:10" ht="15" customHeight="1">
      <c r="A15" s="82" t="s">
        <v>89</v>
      </c>
      <c r="B15" s="89">
        <v>70</v>
      </c>
      <c r="C15" s="83"/>
      <c r="D15" s="83">
        <v>140</v>
      </c>
      <c r="E15" s="83"/>
      <c r="F15" s="83"/>
      <c r="G15" s="83">
        <v>70</v>
      </c>
      <c r="H15" s="83"/>
      <c r="I15" s="84">
        <f t="shared" si="0"/>
        <v>210</v>
      </c>
      <c r="J15" s="81">
        <f t="shared" si="1"/>
        <v>3</v>
      </c>
    </row>
    <row r="16" spans="1:10" ht="15" customHeight="1">
      <c r="A16" s="82" t="s">
        <v>198</v>
      </c>
      <c r="B16" s="89">
        <v>40</v>
      </c>
      <c r="C16" s="83">
        <v>160</v>
      </c>
      <c r="D16" s="83"/>
      <c r="E16" s="83">
        <v>40</v>
      </c>
      <c r="F16" s="83"/>
      <c r="G16" s="83"/>
      <c r="H16" s="83"/>
      <c r="I16" s="84">
        <f t="shared" si="0"/>
        <v>200</v>
      </c>
      <c r="J16" s="81">
        <f t="shared" si="1"/>
        <v>5</v>
      </c>
    </row>
    <row r="17" spans="1:10" ht="15" customHeight="1">
      <c r="A17" s="82" t="s">
        <v>199</v>
      </c>
      <c r="B17" s="89">
        <v>75</v>
      </c>
      <c r="C17" s="83">
        <v>675</v>
      </c>
      <c r="D17" s="83">
        <v>300</v>
      </c>
      <c r="E17" s="83">
        <v>375</v>
      </c>
      <c r="F17" s="83"/>
      <c r="G17" s="83">
        <v>375</v>
      </c>
      <c r="H17" s="83">
        <v>225</v>
      </c>
      <c r="I17" s="84">
        <f t="shared" si="0"/>
        <v>1950</v>
      </c>
      <c r="J17" s="81">
        <f t="shared" si="1"/>
        <v>26</v>
      </c>
    </row>
    <row r="18" spans="1:10" ht="15" customHeight="1">
      <c r="A18" s="82" t="s">
        <v>252</v>
      </c>
      <c r="B18" s="89">
        <v>280</v>
      </c>
      <c r="C18" s="83"/>
      <c r="D18" s="83"/>
      <c r="E18" s="83">
        <v>280</v>
      </c>
      <c r="F18" s="83"/>
      <c r="G18" s="83"/>
      <c r="H18" s="83"/>
      <c r="I18" s="84">
        <f t="shared" si="0"/>
        <v>280</v>
      </c>
      <c r="J18" s="81">
        <f t="shared" si="1"/>
        <v>1</v>
      </c>
    </row>
    <row r="19" spans="1:10" ht="15" customHeight="1">
      <c r="A19" s="82" t="s">
        <v>200</v>
      </c>
      <c r="B19" s="89">
        <v>160</v>
      </c>
      <c r="C19" s="83">
        <v>480</v>
      </c>
      <c r="D19" s="83"/>
      <c r="E19" s="83">
        <v>320</v>
      </c>
      <c r="F19" s="83"/>
      <c r="G19" s="83">
        <v>480</v>
      </c>
      <c r="H19" s="83"/>
      <c r="I19" s="84">
        <f t="shared" si="0"/>
        <v>1280</v>
      </c>
      <c r="J19" s="81">
        <f t="shared" si="1"/>
        <v>8</v>
      </c>
    </row>
    <row r="20" spans="1:10" ht="15" customHeight="1">
      <c r="A20" s="82" t="s">
        <v>201</v>
      </c>
      <c r="B20" s="89">
        <v>230</v>
      </c>
      <c r="C20" s="83"/>
      <c r="D20" s="83"/>
      <c r="E20" s="83"/>
      <c r="F20" s="83">
        <v>230</v>
      </c>
      <c r="G20" s="83"/>
      <c r="H20" s="83">
        <v>460</v>
      </c>
      <c r="I20" s="84">
        <f t="shared" si="0"/>
        <v>690</v>
      </c>
      <c r="J20" s="81">
        <f t="shared" si="1"/>
        <v>3</v>
      </c>
    </row>
    <row r="21" spans="1:10" ht="15" customHeight="1">
      <c r="A21" s="82" t="s">
        <v>202</v>
      </c>
      <c r="B21" s="89">
        <v>250</v>
      </c>
      <c r="C21" s="83"/>
      <c r="D21" s="83"/>
      <c r="E21" s="83"/>
      <c r="F21" s="83"/>
      <c r="G21" s="83">
        <v>500</v>
      </c>
      <c r="H21" s="83"/>
      <c r="I21" s="84">
        <f t="shared" si="0"/>
        <v>500</v>
      </c>
      <c r="J21" s="81">
        <f t="shared" si="1"/>
        <v>2</v>
      </c>
    </row>
    <row r="22" spans="1:10" ht="15" customHeight="1">
      <c r="A22" s="82" t="s">
        <v>133</v>
      </c>
      <c r="B22" s="89">
        <v>60</v>
      </c>
      <c r="C22" s="83"/>
      <c r="D22" s="83">
        <v>180</v>
      </c>
      <c r="E22" s="83"/>
      <c r="F22" s="83"/>
      <c r="G22" s="83"/>
      <c r="H22" s="83"/>
      <c r="I22" s="84">
        <f t="shared" si="0"/>
        <v>180</v>
      </c>
      <c r="J22" s="81">
        <f t="shared" si="1"/>
        <v>3</v>
      </c>
    </row>
    <row r="23" spans="1:10" ht="15" customHeight="1">
      <c r="A23" s="82" t="s">
        <v>203</v>
      </c>
      <c r="B23" s="89">
        <v>70</v>
      </c>
      <c r="C23" s="83"/>
      <c r="D23" s="83"/>
      <c r="E23" s="83"/>
      <c r="F23" s="83"/>
      <c r="G23" s="83"/>
      <c r="H23" s="83">
        <v>210</v>
      </c>
      <c r="I23" s="84">
        <f t="shared" si="0"/>
        <v>210</v>
      </c>
      <c r="J23" s="81">
        <f t="shared" si="1"/>
        <v>3</v>
      </c>
    </row>
    <row r="24" spans="1:10" ht="15" customHeight="1">
      <c r="A24" s="82" t="s">
        <v>137</v>
      </c>
      <c r="B24" s="89">
        <v>60</v>
      </c>
      <c r="C24" s="83"/>
      <c r="D24" s="83"/>
      <c r="E24" s="83"/>
      <c r="F24" s="83"/>
      <c r="G24" s="83"/>
      <c r="H24" s="83"/>
      <c r="I24" s="84">
        <f t="shared" si="0"/>
        <v>0</v>
      </c>
      <c r="J24" s="81">
        <f t="shared" si="1"/>
        <v>0</v>
      </c>
    </row>
    <row r="25" spans="1:10" ht="15" customHeight="1">
      <c r="A25" s="82" t="s">
        <v>204</v>
      </c>
      <c r="B25" s="89">
        <v>220</v>
      </c>
      <c r="C25" s="83"/>
      <c r="D25" s="83"/>
      <c r="E25" s="83"/>
      <c r="F25" s="83"/>
      <c r="G25" s="83"/>
      <c r="H25" s="83"/>
      <c r="I25" s="84">
        <f t="shared" si="0"/>
        <v>0</v>
      </c>
      <c r="J25" s="81">
        <f t="shared" si="1"/>
        <v>0</v>
      </c>
    </row>
    <row r="26" spans="1:10" ht="15" customHeight="1">
      <c r="A26" s="82" t="s">
        <v>149</v>
      </c>
      <c r="B26" s="89">
        <v>90</v>
      </c>
      <c r="C26" s="83">
        <v>180</v>
      </c>
      <c r="D26" s="83"/>
      <c r="E26" s="83">
        <v>90</v>
      </c>
      <c r="F26" s="83"/>
      <c r="G26" s="83">
        <v>180</v>
      </c>
      <c r="H26" s="83"/>
      <c r="I26" s="84">
        <f t="shared" si="0"/>
        <v>450</v>
      </c>
      <c r="J26" s="81">
        <f t="shared" si="1"/>
        <v>5</v>
      </c>
    </row>
    <row r="27" spans="1:10" ht="15" customHeight="1">
      <c r="A27" s="82" t="s">
        <v>205</v>
      </c>
      <c r="B27" s="89">
        <v>95</v>
      </c>
      <c r="C27" s="83"/>
      <c r="D27" s="83"/>
      <c r="E27" s="83"/>
      <c r="F27" s="83"/>
      <c r="G27" s="83"/>
      <c r="H27" s="83">
        <v>95</v>
      </c>
      <c r="I27" s="84">
        <f t="shared" si="0"/>
        <v>95</v>
      </c>
      <c r="J27" s="81">
        <f t="shared" si="1"/>
        <v>1</v>
      </c>
    </row>
    <row r="28" spans="1:10" ht="15" customHeight="1">
      <c r="A28" s="82" t="s">
        <v>157</v>
      </c>
      <c r="B28" s="89">
        <v>110</v>
      </c>
      <c r="C28" s="83"/>
      <c r="D28" s="83"/>
      <c r="E28" s="83"/>
      <c r="F28" s="83"/>
      <c r="G28" s="83">
        <v>110</v>
      </c>
      <c r="H28" s="83">
        <v>110</v>
      </c>
      <c r="I28" s="84">
        <f t="shared" si="0"/>
        <v>220</v>
      </c>
      <c r="J28" s="81">
        <f t="shared" si="1"/>
        <v>2</v>
      </c>
    </row>
    <row r="29" spans="1:10" ht="15" customHeight="1">
      <c r="A29" s="82" t="s">
        <v>161</v>
      </c>
      <c r="B29" s="89">
        <v>110</v>
      </c>
      <c r="C29" s="83">
        <v>110</v>
      </c>
      <c r="D29" s="83"/>
      <c r="E29" s="83"/>
      <c r="F29" s="83"/>
      <c r="G29" s="83"/>
      <c r="H29" s="83"/>
      <c r="I29" s="84">
        <f t="shared" si="0"/>
        <v>110</v>
      </c>
      <c r="J29" s="81">
        <f t="shared" si="1"/>
        <v>1</v>
      </c>
    </row>
    <row r="30" spans="1:10" ht="15" customHeight="1">
      <c r="A30" s="82" t="s">
        <v>167</v>
      </c>
      <c r="B30" s="89">
        <v>85</v>
      </c>
      <c r="C30" s="83"/>
      <c r="D30" s="83"/>
      <c r="E30" s="83"/>
      <c r="F30" s="83">
        <v>170</v>
      </c>
      <c r="G30" s="83"/>
      <c r="H30" s="83"/>
      <c r="I30" s="84">
        <f t="shared" si="0"/>
        <v>170</v>
      </c>
      <c r="J30" s="81">
        <f t="shared" si="1"/>
        <v>2</v>
      </c>
    </row>
    <row r="31" spans="1:10" ht="15" customHeight="1">
      <c r="A31" s="82" t="s">
        <v>169</v>
      </c>
      <c r="B31" s="89">
        <v>80</v>
      </c>
      <c r="C31" s="83"/>
      <c r="D31" s="83"/>
      <c r="E31" s="83"/>
      <c r="F31" s="83"/>
      <c r="G31" s="83"/>
      <c r="H31" s="83"/>
      <c r="I31" s="84">
        <f t="shared" si="0"/>
        <v>0</v>
      </c>
      <c r="J31" s="81">
        <f t="shared" si="1"/>
        <v>0</v>
      </c>
    </row>
    <row r="32" spans="1:10" ht="15" customHeight="1">
      <c r="A32" s="82" t="s">
        <v>173</v>
      </c>
      <c r="B32" s="89">
        <v>130</v>
      </c>
      <c r="C32" s="83"/>
      <c r="D32" s="83"/>
      <c r="E32" s="83">
        <v>650</v>
      </c>
      <c r="F32" s="83"/>
      <c r="G32" s="83"/>
      <c r="H32" s="83"/>
      <c r="I32" s="84">
        <f t="shared" si="0"/>
        <v>650</v>
      </c>
      <c r="J32" s="81">
        <f t="shared" si="1"/>
        <v>5</v>
      </c>
    </row>
    <row r="33" spans="1:10" ht="15" customHeight="1">
      <c r="A33" s="82" t="s">
        <v>175</v>
      </c>
      <c r="B33" s="89">
        <v>100</v>
      </c>
      <c r="C33" s="83"/>
      <c r="D33" s="83"/>
      <c r="E33" s="83"/>
      <c r="F33" s="83"/>
      <c r="G33" s="83"/>
      <c r="H33" s="83"/>
      <c r="I33" s="84">
        <f t="shared" si="0"/>
        <v>0</v>
      </c>
      <c r="J33" s="81">
        <f t="shared" si="1"/>
        <v>0</v>
      </c>
    </row>
    <row r="34" spans="1:10" ht="15" customHeight="1">
      <c r="A34" s="82" t="s">
        <v>206</v>
      </c>
      <c r="B34" s="89">
        <v>210</v>
      </c>
      <c r="C34" s="83"/>
      <c r="D34" s="83"/>
      <c r="E34" s="83">
        <v>420</v>
      </c>
      <c r="F34" s="83"/>
      <c r="G34" s="83"/>
      <c r="H34" s="83">
        <v>210</v>
      </c>
      <c r="I34" s="84">
        <f t="shared" si="0"/>
        <v>630</v>
      </c>
      <c r="J34" s="81">
        <f t="shared" si="1"/>
        <v>3</v>
      </c>
    </row>
    <row r="35" spans="1:10" ht="15" customHeight="1">
      <c r="A35" s="82" t="s">
        <v>182</v>
      </c>
      <c r="B35" s="89">
        <v>70</v>
      </c>
      <c r="C35" s="83">
        <v>560</v>
      </c>
      <c r="D35" s="83"/>
      <c r="E35" s="83">
        <v>210</v>
      </c>
      <c r="F35" s="83">
        <v>350</v>
      </c>
      <c r="G35" s="83">
        <v>1190</v>
      </c>
      <c r="H35" s="83">
        <v>70</v>
      </c>
      <c r="I35" s="84">
        <f t="shared" si="0"/>
        <v>2380</v>
      </c>
      <c r="J35" s="81">
        <f t="shared" si="1"/>
        <v>34</v>
      </c>
    </row>
    <row r="36" spans="1:10" ht="15" customHeight="1">
      <c r="A36" s="87" t="s">
        <v>207</v>
      </c>
      <c r="B36" s="90"/>
      <c r="C36" s="84">
        <v>2400</v>
      </c>
      <c r="D36" s="84">
        <v>1350</v>
      </c>
      <c r="E36" s="84">
        <v>2740</v>
      </c>
      <c r="F36" s="84">
        <v>790</v>
      </c>
      <c r="G36" s="84">
        <v>4385</v>
      </c>
      <c r="H36" s="84">
        <v>2185</v>
      </c>
      <c r="I36" s="84">
        <f t="shared" si="0"/>
        <v>13850</v>
      </c>
      <c r="J36" s="81">
        <f>SUM(J2:J35)</f>
        <v>161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topLeftCell="A19" workbookViewId="0">
      <selection activeCell="H7" sqref="H7"/>
    </sheetView>
  </sheetViews>
  <sheetFormatPr baseColWidth="10" defaultRowHeight="12.75"/>
  <cols>
    <col min="1" max="1" width="38" style="81" customWidth="1"/>
    <col min="2" max="2" width="14.140625" style="91" customWidth="1"/>
    <col min="3" max="8" width="10.5703125" style="81" customWidth="1"/>
    <col min="9" max="9" width="11.85546875" style="81" customWidth="1"/>
    <col min="10" max="239" width="9.140625" style="81" customWidth="1"/>
    <col min="240" max="240" width="38" style="81" customWidth="1"/>
    <col min="241" max="264" width="10.5703125" style="81" customWidth="1"/>
    <col min="265" max="265" width="11.85546875" style="81" customWidth="1"/>
    <col min="266" max="495" width="9.140625" style="81" customWidth="1"/>
    <col min="496" max="496" width="38" style="81" customWidth="1"/>
    <col min="497" max="520" width="10.5703125" style="81" customWidth="1"/>
    <col min="521" max="521" width="11.85546875" style="81" customWidth="1"/>
    <col min="522" max="751" width="9.140625" style="81" customWidth="1"/>
    <col min="752" max="752" width="38" style="81" customWidth="1"/>
    <col min="753" max="776" width="10.5703125" style="81" customWidth="1"/>
    <col min="777" max="777" width="11.85546875" style="81" customWidth="1"/>
    <col min="778" max="1007" width="9.140625" style="81" customWidth="1"/>
    <col min="1008" max="1008" width="38" style="81" customWidth="1"/>
    <col min="1009" max="1032" width="10.5703125" style="81" customWidth="1"/>
    <col min="1033" max="1033" width="11.85546875" style="81" customWidth="1"/>
    <col min="1034" max="1263" width="9.140625" style="81" customWidth="1"/>
    <col min="1264" max="1264" width="38" style="81" customWidth="1"/>
    <col min="1265" max="1288" width="10.5703125" style="81" customWidth="1"/>
    <col min="1289" max="1289" width="11.85546875" style="81" customWidth="1"/>
    <col min="1290" max="1519" width="9.140625" style="81" customWidth="1"/>
    <col min="1520" max="1520" width="38" style="81" customWidth="1"/>
    <col min="1521" max="1544" width="10.5703125" style="81" customWidth="1"/>
    <col min="1545" max="1545" width="11.85546875" style="81" customWidth="1"/>
    <col min="1546" max="1775" width="9.140625" style="81" customWidth="1"/>
    <col min="1776" max="1776" width="38" style="81" customWidth="1"/>
    <col min="1777" max="1800" width="10.5703125" style="81" customWidth="1"/>
    <col min="1801" max="1801" width="11.85546875" style="81" customWidth="1"/>
    <col min="1802" max="2031" width="9.140625" style="81" customWidth="1"/>
    <col min="2032" max="2032" width="38" style="81" customWidth="1"/>
    <col min="2033" max="2056" width="10.5703125" style="81" customWidth="1"/>
    <col min="2057" max="2057" width="11.85546875" style="81" customWidth="1"/>
    <col min="2058" max="2287" width="9.140625" style="81" customWidth="1"/>
    <col min="2288" max="2288" width="38" style="81" customWidth="1"/>
    <col min="2289" max="2312" width="10.5703125" style="81" customWidth="1"/>
    <col min="2313" max="2313" width="11.85546875" style="81" customWidth="1"/>
    <col min="2314" max="2543" width="9.140625" style="81" customWidth="1"/>
    <col min="2544" max="2544" width="38" style="81" customWidth="1"/>
    <col min="2545" max="2568" width="10.5703125" style="81" customWidth="1"/>
    <col min="2569" max="2569" width="11.85546875" style="81" customWidth="1"/>
    <col min="2570" max="2799" width="9.140625" style="81" customWidth="1"/>
    <col min="2800" max="2800" width="38" style="81" customWidth="1"/>
    <col min="2801" max="2824" width="10.5703125" style="81" customWidth="1"/>
    <col min="2825" max="2825" width="11.85546875" style="81" customWidth="1"/>
    <col min="2826" max="3055" width="9.140625" style="81" customWidth="1"/>
    <col min="3056" max="3056" width="38" style="81" customWidth="1"/>
    <col min="3057" max="3080" width="10.5703125" style="81" customWidth="1"/>
    <col min="3081" max="3081" width="11.85546875" style="81" customWidth="1"/>
    <col min="3082" max="3311" width="9.140625" style="81" customWidth="1"/>
    <col min="3312" max="3312" width="38" style="81" customWidth="1"/>
    <col min="3313" max="3336" width="10.5703125" style="81" customWidth="1"/>
    <col min="3337" max="3337" width="11.85546875" style="81" customWidth="1"/>
    <col min="3338" max="3567" width="9.140625" style="81" customWidth="1"/>
    <col min="3568" max="3568" width="38" style="81" customWidth="1"/>
    <col min="3569" max="3592" width="10.5703125" style="81" customWidth="1"/>
    <col min="3593" max="3593" width="11.85546875" style="81" customWidth="1"/>
    <col min="3594" max="3823" width="9.140625" style="81" customWidth="1"/>
    <col min="3824" max="3824" width="38" style="81" customWidth="1"/>
    <col min="3825" max="3848" width="10.5703125" style="81" customWidth="1"/>
    <col min="3849" max="3849" width="11.85546875" style="81" customWidth="1"/>
    <col min="3850" max="4079" width="9.140625" style="81" customWidth="1"/>
    <col min="4080" max="4080" width="38" style="81" customWidth="1"/>
    <col min="4081" max="4104" width="10.5703125" style="81" customWidth="1"/>
    <col min="4105" max="4105" width="11.85546875" style="81" customWidth="1"/>
    <col min="4106" max="4335" width="9.140625" style="81" customWidth="1"/>
    <col min="4336" max="4336" width="38" style="81" customWidth="1"/>
    <col min="4337" max="4360" width="10.5703125" style="81" customWidth="1"/>
    <col min="4361" max="4361" width="11.85546875" style="81" customWidth="1"/>
    <col min="4362" max="4591" width="9.140625" style="81" customWidth="1"/>
    <col min="4592" max="4592" width="38" style="81" customWidth="1"/>
    <col min="4593" max="4616" width="10.5703125" style="81" customWidth="1"/>
    <col min="4617" max="4617" width="11.85546875" style="81" customWidth="1"/>
    <col min="4618" max="4847" width="9.140625" style="81" customWidth="1"/>
    <col min="4848" max="4848" width="38" style="81" customWidth="1"/>
    <col min="4849" max="4872" width="10.5703125" style="81" customWidth="1"/>
    <col min="4873" max="4873" width="11.85546875" style="81" customWidth="1"/>
    <col min="4874" max="5103" width="9.140625" style="81" customWidth="1"/>
    <col min="5104" max="5104" width="38" style="81" customWidth="1"/>
    <col min="5105" max="5128" width="10.5703125" style="81" customWidth="1"/>
    <col min="5129" max="5129" width="11.85546875" style="81" customWidth="1"/>
    <col min="5130" max="5359" width="9.140625" style="81" customWidth="1"/>
    <col min="5360" max="5360" width="38" style="81" customWidth="1"/>
    <col min="5361" max="5384" width="10.5703125" style="81" customWidth="1"/>
    <col min="5385" max="5385" width="11.85546875" style="81" customWidth="1"/>
    <col min="5386" max="5615" width="9.140625" style="81" customWidth="1"/>
    <col min="5616" max="5616" width="38" style="81" customWidth="1"/>
    <col min="5617" max="5640" width="10.5703125" style="81" customWidth="1"/>
    <col min="5641" max="5641" width="11.85546875" style="81" customWidth="1"/>
    <col min="5642" max="5871" width="9.140625" style="81" customWidth="1"/>
    <col min="5872" max="5872" width="38" style="81" customWidth="1"/>
    <col min="5873" max="5896" width="10.5703125" style="81" customWidth="1"/>
    <col min="5897" max="5897" width="11.85546875" style="81" customWidth="1"/>
    <col min="5898" max="6127" width="9.140625" style="81" customWidth="1"/>
    <col min="6128" max="6128" width="38" style="81" customWidth="1"/>
    <col min="6129" max="6152" width="10.5703125" style="81" customWidth="1"/>
    <col min="6153" max="6153" width="11.85546875" style="81" customWidth="1"/>
    <col min="6154" max="6383" width="9.140625" style="81" customWidth="1"/>
    <col min="6384" max="6384" width="38" style="81" customWidth="1"/>
    <col min="6385" max="6408" width="10.5703125" style="81" customWidth="1"/>
    <col min="6409" max="6409" width="11.85546875" style="81" customWidth="1"/>
    <col min="6410" max="6639" width="9.140625" style="81" customWidth="1"/>
    <col min="6640" max="6640" width="38" style="81" customWidth="1"/>
    <col min="6641" max="6664" width="10.5703125" style="81" customWidth="1"/>
    <col min="6665" max="6665" width="11.85546875" style="81" customWidth="1"/>
    <col min="6666" max="6895" width="9.140625" style="81" customWidth="1"/>
    <col min="6896" max="6896" width="38" style="81" customWidth="1"/>
    <col min="6897" max="6920" width="10.5703125" style="81" customWidth="1"/>
    <col min="6921" max="6921" width="11.85546875" style="81" customWidth="1"/>
    <col min="6922" max="7151" width="9.140625" style="81" customWidth="1"/>
    <col min="7152" max="7152" width="38" style="81" customWidth="1"/>
    <col min="7153" max="7176" width="10.5703125" style="81" customWidth="1"/>
    <col min="7177" max="7177" width="11.85546875" style="81" customWidth="1"/>
    <col min="7178" max="7407" width="9.140625" style="81" customWidth="1"/>
    <col min="7408" max="7408" width="38" style="81" customWidth="1"/>
    <col min="7409" max="7432" width="10.5703125" style="81" customWidth="1"/>
    <col min="7433" max="7433" width="11.85546875" style="81" customWidth="1"/>
    <col min="7434" max="7663" width="9.140625" style="81" customWidth="1"/>
    <col min="7664" max="7664" width="38" style="81" customWidth="1"/>
    <col min="7665" max="7688" width="10.5703125" style="81" customWidth="1"/>
    <col min="7689" max="7689" width="11.85546875" style="81" customWidth="1"/>
    <col min="7690" max="7919" width="9.140625" style="81" customWidth="1"/>
    <col min="7920" max="7920" width="38" style="81" customWidth="1"/>
    <col min="7921" max="7944" width="10.5703125" style="81" customWidth="1"/>
    <col min="7945" max="7945" width="11.85546875" style="81" customWidth="1"/>
    <col min="7946" max="8175" width="9.140625" style="81" customWidth="1"/>
    <col min="8176" max="8176" width="38" style="81" customWidth="1"/>
    <col min="8177" max="8200" width="10.5703125" style="81" customWidth="1"/>
    <col min="8201" max="8201" width="11.85546875" style="81" customWidth="1"/>
    <col min="8202" max="8431" width="9.140625" style="81" customWidth="1"/>
    <col min="8432" max="8432" width="38" style="81" customWidth="1"/>
    <col min="8433" max="8456" width="10.5703125" style="81" customWidth="1"/>
    <col min="8457" max="8457" width="11.85546875" style="81" customWidth="1"/>
    <col min="8458" max="8687" width="9.140625" style="81" customWidth="1"/>
    <col min="8688" max="8688" width="38" style="81" customWidth="1"/>
    <col min="8689" max="8712" width="10.5703125" style="81" customWidth="1"/>
    <col min="8713" max="8713" width="11.85546875" style="81" customWidth="1"/>
    <col min="8714" max="8943" width="9.140625" style="81" customWidth="1"/>
    <col min="8944" max="8944" width="38" style="81" customWidth="1"/>
    <col min="8945" max="8968" width="10.5703125" style="81" customWidth="1"/>
    <col min="8969" max="8969" width="11.85546875" style="81" customWidth="1"/>
    <col min="8970" max="9199" width="9.140625" style="81" customWidth="1"/>
    <col min="9200" max="9200" width="38" style="81" customWidth="1"/>
    <col min="9201" max="9224" width="10.5703125" style="81" customWidth="1"/>
    <col min="9225" max="9225" width="11.85546875" style="81" customWidth="1"/>
    <col min="9226" max="9455" width="9.140625" style="81" customWidth="1"/>
    <col min="9456" max="9456" width="38" style="81" customWidth="1"/>
    <col min="9457" max="9480" width="10.5703125" style="81" customWidth="1"/>
    <col min="9481" max="9481" width="11.85546875" style="81" customWidth="1"/>
    <col min="9482" max="9711" width="9.140625" style="81" customWidth="1"/>
    <col min="9712" max="9712" width="38" style="81" customWidth="1"/>
    <col min="9713" max="9736" width="10.5703125" style="81" customWidth="1"/>
    <col min="9737" max="9737" width="11.85546875" style="81" customWidth="1"/>
    <col min="9738" max="9967" width="9.140625" style="81" customWidth="1"/>
    <col min="9968" max="9968" width="38" style="81" customWidth="1"/>
    <col min="9969" max="9992" width="10.5703125" style="81" customWidth="1"/>
    <col min="9993" max="9993" width="11.85546875" style="81" customWidth="1"/>
    <col min="9994" max="10223" width="9.140625" style="81" customWidth="1"/>
    <col min="10224" max="10224" width="38" style="81" customWidth="1"/>
    <col min="10225" max="10248" width="10.5703125" style="81" customWidth="1"/>
    <col min="10249" max="10249" width="11.85546875" style="81" customWidth="1"/>
    <col min="10250" max="10479" width="9.140625" style="81" customWidth="1"/>
    <col min="10480" max="10480" width="38" style="81" customWidth="1"/>
    <col min="10481" max="10504" width="10.5703125" style="81" customWidth="1"/>
    <col min="10505" max="10505" width="11.85546875" style="81" customWidth="1"/>
    <col min="10506" max="10735" width="9.140625" style="81" customWidth="1"/>
    <col min="10736" max="10736" width="38" style="81" customWidth="1"/>
    <col min="10737" max="10760" width="10.5703125" style="81" customWidth="1"/>
    <col min="10761" max="10761" width="11.85546875" style="81" customWidth="1"/>
    <col min="10762" max="10991" width="9.140625" style="81" customWidth="1"/>
    <col min="10992" max="10992" width="38" style="81" customWidth="1"/>
    <col min="10993" max="11016" width="10.5703125" style="81" customWidth="1"/>
    <col min="11017" max="11017" width="11.85546875" style="81" customWidth="1"/>
    <col min="11018" max="11247" width="9.140625" style="81" customWidth="1"/>
    <col min="11248" max="11248" width="38" style="81" customWidth="1"/>
    <col min="11249" max="11272" width="10.5703125" style="81" customWidth="1"/>
    <col min="11273" max="11273" width="11.85546875" style="81" customWidth="1"/>
    <col min="11274" max="11503" width="9.140625" style="81" customWidth="1"/>
    <col min="11504" max="11504" width="38" style="81" customWidth="1"/>
    <col min="11505" max="11528" width="10.5703125" style="81" customWidth="1"/>
    <col min="11529" max="11529" width="11.85546875" style="81" customWidth="1"/>
    <col min="11530" max="11759" width="9.140625" style="81" customWidth="1"/>
    <col min="11760" max="11760" width="38" style="81" customWidth="1"/>
    <col min="11761" max="11784" width="10.5703125" style="81" customWidth="1"/>
    <col min="11785" max="11785" width="11.85546875" style="81" customWidth="1"/>
    <col min="11786" max="12015" width="9.140625" style="81" customWidth="1"/>
    <col min="12016" max="12016" width="38" style="81" customWidth="1"/>
    <col min="12017" max="12040" width="10.5703125" style="81" customWidth="1"/>
    <col min="12041" max="12041" width="11.85546875" style="81" customWidth="1"/>
    <col min="12042" max="12271" width="9.140625" style="81" customWidth="1"/>
    <col min="12272" max="12272" width="38" style="81" customWidth="1"/>
    <col min="12273" max="12296" width="10.5703125" style="81" customWidth="1"/>
    <col min="12297" max="12297" width="11.85546875" style="81" customWidth="1"/>
    <col min="12298" max="12527" width="9.140625" style="81" customWidth="1"/>
    <col min="12528" max="12528" width="38" style="81" customWidth="1"/>
    <col min="12529" max="12552" width="10.5703125" style="81" customWidth="1"/>
    <col min="12553" max="12553" width="11.85546875" style="81" customWidth="1"/>
    <col min="12554" max="12783" width="9.140625" style="81" customWidth="1"/>
    <col min="12784" max="12784" width="38" style="81" customWidth="1"/>
    <col min="12785" max="12808" width="10.5703125" style="81" customWidth="1"/>
    <col min="12809" max="12809" width="11.85546875" style="81" customWidth="1"/>
    <col min="12810" max="13039" width="9.140625" style="81" customWidth="1"/>
    <col min="13040" max="13040" width="38" style="81" customWidth="1"/>
    <col min="13041" max="13064" width="10.5703125" style="81" customWidth="1"/>
    <col min="13065" max="13065" width="11.85546875" style="81" customWidth="1"/>
    <col min="13066" max="13295" width="9.140625" style="81" customWidth="1"/>
    <col min="13296" max="13296" width="38" style="81" customWidth="1"/>
    <col min="13297" max="13320" width="10.5703125" style="81" customWidth="1"/>
    <col min="13321" max="13321" width="11.85546875" style="81" customWidth="1"/>
    <col min="13322" max="13551" width="9.140625" style="81" customWidth="1"/>
    <col min="13552" max="13552" width="38" style="81" customWidth="1"/>
    <col min="13553" max="13576" width="10.5703125" style="81" customWidth="1"/>
    <col min="13577" max="13577" width="11.85546875" style="81" customWidth="1"/>
    <col min="13578" max="13807" width="9.140625" style="81" customWidth="1"/>
    <col min="13808" max="13808" width="38" style="81" customWidth="1"/>
    <col min="13809" max="13832" width="10.5703125" style="81" customWidth="1"/>
    <col min="13833" max="13833" width="11.85546875" style="81" customWidth="1"/>
    <col min="13834" max="14063" width="9.140625" style="81" customWidth="1"/>
    <col min="14064" max="14064" width="38" style="81" customWidth="1"/>
    <col min="14065" max="14088" width="10.5703125" style="81" customWidth="1"/>
    <col min="14089" max="14089" width="11.85546875" style="81" customWidth="1"/>
    <col min="14090" max="14319" width="9.140625" style="81" customWidth="1"/>
    <col min="14320" max="14320" width="38" style="81" customWidth="1"/>
    <col min="14321" max="14344" width="10.5703125" style="81" customWidth="1"/>
    <col min="14345" max="14345" width="11.85546875" style="81" customWidth="1"/>
    <col min="14346" max="14575" width="9.140625" style="81" customWidth="1"/>
    <col min="14576" max="14576" width="38" style="81" customWidth="1"/>
    <col min="14577" max="14600" width="10.5703125" style="81" customWidth="1"/>
    <col min="14601" max="14601" width="11.85546875" style="81" customWidth="1"/>
    <col min="14602" max="14831" width="9.140625" style="81" customWidth="1"/>
    <col min="14832" max="14832" width="38" style="81" customWidth="1"/>
    <col min="14833" max="14856" width="10.5703125" style="81" customWidth="1"/>
    <col min="14857" max="14857" width="11.85546875" style="81" customWidth="1"/>
    <col min="14858" max="15087" width="9.140625" style="81" customWidth="1"/>
    <col min="15088" max="15088" width="38" style="81" customWidth="1"/>
    <col min="15089" max="15112" width="10.5703125" style="81" customWidth="1"/>
    <col min="15113" max="15113" width="11.85546875" style="81" customWidth="1"/>
    <col min="15114" max="15343" width="9.140625" style="81" customWidth="1"/>
    <col min="15344" max="15344" width="38" style="81" customWidth="1"/>
    <col min="15345" max="15368" width="10.5703125" style="81" customWidth="1"/>
    <col min="15369" max="15369" width="11.85546875" style="81" customWidth="1"/>
    <col min="15370" max="15599" width="9.140625" style="81" customWidth="1"/>
    <col min="15600" max="15600" width="38" style="81" customWidth="1"/>
    <col min="15601" max="15624" width="10.5703125" style="81" customWidth="1"/>
    <col min="15625" max="15625" width="11.85546875" style="81" customWidth="1"/>
    <col min="15626" max="15855" width="9.140625" style="81" customWidth="1"/>
    <col min="15856" max="15856" width="38" style="81" customWidth="1"/>
    <col min="15857" max="15880" width="10.5703125" style="81" customWidth="1"/>
    <col min="15881" max="15881" width="11.85546875" style="81" customWidth="1"/>
    <col min="15882" max="16111" width="9.140625" style="81" customWidth="1"/>
    <col min="16112" max="16112" width="38" style="81" customWidth="1"/>
    <col min="16113" max="16136" width="10.5703125" style="81" customWidth="1"/>
    <col min="16137" max="16137" width="11.85546875" style="81" customWidth="1"/>
    <col min="16138" max="16384" width="9.140625" style="81" customWidth="1"/>
  </cols>
  <sheetData>
    <row r="1" spans="1:10" ht="12.6" customHeight="1">
      <c r="A1" s="85" t="s">
        <v>184</v>
      </c>
      <c r="B1" s="88" t="s">
        <v>208</v>
      </c>
      <c r="C1" s="85" t="s">
        <v>259</v>
      </c>
      <c r="D1" s="85" t="s">
        <v>260</v>
      </c>
      <c r="E1" s="85" t="s">
        <v>261</v>
      </c>
      <c r="F1" s="85" t="s">
        <v>262</v>
      </c>
      <c r="G1" s="85" t="s">
        <v>263</v>
      </c>
      <c r="H1" s="85" t="s">
        <v>264</v>
      </c>
      <c r="I1" s="86" t="s">
        <v>191</v>
      </c>
      <c r="J1" s="81" t="s">
        <v>209</v>
      </c>
    </row>
    <row r="2" spans="1:10" ht="15" customHeight="1">
      <c r="A2" s="82" t="s">
        <v>192</v>
      </c>
      <c r="B2" s="89">
        <v>100</v>
      </c>
      <c r="C2" s="83">
        <v>100</v>
      </c>
      <c r="D2" s="83"/>
      <c r="E2" s="83">
        <v>400</v>
      </c>
      <c r="F2" s="83"/>
      <c r="G2" s="83"/>
      <c r="H2" s="83"/>
      <c r="I2" s="84">
        <f>C2+D2+E2+F2+G2+H2</f>
        <v>500</v>
      </c>
      <c r="J2" s="81">
        <f>I2/B2</f>
        <v>5</v>
      </c>
    </row>
    <row r="3" spans="1:10" ht="15" customHeight="1">
      <c r="A3" s="82" t="s">
        <v>193</v>
      </c>
      <c r="B3" s="89">
        <v>40</v>
      </c>
      <c r="C3" s="83">
        <v>80</v>
      </c>
      <c r="D3" s="83"/>
      <c r="E3" s="83">
        <v>120</v>
      </c>
      <c r="F3" s="83">
        <v>40</v>
      </c>
      <c r="G3" s="83">
        <v>80</v>
      </c>
      <c r="H3" s="83">
        <v>200</v>
      </c>
      <c r="I3" s="84">
        <f t="shared" ref="I3:I40" si="0">C3+D3+E3+F3+G3+H3</f>
        <v>520</v>
      </c>
      <c r="J3" s="81">
        <f t="shared" ref="J3:J39" si="1">I3/B3</f>
        <v>13</v>
      </c>
    </row>
    <row r="4" spans="1:10" ht="15" customHeight="1">
      <c r="A4" s="82" t="s">
        <v>194</v>
      </c>
      <c r="B4" s="89">
        <v>110</v>
      </c>
      <c r="C4" s="83"/>
      <c r="D4" s="83"/>
      <c r="E4" s="83"/>
      <c r="F4" s="83"/>
      <c r="G4" s="83"/>
      <c r="H4" s="83"/>
      <c r="I4" s="84">
        <f t="shared" si="0"/>
        <v>0</v>
      </c>
      <c r="J4" s="81">
        <f t="shared" si="1"/>
        <v>0</v>
      </c>
    </row>
    <row r="5" spans="1:10" ht="15" customHeight="1">
      <c r="A5" s="82" t="s">
        <v>27</v>
      </c>
      <c r="B5" s="89">
        <v>120</v>
      </c>
      <c r="C5" s="83">
        <v>360</v>
      </c>
      <c r="D5" s="83"/>
      <c r="E5" s="83">
        <v>120</v>
      </c>
      <c r="F5" s="83">
        <v>120</v>
      </c>
      <c r="G5" s="83"/>
      <c r="H5" s="83">
        <v>120</v>
      </c>
      <c r="I5" s="84">
        <f t="shared" si="0"/>
        <v>720</v>
      </c>
      <c r="J5" s="81">
        <f t="shared" si="1"/>
        <v>6</v>
      </c>
    </row>
    <row r="6" spans="1:10" ht="15" customHeight="1">
      <c r="A6" s="82" t="s">
        <v>31</v>
      </c>
      <c r="B6" s="89">
        <v>40</v>
      </c>
      <c r="C6" s="83"/>
      <c r="D6" s="83"/>
      <c r="E6" s="83">
        <v>40</v>
      </c>
      <c r="F6" s="83"/>
      <c r="G6" s="83"/>
      <c r="H6" s="83"/>
      <c r="I6" s="84">
        <f t="shared" si="0"/>
        <v>40</v>
      </c>
      <c r="J6" s="81">
        <f t="shared" si="1"/>
        <v>1</v>
      </c>
    </row>
    <row r="7" spans="1:10" ht="15" customHeight="1">
      <c r="A7" s="82" t="s">
        <v>195</v>
      </c>
      <c r="B7" s="89">
        <v>30</v>
      </c>
      <c r="C7" s="83">
        <v>60</v>
      </c>
      <c r="D7" s="83">
        <v>60</v>
      </c>
      <c r="E7" s="83">
        <v>60</v>
      </c>
      <c r="F7" s="83"/>
      <c r="G7" s="83"/>
      <c r="H7" s="83">
        <v>60</v>
      </c>
      <c r="I7" s="84">
        <f t="shared" si="0"/>
        <v>240</v>
      </c>
      <c r="J7" s="81">
        <f t="shared" si="1"/>
        <v>8</v>
      </c>
    </row>
    <row r="8" spans="1:10" ht="15" customHeight="1">
      <c r="A8" s="82" t="s">
        <v>250</v>
      </c>
      <c r="B8" s="89">
        <v>180</v>
      </c>
      <c r="C8" s="83"/>
      <c r="D8" s="83"/>
      <c r="E8" s="83"/>
      <c r="F8" s="83"/>
      <c r="G8" s="83"/>
      <c r="H8" s="83"/>
      <c r="I8" s="84">
        <f t="shared" si="0"/>
        <v>0</v>
      </c>
      <c r="J8" s="81">
        <f t="shared" si="1"/>
        <v>0</v>
      </c>
    </row>
    <row r="9" spans="1:10" ht="15" customHeight="1">
      <c r="A9" s="82" t="s">
        <v>43</v>
      </c>
      <c r="B9" s="89">
        <v>170</v>
      </c>
      <c r="C9" s="83"/>
      <c r="D9" s="83"/>
      <c r="E9" s="83">
        <v>170</v>
      </c>
      <c r="F9" s="83"/>
      <c r="G9" s="83"/>
      <c r="H9" s="83"/>
      <c r="I9" s="84">
        <f t="shared" si="0"/>
        <v>170</v>
      </c>
      <c r="J9" s="81">
        <f t="shared" si="1"/>
        <v>1</v>
      </c>
    </row>
    <row r="10" spans="1:10" ht="15" customHeight="1">
      <c r="A10" s="82" t="s">
        <v>53</v>
      </c>
      <c r="B10" s="89">
        <v>40</v>
      </c>
      <c r="C10" s="83"/>
      <c r="D10" s="83"/>
      <c r="E10" s="83"/>
      <c r="F10" s="83"/>
      <c r="G10" s="83"/>
      <c r="H10" s="83">
        <v>80</v>
      </c>
      <c r="I10" s="84">
        <f t="shared" si="0"/>
        <v>80</v>
      </c>
      <c r="J10" s="81">
        <f t="shared" si="1"/>
        <v>2</v>
      </c>
    </row>
    <row r="11" spans="1:10" ht="15" customHeight="1">
      <c r="A11" s="82" t="s">
        <v>265</v>
      </c>
      <c r="B11" s="89">
        <v>220</v>
      </c>
      <c r="C11" s="83"/>
      <c r="D11" s="83"/>
      <c r="E11" s="83"/>
      <c r="F11" s="83"/>
      <c r="G11" s="83">
        <v>440</v>
      </c>
      <c r="H11" s="83"/>
      <c r="I11" s="84">
        <f t="shared" si="0"/>
        <v>440</v>
      </c>
      <c r="J11" s="81">
        <f t="shared" si="1"/>
        <v>2</v>
      </c>
    </row>
    <row r="12" spans="1:10" ht="15" customHeight="1">
      <c r="A12" s="82" t="s">
        <v>251</v>
      </c>
      <c r="B12" s="89">
        <v>165</v>
      </c>
      <c r="C12" s="83"/>
      <c r="D12" s="83"/>
      <c r="E12" s="83">
        <v>165</v>
      </c>
      <c r="F12" s="83"/>
      <c r="G12" s="83"/>
      <c r="H12" s="83"/>
      <c r="I12" s="84">
        <f t="shared" si="0"/>
        <v>165</v>
      </c>
      <c r="J12" s="81">
        <f t="shared" si="1"/>
        <v>1</v>
      </c>
    </row>
    <row r="13" spans="1:10" ht="15" customHeight="1">
      <c r="A13" s="82" t="s">
        <v>196</v>
      </c>
      <c r="B13" s="89">
        <v>40</v>
      </c>
      <c r="C13" s="83">
        <v>160</v>
      </c>
      <c r="D13" s="83">
        <v>80</v>
      </c>
      <c r="E13" s="83">
        <v>120</v>
      </c>
      <c r="F13" s="83">
        <v>80</v>
      </c>
      <c r="G13" s="83">
        <v>80</v>
      </c>
      <c r="H13" s="83">
        <v>320</v>
      </c>
      <c r="I13" s="84">
        <f t="shared" si="0"/>
        <v>840</v>
      </c>
      <c r="J13" s="81">
        <f t="shared" si="1"/>
        <v>21</v>
      </c>
    </row>
    <row r="14" spans="1:10" ht="15" customHeight="1">
      <c r="A14" s="82" t="s">
        <v>83</v>
      </c>
      <c r="B14" s="89">
        <v>65</v>
      </c>
      <c r="C14" s="83"/>
      <c r="D14" s="83"/>
      <c r="E14" s="83">
        <v>65</v>
      </c>
      <c r="F14" s="83">
        <v>65</v>
      </c>
      <c r="G14" s="83"/>
      <c r="H14" s="83"/>
      <c r="I14" s="84">
        <f t="shared" si="0"/>
        <v>130</v>
      </c>
      <c r="J14" s="81">
        <f t="shared" si="1"/>
        <v>2</v>
      </c>
    </row>
    <row r="15" spans="1:10" ht="15" customHeight="1">
      <c r="A15" s="82" t="s">
        <v>197</v>
      </c>
      <c r="B15" s="89">
        <v>75</v>
      </c>
      <c r="C15" s="83">
        <v>225</v>
      </c>
      <c r="D15" s="83">
        <v>75</v>
      </c>
      <c r="E15" s="83">
        <v>150</v>
      </c>
      <c r="F15" s="83">
        <v>150</v>
      </c>
      <c r="G15" s="83">
        <v>150</v>
      </c>
      <c r="H15" s="83">
        <v>150</v>
      </c>
      <c r="I15" s="84">
        <f t="shared" si="0"/>
        <v>900</v>
      </c>
      <c r="J15" s="81">
        <f t="shared" si="1"/>
        <v>12</v>
      </c>
    </row>
    <row r="16" spans="1:10" ht="15" customHeight="1">
      <c r="A16" s="82" t="s">
        <v>89</v>
      </c>
      <c r="B16" s="89">
        <v>70</v>
      </c>
      <c r="C16" s="83">
        <v>70</v>
      </c>
      <c r="D16" s="83"/>
      <c r="E16" s="83"/>
      <c r="F16" s="83"/>
      <c r="G16" s="83"/>
      <c r="H16" s="83">
        <v>140</v>
      </c>
      <c r="I16" s="84">
        <f t="shared" si="0"/>
        <v>210</v>
      </c>
      <c r="J16" s="81">
        <f t="shared" si="1"/>
        <v>3</v>
      </c>
    </row>
    <row r="17" spans="1:10" ht="15" customHeight="1">
      <c r="A17" s="82" t="s">
        <v>198</v>
      </c>
      <c r="B17" s="89">
        <v>40</v>
      </c>
      <c r="C17" s="83"/>
      <c r="D17" s="83">
        <v>80</v>
      </c>
      <c r="E17" s="83"/>
      <c r="F17" s="83">
        <v>80</v>
      </c>
      <c r="G17" s="83">
        <v>80</v>
      </c>
      <c r="H17" s="83">
        <v>40</v>
      </c>
      <c r="I17" s="84">
        <f t="shared" si="0"/>
        <v>280</v>
      </c>
      <c r="J17" s="81">
        <f t="shared" si="1"/>
        <v>7</v>
      </c>
    </row>
    <row r="18" spans="1:10" ht="15" customHeight="1">
      <c r="A18" s="82" t="s">
        <v>199</v>
      </c>
      <c r="B18" s="89">
        <v>75</v>
      </c>
      <c r="C18" s="83">
        <v>300</v>
      </c>
      <c r="D18" s="83"/>
      <c r="E18" s="83"/>
      <c r="F18" s="83"/>
      <c r="G18" s="83"/>
      <c r="H18" s="83">
        <v>375</v>
      </c>
      <c r="I18" s="84">
        <f t="shared" si="0"/>
        <v>675</v>
      </c>
      <c r="J18" s="81">
        <f t="shared" si="1"/>
        <v>9</v>
      </c>
    </row>
    <row r="19" spans="1:10" ht="15" customHeight="1">
      <c r="A19" s="82" t="s">
        <v>252</v>
      </c>
      <c r="B19" s="89">
        <v>280</v>
      </c>
      <c r="C19" s="83"/>
      <c r="D19" s="83"/>
      <c r="E19" s="83"/>
      <c r="F19" s="83"/>
      <c r="G19" s="83"/>
      <c r="H19" s="83"/>
      <c r="I19" s="84">
        <f t="shared" si="0"/>
        <v>0</v>
      </c>
      <c r="J19" s="81">
        <f t="shared" si="1"/>
        <v>0</v>
      </c>
    </row>
    <row r="20" spans="1:10" ht="15" customHeight="1">
      <c r="A20" s="82" t="s">
        <v>200</v>
      </c>
      <c r="B20" s="89">
        <v>160</v>
      </c>
      <c r="C20" s="83">
        <v>160</v>
      </c>
      <c r="D20" s="83">
        <v>160</v>
      </c>
      <c r="E20" s="83">
        <v>2240</v>
      </c>
      <c r="F20" s="83"/>
      <c r="G20" s="83"/>
      <c r="H20" s="83"/>
      <c r="I20" s="84">
        <f t="shared" si="0"/>
        <v>2560</v>
      </c>
      <c r="J20" s="81">
        <f t="shared" si="1"/>
        <v>16</v>
      </c>
    </row>
    <row r="21" spans="1:10" ht="15" customHeight="1">
      <c r="A21" s="82" t="s">
        <v>201</v>
      </c>
      <c r="B21" s="89">
        <v>230</v>
      </c>
      <c r="C21" s="83"/>
      <c r="D21" s="83"/>
      <c r="E21" s="83"/>
      <c r="F21" s="83"/>
      <c r="G21" s="83"/>
      <c r="H21" s="83"/>
      <c r="I21" s="84">
        <f t="shared" si="0"/>
        <v>0</v>
      </c>
      <c r="J21" s="81">
        <f t="shared" si="1"/>
        <v>0</v>
      </c>
    </row>
    <row r="22" spans="1:10" ht="15" customHeight="1">
      <c r="A22" s="82" t="s">
        <v>202</v>
      </c>
      <c r="B22" s="89">
        <v>250</v>
      </c>
      <c r="C22" s="83">
        <v>250</v>
      </c>
      <c r="D22" s="83"/>
      <c r="E22" s="83"/>
      <c r="F22" s="83"/>
      <c r="G22" s="83"/>
      <c r="H22" s="83"/>
      <c r="I22" s="84">
        <f t="shared" si="0"/>
        <v>250</v>
      </c>
      <c r="J22" s="81">
        <f t="shared" si="1"/>
        <v>1</v>
      </c>
    </row>
    <row r="23" spans="1:10" ht="15" customHeight="1">
      <c r="A23" s="82" t="s">
        <v>266</v>
      </c>
      <c r="B23" s="89">
        <v>320</v>
      </c>
      <c r="C23" s="83"/>
      <c r="D23" s="83"/>
      <c r="E23" s="83"/>
      <c r="F23" s="83"/>
      <c r="G23" s="83">
        <v>320</v>
      </c>
      <c r="H23" s="83">
        <v>640</v>
      </c>
      <c r="I23" s="84">
        <f t="shared" si="0"/>
        <v>960</v>
      </c>
      <c r="J23" s="81">
        <f t="shared" si="1"/>
        <v>3</v>
      </c>
    </row>
    <row r="24" spans="1:10" ht="15" customHeight="1">
      <c r="A24" s="82" t="s">
        <v>267</v>
      </c>
      <c r="B24" s="89">
        <v>380</v>
      </c>
      <c r="C24" s="83"/>
      <c r="D24" s="83"/>
      <c r="E24" s="83"/>
      <c r="F24" s="83">
        <v>380</v>
      </c>
      <c r="G24" s="83"/>
      <c r="H24" s="83"/>
      <c r="I24" s="84">
        <f t="shared" si="0"/>
        <v>380</v>
      </c>
      <c r="J24" s="81">
        <f t="shared" si="1"/>
        <v>1</v>
      </c>
    </row>
    <row r="25" spans="1:10" ht="15" customHeight="1">
      <c r="A25" s="82" t="s">
        <v>268</v>
      </c>
      <c r="B25" s="89">
        <v>350</v>
      </c>
      <c r="C25" s="83"/>
      <c r="D25" s="83"/>
      <c r="E25" s="83"/>
      <c r="F25" s="83"/>
      <c r="G25" s="83">
        <v>350</v>
      </c>
      <c r="H25" s="83"/>
      <c r="I25" s="84">
        <f t="shared" si="0"/>
        <v>350</v>
      </c>
      <c r="J25" s="81">
        <f t="shared" si="1"/>
        <v>1</v>
      </c>
    </row>
    <row r="26" spans="1:10" ht="15" customHeight="1">
      <c r="A26" s="82" t="s">
        <v>133</v>
      </c>
      <c r="B26" s="89">
        <v>60</v>
      </c>
      <c r="C26" s="83">
        <v>360</v>
      </c>
      <c r="D26" s="83"/>
      <c r="E26" s="83"/>
      <c r="F26" s="83"/>
      <c r="G26" s="83"/>
      <c r="H26" s="83">
        <v>180</v>
      </c>
      <c r="I26" s="84">
        <f t="shared" si="0"/>
        <v>540</v>
      </c>
      <c r="J26" s="81">
        <f t="shared" si="1"/>
        <v>9</v>
      </c>
    </row>
    <row r="27" spans="1:10" ht="15" customHeight="1">
      <c r="A27" s="82" t="s">
        <v>203</v>
      </c>
      <c r="B27" s="89">
        <v>70</v>
      </c>
      <c r="C27" s="83"/>
      <c r="D27" s="83"/>
      <c r="E27" s="83"/>
      <c r="F27" s="83"/>
      <c r="G27" s="83"/>
      <c r="H27" s="83"/>
      <c r="I27" s="84">
        <f t="shared" si="0"/>
        <v>0</v>
      </c>
      <c r="J27" s="81">
        <f t="shared" si="1"/>
        <v>0</v>
      </c>
    </row>
    <row r="28" spans="1:10" ht="15" customHeight="1">
      <c r="A28" s="82" t="s">
        <v>137</v>
      </c>
      <c r="B28" s="89">
        <v>60</v>
      </c>
      <c r="C28" s="83"/>
      <c r="D28" s="83"/>
      <c r="E28" s="83"/>
      <c r="F28" s="83"/>
      <c r="G28" s="83"/>
      <c r="H28" s="83">
        <v>60</v>
      </c>
      <c r="I28" s="84">
        <f t="shared" si="0"/>
        <v>60</v>
      </c>
      <c r="J28" s="81">
        <f t="shared" si="1"/>
        <v>1</v>
      </c>
    </row>
    <row r="29" spans="1:10" ht="15" customHeight="1">
      <c r="A29" s="82" t="s">
        <v>204</v>
      </c>
      <c r="B29" s="89">
        <v>220</v>
      </c>
      <c r="C29" s="83"/>
      <c r="D29" s="83"/>
      <c r="E29" s="83">
        <v>220</v>
      </c>
      <c r="F29" s="83">
        <v>220</v>
      </c>
      <c r="G29" s="83"/>
      <c r="H29" s="83"/>
      <c r="I29" s="84">
        <f t="shared" si="0"/>
        <v>440</v>
      </c>
      <c r="J29" s="81">
        <f t="shared" si="1"/>
        <v>2</v>
      </c>
    </row>
    <row r="30" spans="1:10" ht="15" customHeight="1">
      <c r="A30" s="82" t="s">
        <v>149</v>
      </c>
      <c r="B30" s="89">
        <v>90</v>
      </c>
      <c r="C30" s="83"/>
      <c r="D30" s="83">
        <v>90</v>
      </c>
      <c r="E30" s="83"/>
      <c r="F30" s="83"/>
      <c r="G30" s="83"/>
      <c r="H30" s="83"/>
      <c r="I30" s="84">
        <f t="shared" si="0"/>
        <v>90</v>
      </c>
      <c r="J30" s="81">
        <f t="shared" si="1"/>
        <v>1</v>
      </c>
    </row>
    <row r="31" spans="1:10" ht="15" customHeight="1">
      <c r="A31" s="82" t="s">
        <v>205</v>
      </c>
      <c r="B31" s="89">
        <v>95</v>
      </c>
      <c r="C31" s="83"/>
      <c r="D31" s="83"/>
      <c r="E31" s="83"/>
      <c r="F31" s="83"/>
      <c r="G31" s="83"/>
      <c r="H31" s="83"/>
      <c r="I31" s="84">
        <f t="shared" si="0"/>
        <v>0</v>
      </c>
      <c r="J31" s="81">
        <f t="shared" si="1"/>
        <v>0</v>
      </c>
    </row>
    <row r="32" spans="1:10" ht="15" customHeight="1">
      <c r="A32" s="82" t="s">
        <v>157</v>
      </c>
      <c r="B32" s="89">
        <v>110</v>
      </c>
      <c r="C32" s="83"/>
      <c r="D32" s="83"/>
      <c r="E32" s="83"/>
      <c r="F32" s="83"/>
      <c r="G32" s="83"/>
      <c r="H32" s="83"/>
      <c r="I32" s="84">
        <f t="shared" si="0"/>
        <v>0</v>
      </c>
      <c r="J32" s="81">
        <f t="shared" si="1"/>
        <v>0</v>
      </c>
    </row>
    <row r="33" spans="1:10" ht="15" customHeight="1">
      <c r="A33" s="82" t="s">
        <v>161</v>
      </c>
      <c r="B33" s="89">
        <v>110</v>
      </c>
      <c r="C33" s="83">
        <v>110</v>
      </c>
      <c r="D33" s="83"/>
      <c r="E33" s="83">
        <v>110</v>
      </c>
      <c r="F33" s="83"/>
      <c r="G33" s="83">
        <v>110</v>
      </c>
      <c r="H33" s="83">
        <v>110</v>
      </c>
      <c r="I33" s="84">
        <f t="shared" si="0"/>
        <v>440</v>
      </c>
      <c r="J33" s="81">
        <f t="shared" si="1"/>
        <v>4</v>
      </c>
    </row>
    <row r="34" spans="1:10" ht="15" customHeight="1">
      <c r="A34" s="82" t="s">
        <v>167</v>
      </c>
      <c r="B34" s="89">
        <v>85</v>
      </c>
      <c r="C34" s="83"/>
      <c r="D34" s="83"/>
      <c r="E34" s="83"/>
      <c r="F34" s="83"/>
      <c r="G34" s="83"/>
      <c r="H34" s="83"/>
      <c r="I34" s="84">
        <f t="shared" si="0"/>
        <v>0</v>
      </c>
      <c r="J34" s="81">
        <f t="shared" si="1"/>
        <v>0</v>
      </c>
    </row>
    <row r="35" spans="1:10" ht="15" customHeight="1">
      <c r="A35" s="82" t="s">
        <v>169</v>
      </c>
      <c r="B35" s="89">
        <v>80</v>
      </c>
      <c r="C35" s="83"/>
      <c r="D35" s="83"/>
      <c r="E35" s="83"/>
      <c r="F35" s="83"/>
      <c r="G35" s="83"/>
      <c r="H35" s="83"/>
      <c r="I35" s="84">
        <f t="shared" si="0"/>
        <v>0</v>
      </c>
      <c r="J35" s="81">
        <f t="shared" si="1"/>
        <v>0</v>
      </c>
    </row>
    <row r="36" spans="1:10" ht="15" customHeight="1">
      <c r="A36" s="82" t="s">
        <v>173</v>
      </c>
      <c r="B36" s="89">
        <v>130</v>
      </c>
      <c r="C36" s="83"/>
      <c r="D36" s="83"/>
      <c r="E36" s="83"/>
      <c r="F36" s="83">
        <v>260</v>
      </c>
      <c r="G36" s="83"/>
      <c r="H36" s="83"/>
      <c r="I36" s="84">
        <f t="shared" si="0"/>
        <v>260</v>
      </c>
      <c r="J36" s="81">
        <f t="shared" si="1"/>
        <v>2</v>
      </c>
    </row>
    <row r="37" spans="1:10" ht="15" customHeight="1">
      <c r="A37" s="82" t="s">
        <v>175</v>
      </c>
      <c r="B37" s="89">
        <v>100</v>
      </c>
      <c r="C37" s="83"/>
      <c r="D37" s="83"/>
      <c r="E37" s="83">
        <v>100</v>
      </c>
      <c r="F37" s="83"/>
      <c r="G37" s="83"/>
      <c r="H37" s="83"/>
      <c r="I37" s="84">
        <f t="shared" si="0"/>
        <v>100</v>
      </c>
      <c r="J37" s="81">
        <f t="shared" si="1"/>
        <v>1</v>
      </c>
    </row>
    <row r="38" spans="1:10" ht="15" customHeight="1">
      <c r="A38" s="82" t="s">
        <v>206</v>
      </c>
      <c r="B38" s="89">
        <v>210</v>
      </c>
      <c r="C38" s="83"/>
      <c r="D38" s="83"/>
      <c r="E38" s="83">
        <v>630</v>
      </c>
      <c r="F38" s="83"/>
      <c r="G38" s="83"/>
      <c r="H38" s="83">
        <v>210</v>
      </c>
      <c r="I38" s="84">
        <f t="shared" si="0"/>
        <v>840</v>
      </c>
      <c r="J38" s="81">
        <f t="shared" si="1"/>
        <v>4</v>
      </c>
    </row>
    <row r="39" spans="1:10" ht="15" customHeight="1">
      <c r="A39" s="82" t="s">
        <v>182</v>
      </c>
      <c r="B39" s="89">
        <v>70</v>
      </c>
      <c r="C39" s="83">
        <v>490</v>
      </c>
      <c r="D39" s="83">
        <v>910</v>
      </c>
      <c r="E39" s="83">
        <v>2310</v>
      </c>
      <c r="F39" s="83">
        <v>420</v>
      </c>
      <c r="G39" s="83">
        <v>70</v>
      </c>
      <c r="H39" s="83">
        <v>2100</v>
      </c>
      <c r="I39" s="84">
        <f t="shared" si="0"/>
        <v>6300</v>
      </c>
      <c r="J39" s="81">
        <f t="shared" si="1"/>
        <v>90</v>
      </c>
    </row>
    <row r="40" spans="1:10" ht="15" customHeight="1">
      <c r="A40" s="87" t="s">
        <v>207</v>
      </c>
      <c r="B40" s="90"/>
      <c r="C40" s="84">
        <v>2725</v>
      </c>
      <c r="D40" s="84">
        <v>1455</v>
      </c>
      <c r="E40" s="84">
        <v>7020</v>
      </c>
      <c r="F40" s="84">
        <v>1815</v>
      </c>
      <c r="G40" s="84">
        <v>1680</v>
      </c>
      <c r="H40" s="84">
        <v>4785</v>
      </c>
      <c r="I40" s="84">
        <f t="shared" si="0"/>
        <v>19480</v>
      </c>
      <c r="J40" s="81">
        <f>SUM(J2:J39)</f>
        <v>229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workbookViewId="0">
      <selection activeCell="C1" sqref="C1:D1048576"/>
    </sheetView>
  </sheetViews>
  <sheetFormatPr baseColWidth="10" defaultRowHeight="12.75"/>
  <cols>
    <col min="1" max="1" width="38" style="81" customWidth="1"/>
    <col min="2" max="2" width="9.85546875" style="91" customWidth="1"/>
    <col min="3" max="4" width="10.5703125" style="81" hidden="1" customWidth="1"/>
    <col min="5" max="5" width="10.5703125" style="81" customWidth="1"/>
    <col min="6" max="6" width="11.85546875" style="81" customWidth="1"/>
    <col min="7" max="7" width="9.140625" style="93" customWidth="1"/>
    <col min="8" max="233" width="9.140625" style="81" customWidth="1"/>
    <col min="234" max="234" width="38" style="81" customWidth="1"/>
    <col min="235" max="261" width="10.5703125" style="81" customWidth="1"/>
    <col min="262" max="262" width="11.85546875" style="81" customWidth="1"/>
    <col min="263" max="489" width="9.140625" style="81" customWidth="1"/>
    <col min="490" max="490" width="38" style="81" customWidth="1"/>
    <col min="491" max="517" width="10.5703125" style="81" customWidth="1"/>
    <col min="518" max="518" width="11.85546875" style="81" customWidth="1"/>
    <col min="519" max="745" width="9.140625" style="81" customWidth="1"/>
    <col min="746" max="746" width="38" style="81" customWidth="1"/>
    <col min="747" max="773" width="10.5703125" style="81" customWidth="1"/>
    <col min="774" max="774" width="11.85546875" style="81" customWidth="1"/>
    <col min="775" max="1001" width="9.140625" style="81" customWidth="1"/>
    <col min="1002" max="1002" width="38" style="81" customWidth="1"/>
    <col min="1003" max="1029" width="10.5703125" style="81" customWidth="1"/>
    <col min="1030" max="1030" width="11.85546875" style="81" customWidth="1"/>
    <col min="1031" max="1257" width="9.140625" style="81" customWidth="1"/>
    <col min="1258" max="1258" width="38" style="81" customWidth="1"/>
    <col min="1259" max="1285" width="10.5703125" style="81" customWidth="1"/>
    <col min="1286" max="1286" width="11.85546875" style="81" customWidth="1"/>
    <col min="1287" max="1513" width="9.140625" style="81" customWidth="1"/>
    <col min="1514" max="1514" width="38" style="81" customWidth="1"/>
    <col min="1515" max="1541" width="10.5703125" style="81" customWidth="1"/>
    <col min="1542" max="1542" width="11.85546875" style="81" customWidth="1"/>
    <col min="1543" max="1769" width="9.140625" style="81" customWidth="1"/>
    <col min="1770" max="1770" width="38" style="81" customWidth="1"/>
    <col min="1771" max="1797" width="10.5703125" style="81" customWidth="1"/>
    <col min="1798" max="1798" width="11.85546875" style="81" customWidth="1"/>
    <col min="1799" max="2025" width="9.140625" style="81" customWidth="1"/>
    <col min="2026" max="2026" width="38" style="81" customWidth="1"/>
    <col min="2027" max="2053" width="10.5703125" style="81" customWidth="1"/>
    <col min="2054" max="2054" width="11.85546875" style="81" customWidth="1"/>
    <col min="2055" max="2281" width="9.140625" style="81" customWidth="1"/>
    <col min="2282" max="2282" width="38" style="81" customWidth="1"/>
    <col min="2283" max="2309" width="10.5703125" style="81" customWidth="1"/>
    <col min="2310" max="2310" width="11.85546875" style="81" customWidth="1"/>
    <col min="2311" max="2537" width="9.140625" style="81" customWidth="1"/>
    <col min="2538" max="2538" width="38" style="81" customWidth="1"/>
    <col min="2539" max="2565" width="10.5703125" style="81" customWidth="1"/>
    <col min="2566" max="2566" width="11.85546875" style="81" customWidth="1"/>
    <col min="2567" max="2793" width="9.140625" style="81" customWidth="1"/>
    <col min="2794" max="2794" width="38" style="81" customWidth="1"/>
    <col min="2795" max="2821" width="10.5703125" style="81" customWidth="1"/>
    <col min="2822" max="2822" width="11.85546875" style="81" customWidth="1"/>
    <col min="2823" max="3049" width="9.140625" style="81" customWidth="1"/>
    <col min="3050" max="3050" width="38" style="81" customWidth="1"/>
    <col min="3051" max="3077" width="10.5703125" style="81" customWidth="1"/>
    <col min="3078" max="3078" width="11.85546875" style="81" customWidth="1"/>
    <col min="3079" max="3305" width="9.140625" style="81" customWidth="1"/>
    <col min="3306" max="3306" width="38" style="81" customWidth="1"/>
    <col min="3307" max="3333" width="10.5703125" style="81" customWidth="1"/>
    <col min="3334" max="3334" width="11.85546875" style="81" customWidth="1"/>
    <col min="3335" max="3561" width="9.140625" style="81" customWidth="1"/>
    <col min="3562" max="3562" width="38" style="81" customWidth="1"/>
    <col min="3563" max="3589" width="10.5703125" style="81" customWidth="1"/>
    <col min="3590" max="3590" width="11.85546875" style="81" customWidth="1"/>
    <col min="3591" max="3817" width="9.140625" style="81" customWidth="1"/>
    <col min="3818" max="3818" width="38" style="81" customWidth="1"/>
    <col min="3819" max="3845" width="10.5703125" style="81" customWidth="1"/>
    <col min="3846" max="3846" width="11.85546875" style="81" customWidth="1"/>
    <col min="3847" max="4073" width="9.140625" style="81" customWidth="1"/>
    <col min="4074" max="4074" width="38" style="81" customWidth="1"/>
    <col min="4075" max="4101" width="10.5703125" style="81" customWidth="1"/>
    <col min="4102" max="4102" width="11.85546875" style="81" customWidth="1"/>
    <col min="4103" max="4329" width="9.140625" style="81" customWidth="1"/>
    <col min="4330" max="4330" width="38" style="81" customWidth="1"/>
    <col min="4331" max="4357" width="10.5703125" style="81" customWidth="1"/>
    <col min="4358" max="4358" width="11.85546875" style="81" customWidth="1"/>
    <col min="4359" max="4585" width="9.140625" style="81" customWidth="1"/>
    <col min="4586" max="4586" width="38" style="81" customWidth="1"/>
    <col min="4587" max="4613" width="10.5703125" style="81" customWidth="1"/>
    <col min="4614" max="4614" width="11.85546875" style="81" customWidth="1"/>
    <col min="4615" max="4841" width="9.140625" style="81" customWidth="1"/>
    <col min="4842" max="4842" width="38" style="81" customWidth="1"/>
    <col min="4843" max="4869" width="10.5703125" style="81" customWidth="1"/>
    <col min="4870" max="4870" width="11.85546875" style="81" customWidth="1"/>
    <col min="4871" max="5097" width="9.140625" style="81" customWidth="1"/>
    <col min="5098" max="5098" width="38" style="81" customWidth="1"/>
    <col min="5099" max="5125" width="10.5703125" style="81" customWidth="1"/>
    <col min="5126" max="5126" width="11.85546875" style="81" customWidth="1"/>
    <col min="5127" max="5353" width="9.140625" style="81" customWidth="1"/>
    <col min="5354" max="5354" width="38" style="81" customWidth="1"/>
    <col min="5355" max="5381" width="10.5703125" style="81" customWidth="1"/>
    <col min="5382" max="5382" width="11.85546875" style="81" customWidth="1"/>
    <col min="5383" max="5609" width="9.140625" style="81" customWidth="1"/>
    <col min="5610" max="5610" width="38" style="81" customWidth="1"/>
    <col min="5611" max="5637" width="10.5703125" style="81" customWidth="1"/>
    <col min="5638" max="5638" width="11.85546875" style="81" customWidth="1"/>
    <col min="5639" max="5865" width="9.140625" style="81" customWidth="1"/>
    <col min="5866" max="5866" width="38" style="81" customWidth="1"/>
    <col min="5867" max="5893" width="10.5703125" style="81" customWidth="1"/>
    <col min="5894" max="5894" width="11.85546875" style="81" customWidth="1"/>
    <col min="5895" max="6121" width="9.140625" style="81" customWidth="1"/>
    <col min="6122" max="6122" width="38" style="81" customWidth="1"/>
    <col min="6123" max="6149" width="10.5703125" style="81" customWidth="1"/>
    <col min="6150" max="6150" width="11.85546875" style="81" customWidth="1"/>
    <col min="6151" max="6377" width="9.140625" style="81" customWidth="1"/>
    <col min="6378" max="6378" width="38" style="81" customWidth="1"/>
    <col min="6379" max="6405" width="10.5703125" style="81" customWidth="1"/>
    <col min="6406" max="6406" width="11.85546875" style="81" customWidth="1"/>
    <col min="6407" max="6633" width="9.140625" style="81" customWidth="1"/>
    <col min="6634" max="6634" width="38" style="81" customWidth="1"/>
    <col min="6635" max="6661" width="10.5703125" style="81" customWidth="1"/>
    <col min="6662" max="6662" width="11.85546875" style="81" customWidth="1"/>
    <col min="6663" max="6889" width="9.140625" style="81" customWidth="1"/>
    <col min="6890" max="6890" width="38" style="81" customWidth="1"/>
    <col min="6891" max="6917" width="10.5703125" style="81" customWidth="1"/>
    <col min="6918" max="6918" width="11.85546875" style="81" customWidth="1"/>
    <col min="6919" max="7145" width="9.140625" style="81" customWidth="1"/>
    <col min="7146" max="7146" width="38" style="81" customWidth="1"/>
    <col min="7147" max="7173" width="10.5703125" style="81" customWidth="1"/>
    <col min="7174" max="7174" width="11.85546875" style="81" customWidth="1"/>
    <col min="7175" max="7401" width="9.140625" style="81" customWidth="1"/>
    <col min="7402" max="7402" width="38" style="81" customWidth="1"/>
    <col min="7403" max="7429" width="10.5703125" style="81" customWidth="1"/>
    <col min="7430" max="7430" width="11.85546875" style="81" customWidth="1"/>
    <col min="7431" max="7657" width="9.140625" style="81" customWidth="1"/>
    <col min="7658" max="7658" width="38" style="81" customWidth="1"/>
    <col min="7659" max="7685" width="10.5703125" style="81" customWidth="1"/>
    <col min="7686" max="7686" width="11.85546875" style="81" customWidth="1"/>
    <col min="7687" max="7913" width="9.140625" style="81" customWidth="1"/>
    <col min="7914" max="7914" width="38" style="81" customWidth="1"/>
    <col min="7915" max="7941" width="10.5703125" style="81" customWidth="1"/>
    <col min="7942" max="7942" width="11.85546875" style="81" customWidth="1"/>
    <col min="7943" max="8169" width="9.140625" style="81" customWidth="1"/>
    <col min="8170" max="8170" width="38" style="81" customWidth="1"/>
    <col min="8171" max="8197" width="10.5703125" style="81" customWidth="1"/>
    <col min="8198" max="8198" width="11.85546875" style="81" customWidth="1"/>
    <col min="8199" max="8425" width="9.140625" style="81" customWidth="1"/>
    <col min="8426" max="8426" width="38" style="81" customWidth="1"/>
    <col min="8427" max="8453" width="10.5703125" style="81" customWidth="1"/>
    <col min="8454" max="8454" width="11.85546875" style="81" customWidth="1"/>
    <col min="8455" max="8681" width="9.140625" style="81" customWidth="1"/>
    <col min="8682" max="8682" width="38" style="81" customWidth="1"/>
    <col min="8683" max="8709" width="10.5703125" style="81" customWidth="1"/>
    <col min="8710" max="8710" width="11.85546875" style="81" customWidth="1"/>
    <col min="8711" max="8937" width="9.140625" style="81" customWidth="1"/>
    <col min="8938" max="8938" width="38" style="81" customWidth="1"/>
    <col min="8939" max="8965" width="10.5703125" style="81" customWidth="1"/>
    <col min="8966" max="8966" width="11.85546875" style="81" customWidth="1"/>
    <col min="8967" max="9193" width="9.140625" style="81" customWidth="1"/>
    <col min="9194" max="9194" width="38" style="81" customWidth="1"/>
    <col min="9195" max="9221" width="10.5703125" style="81" customWidth="1"/>
    <col min="9222" max="9222" width="11.85546875" style="81" customWidth="1"/>
    <col min="9223" max="9449" width="9.140625" style="81" customWidth="1"/>
    <col min="9450" max="9450" width="38" style="81" customWidth="1"/>
    <col min="9451" max="9477" width="10.5703125" style="81" customWidth="1"/>
    <col min="9478" max="9478" width="11.85546875" style="81" customWidth="1"/>
    <col min="9479" max="9705" width="9.140625" style="81" customWidth="1"/>
    <col min="9706" max="9706" width="38" style="81" customWidth="1"/>
    <col min="9707" max="9733" width="10.5703125" style="81" customWidth="1"/>
    <col min="9734" max="9734" width="11.85546875" style="81" customWidth="1"/>
    <col min="9735" max="9961" width="9.140625" style="81" customWidth="1"/>
    <col min="9962" max="9962" width="38" style="81" customWidth="1"/>
    <col min="9963" max="9989" width="10.5703125" style="81" customWidth="1"/>
    <col min="9990" max="9990" width="11.85546875" style="81" customWidth="1"/>
    <col min="9991" max="10217" width="9.140625" style="81" customWidth="1"/>
    <col min="10218" max="10218" width="38" style="81" customWidth="1"/>
    <col min="10219" max="10245" width="10.5703125" style="81" customWidth="1"/>
    <col min="10246" max="10246" width="11.85546875" style="81" customWidth="1"/>
    <col min="10247" max="10473" width="9.140625" style="81" customWidth="1"/>
    <col min="10474" max="10474" width="38" style="81" customWidth="1"/>
    <col min="10475" max="10501" width="10.5703125" style="81" customWidth="1"/>
    <col min="10502" max="10502" width="11.85546875" style="81" customWidth="1"/>
    <col min="10503" max="10729" width="9.140625" style="81" customWidth="1"/>
    <col min="10730" max="10730" width="38" style="81" customWidth="1"/>
    <col min="10731" max="10757" width="10.5703125" style="81" customWidth="1"/>
    <col min="10758" max="10758" width="11.85546875" style="81" customWidth="1"/>
    <col min="10759" max="10985" width="9.140625" style="81" customWidth="1"/>
    <col min="10986" max="10986" width="38" style="81" customWidth="1"/>
    <col min="10987" max="11013" width="10.5703125" style="81" customWidth="1"/>
    <col min="11014" max="11014" width="11.85546875" style="81" customWidth="1"/>
    <col min="11015" max="11241" width="9.140625" style="81" customWidth="1"/>
    <col min="11242" max="11242" width="38" style="81" customWidth="1"/>
    <col min="11243" max="11269" width="10.5703125" style="81" customWidth="1"/>
    <col min="11270" max="11270" width="11.85546875" style="81" customWidth="1"/>
    <col min="11271" max="11497" width="9.140625" style="81" customWidth="1"/>
    <col min="11498" max="11498" width="38" style="81" customWidth="1"/>
    <col min="11499" max="11525" width="10.5703125" style="81" customWidth="1"/>
    <col min="11526" max="11526" width="11.85546875" style="81" customWidth="1"/>
    <col min="11527" max="11753" width="9.140625" style="81" customWidth="1"/>
    <col min="11754" max="11754" width="38" style="81" customWidth="1"/>
    <col min="11755" max="11781" width="10.5703125" style="81" customWidth="1"/>
    <col min="11782" max="11782" width="11.85546875" style="81" customWidth="1"/>
    <col min="11783" max="12009" width="9.140625" style="81" customWidth="1"/>
    <col min="12010" max="12010" width="38" style="81" customWidth="1"/>
    <col min="12011" max="12037" width="10.5703125" style="81" customWidth="1"/>
    <col min="12038" max="12038" width="11.85546875" style="81" customWidth="1"/>
    <col min="12039" max="12265" width="9.140625" style="81" customWidth="1"/>
    <col min="12266" max="12266" width="38" style="81" customWidth="1"/>
    <col min="12267" max="12293" width="10.5703125" style="81" customWidth="1"/>
    <col min="12294" max="12294" width="11.85546875" style="81" customWidth="1"/>
    <col min="12295" max="12521" width="9.140625" style="81" customWidth="1"/>
    <col min="12522" max="12522" width="38" style="81" customWidth="1"/>
    <col min="12523" max="12549" width="10.5703125" style="81" customWidth="1"/>
    <col min="12550" max="12550" width="11.85546875" style="81" customWidth="1"/>
    <col min="12551" max="12777" width="9.140625" style="81" customWidth="1"/>
    <col min="12778" max="12778" width="38" style="81" customWidth="1"/>
    <col min="12779" max="12805" width="10.5703125" style="81" customWidth="1"/>
    <col min="12806" max="12806" width="11.85546875" style="81" customWidth="1"/>
    <col min="12807" max="13033" width="9.140625" style="81" customWidth="1"/>
    <col min="13034" max="13034" width="38" style="81" customWidth="1"/>
    <col min="13035" max="13061" width="10.5703125" style="81" customWidth="1"/>
    <col min="13062" max="13062" width="11.85546875" style="81" customWidth="1"/>
    <col min="13063" max="13289" width="9.140625" style="81" customWidth="1"/>
    <col min="13290" max="13290" width="38" style="81" customWidth="1"/>
    <col min="13291" max="13317" width="10.5703125" style="81" customWidth="1"/>
    <col min="13318" max="13318" width="11.85546875" style="81" customWidth="1"/>
    <col min="13319" max="13545" width="9.140625" style="81" customWidth="1"/>
    <col min="13546" max="13546" width="38" style="81" customWidth="1"/>
    <col min="13547" max="13573" width="10.5703125" style="81" customWidth="1"/>
    <col min="13574" max="13574" width="11.85546875" style="81" customWidth="1"/>
    <col min="13575" max="13801" width="9.140625" style="81" customWidth="1"/>
    <col min="13802" max="13802" width="38" style="81" customWidth="1"/>
    <col min="13803" max="13829" width="10.5703125" style="81" customWidth="1"/>
    <col min="13830" max="13830" width="11.85546875" style="81" customWidth="1"/>
    <col min="13831" max="14057" width="9.140625" style="81" customWidth="1"/>
    <col min="14058" max="14058" width="38" style="81" customWidth="1"/>
    <col min="14059" max="14085" width="10.5703125" style="81" customWidth="1"/>
    <col min="14086" max="14086" width="11.85546875" style="81" customWidth="1"/>
    <col min="14087" max="14313" width="9.140625" style="81" customWidth="1"/>
    <col min="14314" max="14314" width="38" style="81" customWidth="1"/>
    <col min="14315" max="14341" width="10.5703125" style="81" customWidth="1"/>
    <col min="14342" max="14342" width="11.85546875" style="81" customWidth="1"/>
    <col min="14343" max="14569" width="9.140625" style="81" customWidth="1"/>
    <col min="14570" max="14570" width="38" style="81" customWidth="1"/>
    <col min="14571" max="14597" width="10.5703125" style="81" customWidth="1"/>
    <col min="14598" max="14598" width="11.85546875" style="81" customWidth="1"/>
    <col min="14599" max="14825" width="9.140625" style="81" customWidth="1"/>
    <col min="14826" max="14826" width="38" style="81" customWidth="1"/>
    <col min="14827" max="14853" width="10.5703125" style="81" customWidth="1"/>
    <col min="14854" max="14854" width="11.85546875" style="81" customWidth="1"/>
    <col min="14855" max="15081" width="9.140625" style="81" customWidth="1"/>
    <col min="15082" max="15082" width="38" style="81" customWidth="1"/>
    <col min="15083" max="15109" width="10.5703125" style="81" customWidth="1"/>
    <col min="15110" max="15110" width="11.85546875" style="81" customWidth="1"/>
    <col min="15111" max="15337" width="9.140625" style="81" customWidth="1"/>
    <col min="15338" max="15338" width="38" style="81" customWidth="1"/>
    <col min="15339" max="15365" width="10.5703125" style="81" customWidth="1"/>
    <col min="15366" max="15366" width="11.85546875" style="81" customWidth="1"/>
    <col min="15367" max="15593" width="9.140625" style="81" customWidth="1"/>
    <col min="15594" max="15594" width="38" style="81" customWidth="1"/>
    <col min="15595" max="15621" width="10.5703125" style="81" customWidth="1"/>
    <col min="15622" max="15622" width="11.85546875" style="81" customWidth="1"/>
    <col min="15623" max="15849" width="9.140625" style="81" customWidth="1"/>
    <col min="15850" max="15850" width="38" style="81" customWidth="1"/>
    <col min="15851" max="15877" width="10.5703125" style="81" customWidth="1"/>
    <col min="15878" max="15878" width="11.85546875" style="81" customWidth="1"/>
    <col min="15879" max="16105" width="9.140625" style="81" customWidth="1"/>
    <col min="16106" max="16106" width="38" style="81" customWidth="1"/>
    <col min="16107" max="16133" width="10.5703125" style="81" customWidth="1"/>
    <col min="16134" max="16134" width="11.85546875" style="81" customWidth="1"/>
    <col min="16135" max="16384" width="9.140625" style="81" customWidth="1"/>
  </cols>
  <sheetData>
    <row r="1" spans="1:7" ht="12.6" customHeight="1">
      <c r="A1" s="85" t="s">
        <v>184</v>
      </c>
      <c r="B1" s="88" t="s">
        <v>208</v>
      </c>
      <c r="C1" s="85" t="s">
        <v>269</v>
      </c>
      <c r="D1" s="85" t="s">
        <v>270</v>
      </c>
      <c r="E1" s="85" t="s">
        <v>271</v>
      </c>
      <c r="F1" s="86" t="s">
        <v>191</v>
      </c>
      <c r="G1" s="94" t="s">
        <v>209</v>
      </c>
    </row>
    <row r="2" spans="1:7" ht="15" customHeight="1">
      <c r="A2" s="82" t="s">
        <v>192</v>
      </c>
      <c r="B2" s="89">
        <v>100</v>
      </c>
      <c r="C2" s="83">
        <v>300</v>
      </c>
      <c r="D2" s="83"/>
      <c r="E2" s="83"/>
      <c r="F2" s="84">
        <f>C2+D2+E2</f>
        <v>300</v>
      </c>
      <c r="G2" s="93">
        <f>F2/B2</f>
        <v>3</v>
      </c>
    </row>
    <row r="3" spans="1:7" ht="15" customHeight="1">
      <c r="A3" s="82" t="s">
        <v>193</v>
      </c>
      <c r="B3" s="89">
        <v>40</v>
      </c>
      <c r="C3" s="83"/>
      <c r="D3" s="83">
        <v>80</v>
      </c>
      <c r="E3" s="83"/>
      <c r="F3" s="84">
        <f t="shared" ref="F3:F40" si="0">C3+D3+E3</f>
        <v>80</v>
      </c>
      <c r="G3" s="93">
        <f t="shared" ref="G3:G39" si="1">F3/B3</f>
        <v>2</v>
      </c>
    </row>
    <row r="4" spans="1:7" ht="15" customHeight="1">
      <c r="A4" s="82" t="s">
        <v>194</v>
      </c>
      <c r="B4" s="89">
        <v>110</v>
      </c>
      <c r="C4" s="83"/>
      <c r="D4" s="83"/>
      <c r="E4" s="83"/>
      <c r="F4" s="84">
        <f t="shared" si="0"/>
        <v>0</v>
      </c>
      <c r="G4" s="93">
        <f t="shared" si="1"/>
        <v>0</v>
      </c>
    </row>
    <row r="5" spans="1:7" ht="15" customHeight="1">
      <c r="A5" s="82" t="s">
        <v>27</v>
      </c>
      <c r="B5" s="89">
        <v>120</v>
      </c>
      <c r="C5" s="83">
        <v>960</v>
      </c>
      <c r="D5" s="83"/>
      <c r="E5" s="83"/>
      <c r="F5" s="84">
        <f t="shared" si="0"/>
        <v>960</v>
      </c>
      <c r="G5" s="93">
        <f t="shared" si="1"/>
        <v>8</v>
      </c>
    </row>
    <row r="6" spans="1:7" ht="15" customHeight="1">
      <c r="A6" s="82" t="s">
        <v>31</v>
      </c>
      <c r="B6" s="89">
        <v>40</v>
      </c>
      <c r="C6" s="83"/>
      <c r="D6" s="83"/>
      <c r="E6" s="83"/>
      <c r="F6" s="84">
        <f t="shared" si="0"/>
        <v>0</v>
      </c>
      <c r="G6" s="93">
        <f t="shared" si="1"/>
        <v>0</v>
      </c>
    </row>
    <row r="7" spans="1:7" ht="15" customHeight="1">
      <c r="A7" s="82" t="s">
        <v>195</v>
      </c>
      <c r="B7" s="89">
        <v>30</v>
      </c>
      <c r="C7" s="83">
        <v>60</v>
      </c>
      <c r="D7" s="83"/>
      <c r="E7" s="83"/>
      <c r="F7" s="84">
        <f t="shared" si="0"/>
        <v>60</v>
      </c>
      <c r="G7" s="93">
        <f t="shared" si="1"/>
        <v>2</v>
      </c>
    </row>
    <row r="8" spans="1:7" ht="15" customHeight="1">
      <c r="A8" s="82" t="s">
        <v>250</v>
      </c>
      <c r="B8" s="89">
        <v>180</v>
      </c>
      <c r="C8" s="83"/>
      <c r="D8" s="83"/>
      <c r="E8" s="83"/>
      <c r="F8" s="84">
        <f t="shared" si="0"/>
        <v>0</v>
      </c>
      <c r="G8" s="93">
        <f t="shared" si="1"/>
        <v>0</v>
      </c>
    </row>
    <row r="9" spans="1:7" ht="15" customHeight="1">
      <c r="A9" s="82" t="s">
        <v>43</v>
      </c>
      <c r="B9" s="89">
        <v>0</v>
      </c>
      <c r="C9" s="83"/>
      <c r="D9" s="83"/>
      <c r="E9" s="83"/>
      <c r="F9" s="84">
        <f t="shared" si="0"/>
        <v>0</v>
      </c>
      <c r="G9" s="93">
        <v>0</v>
      </c>
    </row>
    <row r="10" spans="1:7" ht="15" customHeight="1">
      <c r="A10" s="82" t="s">
        <v>53</v>
      </c>
      <c r="B10" s="89">
        <v>40</v>
      </c>
      <c r="C10" s="83">
        <v>40</v>
      </c>
      <c r="D10" s="83"/>
      <c r="E10" s="83"/>
      <c r="F10" s="84">
        <f t="shared" si="0"/>
        <v>40</v>
      </c>
      <c r="G10" s="93">
        <f t="shared" si="1"/>
        <v>1</v>
      </c>
    </row>
    <row r="11" spans="1:7" ht="15" customHeight="1">
      <c r="A11" s="82" t="s">
        <v>265</v>
      </c>
      <c r="B11" s="89">
        <v>220</v>
      </c>
      <c r="C11" s="83"/>
      <c r="D11" s="83"/>
      <c r="E11" s="83">
        <v>220</v>
      </c>
      <c r="F11" s="84">
        <f t="shared" si="0"/>
        <v>220</v>
      </c>
      <c r="G11" s="93">
        <f t="shared" si="1"/>
        <v>1</v>
      </c>
    </row>
    <row r="12" spans="1:7" ht="15" customHeight="1">
      <c r="A12" s="82" t="s">
        <v>251</v>
      </c>
      <c r="B12" s="89">
        <v>165</v>
      </c>
      <c r="C12" s="83"/>
      <c r="D12" s="83"/>
      <c r="E12" s="83"/>
      <c r="F12" s="84">
        <f t="shared" si="0"/>
        <v>0</v>
      </c>
      <c r="G12" s="93">
        <f t="shared" si="1"/>
        <v>0</v>
      </c>
    </row>
    <row r="13" spans="1:7" ht="15" customHeight="1">
      <c r="A13" s="82" t="s">
        <v>196</v>
      </c>
      <c r="B13" s="89">
        <v>40</v>
      </c>
      <c r="C13" s="83">
        <v>40</v>
      </c>
      <c r="D13" s="83">
        <v>40</v>
      </c>
      <c r="E13" s="83"/>
      <c r="F13" s="84">
        <f t="shared" si="0"/>
        <v>80</v>
      </c>
      <c r="G13" s="93">
        <f t="shared" si="1"/>
        <v>2</v>
      </c>
    </row>
    <row r="14" spans="1:7" ht="15" customHeight="1">
      <c r="A14" s="82" t="s">
        <v>83</v>
      </c>
      <c r="B14" s="89">
        <v>65</v>
      </c>
      <c r="C14" s="83">
        <v>65</v>
      </c>
      <c r="D14" s="83"/>
      <c r="E14" s="83"/>
      <c r="F14" s="84">
        <f t="shared" si="0"/>
        <v>65</v>
      </c>
      <c r="G14" s="93">
        <f t="shared" si="1"/>
        <v>1</v>
      </c>
    </row>
    <row r="15" spans="1:7" ht="15" customHeight="1">
      <c r="A15" s="82" t="s">
        <v>197</v>
      </c>
      <c r="B15" s="89">
        <v>75</v>
      </c>
      <c r="C15" s="83">
        <v>150</v>
      </c>
      <c r="D15" s="83"/>
      <c r="E15" s="83">
        <v>150</v>
      </c>
      <c r="F15" s="84">
        <f t="shared" si="0"/>
        <v>300</v>
      </c>
      <c r="G15" s="93">
        <f t="shared" si="1"/>
        <v>4</v>
      </c>
    </row>
    <row r="16" spans="1:7" ht="15" customHeight="1">
      <c r="A16" s="82" t="s">
        <v>89</v>
      </c>
      <c r="B16" s="89">
        <v>70</v>
      </c>
      <c r="C16" s="83"/>
      <c r="D16" s="83"/>
      <c r="E16" s="83"/>
      <c r="F16" s="84">
        <f t="shared" si="0"/>
        <v>0</v>
      </c>
      <c r="G16" s="93">
        <f t="shared" si="1"/>
        <v>0</v>
      </c>
    </row>
    <row r="17" spans="1:7" ht="15" customHeight="1">
      <c r="A17" s="82" t="s">
        <v>198</v>
      </c>
      <c r="B17" s="89">
        <v>40</v>
      </c>
      <c r="C17" s="83">
        <v>40</v>
      </c>
      <c r="D17" s="83"/>
      <c r="E17" s="83">
        <v>40</v>
      </c>
      <c r="F17" s="84">
        <f t="shared" si="0"/>
        <v>80</v>
      </c>
      <c r="G17" s="93">
        <f t="shared" si="1"/>
        <v>2</v>
      </c>
    </row>
    <row r="18" spans="1:7" ht="15" customHeight="1">
      <c r="A18" s="82" t="s">
        <v>199</v>
      </c>
      <c r="B18" s="89">
        <v>75</v>
      </c>
      <c r="C18" s="83">
        <v>225</v>
      </c>
      <c r="D18" s="83"/>
      <c r="E18" s="83"/>
      <c r="F18" s="84">
        <f t="shared" si="0"/>
        <v>225</v>
      </c>
      <c r="G18" s="93">
        <f t="shared" si="1"/>
        <v>3</v>
      </c>
    </row>
    <row r="19" spans="1:7" ht="15" customHeight="1">
      <c r="A19" s="82" t="s">
        <v>252</v>
      </c>
      <c r="B19" s="89">
        <v>280</v>
      </c>
      <c r="C19" s="83"/>
      <c r="D19" s="83"/>
      <c r="E19" s="83"/>
      <c r="F19" s="84">
        <f t="shared" si="0"/>
        <v>0</v>
      </c>
      <c r="G19" s="93">
        <f t="shared" si="1"/>
        <v>0</v>
      </c>
    </row>
    <row r="20" spans="1:7" ht="15" customHeight="1">
      <c r="A20" s="82" t="s">
        <v>200</v>
      </c>
      <c r="B20" s="89">
        <v>160</v>
      </c>
      <c r="C20" s="83">
        <v>640</v>
      </c>
      <c r="D20" s="83"/>
      <c r="E20" s="83"/>
      <c r="F20" s="84">
        <f t="shared" si="0"/>
        <v>640</v>
      </c>
      <c r="G20" s="93">
        <f t="shared" si="1"/>
        <v>4</v>
      </c>
    </row>
    <row r="21" spans="1:7" ht="15" customHeight="1">
      <c r="A21" s="82" t="s">
        <v>201</v>
      </c>
      <c r="B21" s="89">
        <v>230</v>
      </c>
      <c r="C21" s="83">
        <v>230</v>
      </c>
      <c r="D21" s="83"/>
      <c r="E21" s="83"/>
      <c r="F21" s="84">
        <f t="shared" si="0"/>
        <v>230</v>
      </c>
      <c r="G21" s="93">
        <f t="shared" si="1"/>
        <v>1</v>
      </c>
    </row>
    <row r="22" spans="1:7" ht="15" customHeight="1">
      <c r="A22" s="82" t="s">
        <v>202</v>
      </c>
      <c r="B22" s="89">
        <v>0</v>
      </c>
      <c r="C22" s="83"/>
      <c r="D22" s="83"/>
      <c r="E22" s="83"/>
      <c r="F22" s="84">
        <f t="shared" si="0"/>
        <v>0</v>
      </c>
      <c r="G22" s="93">
        <v>0</v>
      </c>
    </row>
    <row r="23" spans="1:7" ht="15" customHeight="1">
      <c r="A23" s="82" t="s">
        <v>266</v>
      </c>
      <c r="B23" s="89">
        <v>0</v>
      </c>
      <c r="C23" s="83"/>
      <c r="D23" s="83"/>
      <c r="E23" s="83"/>
      <c r="F23" s="84">
        <f t="shared" si="0"/>
        <v>0</v>
      </c>
      <c r="G23" s="93">
        <v>0</v>
      </c>
    </row>
    <row r="24" spans="1:7" ht="15" customHeight="1">
      <c r="A24" s="82" t="s">
        <v>267</v>
      </c>
      <c r="B24" s="89">
        <v>380</v>
      </c>
      <c r="C24" s="83"/>
      <c r="D24" s="83"/>
      <c r="E24" s="83">
        <v>380</v>
      </c>
      <c r="F24" s="84">
        <f t="shared" si="0"/>
        <v>380</v>
      </c>
      <c r="G24" s="93">
        <f t="shared" si="1"/>
        <v>1</v>
      </c>
    </row>
    <row r="25" spans="1:7" ht="15" customHeight="1">
      <c r="A25" s="82" t="s">
        <v>268</v>
      </c>
      <c r="B25" s="89">
        <v>0</v>
      </c>
      <c r="C25" s="83"/>
      <c r="D25" s="83"/>
      <c r="E25" s="83"/>
      <c r="F25" s="84">
        <f t="shared" si="0"/>
        <v>0</v>
      </c>
      <c r="G25" s="93">
        <v>0</v>
      </c>
    </row>
    <row r="26" spans="1:7" ht="15" customHeight="1">
      <c r="A26" s="82" t="s">
        <v>133</v>
      </c>
      <c r="B26" s="89">
        <v>60</v>
      </c>
      <c r="C26" s="83">
        <v>60</v>
      </c>
      <c r="D26" s="83"/>
      <c r="E26" s="83"/>
      <c r="F26" s="84">
        <f t="shared" si="0"/>
        <v>60</v>
      </c>
      <c r="G26" s="93">
        <f t="shared" si="1"/>
        <v>1</v>
      </c>
    </row>
    <row r="27" spans="1:7" ht="15" customHeight="1">
      <c r="A27" s="82" t="s">
        <v>203</v>
      </c>
      <c r="B27" s="89">
        <v>0</v>
      </c>
      <c r="C27" s="83"/>
      <c r="D27" s="83"/>
      <c r="E27" s="83"/>
      <c r="F27" s="84">
        <f t="shared" si="0"/>
        <v>0</v>
      </c>
      <c r="G27" s="93">
        <v>0</v>
      </c>
    </row>
    <row r="28" spans="1:7" ht="15" customHeight="1">
      <c r="A28" s="82" t="s">
        <v>137</v>
      </c>
      <c r="B28" s="89">
        <v>0</v>
      </c>
      <c r="C28" s="83"/>
      <c r="D28" s="83"/>
      <c r="E28" s="83"/>
      <c r="F28" s="84">
        <f t="shared" si="0"/>
        <v>0</v>
      </c>
      <c r="G28" s="93">
        <v>0</v>
      </c>
    </row>
    <row r="29" spans="1:7" ht="15" customHeight="1">
      <c r="A29" s="82" t="s">
        <v>204</v>
      </c>
      <c r="B29" s="89">
        <v>0</v>
      </c>
      <c r="C29" s="83"/>
      <c r="D29" s="83"/>
      <c r="E29" s="83"/>
      <c r="F29" s="84">
        <f t="shared" si="0"/>
        <v>0</v>
      </c>
      <c r="G29" s="93">
        <v>0</v>
      </c>
    </row>
    <row r="30" spans="1:7" ht="15" customHeight="1">
      <c r="A30" s="82" t="s">
        <v>149</v>
      </c>
      <c r="B30" s="89">
        <v>90</v>
      </c>
      <c r="C30" s="83">
        <v>90</v>
      </c>
      <c r="D30" s="83"/>
      <c r="E30" s="83"/>
      <c r="F30" s="84">
        <f t="shared" si="0"/>
        <v>90</v>
      </c>
      <c r="G30" s="93">
        <f t="shared" si="1"/>
        <v>1</v>
      </c>
    </row>
    <row r="31" spans="1:7" ht="15" customHeight="1">
      <c r="A31" s="82" t="s">
        <v>205</v>
      </c>
      <c r="B31" s="89">
        <v>0</v>
      </c>
      <c r="C31" s="83"/>
      <c r="D31" s="83"/>
      <c r="E31" s="83"/>
      <c r="F31" s="84">
        <f t="shared" si="0"/>
        <v>0</v>
      </c>
      <c r="G31" s="93">
        <v>0</v>
      </c>
    </row>
    <row r="32" spans="1:7" ht="15" customHeight="1">
      <c r="A32" s="82" t="s">
        <v>157</v>
      </c>
      <c r="B32" s="89">
        <v>0</v>
      </c>
      <c r="C32" s="83"/>
      <c r="D32" s="83"/>
      <c r="E32" s="83"/>
      <c r="F32" s="84">
        <f t="shared" si="0"/>
        <v>0</v>
      </c>
      <c r="G32" s="93">
        <v>0</v>
      </c>
    </row>
    <row r="33" spans="1:7" ht="15" customHeight="1">
      <c r="A33" s="82" t="s">
        <v>161</v>
      </c>
      <c r="B33" s="89">
        <v>110</v>
      </c>
      <c r="C33" s="83"/>
      <c r="D33" s="83"/>
      <c r="E33" s="83">
        <v>110</v>
      </c>
      <c r="F33" s="84">
        <f t="shared" si="0"/>
        <v>110</v>
      </c>
      <c r="G33" s="93">
        <f t="shared" si="1"/>
        <v>1</v>
      </c>
    </row>
    <row r="34" spans="1:7" ht="15" customHeight="1">
      <c r="A34" s="82" t="s">
        <v>167</v>
      </c>
      <c r="B34" s="89">
        <v>0</v>
      </c>
      <c r="C34" s="83"/>
      <c r="D34" s="83"/>
      <c r="E34" s="83"/>
      <c r="F34" s="84">
        <f t="shared" si="0"/>
        <v>0</v>
      </c>
      <c r="G34" s="93">
        <v>0</v>
      </c>
    </row>
    <row r="35" spans="1:7" ht="15" customHeight="1">
      <c r="A35" s="82" t="s">
        <v>169</v>
      </c>
      <c r="B35" s="89">
        <v>0</v>
      </c>
      <c r="C35" s="83"/>
      <c r="D35" s="83"/>
      <c r="E35" s="83"/>
      <c r="F35" s="84">
        <f t="shared" si="0"/>
        <v>0</v>
      </c>
      <c r="G35" s="93">
        <v>0</v>
      </c>
    </row>
    <row r="36" spans="1:7" ht="15" customHeight="1">
      <c r="A36" s="82" t="s">
        <v>173</v>
      </c>
      <c r="B36" s="89">
        <v>130</v>
      </c>
      <c r="C36" s="83"/>
      <c r="D36" s="83"/>
      <c r="E36" s="83">
        <v>130</v>
      </c>
      <c r="F36" s="84">
        <f t="shared" si="0"/>
        <v>130</v>
      </c>
      <c r="G36" s="93">
        <f t="shared" si="1"/>
        <v>1</v>
      </c>
    </row>
    <row r="37" spans="1:7" ht="15" customHeight="1">
      <c r="A37" s="82" t="s">
        <v>175</v>
      </c>
      <c r="B37" s="89">
        <v>100</v>
      </c>
      <c r="C37" s="83"/>
      <c r="D37" s="83"/>
      <c r="E37" s="83"/>
      <c r="F37" s="84">
        <f t="shared" si="0"/>
        <v>0</v>
      </c>
      <c r="G37" s="93">
        <f t="shared" si="1"/>
        <v>0</v>
      </c>
    </row>
    <row r="38" spans="1:7" ht="15" customHeight="1">
      <c r="A38" s="82" t="s">
        <v>206</v>
      </c>
      <c r="B38" s="89">
        <v>210</v>
      </c>
      <c r="C38" s="83">
        <v>630</v>
      </c>
      <c r="D38" s="83"/>
      <c r="E38" s="83"/>
      <c r="F38" s="84">
        <f t="shared" si="0"/>
        <v>630</v>
      </c>
      <c r="G38" s="93">
        <f t="shared" si="1"/>
        <v>3</v>
      </c>
    </row>
    <row r="39" spans="1:7" ht="15" customHeight="1">
      <c r="A39" s="82" t="s">
        <v>182</v>
      </c>
      <c r="B39" s="89">
        <v>70</v>
      </c>
      <c r="C39" s="83">
        <v>1610</v>
      </c>
      <c r="D39" s="83">
        <v>2100</v>
      </c>
      <c r="E39" s="83">
        <v>1260</v>
      </c>
      <c r="F39" s="84">
        <f t="shared" si="0"/>
        <v>4970</v>
      </c>
      <c r="G39" s="93">
        <f t="shared" si="1"/>
        <v>71</v>
      </c>
    </row>
    <row r="40" spans="1:7" ht="15" customHeight="1">
      <c r="A40" s="87" t="s">
        <v>207</v>
      </c>
      <c r="B40" s="90"/>
      <c r="C40" s="84">
        <v>5140</v>
      </c>
      <c r="D40" s="84">
        <v>2220</v>
      </c>
      <c r="E40" s="84">
        <v>2290</v>
      </c>
      <c r="F40" s="84">
        <f t="shared" si="0"/>
        <v>9650</v>
      </c>
      <c r="G40" s="93">
        <f>SUM(G2:G39)</f>
        <v>113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INV. FINAL </vt:lpstr>
      <vt:lpstr>PAPEL DE TRABAJO ABRIL</vt:lpstr>
      <vt:lpstr>INVENTARIO MENSUAL </vt:lpstr>
      <vt:lpstr>ENTRADAS</vt:lpstr>
      <vt:lpstr>SEMANA S1</vt:lpstr>
      <vt:lpstr>SEMANA S2</vt:lpstr>
      <vt:lpstr>SEMANA S3</vt:lpstr>
      <vt:lpstr>SEMANA S4</vt:lpstr>
      <vt:lpstr>SEMANA S5</vt:lpstr>
      <vt:lpstr>ENTRADAS!Títulos_a_imprimir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Saul Meza</cp:lastModifiedBy>
  <cp:lastPrinted>2026-05-01T17:43:37Z</cp:lastPrinted>
  <dcterms:created xsi:type="dcterms:W3CDTF">2026-04-07T15:57:12Z</dcterms:created>
  <dcterms:modified xsi:type="dcterms:W3CDTF">2026-05-07T22:42:08Z</dcterms:modified>
</cp:coreProperties>
</file>