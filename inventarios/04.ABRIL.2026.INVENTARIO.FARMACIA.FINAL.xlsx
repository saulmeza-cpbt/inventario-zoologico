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b39644a82a9faca/Desktop/ELENACIERRE ABRIL/"/>
    </mc:Choice>
  </mc:AlternateContent>
  <xr:revisionPtr revIDLastSave="86" documentId="13_ncr:1_{C2605150-FB8A-4B8F-BE6B-40C4C672FC12}" xr6:coauthVersionLast="47" xr6:coauthVersionMax="47" xr10:uidLastSave="{5165AF88-478C-48C1-B3A5-630F0EF9233B}"/>
  <bookViews>
    <workbookView xWindow="19080" yWindow="-120" windowWidth="19440" windowHeight="14880" xr2:uid="{00000000-000D-0000-FFFF-FFFF00000000}"/>
  </bookViews>
  <sheets>
    <sheet name="FINAL 26-05-2026" sheetId="10" r:id="rId1"/>
    <sheet name="Hoja1" sheetId="11" r:id="rId2"/>
    <sheet name="13 ABRIL " sheetId="2" r:id="rId3"/>
    <sheet name="INV. FINAL" sheetId="7" r:id="rId4"/>
    <sheet name="20 ABRIL " sheetId="3" r:id="rId5"/>
    <sheet name="27 ABRIL" sheetId="4" r:id="rId6"/>
    <sheet name="30 ABRIL " sheetId="5" r:id="rId7"/>
    <sheet name="ABRIL 2026" sheetId="1" r:id="rId8"/>
    <sheet name="Hoja2" sheetId="8" r:id="rId9"/>
    <sheet name="SALIDAS" sheetId="6" r:id="rId10"/>
  </sheets>
  <externalReferences>
    <externalReference r:id="rId11"/>
    <externalReference r:id="rId12"/>
  </externalReferences>
  <definedNames>
    <definedName name="_xlnm._FilterDatabase" localSheetId="2" hidden="1">'13 ABRIL '!$A$6:$Z$305</definedName>
    <definedName name="_xlnm._FilterDatabase" localSheetId="4" hidden="1">'20 ABRIL '!$A$6:$Z$305</definedName>
    <definedName name="_xlnm._FilterDatabase" localSheetId="5" hidden="1">'27 ABRIL'!$A$6:$Z$305</definedName>
    <definedName name="_xlnm._FilterDatabase" localSheetId="6" hidden="1">'30 ABRIL '!$A$6:$Z$305</definedName>
    <definedName name="_xlnm._FilterDatabase" localSheetId="7" hidden="1">'ABRIL 2026'!$A$6:$AB$305</definedName>
    <definedName name="_xlnm._FilterDatabase" localSheetId="0" hidden="1">'FINAL 26-05-2026'!$A$6:$AC$318</definedName>
    <definedName name="_xlnm._FilterDatabase" localSheetId="1" hidden="1">Hoja1!$G$2:$H$2</definedName>
    <definedName name="_xlnm._FilterDatabase" localSheetId="3" hidden="1">'INV. FINAL'!$A$6:$AC$318</definedName>
    <definedName name="_xlnm._FilterDatabase" localSheetId="9" hidden="1">SALIDAS!$A$7:$G$19</definedName>
    <definedName name="FromOrganiz_1" localSheetId="7">_xlfn.ANCHORARRAY([1]ENTRADA!#REF!)</definedName>
    <definedName name="FromOrganiz_1" localSheetId="0">_xlfn.ANCHORARRAY([1]ENTRADA!#REF!)</definedName>
    <definedName name="FromOrganiz_1" localSheetId="3">_xlfn.ANCHORARRAY([1]ENTRADA!#REF!)</definedName>
    <definedName name="FromOrganiz_1">_xlfn.ANCHORARRAY([2]ENTRADA!#REF!)</definedName>
  </definedNames>
  <calcPr calcId="191029"/>
  <pivotCaches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18" i="10" l="1"/>
  <c r="O318" i="10"/>
  <c r="N318" i="10"/>
  <c r="M318" i="10"/>
  <c r="K318" i="10"/>
  <c r="J318" i="10"/>
  <c r="I318" i="10"/>
  <c r="H318" i="10"/>
  <c r="G318" i="10"/>
  <c r="Y317" i="10"/>
  <c r="X317" i="10"/>
  <c r="W317" i="10"/>
  <c r="V317" i="10"/>
  <c r="T317" i="10"/>
  <c r="L317" i="10"/>
  <c r="AA317" i="10" s="1"/>
  <c r="Y316" i="10"/>
  <c r="X316" i="10"/>
  <c r="W316" i="10"/>
  <c r="V316" i="10"/>
  <c r="T316" i="10"/>
  <c r="P316" i="10"/>
  <c r="L316" i="10"/>
  <c r="AA316" i="10" s="1"/>
  <c r="Y315" i="10"/>
  <c r="X315" i="10"/>
  <c r="W315" i="10"/>
  <c r="V315" i="10"/>
  <c r="T315" i="10"/>
  <c r="P315" i="10"/>
  <c r="L315" i="10"/>
  <c r="AA315" i="10" s="1"/>
  <c r="Y314" i="10"/>
  <c r="X314" i="10"/>
  <c r="W314" i="10"/>
  <c r="V314" i="10"/>
  <c r="T314" i="10"/>
  <c r="P314" i="10"/>
  <c r="L314" i="10"/>
  <c r="AA314" i="10" s="1"/>
  <c r="Y313" i="10"/>
  <c r="X313" i="10"/>
  <c r="W313" i="10"/>
  <c r="V313" i="10"/>
  <c r="T313" i="10"/>
  <c r="P313" i="10"/>
  <c r="L313" i="10"/>
  <c r="AA313" i="10" s="1"/>
  <c r="Y312" i="10"/>
  <c r="X312" i="10"/>
  <c r="W312" i="10"/>
  <c r="V312" i="10"/>
  <c r="T312" i="10"/>
  <c r="P312" i="10"/>
  <c r="L312" i="10"/>
  <c r="AA312" i="10" s="1"/>
  <c r="Y311" i="10"/>
  <c r="X311" i="10"/>
  <c r="W311" i="10"/>
  <c r="V311" i="10"/>
  <c r="T311" i="10"/>
  <c r="P311" i="10"/>
  <c r="L311" i="10"/>
  <c r="AA311" i="10" s="1"/>
  <c r="Y310" i="10"/>
  <c r="X310" i="10"/>
  <c r="W310" i="10"/>
  <c r="V310" i="10"/>
  <c r="T310" i="10"/>
  <c r="P310" i="10"/>
  <c r="L310" i="10"/>
  <c r="AA310" i="10" s="1"/>
  <c r="Y309" i="10"/>
  <c r="X309" i="10"/>
  <c r="W309" i="10"/>
  <c r="V309" i="10"/>
  <c r="T309" i="10"/>
  <c r="P309" i="10"/>
  <c r="L309" i="10"/>
  <c r="AA309" i="10" s="1"/>
  <c r="Y308" i="10"/>
  <c r="X308" i="10"/>
  <c r="W308" i="10"/>
  <c r="V308" i="10"/>
  <c r="T308" i="10"/>
  <c r="P308" i="10"/>
  <c r="L308" i="10"/>
  <c r="AA308" i="10" s="1"/>
  <c r="Y307" i="10"/>
  <c r="X307" i="10"/>
  <c r="W307" i="10"/>
  <c r="V307" i="10"/>
  <c r="T307" i="10"/>
  <c r="P307" i="10"/>
  <c r="L307" i="10"/>
  <c r="AA307" i="10" s="1"/>
  <c r="Y306" i="10"/>
  <c r="X306" i="10"/>
  <c r="W306" i="10"/>
  <c r="V306" i="10"/>
  <c r="T306" i="10"/>
  <c r="P306" i="10"/>
  <c r="L306" i="10"/>
  <c r="AA306" i="10" s="1"/>
  <c r="Y305" i="10"/>
  <c r="X305" i="10"/>
  <c r="W305" i="10"/>
  <c r="V305" i="10"/>
  <c r="T305" i="10"/>
  <c r="P305" i="10"/>
  <c r="L305" i="10"/>
  <c r="AA305" i="10" s="1"/>
  <c r="Y304" i="10"/>
  <c r="X304" i="10"/>
  <c r="W304" i="10"/>
  <c r="V304" i="10"/>
  <c r="T304" i="10"/>
  <c r="P304" i="10"/>
  <c r="L304" i="10"/>
  <c r="AA304" i="10" s="1"/>
  <c r="Y303" i="10"/>
  <c r="X303" i="10"/>
  <c r="W303" i="10"/>
  <c r="V303" i="10"/>
  <c r="T303" i="10"/>
  <c r="P303" i="10"/>
  <c r="L303" i="10"/>
  <c r="AA303" i="10" s="1"/>
  <c r="Y302" i="10"/>
  <c r="X302" i="10"/>
  <c r="W302" i="10"/>
  <c r="V302" i="10"/>
  <c r="T302" i="10"/>
  <c r="P302" i="10"/>
  <c r="L302" i="10"/>
  <c r="AA302" i="10" s="1"/>
  <c r="Y301" i="10"/>
  <c r="X301" i="10"/>
  <c r="W301" i="10"/>
  <c r="V301" i="10"/>
  <c r="T301" i="10"/>
  <c r="P301" i="10"/>
  <c r="L301" i="10"/>
  <c r="AA301" i="10" s="1"/>
  <c r="Y300" i="10"/>
  <c r="X300" i="10"/>
  <c r="W300" i="10"/>
  <c r="V300" i="10"/>
  <c r="T300" i="10"/>
  <c r="P300" i="10"/>
  <c r="L300" i="10"/>
  <c r="AA300" i="10" s="1"/>
  <c r="Y299" i="10"/>
  <c r="X299" i="10"/>
  <c r="W299" i="10"/>
  <c r="V299" i="10"/>
  <c r="T299" i="10"/>
  <c r="P299" i="10"/>
  <c r="L299" i="10"/>
  <c r="AA299" i="10" s="1"/>
  <c r="Y298" i="10"/>
  <c r="X298" i="10"/>
  <c r="W298" i="10"/>
  <c r="V298" i="10"/>
  <c r="T298" i="10"/>
  <c r="P298" i="10"/>
  <c r="L298" i="10"/>
  <c r="AA298" i="10" s="1"/>
  <c r="Y297" i="10"/>
  <c r="X297" i="10"/>
  <c r="W297" i="10"/>
  <c r="V297" i="10"/>
  <c r="T297" i="10"/>
  <c r="P297" i="10"/>
  <c r="L297" i="10"/>
  <c r="AA297" i="10" s="1"/>
  <c r="Y296" i="10"/>
  <c r="X296" i="10"/>
  <c r="W296" i="10"/>
  <c r="V296" i="10"/>
  <c r="T296" i="10"/>
  <c r="P296" i="10"/>
  <c r="L296" i="10"/>
  <c r="AA296" i="10" s="1"/>
  <c r="Y295" i="10"/>
  <c r="X295" i="10"/>
  <c r="W295" i="10"/>
  <c r="V295" i="10"/>
  <c r="T295" i="10"/>
  <c r="P295" i="10"/>
  <c r="L295" i="10"/>
  <c r="AA295" i="10" s="1"/>
  <c r="Y294" i="10"/>
  <c r="X294" i="10"/>
  <c r="W294" i="10"/>
  <c r="V294" i="10"/>
  <c r="T294" i="10"/>
  <c r="P294" i="10"/>
  <c r="L294" i="10"/>
  <c r="AA294" i="10" s="1"/>
  <c r="Y293" i="10"/>
  <c r="X293" i="10"/>
  <c r="W293" i="10"/>
  <c r="V293" i="10"/>
  <c r="T293" i="10"/>
  <c r="P293" i="10"/>
  <c r="L293" i="10"/>
  <c r="AA293" i="10" s="1"/>
  <c r="Y292" i="10"/>
  <c r="X292" i="10"/>
  <c r="W292" i="10"/>
  <c r="V292" i="10"/>
  <c r="T292" i="10"/>
  <c r="P292" i="10"/>
  <c r="L292" i="10"/>
  <c r="AA292" i="10" s="1"/>
  <c r="Y291" i="10"/>
  <c r="X291" i="10"/>
  <c r="W291" i="10"/>
  <c r="V291" i="10"/>
  <c r="T291" i="10"/>
  <c r="P291" i="10"/>
  <c r="L291" i="10"/>
  <c r="AA291" i="10" s="1"/>
  <c r="Y290" i="10"/>
  <c r="X290" i="10"/>
  <c r="W290" i="10"/>
  <c r="V290" i="10"/>
  <c r="T290" i="10"/>
  <c r="P290" i="10"/>
  <c r="L290" i="10"/>
  <c r="AA290" i="10" s="1"/>
  <c r="Y289" i="10"/>
  <c r="X289" i="10"/>
  <c r="W289" i="10"/>
  <c r="V289" i="10"/>
  <c r="T289" i="10"/>
  <c r="P289" i="10"/>
  <c r="L289" i="10"/>
  <c r="AA289" i="10" s="1"/>
  <c r="Y288" i="10"/>
  <c r="X288" i="10"/>
  <c r="W288" i="10"/>
  <c r="V288" i="10"/>
  <c r="T288" i="10"/>
  <c r="P288" i="10"/>
  <c r="L288" i="10"/>
  <c r="AA288" i="10" s="1"/>
  <c r="Y287" i="10"/>
  <c r="X287" i="10"/>
  <c r="W287" i="10"/>
  <c r="V287" i="10"/>
  <c r="T287" i="10"/>
  <c r="P287" i="10"/>
  <c r="L287" i="10"/>
  <c r="AA287" i="10" s="1"/>
  <c r="Y286" i="10"/>
  <c r="X286" i="10"/>
  <c r="W286" i="10"/>
  <c r="V286" i="10"/>
  <c r="T286" i="10"/>
  <c r="P286" i="10"/>
  <c r="L286" i="10"/>
  <c r="AA286" i="10" s="1"/>
  <c r="Y285" i="10"/>
  <c r="X285" i="10"/>
  <c r="W285" i="10"/>
  <c r="V285" i="10"/>
  <c r="T285" i="10"/>
  <c r="P285" i="10"/>
  <c r="L285" i="10"/>
  <c r="AA285" i="10" s="1"/>
  <c r="Y284" i="10"/>
  <c r="X284" i="10"/>
  <c r="W284" i="10"/>
  <c r="V284" i="10"/>
  <c r="T284" i="10"/>
  <c r="P284" i="10"/>
  <c r="L284" i="10"/>
  <c r="AA284" i="10" s="1"/>
  <c r="Y283" i="10"/>
  <c r="X283" i="10"/>
  <c r="W283" i="10"/>
  <c r="V283" i="10"/>
  <c r="T283" i="10"/>
  <c r="P283" i="10"/>
  <c r="L283" i="10"/>
  <c r="AA283" i="10" s="1"/>
  <c r="Y282" i="10"/>
  <c r="X282" i="10"/>
  <c r="W282" i="10"/>
  <c r="V282" i="10"/>
  <c r="T282" i="10"/>
  <c r="P282" i="10"/>
  <c r="L282" i="10"/>
  <c r="AA282" i="10" s="1"/>
  <c r="Y281" i="10"/>
  <c r="X281" i="10"/>
  <c r="W281" i="10"/>
  <c r="V281" i="10"/>
  <c r="T281" i="10"/>
  <c r="P281" i="10"/>
  <c r="L281" i="10"/>
  <c r="AA281" i="10" s="1"/>
  <c r="Y280" i="10"/>
  <c r="X280" i="10"/>
  <c r="W280" i="10"/>
  <c r="V280" i="10"/>
  <c r="T280" i="10"/>
  <c r="P280" i="10"/>
  <c r="L280" i="10"/>
  <c r="AA280" i="10" s="1"/>
  <c r="Y279" i="10"/>
  <c r="X279" i="10"/>
  <c r="W279" i="10"/>
  <c r="V279" i="10"/>
  <c r="T279" i="10"/>
  <c r="P279" i="10"/>
  <c r="L279" i="10"/>
  <c r="AA279" i="10" s="1"/>
  <c r="Y278" i="10"/>
  <c r="X278" i="10"/>
  <c r="W278" i="10"/>
  <c r="V278" i="10"/>
  <c r="T278" i="10"/>
  <c r="P278" i="10"/>
  <c r="L278" i="10"/>
  <c r="AA278" i="10" s="1"/>
  <c r="Y277" i="10"/>
  <c r="X277" i="10"/>
  <c r="W277" i="10"/>
  <c r="V277" i="10"/>
  <c r="T277" i="10"/>
  <c r="P277" i="10"/>
  <c r="L277" i="10"/>
  <c r="AA277" i="10" s="1"/>
  <c r="Y276" i="10"/>
  <c r="X276" i="10"/>
  <c r="W276" i="10"/>
  <c r="V276" i="10"/>
  <c r="T276" i="10"/>
  <c r="P276" i="10"/>
  <c r="L276" i="10"/>
  <c r="AA276" i="10" s="1"/>
  <c r="Y275" i="10"/>
  <c r="X275" i="10"/>
  <c r="W275" i="10"/>
  <c r="V275" i="10"/>
  <c r="T275" i="10"/>
  <c r="P275" i="10"/>
  <c r="L275" i="10"/>
  <c r="AA275" i="10" s="1"/>
  <c r="Y274" i="10"/>
  <c r="X274" i="10"/>
  <c r="W274" i="10"/>
  <c r="V274" i="10"/>
  <c r="T274" i="10"/>
  <c r="P274" i="10"/>
  <c r="L274" i="10"/>
  <c r="AA274" i="10" s="1"/>
  <c r="Y273" i="10"/>
  <c r="X273" i="10"/>
  <c r="W273" i="10"/>
  <c r="V273" i="10"/>
  <c r="T273" i="10"/>
  <c r="P273" i="10"/>
  <c r="L273" i="10"/>
  <c r="AA273" i="10" s="1"/>
  <c r="Y272" i="10"/>
  <c r="X272" i="10"/>
  <c r="W272" i="10"/>
  <c r="V272" i="10"/>
  <c r="T272" i="10"/>
  <c r="P272" i="10"/>
  <c r="L272" i="10"/>
  <c r="AA272" i="10" s="1"/>
  <c r="Y271" i="10"/>
  <c r="X271" i="10"/>
  <c r="W271" i="10"/>
  <c r="V271" i="10"/>
  <c r="T271" i="10"/>
  <c r="P271" i="10"/>
  <c r="L271" i="10"/>
  <c r="AA271" i="10" s="1"/>
  <c r="Y270" i="10"/>
  <c r="X270" i="10"/>
  <c r="W270" i="10"/>
  <c r="V270" i="10"/>
  <c r="T270" i="10"/>
  <c r="P270" i="10"/>
  <c r="L270" i="10"/>
  <c r="AA270" i="10" s="1"/>
  <c r="Y269" i="10"/>
  <c r="X269" i="10"/>
  <c r="W269" i="10"/>
  <c r="V269" i="10"/>
  <c r="T269" i="10"/>
  <c r="P269" i="10"/>
  <c r="L269" i="10"/>
  <c r="AA269" i="10" s="1"/>
  <c r="Y268" i="10"/>
  <c r="X268" i="10"/>
  <c r="W268" i="10"/>
  <c r="V268" i="10"/>
  <c r="T268" i="10"/>
  <c r="P268" i="10"/>
  <c r="L268" i="10"/>
  <c r="AA268" i="10" s="1"/>
  <c r="Y267" i="10"/>
  <c r="X267" i="10"/>
  <c r="W267" i="10"/>
  <c r="V267" i="10"/>
  <c r="T267" i="10"/>
  <c r="P267" i="10"/>
  <c r="L267" i="10"/>
  <c r="AA267" i="10" s="1"/>
  <c r="Y266" i="10"/>
  <c r="X266" i="10"/>
  <c r="W266" i="10"/>
  <c r="V266" i="10"/>
  <c r="T266" i="10"/>
  <c r="P266" i="10"/>
  <c r="L266" i="10"/>
  <c r="AA266" i="10" s="1"/>
  <c r="Y265" i="10"/>
  <c r="X265" i="10"/>
  <c r="W265" i="10"/>
  <c r="V265" i="10"/>
  <c r="T265" i="10"/>
  <c r="P265" i="10"/>
  <c r="L265" i="10"/>
  <c r="AA265" i="10" s="1"/>
  <c r="Y264" i="10"/>
  <c r="X264" i="10"/>
  <c r="W264" i="10"/>
  <c r="V264" i="10"/>
  <c r="T264" i="10"/>
  <c r="P264" i="10"/>
  <c r="L264" i="10"/>
  <c r="AA264" i="10" s="1"/>
  <c r="Y263" i="10"/>
  <c r="X263" i="10"/>
  <c r="W263" i="10"/>
  <c r="V263" i="10"/>
  <c r="T263" i="10"/>
  <c r="P263" i="10"/>
  <c r="L263" i="10"/>
  <c r="AA263" i="10" s="1"/>
  <c r="Y262" i="10"/>
  <c r="X262" i="10"/>
  <c r="W262" i="10"/>
  <c r="V262" i="10"/>
  <c r="T262" i="10"/>
  <c r="P262" i="10"/>
  <c r="L262" i="10"/>
  <c r="AA262" i="10" s="1"/>
  <c r="Y261" i="10"/>
  <c r="X261" i="10"/>
  <c r="W261" i="10"/>
  <c r="V261" i="10"/>
  <c r="T261" i="10"/>
  <c r="P261" i="10"/>
  <c r="L261" i="10"/>
  <c r="AA261" i="10" s="1"/>
  <c r="Y21" i="10"/>
  <c r="X21" i="10"/>
  <c r="W21" i="10"/>
  <c r="V21" i="10"/>
  <c r="T21" i="10"/>
  <c r="P21" i="10"/>
  <c r="L21" i="10"/>
  <c r="AA21" i="10" s="1"/>
  <c r="Y260" i="10"/>
  <c r="X260" i="10"/>
  <c r="W260" i="10"/>
  <c r="V260" i="10"/>
  <c r="T260" i="10"/>
  <c r="P260" i="10"/>
  <c r="L260" i="10"/>
  <c r="AA260" i="10" s="1"/>
  <c r="Y259" i="10"/>
  <c r="X259" i="10"/>
  <c r="W259" i="10"/>
  <c r="V259" i="10"/>
  <c r="T259" i="10"/>
  <c r="P259" i="10"/>
  <c r="L259" i="10"/>
  <c r="AA259" i="10" s="1"/>
  <c r="Y258" i="10"/>
  <c r="X258" i="10"/>
  <c r="W258" i="10"/>
  <c r="V258" i="10"/>
  <c r="T258" i="10"/>
  <c r="P258" i="10"/>
  <c r="L258" i="10"/>
  <c r="Y257" i="10"/>
  <c r="X257" i="10"/>
  <c r="W257" i="10"/>
  <c r="V257" i="10"/>
  <c r="T257" i="10"/>
  <c r="P257" i="10"/>
  <c r="L257" i="10"/>
  <c r="AA257" i="10" s="1"/>
  <c r="Y256" i="10"/>
  <c r="X256" i="10"/>
  <c r="W256" i="10"/>
  <c r="V256" i="10"/>
  <c r="T256" i="10"/>
  <c r="P256" i="10"/>
  <c r="L256" i="10"/>
  <c r="AA256" i="10" s="1"/>
  <c r="Y255" i="10"/>
  <c r="X255" i="10"/>
  <c r="W255" i="10"/>
  <c r="V255" i="10"/>
  <c r="T255" i="10"/>
  <c r="P255" i="10"/>
  <c r="L255" i="10"/>
  <c r="AA255" i="10" s="1"/>
  <c r="Y254" i="10"/>
  <c r="X254" i="10"/>
  <c r="W254" i="10"/>
  <c r="V254" i="10"/>
  <c r="T254" i="10"/>
  <c r="P254" i="10"/>
  <c r="L254" i="10"/>
  <c r="AA254" i="10" s="1"/>
  <c r="Y253" i="10"/>
  <c r="X253" i="10"/>
  <c r="W253" i="10"/>
  <c r="V253" i="10"/>
  <c r="T253" i="10"/>
  <c r="P253" i="10"/>
  <c r="L253" i="10"/>
  <c r="AA253" i="10" s="1"/>
  <c r="Y252" i="10"/>
  <c r="X252" i="10"/>
  <c r="W252" i="10"/>
  <c r="V252" i="10"/>
  <c r="T252" i="10"/>
  <c r="P252" i="10"/>
  <c r="L252" i="10"/>
  <c r="AA252" i="10" s="1"/>
  <c r="Y251" i="10"/>
  <c r="X251" i="10"/>
  <c r="W251" i="10"/>
  <c r="V251" i="10"/>
  <c r="T251" i="10"/>
  <c r="P251" i="10"/>
  <c r="L251" i="10"/>
  <c r="AA251" i="10" s="1"/>
  <c r="Y250" i="10"/>
  <c r="X250" i="10"/>
  <c r="W250" i="10"/>
  <c r="V250" i="10"/>
  <c r="T250" i="10"/>
  <c r="P250" i="10"/>
  <c r="L250" i="10"/>
  <c r="AA250" i="10" s="1"/>
  <c r="Y249" i="10"/>
  <c r="X249" i="10"/>
  <c r="W249" i="10"/>
  <c r="V249" i="10"/>
  <c r="T249" i="10"/>
  <c r="P249" i="10"/>
  <c r="L249" i="10"/>
  <c r="Y248" i="10"/>
  <c r="X248" i="10"/>
  <c r="W248" i="10"/>
  <c r="V248" i="10"/>
  <c r="T248" i="10"/>
  <c r="P248" i="10"/>
  <c r="L248" i="10"/>
  <c r="AA248" i="10" s="1"/>
  <c r="Y247" i="10"/>
  <c r="X247" i="10"/>
  <c r="W247" i="10"/>
  <c r="V247" i="10"/>
  <c r="T247" i="10"/>
  <c r="P247" i="10"/>
  <c r="L247" i="10"/>
  <c r="AA247" i="10" s="1"/>
  <c r="Y246" i="10"/>
  <c r="X246" i="10"/>
  <c r="W246" i="10"/>
  <c r="V246" i="10"/>
  <c r="T246" i="10"/>
  <c r="P246" i="10"/>
  <c r="L246" i="10"/>
  <c r="AA246" i="10" s="1"/>
  <c r="Y245" i="10"/>
  <c r="X245" i="10"/>
  <c r="W245" i="10"/>
  <c r="V245" i="10"/>
  <c r="T245" i="10"/>
  <c r="P245" i="10"/>
  <c r="L245" i="10"/>
  <c r="AA245" i="10" s="1"/>
  <c r="Y244" i="10"/>
  <c r="X244" i="10"/>
  <c r="W244" i="10"/>
  <c r="V244" i="10"/>
  <c r="T244" i="10"/>
  <c r="P244" i="10"/>
  <c r="L244" i="10"/>
  <c r="AA244" i="10" s="1"/>
  <c r="Y243" i="10"/>
  <c r="X243" i="10"/>
  <c r="W243" i="10"/>
  <c r="V243" i="10"/>
  <c r="T243" i="10"/>
  <c r="P243" i="10"/>
  <c r="L243" i="10"/>
  <c r="AA243" i="10" s="1"/>
  <c r="Y242" i="10"/>
  <c r="X242" i="10"/>
  <c r="W242" i="10"/>
  <c r="V242" i="10"/>
  <c r="T242" i="10"/>
  <c r="P242" i="10"/>
  <c r="L242" i="10"/>
  <c r="AA242" i="10" s="1"/>
  <c r="Y241" i="10"/>
  <c r="X241" i="10"/>
  <c r="W241" i="10"/>
  <c r="V241" i="10"/>
  <c r="T241" i="10"/>
  <c r="P241" i="10"/>
  <c r="L241" i="10"/>
  <c r="AA241" i="10" s="1"/>
  <c r="Y240" i="10"/>
  <c r="X240" i="10"/>
  <c r="W240" i="10"/>
  <c r="V240" i="10"/>
  <c r="T240" i="10"/>
  <c r="P240" i="10"/>
  <c r="L240" i="10"/>
  <c r="AA240" i="10" s="1"/>
  <c r="Y239" i="10"/>
  <c r="X239" i="10"/>
  <c r="W239" i="10"/>
  <c r="V239" i="10"/>
  <c r="T239" i="10"/>
  <c r="P239" i="10"/>
  <c r="L239" i="10"/>
  <c r="AA239" i="10" s="1"/>
  <c r="Y238" i="10"/>
  <c r="X238" i="10"/>
  <c r="W238" i="10"/>
  <c r="V238" i="10"/>
  <c r="T238" i="10"/>
  <c r="P238" i="10"/>
  <c r="L238" i="10"/>
  <c r="AA238" i="10" s="1"/>
  <c r="Y237" i="10"/>
  <c r="X237" i="10"/>
  <c r="W237" i="10"/>
  <c r="V237" i="10"/>
  <c r="T237" i="10"/>
  <c r="P237" i="10"/>
  <c r="L237" i="10"/>
  <c r="AA237" i="10" s="1"/>
  <c r="Y20" i="10"/>
  <c r="X20" i="10"/>
  <c r="W20" i="10"/>
  <c r="V20" i="10"/>
  <c r="T20" i="10"/>
  <c r="P20" i="10"/>
  <c r="L20" i="10"/>
  <c r="AA20" i="10" s="1"/>
  <c r="Y236" i="10"/>
  <c r="X236" i="10"/>
  <c r="W236" i="10"/>
  <c r="V236" i="10"/>
  <c r="T236" i="10"/>
  <c r="P236" i="10"/>
  <c r="L236" i="10"/>
  <c r="AA236" i="10" s="1"/>
  <c r="Y235" i="10"/>
  <c r="X235" i="10"/>
  <c r="W235" i="10"/>
  <c r="V235" i="10"/>
  <c r="T235" i="10"/>
  <c r="P235" i="10"/>
  <c r="L235" i="10"/>
  <c r="AA235" i="10" s="1"/>
  <c r="Y234" i="10"/>
  <c r="X234" i="10"/>
  <c r="W234" i="10"/>
  <c r="V234" i="10"/>
  <c r="T234" i="10"/>
  <c r="P234" i="10"/>
  <c r="L234" i="10"/>
  <c r="AA234" i="10" s="1"/>
  <c r="Y233" i="10"/>
  <c r="X233" i="10"/>
  <c r="W233" i="10"/>
  <c r="V233" i="10"/>
  <c r="T233" i="10"/>
  <c r="P233" i="10"/>
  <c r="L233" i="10"/>
  <c r="AA233" i="10" s="1"/>
  <c r="Y232" i="10"/>
  <c r="X232" i="10"/>
  <c r="W232" i="10"/>
  <c r="V232" i="10"/>
  <c r="T232" i="10"/>
  <c r="P232" i="10"/>
  <c r="L232" i="10"/>
  <c r="AA232" i="10" s="1"/>
  <c r="Y231" i="10"/>
  <c r="X231" i="10"/>
  <c r="W231" i="10"/>
  <c r="V231" i="10"/>
  <c r="T231" i="10"/>
  <c r="P231" i="10"/>
  <c r="L231" i="10"/>
  <c r="AA231" i="10" s="1"/>
  <c r="Y230" i="10"/>
  <c r="X230" i="10"/>
  <c r="W230" i="10"/>
  <c r="V230" i="10"/>
  <c r="T230" i="10"/>
  <c r="P230" i="10"/>
  <c r="L230" i="10"/>
  <c r="Y229" i="10"/>
  <c r="X229" i="10"/>
  <c r="W229" i="10"/>
  <c r="V229" i="10"/>
  <c r="T229" i="10"/>
  <c r="P229" i="10"/>
  <c r="L229" i="10"/>
  <c r="AA229" i="10" s="1"/>
  <c r="Y228" i="10"/>
  <c r="X228" i="10"/>
  <c r="W228" i="10"/>
  <c r="V228" i="10"/>
  <c r="T228" i="10"/>
  <c r="P228" i="10"/>
  <c r="L228" i="10"/>
  <c r="AA228" i="10" s="1"/>
  <c r="Y227" i="10"/>
  <c r="X227" i="10"/>
  <c r="W227" i="10"/>
  <c r="V227" i="10"/>
  <c r="T227" i="10"/>
  <c r="P227" i="10"/>
  <c r="L227" i="10"/>
  <c r="AA227" i="10" s="1"/>
  <c r="Y226" i="10"/>
  <c r="X226" i="10"/>
  <c r="W226" i="10"/>
  <c r="V226" i="10"/>
  <c r="T226" i="10"/>
  <c r="P226" i="10"/>
  <c r="L226" i="10"/>
  <c r="AA226" i="10" s="1"/>
  <c r="Y225" i="10"/>
  <c r="X225" i="10"/>
  <c r="W225" i="10"/>
  <c r="V225" i="10"/>
  <c r="T225" i="10"/>
  <c r="P225" i="10"/>
  <c r="L225" i="10"/>
  <c r="AA225" i="10" s="1"/>
  <c r="Y224" i="10"/>
  <c r="X224" i="10"/>
  <c r="W224" i="10"/>
  <c r="V224" i="10"/>
  <c r="T224" i="10"/>
  <c r="P224" i="10"/>
  <c r="L224" i="10"/>
  <c r="AA224" i="10" s="1"/>
  <c r="Y223" i="10"/>
  <c r="X223" i="10"/>
  <c r="W223" i="10"/>
  <c r="V223" i="10"/>
  <c r="T223" i="10"/>
  <c r="P223" i="10"/>
  <c r="L223" i="10"/>
  <c r="AA223" i="10" s="1"/>
  <c r="Y222" i="10"/>
  <c r="X222" i="10"/>
  <c r="W222" i="10"/>
  <c r="V222" i="10"/>
  <c r="T222" i="10"/>
  <c r="P222" i="10"/>
  <c r="L222" i="10"/>
  <c r="AA222" i="10" s="1"/>
  <c r="Y221" i="10"/>
  <c r="X221" i="10"/>
  <c r="W221" i="10"/>
  <c r="V221" i="10"/>
  <c r="T221" i="10"/>
  <c r="P221" i="10"/>
  <c r="L221" i="10"/>
  <c r="AA221" i="10" s="1"/>
  <c r="Y220" i="10"/>
  <c r="X220" i="10"/>
  <c r="W220" i="10"/>
  <c r="V220" i="10"/>
  <c r="T220" i="10"/>
  <c r="P220" i="10"/>
  <c r="L220" i="10"/>
  <c r="AA220" i="10" s="1"/>
  <c r="Y219" i="10"/>
  <c r="X219" i="10"/>
  <c r="W219" i="10"/>
  <c r="V219" i="10"/>
  <c r="T219" i="10"/>
  <c r="P219" i="10"/>
  <c r="L219" i="10"/>
  <c r="AA219" i="10" s="1"/>
  <c r="Y19" i="10"/>
  <c r="X19" i="10"/>
  <c r="W19" i="10"/>
  <c r="V19" i="10"/>
  <c r="T19" i="10"/>
  <c r="P19" i="10"/>
  <c r="L19" i="10"/>
  <c r="AA19" i="10" s="1"/>
  <c r="Y218" i="10"/>
  <c r="X218" i="10"/>
  <c r="W218" i="10"/>
  <c r="V218" i="10"/>
  <c r="T218" i="10"/>
  <c r="P218" i="10"/>
  <c r="L218" i="10"/>
  <c r="AA218" i="10" s="1"/>
  <c r="Y18" i="10"/>
  <c r="X18" i="10"/>
  <c r="W18" i="10"/>
  <c r="V18" i="10"/>
  <c r="T18" i="10"/>
  <c r="P18" i="10"/>
  <c r="L18" i="10"/>
  <c r="Y217" i="10"/>
  <c r="X217" i="10"/>
  <c r="W217" i="10"/>
  <c r="V217" i="10"/>
  <c r="T217" i="10"/>
  <c r="P217" i="10"/>
  <c r="L217" i="10"/>
  <c r="AA217" i="10" s="1"/>
  <c r="Y216" i="10"/>
  <c r="X216" i="10"/>
  <c r="W216" i="10"/>
  <c r="V216" i="10"/>
  <c r="T216" i="10"/>
  <c r="P216" i="10"/>
  <c r="L216" i="10"/>
  <c r="AA216" i="10" s="1"/>
  <c r="Y215" i="10"/>
  <c r="X215" i="10"/>
  <c r="W215" i="10"/>
  <c r="V215" i="10"/>
  <c r="T215" i="10"/>
  <c r="P215" i="10"/>
  <c r="L215" i="10"/>
  <c r="AA215" i="10" s="1"/>
  <c r="Y214" i="10"/>
  <c r="X214" i="10"/>
  <c r="W214" i="10"/>
  <c r="V214" i="10"/>
  <c r="T214" i="10"/>
  <c r="P214" i="10"/>
  <c r="L214" i="10"/>
  <c r="AA214" i="10" s="1"/>
  <c r="Y213" i="10"/>
  <c r="X213" i="10"/>
  <c r="W213" i="10"/>
  <c r="V213" i="10"/>
  <c r="T213" i="10"/>
  <c r="P213" i="10"/>
  <c r="L213" i="10"/>
  <c r="AA213" i="10" s="1"/>
  <c r="Y212" i="10"/>
  <c r="X212" i="10"/>
  <c r="W212" i="10"/>
  <c r="V212" i="10"/>
  <c r="T212" i="10"/>
  <c r="P212" i="10"/>
  <c r="L212" i="10"/>
  <c r="AA212" i="10" s="1"/>
  <c r="Y211" i="10"/>
  <c r="X211" i="10"/>
  <c r="W211" i="10"/>
  <c r="V211" i="10"/>
  <c r="T211" i="10"/>
  <c r="P211" i="10"/>
  <c r="L211" i="10"/>
  <c r="AA211" i="10" s="1"/>
  <c r="Y210" i="10"/>
  <c r="X210" i="10"/>
  <c r="W210" i="10"/>
  <c r="V210" i="10"/>
  <c r="T210" i="10"/>
  <c r="P210" i="10"/>
  <c r="L210" i="10"/>
  <c r="Y209" i="10"/>
  <c r="X209" i="10"/>
  <c r="W209" i="10"/>
  <c r="V209" i="10"/>
  <c r="T209" i="10"/>
  <c r="P209" i="10"/>
  <c r="L209" i="10"/>
  <c r="AA209" i="10" s="1"/>
  <c r="Y208" i="10"/>
  <c r="X208" i="10"/>
  <c r="W208" i="10"/>
  <c r="V208" i="10"/>
  <c r="T208" i="10"/>
  <c r="P208" i="10"/>
  <c r="L208" i="10"/>
  <c r="AA208" i="10" s="1"/>
  <c r="Y207" i="10"/>
  <c r="X207" i="10"/>
  <c r="W207" i="10"/>
  <c r="V207" i="10"/>
  <c r="T207" i="10"/>
  <c r="P207" i="10"/>
  <c r="L207" i="10"/>
  <c r="AA207" i="10" s="1"/>
  <c r="Y206" i="10"/>
  <c r="X206" i="10"/>
  <c r="W206" i="10"/>
  <c r="V206" i="10"/>
  <c r="T206" i="10"/>
  <c r="P206" i="10"/>
  <c r="L206" i="10"/>
  <c r="AA206" i="10" s="1"/>
  <c r="Y205" i="10"/>
  <c r="X205" i="10"/>
  <c r="W205" i="10"/>
  <c r="V205" i="10"/>
  <c r="T205" i="10"/>
  <c r="P205" i="10"/>
  <c r="L205" i="10"/>
  <c r="AA205" i="10" s="1"/>
  <c r="Y204" i="10"/>
  <c r="X204" i="10"/>
  <c r="W204" i="10"/>
  <c r="V204" i="10"/>
  <c r="T204" i="10"/>
  <c r="P204" i="10"/>
  <c r="L204" i="10"/>
  <c r="AA204" i="10" s="1"/>
  <c r="Y203" i="10"/>
  <c r="X203" i="10"/>
  <c r="W203" i="10"/>
  <c r="V203" i="10"/>
  <c r="T203" i="10"/>
  <c r="P203" i="10"/>
  <c r="L203" i="10"/>
  <c r="AA203" i="10" s="1"/>
  <c r="Y202" i="10"/>
  <c r="X202" i="10"/>
  <c r="W202" i="10"/>
  <c r="V202" i="10"/>
  <c r="T202" i="10"/>
  <c r="P202" i="10"/>
  <c r="L202" i="10"/>
  <c r="AA202" i="10" s="1"/>
  <c r="Y201" i="10"/>
  <c r="X201" i="10"/>
  <c r="W201" i="10"/>
  <c r="V201" i="10"/>
  <c r="T201" i="10"/>
  <c r="P201" i="10"/>
  <c r="L201" i="10"/>
  <c r="AA201" i="10" s="1"/>
  <c r="Y200" i="10"/>
  <c r="X200" i="10"/>
  <c r="W200" i="10"/>
  <c r="V200" i="10"/>
  <c r="T200" i="10"/>
  <c r="P200" i="10"/>
  <c r="L200" i="10"/>
  <c r="AA200" i="10" s="1"/>
  <c r="Y199" i="10"/>
  <c r="X199" i="10"/>
  <c r="W199" i="10"/>
  <c r="V199" i="10"/>
  <c r="T199" i="10"/>
  <c r="P199" i="10"/>
  <c r="L199" i="10"/>
  <c r="AA199" i="10" s="1"/>
  <c r="Y198" i="10"/>
  <c r="X198" i="10"/>
  <c r="W198" i="10"/>
  <c r="V198" i="10"/>
  <c r="T198" i="10"/>
  <c r="P198" i="10"/>
  <c r="L198" i="10"/>
  <c r="AA198" i="10" s="1"/>
  <c r="Y197" i="10"/>
  <c r="X197" i="10"/>
  <c r="W197" i="10"/>
  <c r="V197" i="10"/>
  <c r="T197" i="10"/>
  <c r="P197" i="10"/>
  <c r="L197" i="10"/>
  <c r="AA197" i="10" s="1"/>
  <c r="Y196" i="10"/>
  <c r="X196" i="10"/>
  <c r="W196" i="10"/>
  <c r="V196" i="10"/>
  <c r="T196" i="10"/>
  <c r="P196" i="10"/>
  <c r="L196" i="10"/>
  <c r="AA196" i="10" s="1"/>
  <c r="Y195" i="10"/>
  <c r="X195" i="10"/>
  <c r="W195" i="10"/>
  <c r="V195" i="10"/>
  <c r="T195" i="10"/>
  <c r="P195" i="10"/>
  <c r="L195" i="10"/>
  <c r="AA195" i="10" s="1"/>
  <c r="Y194" i="10"/>
  <c r="X194" i="10"/>
  <c r="W194" i="10"/>
  <c r="V194" i="10"/>
  <c r="T194" i="10"/>
  <c r="P194" i="10"/>
  <c r="L194" i="10"/>
  <c r="AA194" i="10" s="1"/>
  <c r="Y193" i="10"/>
  <c r="X193" i="10"/>
  <c r="W193" i="10"/>
  <c r="V193" i="10"/>
  <c r="T193" i="10"/>
  <c r="P193" i="10"/>
  <c r="L193" i="10"/>
  <c r="AA193" i="10" s="1"/>
  <c r="Y192" i="10"/>
  <c r="X192" i="10"/>
  <c r="W192" i="10"/>
  <c r="V192" i="10"/>
  <c r="T192" i="10"/>
  <c r="P192" i="10"/>
  <c r="L192" i="10"/>
  <c r="AA192" i="10" s="1"/>
  <c r="Y191" i="10"/>
  <c r="X191" i="10"/>
  <c r="W191" i="10"/>
  <c r="V191" i="10"/>
  <c r="T191" i="10"/>
  <c r="P191" i="10"/>
  <c r="L191" i="10"/>
  <c r="AA191" i="10" s="1"/>
  <c r="Y190" i="10"/>
  <c r="X190" i="10"/>
  <c r="W190" i="10"/>
  <c r="V190" i="10"/>
  <c r="T190" i="10"/>
  <c r="P190" i="10"/>
  <c r="L190" i="10"/>
  <c r="AA190" i="10" s="1"/>
  <c r="Y189" i="10"/>
  <c r="X189" i="10"/>
  <c r="W189" i="10"/>
  <c r="V189" i="10"/>
  <c r="T189" i="10"/>
  <c r="P189" i="10"/>
  <c r="L189" i="10"/>
  <c r="AA189" i="10" s="1"/>
  <c r="Y188" i="10"/>
  <c r="X188" i="10"/>
  <c r="W188" i="10"/>
  <c r="V188" i="10"/>
  <c r="T188" i="10"/>
  <c r="P188" i="10"/>
  <c r="L188" i="10"/>
  <c r="AA188" i="10" s="1"/>
  <c r="Y187" i="10"/>
  <c r="X187" i="10"/>
  <c r="W187" i="10"/>
  <c r="V187" i="10"/>
  <c r="T187" i="10"/>
  <c r="P187" i="10"/>
  <c r="L187" i="10"/>
  <c r="AA187" i="10" s="1"/>
  <c r="Y17" i="10"/>
  <c r="X17" i="10"/>
  <c r="W17" i="10"/>
  <c r="V17" i="10"/>
  <c r="T17" i="10"/>
  <c r="P17" i="10"/>
  <c r="L17" i="10"/>
  <c r="AA17" i="10" s="1"/>
  <c r="Y16" i="10"/>
  <c r="X16" i="10"/>
  <c r="W16" i="10"/>
  <c r="V16" i="10"/>
  <c r="T16" i="10"/>
  <c r="P16" i="10"/>
  <c r="L16" i="10"/>
  <c r="AA16" i="10" s="1"/>
  <c r="Y15" i="10"/>
  <c r="X15" i="10"/>
  <c r="W15" i="10"/>
  <c r="V15" i="10"/>
  <c r="T15" i="10"/>
  <c r="P15" i="10"/>
  <c r="L15" i="10"/>
  <c r="AA15" i="10" s="1"/>
  <c r="Y186" i="10"/>
  <c r="X186" i="10"/>
  <c r="W186" i="10"/>
  <c r="V186" i="10"/>
  <c r="T186" i="10"/>
  <c r="P186" i="10"/>
  <c r="L186" i="10"/>
  <c r="Y185" i="10"/>
  <c r="X185" i="10"/>
  <c r="W185" i="10"/>
  <c r="V185" i="10"/>
  <c r="T185" i="10"/>
  <c r="P185" i="10"/>
  <c r="L185" i="10"/>
  <c r="AA185" i="10" s="1"/>
  <c r="Y184" i="10"/>
  <c r="X184" i="10"/>
  <c r="W184" i="10"/>
  <c r="V184" i="10"/>
  <c r="T184" i="10"/>
  <c r="P184" i="10"/>
  <c r="L184" i="10"/>
  <c r="AA184" i="10" s="1"/>
  <c r="Y183" i="10"/>
  <c r="X183" i="10"/>
  <c r="W183" i="10"/>
  <c r="V183" i="10"/>
  <c r="T183" i="10"/>
  <c r="P183" i="10"/>
  <c r="L183" i="10"/>
  <c r="AA183" i="10" s="1"/>
  <c r="Y182" i="10"/>
  <c r="X182" i="10"/>
  <c r="W182" i="10"/>
  <c r="V182" i="10"/>
  <c r="T182" i="10"/>
  <c r="P182" i="10"/>
  <c r="L182" i="10"/>
  <c r="AA182" i="10" s="1"/>
  <c r="Y181" i="10"/>
  <c r="X181" i="10"/>
  <c r="W181" i="10"/>
  <c r="V181" i="10"/>
  <c r="T181" i="10"/>
  <c r="P181" i="10"/>
  <c r="L181" i="10"/>
  <c r="AA181" i="10" s="1"/>
  <c r="Y180" i="10"/>
  <c r="X180" i="10"/>
  <c r="W180" i="10"/>
  <c r="V180" i="10"/>
  <c r="T180" i="10"/>
  <c r="P180" i="10"/>
  <c r="L180" i="10"/>
  <c r="AA180" i="10" s="1"/>
  <c r="Y179" i="10"/>
  <c r="X179" i="10"/>
  <c r="W179" i="10"/>
  <c r="V179" i="10"/>
  <c r="T179" i="10"/>
  <c r="P179" i="10"/>
  <c r="L179" i="10"/>
  <c r="AA179" i="10" s="1"/>
  <c r="Y178" i="10"/>
  <c r="X178" i="10"/>
  <c r="W178" i="10"/>
  <c r="V178" i="10"/>
  <c r="T178" i="10"/>
  <c r="P178" i="10"/>
  <c r="L178" i="10"/>
  <c r="Y177" i="10"/>
  <c r="X177" i="10"/>
  <c r="W177" i="10"/>
  <c r="V177" i="10"/>
  <c r="T177" i="10"/>
  <c r="P177" i="10"/>
  <c r="L177" i="10"/>
  <c r="AA177" i="10" s="1"/>
  <c r="Y176" i="10"/>
  <c r="X176" i="10"/>
  <c r="W176" i="10"/>
  <c r="V176" i="10"/>
  <c r="T176" i="10"/>
  <c r="P176" i="10"/>
  <c r="L176" i="10"/>
  <c r="AA176" i="10" s="1"/>
  <c r="Y175" i="10"/>
  <c r="X175" i="10"/>
  <c r="W175" i="10"/>
  <c r="V175" i="10"/>
  <c r="T175" i="10"/>
  <c r="P175" i="10"/>
  <c r="L175" i="10"/>
  <c r="AA175" i="10" s="1"/>
  <c r="Y174" i="10"/>
  <c r="X174" i="10"/>
  <c r="W174" i="10"/>
  <c r="V174" i="10"/>
  <c r="T174" i="10"/>
  <c r="P174" i="10"/>
  <c r="L174" i="10"/>
  <c r="AA174" i="10" s="1"/>
  <c r="Y173" i="10"/>
  <c r="X173" i="10"/>
  <c r="W173" i="10"/>
  <c r="V173" i="10"/>
  <c r="T173" i="10"/>
  <c r="P173" i="10"/>
  <c r="L173" i="10"/>
  <c r="AA173" i="10" s="1"/>
  <c r="Y172" i="10"/>
  <c r="X172" i="10"/>
  <c r="W172" i="10"/>
  <c r="V172" i="10"/>
  <c r="T172" i="10"/>
  <c r="P172" i="10"/>
  <c r="L172" i="10"/>
  <c r="AA172" i="10" s="1"/>
  <c r="Y171" i="10"/>
  <c r="X171" i="10"/>
  <c r="W171" i="10"/>
  <c r="V171" i="10"/>
  <c r="T171" i="10"/>
  <c r="P171" i="10"/>
  <c r="L171" i="10"/>
  <c r="AA171" i="10" s="1"/>
  <c r="Y170" i="10"/>
  <c r="X170" i="10"/>
  <c r="W170" i="10"/>
  <c r="V170" i="10"/>
  <c r="T170" i="10"/>
  <c r="P170" i="10"/>
  <c r="L170" i="10"/>
  <c r="AA170" i="10" s="1"/>
  <c r="Y169" i="10"/>
  <c r="X169" i="10"/>
  <c r="W169" i="10"/>
  <c r="V169" i="10"/>
  <c r="T169" i="10"/>
  <c r="P169" i="10"/>
  <c r="L169" i="10"/>
  <c r="AA169" i="10" s="1"/>
  <c r="Y168" i="10"/>
  <c r="X168" i="10"/>
  <c r="W168" i="10"/>
  <c r="V168" i="10"/>
  <c r="T168" i="10"/>
  <c r="P168" i="10"/>
  <c r="L168" i="10"/>
  <c r="AA168" i="10" s="1"/>
  <c r="Y167" i="10"/>
  <c r="X167" i="10"/>
  <c r="W167" i="10"/>
  <c r="V167" i="10"/>
  <c r="T167" i="10"/>
  <c r="P167" i="10"/>
  <c r="L167" i="10"/>
  <c r="AA167" i="10" s="1"/>
  <c r="Y166" i="10"/>
  <c r="X166" i="10"/>
  <c r="W166" i="10"/>
  <c r="V166" i="10"/>
  <c r="T166" i="10"/>
  <c r="P166" i="10"/>
  <c r="L166" i="10"/>
  <c r="AA166" i="10" s="1"/>
  <c r="Y165" i="10"/>
  <c r="X165" i="10"/>
  <c r="W165" i="10"/>
  <c r="V165" i="10"/>
  <c r="T165" i="10"/>
  <c r="P165" i="10"/>
  <c r="L165" i="10"/>
  <c r="AA165" i="10" s="1"/>
  <c r="Y164" i="10"/>
  <c r="X164" i="10"/>
  <c r="W164" i="10"/>
  <c r="V164" i="10"/>
  <c r="T164" i="10"/>
  <c r="P164" i="10"/>
  <c r="L164" i="10"/>
  <c r="AA164" i="10" s="1"/>
  <c r="Y163" i="10"/>
  <c r="X163" i="10"/>
  <c r="W163" i="10"/>
  <c r="V163" i="10"/>
  <c r="T163" i="10"/>
  <c r="P163" i="10"/>
  <c r="L163" i="10"/>
  <c r="AA163" i="10" s="1"/>
  <c r="Y162" i="10"/>
  <c r="X162" i="10"/>
  <c r="W162" i="10"/>
  <c r="V162" i="10"/>
  <c r="T162" i="10"/>
  <c r="P162" i="10"/>
  <c r="L162" i="10"/>
  <c r="AA162" i="10" s="1"/>
  <c r="Y161" i="10"/>
  <c r="X161" i="10"/>
  <c r="W161" i="10"/>
  <c r="V161" i="10"/>
  <c r="T161" i="10"/>
  <c r="P161" i="10"/>
  <c r="L161" i="10"/>
  <c r="AA161" i="10" s="1"/>
  <c r="Y160" i="10"/>
  <c r="X160" i="10"/>
  <c r="W160" i="10"/>
  <c r="V160" i="10"/>
  <c r="T160" i="10"/>
  <c r="P160" i="10"/>
  <c r="L160" i="10"/>
  <c r="AA160" i="10" s="1"/>
  <c r="Y159" i="10"/>
  <c r="X159" i="10"/>
  <c r="W159" i="10"/>
  <c r="V159" i="10"/>
  <c r="T159" i="10"/>
  <c r="P159" i="10"/>
  <c r="L159" i="10"/>
  <c r="AA159" i="10" s="1"/>
  <c r="Y158" i="10"/>
  <c r="X158" i="10"/>
  <c r="W158" i="10"/>
  <c r="V158" i="10"/>
  <c r="T158" i="10"/>
  <c r="P158" i="10"/>
  <c r="L158" i="10"/>
  <c r="AA158" i="10" s="1"/>
  <c r="Y157" i="10"/>
  <c r="X157" i="10"/>
  <c r="W157" i="10"/>
  <c r="V157" i="10"/>
  <c r="T157" i="10"/>
  <c r="P157" i="10"/>
  <c r="L157" i="10"/>
  <c r="AA157" i="10" s="1"/>
  <c r="Y156" i="10"/>
  <c r="X156" i="10"/>
  <c r="W156" i="10"/>
  <c r="V156" i="10"/>
  <c r="T156" i="10"/>
  <c r="P156" i="10"/>
  <c r="L156" i="10"/>
  <c r="AA156" i="10" s="1"/>
  <c r="Y155" i="10"/>
  <c r="X155" i="10"/>
  <c r="W155" i="10"/>
  <c r="V155" i="10"/>
  <c r="T155" i="10"/>
  <c r="P155" i="10"/>
  <c r="L155" i="10"/>
  <c r="AA155" i="10" s="1"/>
  <c r="Y154" i="10"/>
  <c r="X154" i="10"/>
  <c r="W154" i="10"/>
  <c r="V154" i="10"/>
  <c r="T154" i="10"/>
  <c r="P154" i="10"/>
  <c r="L154" i="10"/>
  <c r="AA154" i="10" s="1"/>
  <c r="Y153" i="10"/>
  <c r="X153" i="10"/>
  <c r="W153" i="10"/>
  <c r="V153" i="10"/>
  <c r="T153" i="10"/>
  <c r="P153" i="10"/>
  <c r="L153" i="10"/>
  <c r="AA153" i="10" s="1"/>
  <c r="Y152" i="10"/>
  <c r="X152" i="10"/>
  <c r="W152" i="10"/>
  <c r="V152" i="10"/>
  <c r="T152" i="10"/>
  <c r="P152" i="10"/>
  <c r="L152" i="10"/>
  <c r="AA152" i="10" s="1"/>
  <c r="Y151" i="10"/>
  <c r="X151" i="10"/>
  <c r="W151" i="10"/>
  <c r="V151" i="10"/>
  <c r="T151" i="10"/>
  <c r="P151" i="10"/>
  <c r="L151" i="10"/>
  <c r="AA151" i="10" s="1"/>
  <c r="Y14" i="10"/>
  <c r="X14" i="10"/>
  <c r="W14" i="10"/>
  <c r="V14" i="10"/>
  <c r="T14" i="10"/>
  <c r="P14" i="10"/>
  <c r="L14" i="10"/>
  <c r="AA14" i="10" s="1"/>
  <c r="Y13" i="10"/>
  <c r="X13" i="10"/>
  <c r="W13" i="10"/>
  <c r="V13" i="10"/>
  <c r="T13" i="10"/>
  <c r="P13" i="10"/>
  <c r="L13" i="10"/>
  <c r="AA13" i="10" s="1"/>
  <c r="Y12" i="10"/>
  <c r="X12" i="10"/>
  <c r="W12" i="10"/>
  <c r="V12" i="10"/>
  <c r="T12" i="10"/>
  <c r="P12" i="10"/>
  <c r="L12" i="10"/>
  <c r="AA12" i="10" s="1"/>
  <c r="Y150" i="10"/>
  <c r="X150" i="10"/>
  <c r="W150" i="10"/>
  <c r="V150" i="10"/>
  <c r="T150" i="10"/>
  <c r="P150" i="10"/>
  <c r="L150" i="10"/>
  <c r="AA150" i="10" s="1"/>
  <c r="Y149" i="10"/>
  <c r="X149" i="10"/>
  <c r="W149" i="10"/>
  <c r="V149" i="10"/>
  <c r="T149" i="10"/>
  <c r="P149" i="10"/>
  <c r="L149" i="10"/>
  <c r="AA149" i="10" s="1"/>
  <c r="Y148" i="10"/>
  <c r="X148" i="10"/>
  <c r="W148" i="10"/>
  <c r="V148" i="10"/>
  <c r="T148" i="10"/>
  <c r="P148" i="10"/>
  <c r="L148" i="10"/>
  <c r="AA148" i="10" s="1"/>
  <c r="Y147" i="10"/>
  <c r="X147" i="10"/>
  <c r="W147" i="10"/>
  <c r="V147" i="10"/>
  <c r="T147" i="10"/>
  <c r="P147" i="10"/>
  <c r="L147" i="10"/>
  <c r="AA147" i="10" s="1"/>
  <c r="Y146" i="10"/>
  <c r="X146" i="10"/>
  <c r="W146" i="10"/>
  <c r="V146" i="10"/>
  <c r="T146" i="10"/>
  <c r="P146" i="10"/>
  <c r="L146" i="10"/>
  <c r="AA146" i="10" s="1"/>
  <c r="Y145" i="10"/>
  <c r="X145" i="10"/>
  <c r="W145" i="10"/>
  <c r="V145" i="10"/>
  <c r="T145" i="10"/>
  <c r="P145" i="10"/>
  <c r="L145" i="10"/>
  <c r="AA145" i="10" s="1"/>
  <c r="Y144" i="10"/>
  <c r="X144" i="10"/>
  <c r="W144" i="10"/>
  <c r="V144" i="10"/>
  <c r="T144" i="10"/>
  <c r="P144" i="10"/>
  <c r="L144" i="10"/>
  <c r="AA144" i="10" s="1"/>
  <c r="Y143" i="10"/>
  <c r="X143" i="10"/>
  <c r="W143" i="10"/>
  <c r="V143" i="10"/>
  <c r="T143" i="10"/>
  <c r="P143" i="10"/>
  <c r="L143" i="10"/>
  <c r="AA143" i="10" s="1"/>
  <c r="Y142" i="10"/>
  <c r="X142" i="10"/>
  <c r="W142" i="10"/>
  <c r="V142" i="10"/>
  <c r="T142" i="10"/>
  <c r="P142" i="10"/>
  <c r="L142" i="10"/>
  <c r="AA142" i="10" s="1"/>
  <c r="Y141" i="10"/>
  <c r="X141" i="10"/>
  <c r="W141" i="10"/>
  <c r="V141" i="10"/>
  <c r="T141" i="10"/>
  <c r="P141" i="10"/>
  <c r="L141" i="10"/>
  <c r="AA141" i="10" s="1"/>
  <c r="Y140" i="10"/>
  <c r="X140" i="10"/>
  <c r="W140" i="10"/>
  <c r="V140" i="10"/>
  <c r="T140" i="10"/>
  <c r="P140" i="10"/>
  <c r="L140" i="10"/>
  <c r="AA140" i="10" s="1"/>
  <c r="Y139" i="10"/>
  <c r="X139" i="10"/>
  <c r="W139" i="10"/>
  <c r="V139" i="10"/>
  <c r="T139" i="10"/>
  <c r="P139" i="10"/>
  <c r="L139" i="10"/>
  <c r="AA139" i="10" s="1"/>
  <c r="Y138" i="10"/>
  <c r="X138" i="10"/>
  <c r="W138" i="10"/>
  <c r="V138" i="10"/>
  <c r="T138" i="10"/>
  <c r="P138" i="10"/>
  <c r="L138" i="10"/>
  <c r="Y137" i="10"/>
  <c r="X137" i="10"/>
  <c r="W137" i="10"/>
  <c r="V137" i="10"/>
  <c r="T137" i="10"/>
  <c r="P137" i="10"/>
  <c r="L137" i="10"/>
  <c r="AA137" i="10" s="1"/>
  <c r="Y136" i="10"/>
  <c r="X136" i="10"/>
  <c r="W136" i="10"/>
  <c r="V136" i="10"/>
  <c r="T136" i="10"/>
  <c r="P136" i="10"/>
  <c r="L136" i="10"/>
  <c r="Y135" i="10"/>
  <c r="X135" i="10"/>
  <c r="W135" i="10"/>
  <c r="V135" i="10"/>
  <c r="T135" i="10"/>
  <c r="P135" i="10"/>
  <c r="L135" i="10"/>
  <c r="AA135" i="10" s="1"/>
  <c r="Y134" i="10"/>
  <c r="X134" i="10"/>
  <c r="W134" i="10"/>
  <c r="V134" i="10"/>
  <c r="T134" i="10"/>
  <c r="P134" i="10"/>
  <c r="L134" i="10"/>
  <c r="AA134" i="10" s="1"/>
  <c r="Y133" i="10"/>
  <c r="X133" i="10"/>
  <c r="W133" i="10"/>
  <c r="V133" i="10"/>
  <c r="T133" i="10"/>
  <c r="P133" i="10"/>
  <c r="L133" i="10"/>
  <c r="AA133" i="10" s="1"/>
  <c r="Y132" i="10"/>
  <c r="X132" i="10"/>
  <c r="W132" i="10"/>
  <c r="V132" i="10"/>
  <c r="T132" i="10"/>
  <c r="P132" i="10"/>
  <c r="L132" i="10"/>
  <c r="AA132" i="10" s="1"/>
  <c r="Y131" i="10"/>
  <c r="X131" i="10"/>
  <c r="W131" i="10"/>
  <c r="V131" i="10"/>
  <c r="T131" i="10"/>
  <c r="P131" i="10"/>
  <c r="L131" i="10"/>
  <c r="AA131" i="10" s="1"/>
  <c r="Y130" i="10"/>
  <c r="X130" i="10"/>
  <c r="W130" i="10"/>
  <c r="V130" i="10"/>
  <c r="T130" i="10"/>
  <c r="P130" i="10"/>
  <c r="L130" i="10"/>
  <c r="AA130" i="10" s="1"/>
  <c r="Y129" i="10"/>
  <c r="X129" i="10"/>
  <c r="W129" i="10"/>
  <c r="V129" i="10"/>
  <c r="T129" i="10"/>
  <c r="P129" i="10"/>
  <c r="L129" i="10"/>
  <c r="AA129" i="10" s="1"/>
  <c r="Y128" i="10"/>
  <c r="X128" i="10"/>
  <c r="W128" i="10"/>
  <c r="V128" i="10"/>
  <c r="T128" i="10"/>
  <c r="P128" i="10"/>
  <c r="L128" i="10"/>
  <c r="AA128" i="10" s="1"/>
  <c r="Y127" i="10"/>
  <c r="X127" i="10"/>
  <c r="W127" i="10"/>
  <c r="V127" i="10"/>
  <c r="T127" i="10"/>
  <c r="P127" i="10"/>
  <c r="L127" i="10"/>
  <c r="AA127" i="10" s="1"/>
  <c r="Y126" i="10"/>
  <c r="X126" i="10"/>
  <c r="W126" i="10"/>
  <c r="V126" i="10"/>
  <c r="T126" i="10"/>
  <c r="P126" i="10"/>
  <c r="L126" i="10"/>
  <c r="AA126" i="10" s="1"/>
  <c r="Y125" i="10"/>
  <c r="X125" i="10"/>
  <c r="W125" i="10"/>
  <c r="V125" i="10"/>
  <c r="T125" i="10"/>
  <c r="P125" i="10"/>
  <c r="L125" i="10"/>
  <c r="AA125" i="10" s="1"/>
  <c r="Y124" i="10"/>
  <c r="X124" i="10"/>
  <c r="W124" i="10"/>
  <c r="V124" i="10"/>
  <c r="T124" i="10"/>
  <c r="P124" i="10"/>
  <c r="L124" i="10"/>
  <c r="AA124" i="10" s="1"/>
  <c r="Y123" i="10"/>
  <c r="X123" i="10"/>
  <c r="W123" i="10"/>
  <c r="V123" i="10"/>
  <c r="T123" i="10"/>
  <c r="P123" i="10"/>
  <c r="L123" i="10"/>
  <c r="AA123" i="10" s="1"/>
  <c r="Y122" i="10"/>
  <c r="X122" i="10"/>
  <c r="W122" i="10"/>
  <c r="V122" i="10"/>
  <c r="T122" i="10"/>
  <c r="P122" i="10"/>
  <c r="L122" i="10"/>
  <c r="AA122" i="10" s="1"/>
  <c r="Y121" i="10"/>
  <c r="X121" i="10"/>
  <c r="W121" i="10"/>
  <c r="V121" i="10"/>
  <c r="T121" i="10"/>
  <c r="P121" i="10"/>
  <c r="L121" i="10"/>
  <c r="AA121" i="10" s="1"/>
  <c r="Y120" i="10"/>
  <c r="X120" i="10"/>
  <c r="W120" i="10"/>
  <c r="V120" i="10"/>
  <c r="T120" i="10"/>
  <c r="P120" i="10"/>
  <c r="L120" i="10"/>
  <c r="AA120" i="10" s="1"/>
  <c r="Y119" i="10"/>
  <c r="X119" i="10"/>
  <c r="W119" i="10"/>
  <c r="V119" i="10"/>
  <c r="T119" i="10"/>
  <c r="P119" i="10"/>
  <c r="L119" i="10"/>
  <c r="AA119" i="10" s="1"/>
  <c r="Y118" i="10"/>
  <c r="X118" i="10"/>
  <c r="W118" i="10"/>
  <c r="V118" i="10"/>
  <c r="T118" i="10"/>
  <c r="P118" i="10"/>
  <c r="L118" i="10"/>
  <c r="AA118" i="10" s="1"/>
  <c r="Y11" i="10"/>
  <c r="X11" i="10"/>
  <c r="W11" i="10"/>
  <c r="V11" i="10"/>
  <c r="T11" i="10"/>
  <c r="P11" i="10"/>
  <c r="L11" i="10"/>
  <c r="AA11" i="10" s="1"/>
  <c r="Y117" i="10"/>
  <c r="X117" i="10"/>
  <c r="W117" i="10"/>
  <c r="V117" i="10"/>
  <c r="T117" i="10"/>
  <c r="P117" i="10"/>
  <c r="L117" i="10"/>
  <c r="AA117" i="10" s="1"/>
  <c r="Y116" i="10"/>
  <c r="X116" i="10"/>
  <c r="W116" i="10"/>
  <c r="V116" i="10"/>
  <c r="T116" i="10"/>
  <c r="P116" i="10"/>
  <c r="L116" i="10"/>
  <c r="AA116" i="10" s="1"/>
  <c r="Y115" i="10"/>
  <c r="X115" i="10"/>
  <c r="W115" i="10"/>
  <c r="V115" i="10"/>
  <c r="T115" i="10"/>
  <c r="P115" i="10"/>
  <c r="L115" i="10"/>
  <c r="AA115" i="10" s="1"/>
  <c r="Y114" i="10"/>
  <c r="X114" i="10"/>
  <c r="W114" i="10"/>
  <c r="V114" i="10"/>
  <c r="T114" i="10"/>
  <c r="P114" i="10"/>
  <c r="L114" i="10"/>
  <c r="AA114" i="10" s="1"/>
  <c r="Y113" i="10"/>
  <c r="X113" i="10"/>
  <c r="W113" i="10"/>
  <c r="V113" i="10"/>
  <c r="T113" i="10"/>
  <c r="P113" i="10"/>
  <c r="L113" i="10"/>
  <c r="AA113" i="10" s="1"/>
  <c r="Y112" i="10"/>
  <c r="X112" i="10"/>
  <c r="W112" i="10"/>
  <c r="V112" i="10"/>
  <c r="T112" i="10"/>
  <c r="P112" i="10"/>
  <c r="L112" i="10"/>
  <c r="AA112" i="10" s="1"/>
  <c r="Y111" i="10"/>
  <c r="X111" i="10"/>
  <c r="W111" i="10"/>
  <c r="V111" i="10"/>
  <c r="T111" i="10"/>
  <c r="P111" i="10"/>
  <c r="L111" i="10"/>
  <c r="AA111" i="10" s="1"/>
  <c r="Y110" i="10"/>
  <c r="X110" i="10"/>
  <c r="W110" i="10"/>
  <c r="V110" i="10"/>
  <c r="T110" i="10"/>
  <c r="P110" i="10"/>
  <c r="L110" i="10"/>
  <c r="AA110" i="10" s="1"/>
  <c r="T109" i="10"/>
  <c r="P109" i="10"/>
  <c r="L109" i="10"/>
  <c r="F109" i="10"/>
  <c r="V109" i="10" s="1"/>
  <c r="Y108" i="10"/>
  <c r="X108" i="10"/>
  <c r="W108" i="10"/>
  <c r="V108" i="10"/>
  <c r="T108" i="10"/>
  <c r="P108" i="10"/>
  <c r="L108" i="10"/>
  <c r="AA108" i="10" s="1"/>
  <c r="Y107" i="10"/>
  <c r="X107" i="10"/>
  <c r="W107" i="10"/>
  <c r="V107" i="10"/>
  <c r="T107" i="10"/>
  <c r="P107" i="10"/>
  <c r="L107" i="10"/>
  <c r="AA107" i="10" s="1"/>
  <c r="Y106" i="10"/>
  <c r="X106" i="10"/>
  <c r="V106" i="10"/>
  <c r="T106" i="10"/>
  <c r="P106" i="10"/>
  <c r="I106" i="10"/>
  <c r="L106" i="10" s="1"/>
  <c r="AA106" i="10" s="1"/>
  <c r="Y105" i="10"/>
  <c r="X105" i="10"/>
  <c r="W105" i="10"/>
  <c r="V105" i="10"/>
  <c r="T105" i="10"/>
  <c r="P105" i="10"/>
  <c r="L105" i="10"/>
  <c r="AA105" i="10" s="1"/>
  <c r="Y104" i="10"/>
  <c r="X104" i="10"/>
  <c r="W104" i="10"/>
  <c r="V104" i="10"/>
  <c r="T104" i="10"/>
  <c r="P104" i="10"/>
  <c r="L104" i="10"/>
  <c r="AA104" i="10" s="1"/>
  <c r="Y103" i="10"/>
  <c r="X103" i="10"/>
  <c r="W103" i="10"/>
  <c r="V103" i="10"/>
  <c r="T103" i="10"/>
  <c r="P103" i="10"/>
  <c r="L103" i="10"/>
  <c r="AA103" i="10" s="1"/>
  <c r="Y102" i="10"/>
  <c r="X102" i="10"/>
  <c r="W102" i="10"/>
  <c r="V102" i="10"/>
  <c r="T102" i="10"/>
  <c r="P102" i="10"/>
  <c r="L102" i="10"/>
  <c r="Y101" i="10"/>
  <c r="X101" i="10"/>
  <c r="W101" i="10"/>
  <c r="V101" i="10"/>
  <c r="T101" i="10"/>
  <c r="P101" i="10"/>
  <c r="L101" i="10"/>
  <c r="AA101" i="10" s="1"/>
  <c r="Y100" i="10"/>
  <c r="X100" i="10"/>
  <c r="W100" i="10"/>
  <c r="V100" i="10"/>
  <c r="T100" i="10"/>
  <c r="P100" i="10"/>
  <c r="L100" i="10"/>
  <c r="AA100" i="10" s="1"/>
  <c r="Y99" i="10"/>
  <c r="X99" i="10"/>
  <c r="W99" i="10"/>
  <c r="V99" i="10"/>
  <c r="T99" i="10"/>
  <c r="P99" i="10"/>
  <c r="L99" i="10"/>
  <c r="AA99" i="10" s="1"/>
  <c r="Y98" i="10"/>
  <c r="X98" i="10"/>
  <c r="W98" i="10"/>
  <c r="V98" i="10"/>
  <c r="T98" i="10"/>
  <c r="P98" i="10"/>
  <c r="L98" i="10"/>
  <c r="AA98" i="10" s="1"/>
  <c r="Y97" i="10"/>
  <c r="X97" i="10"/>
  <c r="W97" i="10"/>
  <c r="V97" i="10"/>
  <c r="T97" i="10"/>
  <c r="P97" i="10"/>
  <c r="L97" i="10"/>
  <c r="AA97" i="10" s="1"/>
  <c r="Y96" i="10"/>
  <c r="X96" i="10"/>
  <c r="W96" i="10"/>
  <c r="V96" i="10"/>
  <c r="T96" i="10"/>
  <c r="P96" i="10"/>
  <c r="L96" i="10"/>
  <c r="AA96" i="10" s="1"/>
  <c r="Y95" i="10"/>
  <c r="X95" i="10"/>
  <c r="W95" i="10"/>
  <c r="V95" i="10"/>
  <c r="T95" i="10"/>
  <c r="P95" i="10"/>
  <c r="L95" i="10"/>
  <c r="AA95" i="10" s="1"/>
  <c r="Y94" i="10"/>
  <c r="X94" i="10"/>
  <c r="W94" i="10"/>
  <c r="V94" i="10"/>
  <c r="T94" i="10"/>
  <c r="P94" i="10"/>
  <c r="L94" i="10"/>
  <c r="AA94" i="10" s="1"/>
  <c r="Y93" i="10"/>
  <c r="X93" i="10"/>
  <c r="W93" i="10"/>
  <c r="V93" i="10"/>
  <c r="T93" i="10"/>
  <c r="P93" i="10"/>
  <c r="L93" i="10"/>
  <c r="AA93" i="10" s="1"/>
  <c r="Y92" i="10"/>
  <c r="X92" i="10"/>
  <c r="W92" i="10"/>
  <c r="V92" i="10"/>
  <c r="T92" i="10"/>
  <c r="P92" i="10"/>
  <c r="L92" i="10"/>
  <c r="AA92" i="10" s="1"/>
  <c r="Y91" i="10"/>
  <c r="X91" i="10"/>
  <c r="W91" i="10"/>
  <c r="V91" i="10"/>
  <c r="T91" i="10"/>
  <c r="P91" i="10"/>
  <c r="L91" i="10"/>
  <c r="AA91" i="10" s="1"/>
  <c r="Y90" i="10"/>
  <c r="X90" i="10"/>
  <c r="W90" i="10"/>
  <c r="V90" i="10"/>
  <c r="T90" i="10"/>
  <c r="P90" i="10"/>
  <c r="L90" i="10"/>
  <c r="AA90" i="10" s="1"/>
  <c r="Y10" i="10"/>
  <c r="X10" i="10"/>
  <c r="W10" i="10"/>
  <c r="V10" i="10"/>
  <c r="T10" i="10"/>
  <c r="P10" i="10"/>
  <c r="L10" i="10"/>
  <c r="AA10" i="10" s="1"/>
  <c r="Y89" i="10"/>
  <c r="X89" i="10"/>
  <c r="W89" i="10"/>
  <c r="V89" i="10"/>
  <c r="T89" i="10"/>
  <c r="P89" i="10"/>
  <c r="L89" i="10"/>
  <c r="AA89" i="10" s="1"/>
  <c r="Y9" i="10"/>
  <c r="X9" i="10"/>
  <c r="W9" i="10"/>
  <c r="V9" i="10"/>
  <c r="T9" i="10"/>
  <c r="P9" i="10"/>
  <c r="L9" i="10"/>
  <c r="AA9" i="10" s="1"/>
  <c r="Y88" i="10"/>
  <c r="X88" i="10"/>
  <c r="W88" i="10"/>
  <c r="V88" i="10"/>
  <c r="T88" i="10"/>
  <c r="P88" i="10"/>
  <c r="L88" i="10"/>
  <c r="AA88" i="10" s="1"/>
  <c r="Y87" i="10"/>
  <c r="X87" i="10"/>
  <c r="W87" i="10"/>
  <c r="V87" i="10"/>
  <c r="T87" i="10"/>
  <c r="P87" i="10"/>
  <c r="L87" i="10"/>
  <c r="AA87" i="10" s="1"/>
  <c r="Y86" i="10"/>
  <c r="X86" i="10"/>
  <c r="W86" i="10"/>
  <c r="V86" i="10"/>
  <c r="T86" i="10"/>
  <c r="P86" i="10"/>
  <c r="L86" i="10"/>
  <c r="AA86" i="10" s="1"/>
  <c r="Y85" i="10"/>
  <c r="X85" i="10"/>
  <c r="W85" i="10"/>
  <c r="V85" i="10"/>
  <c r="T85" i="10"/>
  <c r="P85" i="10"/>
  <c r="L85" i="10"/>
  <c r="AA85" i="10" s="1"/>
  <c r="Y84" i="10"/>
  <c r="X84" i="10"/>
  <c r="W84" i="10"/>
  <c r="V84" i="10"/>
  <c r="T84" i="10"/>
  <c r="P84" i="10"/>
  <c r="L84" i="10"/>
  <c r="AA84" i="10" s="1"/>
  <c r="Y83" i="10"/>
  <c r="X83" i="10"/>
  <c r="W83" i="10"/>
  <c r="V83" i="10"/>
  <c r="T83" i="10"/>
  <c r="P83" i="10"/>
  <c r="L83" i="10"/>
  <c r="AA83" i="10" s="1"/>
  <c r="Y82" i="10"/>
  <c r="X82" i="10"/>
  <c r="W82" i="10"/>
  <c r="V82" i="10"/>
  <c r="T82" i="10"/>
  <c r="P82" i="10"/>
  <c r="L82" i="10"/>
  <c r="AA82" i="10" s="1"/>
  <c r="Y81" i="10"/>
  <c r="X81" i="10"/>
  <c r="W81" i="10"/>
  <c r="V81" i="10"/>
  <c r="T81" i="10"/>
  <c r="P81" i="10"/>
  <c r="L81" i="10"/>
  <c r="AA81" i="10" s="1"/>
  <c r="Y80" i="10"/>
  <c r="X80" i="10"/>
  <c r="W80" i="10"/>
  <c r="V80" i="10"/>
  <c r="T80" i="10"/>
  <c r="P80" i="10"/>
  <c r="L80" i="10"/>
  <c r="AA80" i="10" s="1"/>
  <c r="Y79" i="10"/>
  <c r="X79" i="10"/>
  <c r="W79" i="10"/>
  <c r="V79" i="10"/>
  <c r="T79" i="10"/>
  <c r="P79" i="10"/>
  <c r="L79" i="10"/>
  <c r="AA79" i="10" s="1"/>
  <c r="Y78" i="10"/>
  <c r="X78" i="10"/>
  <c r="W78" i="10"/>
  <c r="V78" i="10"/>
  <c r="T78" i="10"/>
  <c r="P78" i="10"/>
  <c r="L78" i="10"/>
  <c r="AA78" i="10" s="1"/>
  <c r="Y77" i="10"/>
  <c r="X77" i="10"/>
  <c r="W77" i="10"/>
  <c r="V77" i="10"/>
  <c r="T77" i="10"/>
  <c r="P77" i="10"/>
  <c r="L77" i="10"/>
  <c r="AA77" i="10" s="1"/>
  <c r="Y8" i="10"/>
  <c r="X8" i="10"/>
  <c r="W8" i="10"/>
  <c r="V8" i="10"/>
  <c r="T8" i="10"/>
  <c r="P8" i="10"/>
  <c r="L8" i="10"/>
  <c r="AA8" i="10" s="1"/>
  <c r="Y76" i="10"/>
  <c r="X76" i="10"/>
  <c r="W76" i="10"/>
  <c r="V76" i="10"/>
  <c r="T76" i="10"/>
  <c r="P76" i="10"/>
  <c r="L76" i="10"/>
  <c r="AA76" i="10" s="1"/>
  <c r="Y75" i="10"/>
  <c r="X75" i="10"/>
  <c r="W75" i="10"/>
  <c r="V75" i="10"/>
  <c r="T75" i="10"/>
  <c r="P75" i="10"/>
  <c r="L75" i="10"/>
  <c r="AA75" i="10" s="1"/>
  <c r="Y74" i="10"/>
  <c r="X74" i="10"/>
  <c r="W74" i="10"/>
  <c r="V74" i="10"/>
  <c r="T74" i="10"/>
  <c r="P74" i="10"/>
  <c r="L74" i="10"/>
  <c r="AA74" i="10" s="1"/>
  <c r="Y73" i="10"/>
  <c r="X73" i="10"/>
  <c r="W73" i="10"/>
  <c r="V73" i="10"/>
  <c r="T73" i="10"/>
  <c r="P73" i="10"/>
  <c r="L73" i="10"/>
  <c r="AA73" i="10" s="1"/>
  <c r="Y72" i="10"/>
  <c r="X72" i="10"/>
  <c r="W72" i="10"/>
  <c r="V72" i="10"/>
  <c r="T72" i="10"/>
  <c r="P72" i="10"/>
  <c r="L72" i="10"/>
  <c r="AA72" i="10" s="1"/>
  <c r="Y71" i="10"/>
  <c r="X71" i="10"/>
  <c r="W71" i="10"/>
  <c r="V71" i="10"/>
  <c r="T71" i="10"/>
  <c r="P71" i="10"/>
  <c r="L71" i="10"/>
  <c r="AA71" i="10" s="1"/>
  <c r="Y70" i="10"/>
  <c r="X70" i="10"/>
  <c r="W70" i="10"/>
  <c r="V70" i="10"/>
  <c r="T70" i="10"/>
  <c r="P70" i="10"/>
  <c r="L70" i="10"/>
  <c r="AA70" i="10" s="1"/>
  <c r="Y69" i="10"/>
  <c r="X69" i="10"/>
  <c r="W69" i="10"/>
  <c r="V69" i="10"/>
  <c r="T69" i="10"/>
  <c r="P69" i="10"/>
  <c r="L69" i="10"/>
  <c r="AA69" i="10" s="1"/>
  <c r="Y68" i="10"/>
  <c r="X68" i="10"/>
  <c r="W68" i="10"/>
  <c r="V68" i="10"/>
  <c r="T68" i="10"/>
  <c r="P68" i="10"/>
  <c r="L68" i="10"/>
  <c r="AA68" i="10" s="1"/>
  <c r="Y67" i="10"/>
  <c r="X67" i="10"/>
  <c r="W67" i="10"/>
  <c r="V67" i="10"/>
  <c r="T67" i="10"/>
  <c r="P67" i="10"/>
  <c r="L67" i="10"/>
  <c r="AA67" i="10" s="1"/>
  <c r="Y66" i="10"/>
  <c r="X66" i="10"/>
  <c r="W66" i="10"/>
  <c r="V66" i="10"/>
  <c r="T66" i="10"/>
  <c r="P66" i="10"/>
  <c r="L66" i="10"/>
  <c r="AA66" i="10" s="1"/>
  <c r="Y65" i="10"/>
  <c r="X65" i="10"/>
  <c r="W65" i="10"/>
  <c r="V65" i="10"/>
  <c r="T65" i="10"/>
  <c r="P65" i="10"/>
  <c r="L65" i="10"/>
  <c r="AA65" i="10" s="1"/>
  <c r="Y64" i="10"/>
  <c r="X64" i="10"/>
  <c r="W64" i="10"/>
  <c r="V64" i="10"/>
  <c r="T64" i="10"/>
  <c r="P64" i="10"/>
  <c r="L64" i="10"/>
  <c r="AA64" i="10" s="1"/>
  <c r="Y63" i="10"/>
  <c r="X63" i="10"/>
  <c r="W63" i="10"/>
  <c r="V63" i="10"/>
  <c r="T63" i="10"/>
  <c r="P63" i="10"/>
  <c r="L63" i="10"/>
  <c r="AA63" i="10" s="1"/>
  <c r="Y62" i="10"/>
  <c r="X62" i="10"/>
  <c r="W62" i="10"/>
  <c r="V62" i="10"/>
  <c r="T62" i="10"/>
  <c r="P62" i="10"/>
  <c r="L62" i="10"/>
  <c r="AA62" i="10" s="1"/>
  <c r="Y61" i="10"/>
  <c r="X61" i="10"/>
  <c r="W61" i="10"/>
  <c r="V61" i="10"/>
  <c r="T61" i="10"/>
  <c r="P61" i="10"/>
  <c r="L61" i="10"/>
  <c r="AA61" i="10" s="1"/>
  <c r="Y60" i="10"/>
  <c r="X60" i="10"/>
  <c r="W60" i="10"/>
  <c r="V60" i="10"/>
  <c r="T60" i="10"/>
  <c r="P60" i="10"/>
  <c r="L60" i="10"/>
  <c r="AA60" i="10" s="1"/>
  <c r="Y59" i="10"/>
  <c r="X59" i="10"/>
  <c r="W59" i="10"/>
  <c r="V59" i="10"/>
  <c r="T59" i="10"/>
  <c r="P59" i="10"/>
  <c r="L59" i="10"/>
  <c r="AA59" i="10" s="1"/>
  <c r="Y58" i="10"/>
  <c r="X58" i="10"/>
  <c r="W58" i="10"/>
  <c r="V58" i="10"/>
  <c r="T58" i="10"/>
  <c r="P58" i="10"/>
  <c r="L58" i="10"/>
  <c r="AA58" i="10" s="1"/>
  <c r="Y57" i="10"/>
  <c r="X57" i="10"/>
  <c r="W57" i="10"/>
  <c r="V57" i="10"/>
  <c r="T57" i="10"/>
  <c r="P57" i="10"/>
  <c r="L57" i="10"/>
  <c r="AA57" i="10" s="1"/>
  <c r="Y56" i="10"/>
  <c r="X56" i="10"/>
  <c r="W56" i="10"/>
  <c r="V56" i="10"/>
  <c r="T56" i="10"/>
  <c r="P56" i="10"/>
  <c r="L56" i="10"/>
  <c r="AA56" i="10" s="1"/>
  <c r="Y55" i="10"/>
  <c r="X55" i="10"/>
  <c r="W55" i="10"/>
  <c r="V55" i="10"/>
  <c r="T55" i="10"/>
  <c r="P55" i="10"/>
  <c r="L55" i="10"/>
  <c r="AA55" i="10" s="1"/>
  <c r="Y54" i="10"/>
  <c r="X54" i="10"/>
  <c r="W54" i="10"/>
  <c r="V54" i="10"/>
  <c r="T54" i="10"/>
  <c r="P54" i="10"/>
  <c r="L54" i="10"/>
  <c r="AA54" i="10" s="1"/>
  <c r="Y53" i="10"/>
  <c r="X53" i="10"/>
  <c r="W53" i="10"/>
  <c r="V53" i="10"/>
  <c r="T53" i="10"/>
  <c r="P53" i="10"/>
  <c r="L53" i="10"/>
  <c r="AA53" i="10" s="1"/>
  <c r="Y52" i="10"/>
  <c r="X52" i="10"/>
  <c r="W52" i="10"/>
  <c r="V52" i="10"/>
  <c r="T52" i="10"/>
  <c r="P52" i="10"/>
  <c r="L52" i="10"/>
  <c r="AA52" i="10" s="1"/>
  <c r="Y51" i="10"/>
  <c r="X51" i="10"/>
  <c r="W51" i="10"/>
  <c r="V51" i="10"/>
  <c r="T51" i="10"/>
  <c r="P51" i="10"/>
  <c r="L51" i="10"/>
  <c r="AA51" i="10" s="1"/>
  <c r="Y50" i="10"/>
  <c r="X50" i="10"/>
  <c r="W50" i="10"/>
  <c r="V50" i="10"/>
  <c r="T50" i="10"/>
  <c r="P50" i="10"/>
  <c r="L50" i="10"/>
  <c r="AA50" i="10" s="1"/>
  <c r="Y49" i="10"/>
  <c r="X49" i="10"/>
  <c r="W49" i="10"/>
  <c r="V49" i="10"/>
  <c r="T49" i="10"/>
  <c r="P49" i="10"/>
  <c r="L49" i="10"/>
  <c r="AA49" i="10" s="1"/>
  <c r="Y48" i="10"/>
  <c r="X48" i="10"/>
  <c r="W48" i="10"/>
  <c r="V48" i="10"/>
  <c r="T48" i="10"/>
  <c r="P48" i="10"/>
  <c r="L48" i="10"/>
  <c r="AA48" i="10" s="1"/>
  <c r="Y47" i="10"/>
  <c r="X47" i="10"/>
  <c r="W47" i="10"/>
  <c r="V47" i="10"/>
  <c r="T47" i="10"/>
  <c r="P47" i="10"/>
  <c r="L47" i="10"/>
  <c r="AA47" i="10" s="1"/>
  <c r="Y46" i="10"/>
  <c r="X46" i="10"/>
  <c r="W46" i="10"/>
  <c r="V46" i="10"/>
  <c r="T46" i="10"/>
  <c r="P46" i="10"/>
  <c r="L46" i="10"/>
  <c r="AA46" i="10" s="1"/>
  <c r="Y45" i="10"/>
  <c r="X45" i="10"/>
  <c r="W45" i="10"/>
  <c r="V45" i="10"/>
  <c r="T45" i="10"/>
  <c r="P45" i="10"/>
  <c r="L45" i="10"/>
  <c r="AA45" i="10" s="1"/>
  <c r="Y44" i="10"/>
  <c r="X44" i="10"/>
  <c r="W44" i="10"/>
  <c r="V44" i="10"/>
  <c r="T44" i="10"/>
  <c r="P44" i="10"/>
  <c r="L44" i="10"/>
  <c r="AA44" i="10" s="1"/>
  <c r="Y43" i="10"/>
  <c r="X43" i="10"/>
  <c r="W43" i="10"/>
  <c r="V43" i="10"/>
  <c r="T43" i="10"/>
  <c r="P43" i="10"/>
  <c r="L43" i="10"/>
  <c r="AA43" i="10" s="1"/>
  <c r="Y42" i="10"/>
  <c r="X42" i="10"/>
  <c r="W42" i="10"/>
  <c r="V42" i="10"/>
  <c r="T42" i="10"/>
  <c r="P42" i="10"/>
  <c r="L42" i="10"/>
  <c r="AA42" i="10" s="1"/>
  <c r="Y41" i="10"/>
  <c r="X41" i="10"/>
  <c r="W41" i="10"/>
  <c r="V41" i="10"/>
  <c r="T41" i="10"/>
  <c r="P41" i="10"/>
  <c r="L41" i="10"/>
  <c r="AA41" i="10" s="1"/>
  <c r="Y40" i="10"/>
  <c r="X40" i="10"/>
  <c r="W40" i="10"/>
  <c r="V40" i="10"/>
  <c r="T40" i="10"/>
  <c r="P40" i="10"/>
  <c r="L40" i="10"/>
  <c r="AA40" i="10" s="1"/>
  <c r="Y39" i="10"/>
  <c r="X39" i="10"/>
  <c r="W39" i="10"/>
  <c r="V39" i="10"/>
  <c r="T39" i="10"/>
  <c r="P39" i="10"/>
  <c r="L39" i="10"/>
  <c r="AA39" i="10" s="1"/>
  <c r="Y38" i="10"/>
  <c r="X38" i="10"/>
  <c r="W38" i="10"/>
  <c r="V38" i="10"/>
  <c r="T38" i="10"/>
  <c r="P38" i="10"/>
  <c r="L38" i="10"/>
  <c r="AA38" i="10" s="1"/>
  <c r="Y7" i="10"/>
  <c r="X7" i="10"/>
  <c r="W7" i="10"/>
  <c r="V7" i="10"/>
  <c r="T7" i="10"/>
  <c r="P7" i="10"/>
  <c r="L7" i="10"/>
  <c r="AA7" i="10" s="1"/>
  <c r="Y37" i="10"/>
  <c r="X37" i="10"/>
  <c r="W37" i="10"/>
  <c r="V37" i="10"/>
  <c r="T37" i="10"/>
  <c r="P37" i="10"/>
  <c r="L37" i="10"/>
  <c r="AA37" i="10" s="1"/>
  <c r="Y36" i="10"/>
  <c r="X36" i="10"/>
  <c r="W36" i="10"/>
  <c r="V36" i="10"/>
  <c r="T36" i="10"/>
  <c r="P36" i="10"/>
  <c r="L36" i="10"/>
  <c r="AA36" i="10" s="1"/>
  <c r="Y35" i="10"/>
  <c r="X35" i="10"/>
  <c r="W35" i="10"/>
  <c r="V35" i="10"/>
  <c r="T35" i="10"/>
  <c r="P35" i="10"/>
  <c r="L35" i="10"/>
  <c r="AA35" i="10" s="1"/>
  <c r="Y34" i="10"/>
  <c r="X34" i="10"/>
  <c r="W34" i="10"/>
  <c r="V34" i="10"/>
  <c r="T34" i="10"/>
  <c r="P34" i="10"/>
  <c r="L34" i="10"/>
  <c r="AA34" i="10" s="1"/>
  <c r="Y33" i="10"/>
  <c r="X33" i="10"/>
  <c r="W33" i="10"/>
  <c r="V33" i="10"/>
  <c r="T33" i="10"/>
  <c r="P33" i="10"/>
  <c r="L33" i="10"/>
  <c r="AA33" i="10" s="1"/>
  <c r="Y32" i="10"/>
  <c r="X32" i="10"/>
  <c r="W32" i="10"/>
  <c r="V32" i="10"/>
  <c r="T32" i="10"/>
  <c r="P32" i="10"/>
  <c r="L32" i="10"/>
  <c r="AA32" i="10" s="1"/>
  <c r="Y31" i="10"/>
  <c r="X31" i="10"/>
  <c r="W31" i="10"/>
  <c r="V31" i="10"/>
  <c r="T31" i="10"/>
  <c r="P31" i="10"/>
  <c r="L31" i="10"/>
  <c r="AA31" i="10" s="1"/>
  <c r="Y30" i="10"/>
  <c r="X30" i="10"/>
  <c r="W30" i="10"/>
  <c r="V30" i="10"/>
  <c r="T30" i="10"/>
  <c r="P30" i="10"/>
  <c r="L30" i="10"/>
  <c r="AA30" i="10" s="1"/>
  <c r="Y29" i="10"/>
  <c r="X29" i="10"/>
  <c r="W29" i="10"/>
  <c r="V29" i="10"/>
  <c r="T29" i="10"/>
  <c r="P29" i="10"/>
  <c r="L29" i="10"/>
  <c r="AA29" i="10" s="1"/>
  <c r="Y28" i="10"/>
  <c r="X28" i="10"/>
  <c r="W28" i="10"/>
  <c r="V28" i="10"/>
  <c r="T28" i="10"/>
  <c r="P28" i="10"/>
  <c r="L28" i="10"/>
  <c r="AA28" i="10" s="1"/>
  <c r="Y27" i="10"/>
  <c r="X27" i="10"/>
  <c r="W27" i="10"/>
  <c r="V27" i="10"/>
  <c r="T27" i="10"/>
  <c r="P27" i="10"/>
  <c r="L27" i="10"/>
  <c r="AA27" i="10" s="1"/>
  <c r="Y26" i="10"/>
  <c r="X26" i="10"/>
  <c r="W26" i="10"/>
  <c r="V26" i="10"/>
  <c r="T26" i="10"/>
  <c r="P26" i="10"/>
  <c r="L26" i="10"/>
  <c r="AA26" i="10" s="1"/>
  <c r="Y25" i="10"/>
  <c r="X25" i="10"/>
  <c r="W25" i="10"/>
  <c r="V25" i="10"/>
  <c r="T25" i="10"/>
  <c r="P25" i="10"/>
  <c r="L25" i="10"/>
  <c r="Y24" i="10"/>
  <c r="X24" i="10"/>
  <c r="W24" i="10"/>
  <c r="V24" i="10"/>
  <c r="T24" i="10"/>
  <c r="P24" i="10"/>
  <c r="L24" i="10"/>
  <c r="AA24" i="10" s="1"/>
  <c r="Y23" i="10"/>
  <c r="X23" i="10"/>
  <c r="W23" i="10"/>
  <c r="V23" i="10"/>
  <c r="T23" i="10"/>
  <c r="P23" i="10"/>
  <c r="L23" i="10"/>
  <c r="AA23" i="10" s="1"/>
  <c r="Y22" i="10"/>
  <c r="X22" i="10"/>
  <c r="W22" i="10"/>
  <c r="V22" i="10"/>
  <c r="T22" i="10"/>
  <c r="P22" i="10"/>
  <c r="L22" i="10"/>
  <c r="W106" i="10" l="1"/>
  <c r="Q258" i="10"/>
  <c r="Z288" i="10"/>
  <c r="Q114" i="10"/>
  <c r="Q186" i="10"/>
  <c r="Q108" i="10"/>
  <c r="Q279" i="10"/>
  <c r="Q209" i="10"/>
  <c r="Z23" i="10"/>
  <c r="AB23" i="10" s="1"/>
  <c r="Q8" i="10"/>
  <c r="Q170" i="10"/>
  <c r="Q204" i="10"/>
  <c r="Z77" i="10"/>
  <c r="AB77" i="10" s="1"/>
  <c r="Z113" i="10"/>
  <c r="AB113" i="10" s="1"/>
  <c r="Z13" i="10"/>
  <c r="AB13" i="10" s="1"/>
  <c r="Q236" i="10"/>
  <c r="Q255" i="10"/>
  <c r="Q131" i="10"/>
  <c r="Z216" i="10"/>
  <c r="AB216" i="10" s="1"/>
  <c r="Q146" i="10"/>
  <c r="Q62" i="10"/>
  <c r="Q189" i="10"/>
  <c r="Z200" i="10"/>
  <c r="AB200" i="10" s="1"/>
  <c r="Z254" i="10"/>
  <c r="AB254" i="10" s="1"/>
  <c r="Z257" i="10"/>
  <c r="AB257" i="10" s="1"/>
  <c r="Q27" i="10"/>
  <c r="Q136" i="10"/>
  <c r="Q201" i="10"/>
  <c r="Q18" i="10"/>
  <c r="Q35" i="10"/>
  <c r="Z35" i="10"/>
  <c r="AB35" i="10" s="1"/>
  <c r="Q7" i="10"/>
  <c r="Z180" i="10"/>
  <c r="AB180" i="10" s="1"/>
  <c r="Q314" i="10"/>
  <c r="Q57" i="10"/>
  <c r="Z152" i="10"/>
  <c r="AB152" i="10" s="1"/>
  <c r="Q155" i="10"/>
  <c r="Q283" i="10"/>
  <c r="Q158" i="10"/>
  <c r="Q82" i="10"/>
  <c r="Z97" i="10"/>
  <c r="AB97" i="10" s="1"/>
  <c r="Q133" i="10"/>
  <c r="Q178" i="10"/>
  <c r="Z16" i="10"/>
  <c r="AB16" i="10" s="1"/>
  <c r="Q305" i="10"/>
  <c r="Z155" i="10"/>
  <c r="AB155" i="10" s="1"/>
  <c r="Q181" i="10"/>
  <c r="Q235" i="10"/>
  <c r="Z242" i="10"/>
  <c r="AB242" i="10" s="1"/>
  <c r="Q312" i="10"/>
  <c r="Q22" i="10"/>
  <c r="Q195" i="10"/>
  <c r="Q221" i="10"/>
  <c r="Z235" i="10"/>
  <c r="AB235" i="10" s="1"/>
  <c r="Q99" i="10"/>
  <c r="Q277" i="10"/>
  <c r="Q276" i="10"/>
  <c r="Q219" i="10"/>
  <c r="Z290" i="10"/>
  <c r="AB290" i="10" s="1"/>
  <c r="Z293" i="10"/>
  <c r="AB293" i="10" s="1"/>
  <c r="Q310" i="10"/>
  <c r="Z310" i="10"/>
  <c r="AB310" i="10" s="1"/>
  <c r="Z168" i="10"/>
  <c r="AB168" i="10" s="1"/>
  <c r="Q77" i="10"/>
  <c r="Q11" i="10"/>
  <c r="Q290" i="10"/>
  <c r="Z243" i="10"/>
  <c r="AB243" i="10" s="1"/>
  <c r="Q76" i="10"/>
  <c r="Q196" i="10"/>
  <c r="Z246" i="10"/>
  <c r="AB246" i="10" s="1"/>
  <c r="Q265" i="10"/>
  <c r="Q65" i="10"/>
  <c r="Q81" i="10"/>
  <c r="Z104" i="10"/>
  <c r="AB104" i="10" s="1"/>
  <c r="Z240" i="10"/>
  <c r="AB240" i="10" s="1"/>
  <c r="Z110" i="10"/>
  <c r="AB110" i="10" s="1"/>
  <c r="Z161" i="10"/>
  <c r="AB161" i="10" s="1"/>
  <c r="Q167" i="10"/>
  <c r="Z169" i="10"/>
  <c r="AB169" i="10" s="1"/>
  <c r="Q281" i="10"/>
  <c r="Q116" i="10"/>
  <c r="Q140" i="10"/>
  <c r="Q23" i="10"/>
  <c r="Q72" i="10"/>
  <c r="Z116" i="10"/>
  <c r="AB116" i="10" s="1"/>
  <c r="Q118" i="10"/>
  <c r="Z156" i="10"/>
  <c r="AB156" i="10" s="1"/>
  <c r="Q159" i="10"/>
  <c r="Z167" i="10"/>
  <c r="AB167" i="10" s="1"/>
  <c r="Z183" i="10"/>
  <c r="AB183" i="10" s="1"/>
  <c r="Z252" i="10"/>
  <c r="AB252" i="10" s="1"/>
  <c r="Q260" i="10"/>
  <c r="Q295" i="10"/>
  <c r="Z66" i="10"/>
  <c r="AB66" i="10" s="1"/>
  <c r="Q94" i="10"/>
  <c r="Z264" i="10"/>
  <c r="AB264" i="10" s="1"/>
  <c r="Z273" i="10"/>
  <c r="AB273" i="10" s="1"/>
  <c r="Q287" i="10"/>
  <c r="Q309" i="10"/>
  <c r="Z234" i="10"/>
  <c r="AB234" i="10" s="1"/>
  <c r="Z37" i="10"/>
  <c r="AB37" i="10" s="1"/>
  <c r="Q39" i="10"/>
  <c r="Q53" i="10"/>
  <c r="Z64" i="10"/>
  <c r="AB64" i="10" s="1"/>
  <c r="Q97" i="10"/>
  <c r="Z105" i="10"/>
  <c r="AB105" i="10" s="1"/>
  <c r="Q111" i="10"/>
  <c r="Q121" i="10"/>
  <c r="Q138" i="10"/>
  <c r="Q173" i="10"/>
  <c r="Z186" i="10"/>
  <c r="Z17" i="10"/>
  <c r="AB17" i="10" s="1"/>
  <c r="Z189" i="10"/>
  <c r="AB189" i="10" s="1"/>
  <c r="Z262" i="10"/>
  <c r="AB262" i="10" s="1"/>
  <c r="Z276" i="10"/>
  <c r="AB276" i="10" s="1"/>
  <c r="Z317" i="10"/>
  <c r="AB317" i="10" s="1"/>
  <c r="Q41" i="10"/>
  <c r="Z90" i="10"/>
  <c r="AB90" i="10" s="1"/>
  <c r="Q225" i="10"/>
  <c r="Q267" i="10"/>
  <c r="Z94" i="10"/>
  <c r="AB94" i="10" s="1"/>
  <c r="Q268" i="10"/>
  <c r="Q48" i="10"/>
  <c r="Q80" i="10"/>
  <c r="Q10" i="10"/>
  <c r="Q100" i="10"/>
  <c r="Q117" i="10"/>
  <c r="Q130" i="10"/>
  <c r="Q141" i="10"/>
  <c r="Z143" i="10"/>
  <c r="AB143" i="10" s="1"/>
  <c r="Q168" i="10"/>
  <c r="Q179" i="10"/>
  <c r="Z184" i="10"/>
  <c r="AB184" i="10" s="1"/>
  <c r="Q15" i="10"/>
  <c r="Z214" i="10"/>
  <c r="AB214" i="10" s="1"/>
  <c r="Q253" i="10"/>
  <c r="Z265" i="10"/>
  <c r="AB265" i="10" s="1"/>
  <c r="Z101" i="10"/>
  <c r="AB101" i="10" s="1"/>
  <c r="Q246" i="10"/>
  <c r="Q89" i="10"/>
  <c r="Z197" i="10"/>
  <c r="AB197" i="10" s="1"/>
  <c r="Q24" i="10"/>
  <c r="Z48" i="10"/>
  <c r="AB48" i="10" s="1"/>
  <c r="Q51" i="10"/>
  <c r="Z130" i="10"/>
  <c r="AB130" i="10" s="1"/>
  <c r="Q160" i="10"/>
  <c r="Z179" i="10"/>
  <c r="AB179" i="10" s="1"/>
  <c r="Z15" i="10"/>
  <c r="AB15" i="10" s="1"/>
  <c r="Q206" i="10"/>
  <c r="Q274" i="10"/>
  <c r="Q285" i="10"/>
  <c r="AB288" i="10"/>
  <c r="Q296" i="10"/>
  <c r="Q307" i="10"/>
  <c r="Z56" i="10"/>
  <c r="AB56" i="10" s="1"/>
  <c r="Z114" i="10"/>
  <c r="AB114" i="10" s="1"/>
  <c r="Z192" i="10"/>
  <c r="AB192" i="10" s="1"/>
  <c r="Q299" i="10"/>
  <c r="Z307" i="10"/>
  <c r="AB307" i="10" s="1"/>
  <c r="Z301" i="10"/>
  <c r="AB301" i="10" s="1"/>
  <c r="AA138" i="10"/>
  <c r="Q150" i="10"/>
  <c r="Q224" i="10"/>
  <c r="Z226" i="10"/>
  <c r="AB226" i="10" s="1"/>
  <c r="Z232" i="10"/>
  <c r="AB232" i="10" s="1"/>
  <c r="Q237" i="10"/>
  <c r="Q291" i="10"/>
  <c r="Z299" i="10"/>
  <c r="AB299" i="10" s="1"/>
  <c r="Z206" i="10"/>
  <c r="AB206" i="10" s="1"/>
  <c r="Z253" i="10"/>
  <c r="AB253" i="10" s="1"/>
  <c r="AA258" i="10"/>
  <c r="Z316" i="10"/>
  <c r="Z36" i="10"/>
  <c r="AB36" i="10" s="1"/>
  <c r="Z236" i="10"/>
  <c r="AB236" i="10" s="1"/>
  <c r="Q257" i="10"/>
  <c r="Z112" i="10"/>
  <c r="AB112" i="10" s="1"/>
  <c r="Z122" i="10"/>
  <c r="AB122" i="10" s="1"/>
  <c r="Q139" i="10"/>
  <c r="Q14" i="10"/>
  <c r="Z201" i="10"/>
  <c r="AB201" i="10" s="1"/>
  <c r="Q227" i="10"/>
  <c r="Q240" i="10"/>
  <c r="Q251" i="10"/>
  <c r="Q269" i="10"/>
  <c r="Q280" i="10"/>
  <c r="Q294" i="10"/>
  <c r="Z313" i="10"/>
  <c r="AB313" i="10" s="1"/>
  <c r="Z81" i="10"/>
  <c r="AB81" i="10" s="1"/>
  <c r="Q110" i="10"/>
  <c r="Q164" i="10"/>
  <c r="Q126" i="10"/>
  <c r="Q175" i="10"/>
  <c r="Z57" i="10"/>
  <c r="AB57" i="10" s="1"/>
  <c r="Z68" i="10"/>
  <c r="AB68" i="10" s="1"/>
  <c r="Z76" i="10"/>
  <c r="AB76" i="10" s="1"/>
  <c r="Z95" i="10"/>
  <c r="AB95" i="10" s="1"/>
  <c r="Z139" i="10"/>
  <c r="AB139" i="10" s="1"/>
  <c r="Z185" i="10"/>
  <c r="AB185" i="10" s="1"/>
  <c r="Z224" i="10"/>
  <c r="AB224" i="10" s="1"/>
  <c r="Q316" i="10"/>
  <c r="Q120" i="10"/>
  <c r="Z125" i="10"/>
  <c r="AB125" i="10" s="1"/>
  <c r="Q153" i="10"/>
  <c r="Z158" i="10"/>
  <c r="AB158" i="10" s="1"/>
  <c r="Q161" i="10"/>
  <c r="Z204" i="10"/>
  <c r="AB204" i="10" s="1"/>
  <c r="Q207" i="10"/>
  <c r="Q210" i="10"/>
  <c r="Z219" i="10"/>
  <c r="AB219" i="10" s="1"/>
  <c r="Z230" i="10"/>
  <c r="Q233" i="10"/>
  <c r="Z248" i="10"/>
  <c r="AB248" i="10" s="1"/>
  <c r="Z294" i="10"/>
  <c r="AB294" i="10" s="1"/>
  <c r="Q149" i="10"/>
  <c r="Q282" i="10"/>
  <c r="Z284" i="10"/>
  <c r="AB284" i="10" s="1"/>
  <c r="Q59" i="10"/>
  <c r="Z138" i="10"/>
  <c r="Z154" i="10"/>
  <c r="AB154" i="10" s="1"/>
  <c r="Q238" i="10"/>
  <c r="Z282" i="10"/>
  <c r="AB282" i="10" s="1"/>
  <c r="Q212" i="10"/>
  <c r="Z256" i="10"/>
  <c r="AB256" i="10" s="1"/>
  <c r="Q293" i="10"/>
  <c r="Z141" i="10"/>
  <c r="AB141" i="10" s="1"/>
  <c r="Q191" i="10"/>
  <c r="Z196" i="10"/>
  <c r="AB196" i="10" s="1"/>
  <c r="Q199" i="10"/>
  <c r="Z212" i="10"/>
  <c r="AB212" i="10" s="1"/>
  <c r="Z75" i="10"/>
  <c r="AB75" i="10" s="1"/>
  <c r="Z96" i="10"/>
  <c r="AB96" i="10" s="1"/>
  <c r="Q152" i="10"/>
  <c r="Z209" i="10"/>
  <c r="AB209" i="10" s="1"/>
  <c r="Q232" i="10"/>
  <c r="Q249" i="10"/>
  <c r="AA249" i="10"/>
  <c r="Z285" i="10"/>
  <c r="AB285" i="10" s="1"/>
  <c r="Q288" i="10"/>
  <c r="Z54" i="10"/>
  <c r="AB54" i="10" s="1"/>
  <c r="Z67" i="10"/>
  <c r="AB67" i="10" s="1"/>
  <c r="Q107" i="10"/>
  <c r="Z136" i="10"/>
  <c r="Q144" i="10"/>
  <c r="Q241" i="10"/>
  <c r="Z309" i="10"/>
  <c r="AB309" i="10" s="1"/>
  <c r="Z107" i="10"/>
  <c r="AB107" i="10" s="1"/>
  <c r="Z144" i="10"/>
  <c r="AB144" i="10" s="1"/>
  <c r="Q147" i="10"/>
  <c r="Z199" i="10"/>
  <c r="AB199" i="10" s="1"/>
  <c r="Q20" i="10"/>
  <c r="Z241" i="10"/>
  <c r="AB241" i="10" s="1"/>
  <c r="Z314" i="10"/>
  <c r="AB314" i="10" s="1"/>
  <c r="Z12" i="10"/>
  <c r="AB12" i="10" s="1"/>
  <c r="Z102" i="10"/>
  <c r="AA186" i="10"/>
  <c r="Z280" i="10"/>
  <c r="AB280" i="10" s="1"/>
  <c r="Q230" i="10"/>
  <c r="AA230" i="10"/>
  <c r="Q26" i="10"/>
  <c r="Z49" i="10"/>
  <c r="AB49" i="10" s="1"/>
  <c r="Q44" i="10"/>
  <c r="Q137" i="10"/>
  <c r="Q187" i="10"/>
  <c r="P318" i="10"/>
  <c r="Z29" i="10"/>
  <c r="AB29" i="10" s="1"/>
  <c r="Z44" i="10"/>
  <c r="AB44" i="10" s="1"/>
  <c r="Q78" i="10"/>
  <c r="Z9" i="10"/>
  <c r="AB9" i="10" s="1"/>
  <c r="Z182" i="10"/>
  <c r="AB182" i="10" s="1"/>
  <c r="Q185" i="10"/>
  <c r="Z255" i="10"/>
  <c r="AB255" i="10" s="1"/>
  <c r="Q297" i="10"/>
  <c r="Q302" i="10"/>
  <c r="Z304" i="10"/>
  <c r="AB304" i="10" s="1"/>
  <c r="Q109" i="10"/>
  <c r="Q192" i="10"/>
  <c r="Q71" i="10"/>
  <c r="Z92" i="10"/>
  <c r="AB92" i="10" s="1"/>
  <c r="Z120" i="10"/>
  <c r="AB120" i="10" s="1"/>
  <c r="Q32" i="10"/>
  <c r="Z34" i="10"/>
  <c r="AB34" i="10" s="1"/>
  <c r="Z74" i="10"/>
  <c r="AB74" i="10" s="1"/>
  <c r="Z78" i="10"/>
  <c r="AB78" i="10" s="1"/>
  <c r="Z83" i="10"/>
  <c r="AB83" i="10" s="1"/>
  <c r="Q90" i="10"/>
  <c r="Z123" i="10"/>
  <c r="AB123" i="10" s="1"/>
  <c r="Z126" i="10"/>
  <c r="AB126" i="10" s="1"/>
  <c r="Z225" i="10"/>
  <c r="Z302" i="10"/>
  <c r="AB302" i="10" s="1"/>
  <c r="Z88" i="10"/>
  <c r="AB88" i="10" s="1"/>
  <c r="Q105" i="10"/>
  <c r="Q52" i="10"/>
  <c r="Q262" i="10"/>
  <c r="Q222" i="10"/>
  <c r="Z38" i="10"/>
  <c r="AB38" i="10" s="1"/>
  <c r="Q273" i="10"/>
  <c r="Z132" i="10"/>
  <c r="AB132" i="10" s="1"/>
  <c r="Q278" i="10"/>
  <c r="Q270" i="10"/>
  <c r="AA18" i="10"/>
  <c r="Q42" i="10"/>
  <c r="Z86" i="10"/>
  <c r="AB86" i="10" s="1"/>
  <c r="Z93" i="10"/>
  <c r="AB93" i="10" s="1"/>
  <c r="Z121" i="10"/>
  <c r="AB121" i="10" s="1"/>
  <c r="Q151" i="10"/>
  <c r="Z164" i="10"/>
  <c r="AB164" i="10" s="1"/>
  <c r="Z218" i="10"/>
  <c r="AB218" i="10" s="1"/>
  <c r="Q263" i="10"/>
  <c r="Q300" i="10"/>
  <c r="Q25" i="10"/>
  <c r="AA25" i="10"/>
  <c r="Q60" i="10"/>
  <c r="AA136" i="10"/>
  <c r="Q174" i="10"/>
  <c r="Z275" i="10"/>
  <c r="AB275" i="10" s="1"/>
  <c r="Q129" i="10"/>
  <c r="Z267" i="10"/>
  <c r="AB267" i="10" s="1"/>
  <c r="Z39" i="10"/>
  <c r="AB39" i="10" s="1"/>
  <c r="Q124" i="10"/>
  <c r="Q156" i="10"/>
  <c r="Z193" i="10"/>
  <c r="AB193" i="10" s="1"/>
  <c r="Z203" i="10"/>
  <c r="AB203" i="10" s="1"/>
  <c r="Z292" i="10"/>
  <c r="AB292" i="10" s="1"/>
  <c r="Z32" i="10"/>
  <c r="AB32" i="10" s="1"/>
  <c r="Z59" i="10"/>
  <c r="AB59" i="10" s="1"/>
  <c r="Z10" i="10"/>
  <c r="AB10" i="10" s="1"/>
  <c r="Q102" i="10"/>
  <c r="Z118" i="10"/>
  <c r="AB118" i="10" s="1"/>
  <c r="Z131" i="10"/>
  <c r="AB131" i="10" s="1"/>
  <c r="Q13" i="10"/>
  <c r="Z166" i="10"/>
  <c r="AB166" i="10" s="1"/>
  <c r="Z188" i="10"/>
  <c r="AB188" i="10" s="1"/>
  <c r="Z198" i="10"/>
  <c r="AB198" i="10" s="1"/>
  <c r="Z227" i="10"/>
  <c r="AB227" i="10" s="1"/>
  <c r="Q243" i="10"/>
  <c r="Z245" i="10"/>
  <c r="AB245" i="10" s="1"/>
  <c r="Z272" i="10"/>
  <c r="AB272" i="10" s="1"/>
  <c r="Z65" i="10"/>
  <c r="AB65" i="10" s="1"/>
  <c r="AA102" i="10"/>
  <c r="Z124" i="10"/>
  <c r="AB124" i="10" s="1"/>
  <c r="Z134" i="10"/>
  <c r="AB134" i="10" s="1"/>
  <c r="Q244" i="10"/>
  <c r="Z42" i="10"/>
  <c r="AB42" i="10" s="1"/>
  <c r="Z70" i="10"/>
  <c r="AB70" i="10" s="1"/>
  <c r="Z79" i="10"/>
  <c r="AB79" i="10" s="1"/>
  <c r="Z84" i="10"/>
  <c r="AB84" i="10" s="1"/>
  <c r="Q115" i="10"/>
  <c r="Q127" i="10"/>
  <c r="Z129" i="10"/>
  <c r="AB129" i="10" s="1"/>
  <c r="Q157" i="10"/>
  <c r="Z20" i="10"/>
  <c r="AB20" i="10" s="1"/>
  <c r="Z283" i="10"/>
  <c r="AB283" i="10" s="1"/>
  <c r="Q28" i="10"/>
  <c r="Q36" i="10"/>
  <c r="Q40" i="10"/>
  <c r="Q45" i="10"/>
  <c r="Z47" i="10"/>
  <c r="AB47" i="10" s="1"/>
  <c r="Z73" i="10"/>
  <c r="AB73" i="10" s="1"/>
  <c r="Q93" i="10"/>
  <c r="Q98" i="10"/>
  <c r="Q122" i="10"/>
  <c r="Z127" i="10"/>
  <c r="AB127" i="10" s="1"/>
  <c r="Q145" i="10"/>
  <c r="Z172" i="10"/>
  <c r="AB172" i="10" s="1"/>
  <c r="Z187" i="10"/>
  <c r="AB187" i="10" s="1"/>
  <c r="Z202" i="10"/>
  <c r="AB202" i="10" s="1"/>
  <c r="Q215" i="10"/>
  <c r="Z19" i="10"/>
  <c r="AB19" i="10" s="1"/>
  <c r="Z298" i="10"/>
  <c r="AB298" i="10" s="1"/>
  <c r="Q308" i="10"/>
  <c r="Q313" i="10"/>
  <c r="Z312" i="10"/>
  <c r="AB312" i="10" s="1"/>
  <c r="Z7" i="10"/>
  <c r="AB7" i="10" s="1"/>
  <c r="Q50" i="10"/>
  <c r="Z60" i="10"/>
  <c r="AB60" i="10" s="1"/>
  <c r="Z62" i="10"/>
  <c r="AB62" i="10" s="1"/>
  <c r="Q79" i="10"/>
  <c r="Z100" i="10"/>
  <c r="AB100" i="10" s="1"/>
  <c r="Q119" i="10"/>
  <c r="Z150" i="10"/>
  <c r="AB150" i="10" s="1"/>
  <c r="Z159" i="10"/>
  <c r="AB159" i="10" s="1"/>
  <c r="Z194" i="10"/>
  <c r="AB194" i="10" s="1"/>
  <c r="Q239" i="10"/>
  <c r="Z251" i="10"/>
  <c r="AB251" i="10" s="1"/>
  <c r="Q259" i="10"/>
  <c r="Z263" i="10"/>
  <c r="AB263" i="10" s="1"/>
  <c r="Z270" i="10"/>
  <c r="AB270" i="10" s="1"/>
  <c r="Z305" i="10"/>
  <c r="AB305" i="10" s="1"/>
  <c r="Q73" i="10"/>
  <c r="Q87" i="10"/>
  <c r="Z175" i="10"/>
  <c r="AB175" i="10" s="1"/>
  <c r="Q183" i="10"/>
  <c r="Z207" i="10"/>
  <c r="AB207" i="10" s="1"/>
  <c r="Z223" i="10"/>
  <c r="AB223" i="10" s="1"/>
  <c r="Z239" i="10"/>
  <c r="AB239" i="10" s="1"/>
  <c r="Z295" i="10"/>
  <c r="AB295" i="10" s="1"/>
  <c r="Q298" i="10"/>
  <c r="Q31" i="10"/>
  <c r="Z40" i="10"/>
  <c r="AB40" i="10" s="1"/>
  <c r="Z45" i="10"/>
  <c r="AB45" i="10" s="1"/>
  <c r="Q63" i="10"/>
  <c r="Q68" i="10"/>
  <c r="Z103" i="10"/>
  <c r="AB103" i="10" s="1"/>
  <c r="Q135" i="10"/>
  <c r="Z162" i="10"/>
  <c r="AB162" i="10" s="1"/>
  <c r="Z170" i="10"/>
  <c r="AB170" i="10" s="1"/>
  <c r="Z178" i="10"/>
  <c r="Q190" i="10"/>
  <c r="Q200" i="10"/>
  <c r="Z215" i="10"/>
  <c r="AB215" i="10" s="1"/>
  <c r="Z217" i="10"/>
  <c r="AB217" i="10" s="1"/>
  <c r="Z228" i="10"/>
  <c r="AB228" i="10" s="1"/>
  <c r="Z233" i="10"/>
  <c r="AB233" i="10" s="1"/>
  <c r="Z244" i="10"/>
  <c r="AB244" i="10" s="1"/>
  <c r="Q252" i="10"/>
  <c r="Q261" i="10"/>
  <c r="Z291" i="10"/>
  <c r="AB291" i="10" s="1"/>
  <c r="Q303" i="10"/>
  <c r="Z315" i="10"/>
  <c r="AB315" i="10" s="1"/>
  <c r="Z115" i="10"/>
  <c r="AB115" i="10" s="1"/>
  <c r="Z148" i="10"/>
  <c r="AB148" i="10" s="1"/>
  <c r="Z157" i="10"/>
  <c r="AB157" i="10" s="1"/>
  <c r="Z173" i="10"/>
  <c r="AB173" i="10" s="1"/>
  <c r="Z190" i="10"/>
  <c r="AB190" i="10" s="1"/>
  <c r="Z195" i="10"/>
  <c r="AB195" i="10" s="1"/>
  <c r="Q226" i="10"/>
  <c r="Q231" i="10"/>
  <c r="Z237" i="10"/>
  <c r="AB237" i="10" s="1"/>
  <c r="Q289" i="10"/>
  <c r="Z296" i="10"/>
  <c r="AB296" i="10" s="1"/>
  <c r="Z303" i="10"/>
  <c r="AB303" i="10" s="1"/>
  <c r="Z135" i="10"/>
  <c r="AB135" i="10" s="1"/>
  <c r="Z205" i="10"/>
  <c r="AB205" i="10" s="1"/>
  <c r="Z289" i="10"/>
  <c r="AB289" i="10" s="1"/>
  <c r="Z26" i="10"/>
  <c r="AB26" i="10" s="1"/>
  <c r="Z53" i="10"/>
  <c r="AB53" i="10" s="1"/>
  <c r="Z71" i="10"/>
  <c r="AB71" i="10" s="1"/>
  <c r="Z140" i="10"/>
  <c r="AB140" i="10" s="1"/>
  <c r="Q163" i="10"/>
  <c r="Z247" i="10"/>
  <c r="AB247" i="10" s="1"/>
  <c r="Q284" i="10"/>
  <c r="Q43" i="10"/>
  <c r="Z58" i="10"/>
  <c r="AB58" i="10" s="1"/>
  <c r="Z91" i="10"/>
  <c r="AB91" i="10" s="1"/>
  <c r="Z108" i="10"/>
  <c r="AB108" i="10" s="1"/>
  <c r="Z111" i="10"/>
  <c r="AB111" i="10" s="1"/>
  <c r="Q176" i="10"/>
  <c r="AA178" i="10"/>
  <c r="Q184" i="10"/>
  <c r="Q198" i="10"/>
  <c r="Q203" i="10"/>
  <c r="Q213" i="10"/>
  <c r="Z221" i="10"/>
  <c r="AB221" i="10" s="1"/>
  <c r="Q229" i="10"/>
  <c r="Q245" i="10"/>
  <c r="Z250" i="10"/>
  <c r="AB250" i="10" s="1"/>
  <c r="Z261" i="10"/>
  <c r="AB261" i="10" s="1"/>
  <c r="Z281" i="10"/>
  <c r="AB281" i="10" s="1"/>
  <c r="Z311" i="10"/>
  <c r="AB311" i="10" s="1"/>
  <c r="Z87" i="10"/>
  <c r="AB87" i="10" s="1"/>
  <c r="Q56" i="10"/>
  <c r="Z28" i="10"/>
  <c r="AB28" i="10" s="1"/>
  <c r="Q34" i="10"/>
  <c r="Z89" i="10"/>
  <c r="AB89" i="10" s="1"/>
  <c r="Z14" i="10"/>
  <c r="AB14" i="10" s="1"/>
  <c r="Z18" i="10"/>
  <c r="Q250" i="10"/>
  <c r="Q29" i="10"/>
  <c r="Z43" i="10"/>
  <c r="AB43" i="10" s="1"/>
  <c r="Z51" i="10"/>
  <c r="AB51" i="10" s="1"/>
  <c r="Q74" i="10"/>
  <c r="Z133" i="10"/>
  <c r="AB133" i="10" s="1"/>
  <c r="Z160" i="10"/>
  <c r="AB160" i="10" s="1"/>
  <c r="Z163" i="10"/>
  <c r="AB163" i="10" s="1"/>
  <c r="Q166" i="10"/>
  <c r="Z181" i="10"/>
  <c r="AB181" i="10" s="1"/>
  <c r="Q193" i="10"/>
  <c r="AA210" i="10"/>
  <c r="Q216" i="10"/>
  <c r="Z260" i="10"/>
  <c r="AB260" i="10" s="1"/>
  <c r="Z269" i="10"/>
  <c r="AB269" i="10" s="1"/>
  <c r="Z279" i="10"/>
  <c r="AB279" i="10" s="1"/>
  <c r="Q64" i="10"/>
  <c r="Q86" i="10"/>
  <c r="Z24" i="10"/>
  <c r="AB24" i="10" s="1"/>
  <c r="Z41" i="10"/>
  <c r="AB41" i="10" s="1"/>
  <c r="Y109" i="10"/>
  <c r="Y318" i="10" s="1"/>
  <c r="W109" i="10"/>
  <c r="W318" i="10" s="1"/>
  <c r="X109" i="10"/>
  <c r="X318" i="10" s="1"/>
  <c r="Z137" i="10"/>
  <c r="AB137" i="10" s="1"/>
  <c r="Q142" i="10"/>
  <c r="Q169" i="10"/>
  <c r="Z231" i="10"/>
  <c r="AB231" i="10" s="1"/>
  <c r="Z287" i="10"/>
  <c r="AB287" i="10" s="1"/>
  <c r="Q292" i="10"/>
  <c r="AB316" i="10"/>
  <c r="T318" i="10"/>
  <c r="Z22" i="10"/>
  <c r="Z46" i="10"/>
  <c r="AB46" i="10" s="1"/>
  <c r="Z119" i="10"/>
  <c r="AB119" i="10" s="1"/>
  <c r="Z142" i="10"/>
  <c r="AB142" i="10" s="1"/>
  <c r="Z149" i="10"/>
  <c r="AB149" i="10" s="1"/>
  <c r="Z153" i="10"/>
  <c r="AB153" i="10" s="1"/>
  <c r="Q16" i="10"/>
  <c r="AA22" i="10"/>
  <c r="L318" i="10"/>
  <c r="Q46" i="10"/>
  <c r="Q95" i="10"/>
  <c r="V318" i="10"/>
  <c r="Z31" i="10"/>
  <c r="AB31" i="10" s="1"/>
  <c r="Z55" i="10"/>
  <c r="AB55" i="10" s="1"/>
  <c r="Q84" i="10"/>
  <c r="Q91" i="10"/>
  <c r="Z11" i="10"/>
  <c r="AB11" i="10" s="1"/>
  <c r="Z147" i="10"/>
  <c r="AB147" i="10" s="1"/>
  <c r="Z210" i="10"/>
  <c r="Z229" i="10"/>
  <c r="AB229" i="10" s="1"/>
  <c r="Z268" i="10"/>
  <c r="AB268" i="10" s="1"/>
  <c r="Q9" i="10"/>
  <c r="Q197" i="10"/>
  <c r="Q220" i="10"/>
  <c r="Z27" i="10"/>
  <c r="AB27" i="10" s="1"/>
  <c r="Q112" i="10"/>
  <c r="Q172" i="10"/>
  <c r="Z220" i="10"/>
  <c r="AB220" i="10" s="1"/>
  <c r="Q47" i="10"/>
  <c r="Q58" i="10"/>
  <c r="Q67" i="10"/>
  <c r="Z82" i="10"/>
  <c r="AB82" i="10" s="1"/>
  <c r="Q96" i="10"/>
  <c r="Q103" i="10"/>
  <c r="Q143" i="10"/>
  <c r="Z151" i="10"/>
  <c r="AB151" i="10" s="1"/>
  <c r="Q177" i="10"/>
  <c r="Q19" i="10"/>
  <c r="Z258" i="10"/>
  <c r="Z278" i="10"/>
  <c r="AB278" i="10" s="1"/>
  <c r="Q304" i="10"/>
  <c r="Z306" i="10"/>
  <c r="AB306" i="10" s="1"/>
  <c r="Q208" i="10"/>
  <c r="Q311" i="10"/>
  <c r="Z25" i="10"/>
  <c r="Z80" i="10"/>
  <c r="AB80" i="10" s="1"/>
  <c r="Q92" i="10"/>
  <c r="Q154" i="10"/>
  <c r="Q17" i="10"/>
  <c r="Q202" i="10"/>
  <c r="Q223" i="10"/>
  <c r="Q256" i="10"/>
  <c r="Q315" i="10"/>
  <c r="Q54" i="10"/>
  <c r="Q101" i="10"/>
  <c r="Q148" i="10"/>
  <c r="Z177" i="10"/>
  <c r="AB177" i="10" s="1"/>
  <c r="Z211" i="10"/>
  <c r="AB211" i="10" s="1"/>
  <c r="Q254" i="10"/>
  <c r="Q37" i="10"/>
  <c r="Q70" i="10"/>
  <c r="Z99" i="10"/>
  <c r="AB99" i="10" s="1"/>
  <c r="Q113" i="10"/>
  <c r="Z146" i="10"/>
  <c r="AB146" i="10" s="1"/>
  <c r="Z191" i="10"/>
  <c r="AB191" i="10" s="1"/>
  <c r="Q205" i="10"/>
  <c r="Q272" i="10"/>
  <c r="Z300" i="10"/>
  <c r="AB300" i="10" s="1"/>
  <c r="Q30" i="10"/>
  <c r="Q61" i="10"/>
  <c r="Z52" i="10"/>
  <c r="AB52" i="10" s="1"/>
  <c r="Q83" i="10"/>
  <c r="Q132" i="10"/>
  <c r="Q214" i="10"/>
  <c r="Z274" i="10"/>
  <c r="AB274" i="10" s="1"/>
  <c r="Z30" i="10"/>
  <c r="AB30" i="10" s="1"/>
  <c r="Z50" i="10"/>
  <c r="AB50" i="10" s="1"/>
  <c r="Q75" i="10"/>
  <c r="Z8" i="10"/>
  <c r="AB8" i="10" s="1"/>
  <c r="Z85" i="10"/>
  <c r="AB85" i="10" s="1"/>
  <c r="Q123" i="10"/>
  <c r="Q248" i="10"/>
  <c r="Q264" i="10"/>
  <c r="Q12" i="10"/>
  <c r="Q171" i="10"/>
  <c r="Q217" i="10"/>
  <c r="Q38" i="10"/>
  <c r="Q55" i="10"/>
  <c r="Z63" i="10"/>
  <c r="AB63" i="10" s="1"/>
  <c r="Z69" i="10"/>
  <c r="AB69" i="10" s="1"/>
  <c r="Q85" i="10"/>
  <c r="Q134" i="10"/>
  <c r="Q194" i="10"/>
  <c r="Z208" i="10"/>
  <c r="AB208" i="10" s="1"/>
  <c r="Z266" i="10"/>
  <c r="AB266" i="10" s="1"/>
  <c r="Z277" i="10"/>
  <c r="AB277" i="10" s="1"/>
  <c r="Q234" i="10"/>
  <c r="Z61" i="10"/>
  <c r="AB61" i="10" s="1"/>
  <c r="Q128" i="10"/>
  <c r="Q165" i="10"/>
  <c r="Q21" i="10"/>
  <c r="Q33" i="10"/>
  <c r="Z33" i="10"/>
  <c r="AB33" i="10" s="1"/>
  <c r="Q104" i="10"/>
  <c r="Q106" i="10"/>
  <c r="Z128" i="10"/>
  <c r="AB128" i="10" s="1"/>
  <c r="Z165" i="10"/>
  <c r="AB165" i="10" s="1"/>
  <c r="Q180" i="10"/>
  <c r="Q242" i="10"/>
  <c r="Z21" i="10"/>
  <c r="AB21" i="10" s="1"/>
  <c r="Q275" i="10"/>
  <c r="Q301" i="10"/>
  <c r="Z106" i="10"/>
  <c r="AB106" i="10" s="1"/>
  <c r="Z171" i="10"/>
  <c r="AB171" i="10" s="1"/>
  <c r="Q211" i="10"/>
  <c r="Z213" i="10"/>
  <c r="AB213" i="10" s="1"/>
  <c r="Z259" i="10"/>
  <c r="AB259" i="10" s="1"/>
  <c r="Q271" i="10"/>
  <c r="Z271" i="10"/>
  <c r="AB271" i="10" s="1"/>
  <c r="Z98" i="10"/>
  <c r="AB98" i="10" s="1"/>
  <c r="Z176" i="10"/>
  <c r="AB176" i="10" s="1"/>
  <c r="Q66" i="10"/>
  <c r="Z72" i="10"/>
  <c r="AB72" i="10" s="1"/>
  <c r="Z117" i="10"/>
  <c r="AB117" i="10" s="1"/>
  <c r="Z145" i="10"/>
  <c r="AB145" i="10" s="1"/>
  <c r="Z174" i="10"/>
  <c r="AB174" i="10" s="1"/>
  <c r="Q188" i="10"/>
  <c r="Z222" i="10"/>
  <c r="AB222" i="10" s="1"/>
  <c r="Z238" i="10"/>
  <c r="AB238" i="10" s="1"/>
  <c r="Z286" i="10"/>
  <c r="AB286" i="10" s="1"/>
  <c r="Z297" i="10"/>
  <c r="AB297" i="10" s="1"/>
  <c r="Z249" i="10"/>
  <c r="Z308" i="10"/>
  <c r="AB308" i="10" s="1"/>
  <c r="Q49" i="10"/>
  <c r="Q69" i="10"/>
  <c r="Q88" i="10"/>
  <c r="Q125" i="10"/>
  <c r="Q162" i="10"/>
  <c r="Q182" i="10"/>
  <c r="Q218" i="10"/>
  <c r="Q228" i="10"/>
  <c r="Q247" i="10"/>
  <c r="Q266" i="10"/>
  <c r="Q286" i="10"/>
  <c r="Q306" i="10"/>
  <c r="Q317" i="10"/>
  <c r="Y321" i="7"/>
  <c r="T318" i="7"/>
  <c r="AB178" i="10" l="1"/>
  <c r="AB258" i="10"/>
  <c r="AB230" i="10"/>
  <c r="AB102" i="10"/>
  <c r="AB138" i="10"/>
  <c r="Z109" i="10"/>
  <c r="AB210" i="10"/>
  <c r="Y321" i="10"/>
  <c r="AB249" i="10"/>
  <c r="AB136" i="10"/>
  <c r="AB186" i="10"/>
  <c r="Q318" i="10"/>
  <c r="AB25" i="10"/>
  <c r="AB18" i="10"/>
  <c r="AB22" i="10"/>
  <c r="Z318" i="10"/>
  <c r="Q308" i="7" l="1"/>
  <c r="Q309" i="7"/>
  <c r="Q310" i="7"/>
  <c r="Q311" i="7"/>
  <c r="Q312" i="7"/>
  <c r="Q314" i="7"/>
  <c r="Q315" i="7"/>
  <c r="Q317" i="7"/>
  <c r="P223" i="7"/>
  <c r="P98" i="7"/>
  <c r="P97" i="7"/>
  <c r="P95" i="7"/>
  <c r="F98" i="7"/>
  <c r="I95" i="7"/>
  <c r="L95" i="7"/>
  <c r="T8" i="7"/>
  <c r="V8" i="7"/>
  <c r="W8" i="7"/>
  <c r="X8" i="7"/>
  <c r="Y8" i="7"/>
  <c r="T9" i="7"/>
  <c r="V9" i="7"/>
  <c r="W9" i="7"/>
  <c r="X9" i="7"/>
  <c r="Y9" i="7"/>
  <c r="T10" i="7"/>
  <c r="V10" i="7"/>
  <c r="W10" i="7"/>
  <c r="X10" i="7"/>
  <c r="Y10" i="7"/>
  <c r="T11" i="7"/>
  <c r="V11" i="7"/>
  <c r="W11" i="7"/>
  <c r="X11" i="7"/>
  <c r="Y11" i="7"/>
  <c r="T12" i="7"/>
  <c r="V12" i="7"/>
  <c r="W12" i="7"/>
  <c r="X12" i="7"/>
  <c r="Y12" i="7"/>
  <c r="T13" i="7"/>
  <c r="V13" i="7"/>
  <c r="W13" i="7"/>
  <c r="X13" i="7"/>
  <c r="Y13" i="7"/>
  <c r="T14" i="7"/>
  <c r="V14" i="7"/>
  <c r="W14" i="7"/>
  <c r="X14" i="7"/>
  <c r="Y14" i="7"/>
  <c r="T15" i="7"/>
  <c r="V15" i="7"/>
  <c r="W15" i="7"/>
  <c r="X15" i="7"/>
  <c r="Y15" i="7"/>
  <c r="T16" i="7"/>
  <c r="V16" i="7"/>
  <c r="W16" i="7"/>
  <c r="X16" i="7"/>
  <c r="Y16" i="7"/>
  <c r="T17" i="7"/>
  <c r="V17" i="7"/>
  <c r="W17" i="7"/>
  <c r="X17" i="7"/>
  <c r="Y17" i="7"/>
  <c r="T18" i="7"/>
  <c r="V18" i="7"/>
  <c r="W18" i="7"/>
  <c r="X18" i="7"/>
  <c r="Y18" i="7"/>
  <c r="Z18" i="7" s="1"/>
  <c r="T19" i="7"/>
  <c r="V19" i="7"/>
  <c r="W19" i="7"/>
  <c r="X19" i="7"/>
  <c r="Y19" i="7"/>
  <c r="T20" i="7"/>
  <c r="V20" i="7"/>
  <c r="W20" i="7"/>
  <c r="X20" i="7"/>
  <c r="Y20" i="7"/>
  <c r="Z20" i="7" s="1"/>
  <c r="T21" i="7"/>
  <c r="V21" i="7"/>
  <c r="W21" i="7"/>
  <c r="X21" i="7"/>
  <c r="Y21" i="7"/>
  <c r="T22" i="7"/>
  <c r="V22" i="7"/>
  <c r="W22" i="7"/>
  <c r="X22" i="7"/>
  <c r="Y22" i="7"/>
  <c r="Z22" i="7"/>
  <c r="T23" i="7"/>
  <c r="V23" i="7"/>
  <c r="W23" i="7"/>
  <c r="X23" i="7"/>
  <c r="Y23" i="7"/>
  <c r="T24" i="7"/>
  <c r="V24" i="7"/>
  <c r="W24" i="7"/>
  <c r="X24" i="7"/>
  <c r="Y24" i="7"/>
  <c r="T25" i="7"/>
  <c r="V25" i="7"/>
  <c r="W25" i="7"/>
  <c r="X25" i="7"/>
  <c r="Y25" i="7"/>
  <c r="T26" i="7"/>
  <c r="V26" i="7"/>
  <c r="W26" i="7"/>
  <c r="X26" i="7"/>
  <c r="Y26" i="7"/>
  <c r="T27" i="7"/>
  <c r="V27" i="7"/>
  <c r="W27" i="7"/>
  <c r="X27" i="7"/>
  <c r="Y27" i="7"/>
  <c r="T28" i="7"/>
  <c r="V28" i="7"/>
  <c r="W28" i="7"/>
  <c r="X28" i="7"/>
  <c r="Y28" i="7"/>
  <c r="T29" i="7"/>
  <c r="V29" i="7"/>
  <c r="W29" i="7"/>
  <c r="X29" i="7"/>
  <c r="Y29" i="7"/>
  <c r="T30" i="7"/>
  <c r="V30" i="7"/>
  <c r="W30" i="7"/>
  <c r="X30" i="7"/>
  <c r="Y30" i="7"/>
  <c r="Z30" i="7" s="1"/>
  <c r="T31" i="7"/>
  <c r="V31" i="7"/>
  <c r="W31" i="7"/>
  <c r="X31" i="7"/>
  <c r="Y31" i="7"/>
  <c r="T32" i="7"/>
  <c r="V32" i="7"/>
  <c r="W32" i="7"/>
  <c r="X32" i="7"/>
  <c r="Y32" i="7"/>
  <c r="Z32" i="7" s="1"/>
  <c r="T33" i="7"/>
  <c r="V33" i="7"/>
  <c r="W33" i="7"/>
  <c r="X33" i="7"/>
  <c r="Y33" i="7"/>
  <c r="T34" i="7"/>
  <c r="V34" i="7"/>
  <c r="W34" i="7"/>
  <c r="X34" i="7"/>
  <c r="Y34" i="7"/>
  <c r="Z34" i="7" s="1"/>
  <c r="T35" i="7"/>
  <c r="V35" i="7"/>
  <c r="W35" i="7"/>
  <c r="X35" i="7"/>
  <c r="Y35" i="7"/>
  <c r="T36" i="7"/>
  <c r="V36" i="7"/>
  <c r="W36" i="7"/>
  <c r="X36" i="7"/>
  <c r="Y36" i="7"/>
  <c r="Z36" i="7"/>
  <c r="T37" i="7"/>
  <c r="V37" i="7"/>
  <c r="W37" i="7"/>
  <c r="X37" i="7"/>
  <c r="Y37" i="7"/>
  <c r="T38" i="7"/>
  <c r="V38" i="7"/>
  <c r="W38" i="7"/>
  <c r="X38" i="7"/>
  <c r="Y38" i="7"/>
  <c r="T39" i="7"/>
  <c r="V39" i="7"/>
  <c r="W39" i="7"/>
  <c r="X39" i="7"/>
  <c r="Y39" i="7"/>
  <c r="T40" i="7"/>
  <c r="V40" i="7"/>
  <c r="W40" i="7"/>
  <c r="X40" i="7"/>
  <c r="Y40" i="7"/>
  <c r="Z40" i="7" s="1"/>
  <c r="T41" i="7"/>
  <c r="V41" i="7"/>
  <c r="W41" i="7"/>
  <c r="X41" i="7"/>
  <c r="Y41" i="7"/>
  <c r="Z41" i="7" s="1"/>
  <c r="T42" i="7"/>
  <c r="V42" i="7"/>
  <c r="W42" i="7"/>
  <c r="X42" i="7"/>
  <c r="Y42" i="7"/>
  <c r="T43" i="7"/>
  <c r="V43" i="7"/>
  <c r="W43" i="7"/>
  <c r="X43" i="7"/>
  <c r="Y43" i="7"/>
  <c r="T44" i="7"/>
  <c r="V44" i="7"/>
  <c r="W44" i="7"/>
  <c r="X44" i="7"/>
  <c r="Y44" i="7"/>
  <c r="T45" i="7"/>
  <c r="V45" i="7"/>
  <c r="W45" i="7"/>
  <c r="X45" i="7"/>
  <c r="Y45" i="7"/>
  <c r="Z45" i="7" s="1"/>
  <c r="T46" i="7"/>
  <c r="V46" i="7"/>
  <c r="W46" i="7"/>
  <c r="X46" i="7"/>
  <c r="Y46" i="7"/>
  <c r="T47" i="7"/>
  <c r="V47" i="7"/>
  <c r="W47" i="7"/>
  <c r="X47" i="7"/>
  <c r="Y47" i="7"/>
  <c r="Z47" i="7" s="1"/>
  <c r="T48" i="7"/>
  <c r="V48" i="7"/>
  <c r="W48" i="7"/>
  <c r="X48" i="7"/>
  <c r="Y48" i="7"/>
  <c r="T49" i="7"/>
  <c r="V49" i="7"/>
  <c r="W49" i="7"/>
  <c r="X49" i="7"/>
  <c r="Y49" i="7"/>
  <c r="T50" i="7"/>
  <c r="V50" i="7"/>
  <c r="W50" i="7"/>
  <c r="X50" i="7"/>
  <c r="Y50" i="7"/>
  <c r="T51" i="7"/>
  <c r="V51" i="7"/>
  <c r="W51" i="7"/>
  <c r="X51" i="7"/>
  <c r="Y51" i="7"/>
  <c r="Z51" i="7" s="1"/>
  <c r="T52" i="7"/>
  <c r="V52" i="7"/>
  <c r="W52" i="7"/>
  <c r="X52" i="7"/>
  <c r="Y52" i="7"/>
  <c r="Z52" i="7" s="1"/>
  <c r="T53" i="7"/>
  <c r="V53" i="7"/>
  <c r="W53" i="7"/>
  <c r="X53" i="7"/>
  <c r="Y53" i="7"/>
  <c r="T54" i="7"/>
  <c r="V54" i="7"/>
  <c r="W54" i="7"/>
  <c r="X54" i="7"/>
  <c r="Y54" i="7"/>
  <c r="T55" i="7"/>
  <c r="V55" i="7"/>
  <c r="W55" i="7"/>
  <c r="X55" i="7"/>
  <c r="Y55" i="7"/>
  <c r="T56" i="7"/>
  <c r="V56" i="7"/>
  <c r="W56" i="7"/>
  <c r="X56" i="7"/>
  <c r="Y56" i="7"/>
  <c r="T57" i="7"/>
  <c r="V57" i="7"/>
  <c r="W57" i="7"/>
  <c r="X57" i="7"/>
  <c r="Y57" i="7"/>
  <c r="Z57" i="7"/>
  <c r="T58" i="7"/>
  <c r="V58" i="7"/>
  <c r="W58" i="7"/>
  <c r="X58" i="7"/>
  <c r="Y58" i="7"/>
  <c r="T59" i="7"/>
  <c r="V59" i="7"/>
  <c r="W59" i="7"/>
  <c r="X59" i="7"/>
  <c r="Y59" i="7"/>
  <c r="T60" i="7"/>
  <c r="V60" i="7"/>
  <c r="W60" i="7"/>
  <c r="X60" i="7"/>
  <c r="Y60" i="7"/>
  <c r="T61" i="7"/>
  <c r="V61" i="7"/>
  <c r="W61" i="7"/>
  <c r="X61" i="7"/>
  <c r="Y61" i="7"/>
  <c r="T62" i="7"/>
  <c r="V62" i="7"/>
  <c r="W62" i="7"/>
  <c r="X62" i="7"/>
  <c r="Y62" i="7"/>
  <c r="T63" i="7"/>
  <c r="V63" i="7"/>
  <c r="W63" i="7"/>
  <c r="X63" i="7"/>
  <c r="Y63" i="7"/>
  <c r="T64" i="7"/>
  <c r="V64" i="7"/>
  <c r="W64" i="7"/>
  <c r="X64" i="7"/>
  <c r="Y64" i="7"/>
  <c r="T65" i="7"/>
  <c r="V65" i="7"/>
  <c r="W65" i="7"/>
  <c r="X65" i="7"/>
  <c r="Y65" i="7"/>
  <c r="T66" i="7"/>
  <c r="V66" i="7"/>
  <c r="W66" i="7"/>
  <c r="X66" i="7"/>
  <c r="Y66" i="7"/>
  <c r="T67" i="7"/>
  <c r="V67" i="7"/>
  <c r="W67" i="7"/>
  <c r="X67" i="7"/>
  <c r="Y67" i="7"/>
  <c r="T68" i="7"/>
  <c r="V68" i="7"/>
  <c r="W68" i="7"/>
  <c r="X68" i="7"/>
  <c r="Y68" i="7"/>
  <c r="T69" i="7"/>
  <c r="V69" i="7"/>
  <c r="W69" i="7"/>
  <c r="X69" i="7"/>
  <c r="Y69" i="7"/>
  <c r="T70" i="7"/>
  <c r="V70" i="7"/>
  <c r="W70" i="7"/>
  <c r="X70" i="7"/>
  <c r="Y70" i="7"/>
  <c r="T71" i="7"/>
  <c r="V71" i="7"/>
  <c r="W71" i="7"/>
  <c r="X71" i="7"/>
  <c r="Y71" i="7"/>
  <c r="T72" i="7"/>
  <c r="V72" i="7"/>
  <c r="W72" i="7"/>
  <c r="X72" i="7"/>
  <c r="Y72" i="7"/>
  <c r="T73" i="7"/>
  <c r="V73" i="7"/>
  <c r="W73" i="7"/>
  <c r="X73" i="7"/>
  <c r="Y73" i="7"/>
  <c r="T74" i="7"/>
  <c r="V74" i="7"/>
  <c r="W74" i="7"/>
  <c r="X74" i="7"/>
  <c r="Y74" i="7"/>
  <c r="T75" i="7"/>
  <c r="V75" i="7"/>
  <c r="W75" i="7"/>
  <c r="X75" i="7"/>
  <c r="Y75" i="7"/>
  <c r="T76" i="7"/>
  <c r="V76" i="7"/>
  <c r="W76" i="7"/>
  <c r="X76" i="7"/>
  <c r="Y76" i="7"/>
  <c r="T77" i="7"/>
  <c r="V77" i="7"/>
  <c r="W77" i="7"/>
  <c r="X77" i="7"/>
  <c r="Y77" i="7"/>
  <c r="T78" i="7"/>
  <c r="V78" i="7"/>
  <c r="W78" i="7"/>
  <c r="X78" i="7"/>
  <c r="Y78" i="7"/>
  <c r="T79" i="7"/>
  <c r="V79" i="7"/>
  <c r="W79" i="7"/>
  <c r="X79" i="7"/>
  <c r="Y79" i="7"/>
  <c r="T80" i="7"/>
  <c r="V80" i="7"/>
  <c r="W80" i="7"/>
  <c r="X80" i="7"/>
  <c r="Y80" i="7"/>
  <c r="T81" i="7"/>
  <c r="V81" i="7"/>
  <c r="W81" i="7"/>
  <c r="X81" i="7"/>
  <c r="Y81" i="7"/>
  <c r="T82" i="7"/>
  <c r="V82" i="7"/>
  <c r="W82" i="7"/>
  <c r="X82" i="7"/>
  <c r="Y82" i="7"/>
  <c r="T83" i="7"/>
  <c r="V83" i="7"/>
  <c r="W83" i="7"/>
  <c r="X83" i="7"/>
  <c r="Y83" i="7"/>
  <c r="Z83" i="7" s="1"/>
  <c r="T84" i="7"/>
  <c r="V84" i="7"/>
  <c r="W84" i="7"/>
  <c r="X84" i="7"/>
  <c r="Y84" i="7"/>
  <c r="T85" i="7"/>
  <c r="V85" i="7"/>
  <c r="W85" i="7"/>
  <c r="X85" i="7"/>
  <c r="Y85" i="7"/>
  <c r="T86" i="7"/>
  <c r="V86" i="7"/>
  <c r="W86" i="7"/>
  <c r="X86" i="7"/>
  <c r="Y86" i="7"/>
  <c r="Z86" i="7" s="1"/>
  <c r="T87" i="7"/>
  <c r="V87" i="7"/>
  <c r="W87" i="7"/>
  <c r="X87" i="7"/>
  <c r="Y87" i="7"/>
  <c r="T88" i="7"/>
  <c r="V88" i="7"/>
  <c r="W88" i="7"/>
  <c r="X88" i="7"/>
  <c r="Y88" i="7"/>
  <c r="Z88" i="7"/>
  <c r="T89" i="7"/>
  <c r="V89" i="7"/>
  <c r="W89" i="7"/>
  <c r="X89" i="7"/>
  <c r="Y89" i="7"/>
  <c r="Z89" i="7" s="1"/>
  <c r="T90" i="7"/>
  <c r="V90" i="7"/>
  <c r="W90" i="7"/>
  <c r="X90" i="7"/>
  <c r="Y90" i="7"/>
  <c r="T91" i="7"/>
  <c r="V91" i="7"/>
  <c r="W91" i="7"/>
  <c r="X91" i="7"/>
  <c r="Y91" i="7"/>
  <c r="Z91" i="7" s="1"/>
  <c r="T92" i="7"/>
  <c r="V92" i="7"/>
  <c r="W92" i="7"/>
  <c r="X92" i="7"/>
  <c r="Y92" i="7"/>
  <c r="T93" i="7"/>
  <c r="V93" i="7"/>
  <c r="W93" i="7"/>
  <c r="X93" i="7"/>
  <c r="Y93" i="7"/>
  <c r="T94" i="7"/>
  <c r="V94" i="7"/>
  <c r="W94" i="7"/>
  <c r="X94" i="7"/>
  <c r="Y94" i="7"/>
  <c r="T95" i="7"/>
  <c r="V95" i="7"/>
  <c r="W95" i="7"/>
  <c r="X95" i="7"/>
  <c r="Y95" i="7"/>
  <c r="T96" i="7"/>
  <c r="V96" i="7"/>
  <c r="W96" i="7"/>
  <c r="X96" i="7"/>
  <c r="Y96" i="7"/>
  <c r="T97" i="7"/>
  <c r="V97" i="7"/>
  <c r="W97" i="7"/>
  <c r="X97" i="7"/>
  <c r="Y97" i="7"/>
  <c r="T98" i="7"/>
  <c r="T99" i="7"/>
  <c r="V99" i="7"/>
  <c r="W99" i="7"/>
  <c r="X99" i="7"/>
  <c r="Y99" i="7"/>
  <c r="T100" i="7"/>
  <c r="V100" i="7"/>
  <c r="W100" i="7"/>
  <c r="X100" i="7"/>
  <c r="Y100" i="7"/>
  <c r="T101" i="7"/>
  <c r="V101" i="7"/>
  <c r="W101" i="7"/>
  <c r="X101" i="7"/>
  <c r="Y101" i="7"/>
  <c r="Z101" i="7" s="1"/>
  <c r="T102" i="7"/>
  <c r="V102" i="7"/>
  <c r="W102" i="7"/>
  <c r="X102" i="7"/>
  <c r="Y102" i="7"/>
  <c r="T103" i="7"/>
  <c r="V103" i="7"/>
  <c r="W103" i="7"/>
  <c r="X103" i="7"/>
  <c r="Y103" i="7"/>
  <c r="T104" i="7"/>
  <c r="V104" i="7"/>
  <c r="W104" i="7"/>
  <c r="X104" i="7"/>
  <c r="Y104" i="7"/>
  <c r="Z104" i="7" s="1"/>
  <c r="T105" i="7"/>
  <c r="V105" i="7"/>
  <c r="W105" i="7"/>
  <c r="X105" i="7"/>
  <c r="Y105" i="7"/>
  <c r="T106" i="7"/>
  <c r="V106" i="7"/>
  <c r="W106" i="7"/>
  <c r="X106" i="7"/>
  <c r="Y106" i="7"/>
  <c r="T107" i="7"/>
  <c r="V107" i="7"/>
  <c r="W107" i="7"/>
  <c r="X107" i="7"/>
  <c r="Y107" i="7"/>
  <c r="T108" i="7"/>
  <c r="V108" i="7"/>
  <c r="W108" i="7"/>
  <c r="X108" i="7"/>
  <c r="Y108" i="7"/>
  <c r="T109" i="7"/>
  <c r="V109" i="7"/>
  <c r="W109" i="7"/>
  <c r="X109" i="7"/>
  <c r="Y109" i="7"/>
  <c r="T110" i="7"/>
  <c r="V110" i="7"/>
  <c r="W110" i="7"/>
  <c r="X110" i="7"/>
  <c r="Y110" i="7"/>
  <c r="Z110" i="7" s="1"/>
  <c r="T111" i="7"/>
  <c r="V111" i="7"/>
  <c r="W111" i="7"/>
  <c r="X111" i="7"/>
  <c r="Y111" i="7"/>
  <c r="T112" i="7"/>
  <c r="V112" i="7"/>
  <c r="W112" i="7"/>
  <c r="X112" i="7"/>
  <c r="Y112" i="7"/>
  <c r="Z112" i="7" s="1"/>
  <c r="T113" i="7"/>
  <c r="V113" i="7"/>
  <c r="W113" i="7"/>
  <c r="X113" i="7"/>
  <c r="Y113" i="7"/>
  <c r="T114" i="7"/>
  <c r="V114" i="7"/>
  <c r="W114" i="7"/>
  <c r="X114" i="7"/>
  <c r="Y114" i="7"/>
  <c r="Z114" i="7" s="1"/>
  <c r="T115" i="7"/>
  <c r="V115" i="7"/>
  <c r="W115" i="7"/>
  <c r="X115" i="7"/>
  <c r="Y115" i="7"/>
  <c r="Z115" i="7" s="1"/>
  <c r="T116" i="7"/>
  <c r="V116" i="7"/>
  <c r="W116" i="7"/>
  <c r="X116" i="7"/>
  <c r="Y116" i="7"/>
  <c r="T117" i="7"/>
  <c r="V117" i="7"/>
  <c r="W117" i="7"/>
  <c r="X117" i="7"/>
  <c r="Y117" i="7"/>
  <c r="T118" i="7"/>
  <c r="V118" i="7"/>
  <c r="W118" i="7"/>
  <c r="X118" i="7"/>
  <c r="Y118" i="7"/>
  <c r="Z118" i="7"/>
  <c r="T119" i="7"/>
  <c r="V119" i="7"/>
  <c r="W119" i="7"/>
  <c r="X119" i="7"/>
  <c r="Y119" i="7"/>
  <c r="T120" i="7"/>
  <c r="V120" i="7"/>
  <c r="W120" i="7"/>
  <c r="X120" i="7"/>
  <c r="Y120" i="7"/>
  <c r="T121" i="7"/>
  <c r="V121" i="7"/>
  <c r="W121" i="7"/>
  <c r="X121" i="7"/>
  <c r="Y121" i="7"/>
  <c r="T122" i="7"/>
  <c r="V122" i="7"/>
  <c r="W122" i="7"/>
  <c r="X122" i="7"/>
  <c r="Y122" i="7"/>
  <c r="T123" i="7"/>
  <c r="V123" i="7"/>
  <c r="W123" i="7"/>
  <c r="X123" i="7"/>
  <c r="Y123" i="7"/>
  <c r="T124" i="7"/>
  <c r="V124" i="7"/>
  <c r="W124" i="7"/>
  <c r="X124" i="7"/>
  <c r="Y124" i="7"/>
  <c r="T125" i="7"/>
  <c r="V125" i="7"/>
  <c r="W125" i="7"/>
  <c r="X125" i="7"/>
  <c r="Y125" i="7"/>
  <c r="T126" i="7"/>
  <c r="V126" i="7"/>
  <c r="W126" i="7"/>
  <c r="X126" i="7"/>
  <c r="Y126" i="7"/>
  <c r="T127" i="7"/>
  <c r="V127" i="7"/>
  <c r="W127" i="7"/>
  <c r="X127" i="7"/>
  <c r="Y127" i="7"/>
  <c r="T128" i="7"/>
  <c r="V128" i="7"/>
  <c r="W128" i="7"/>
  <c r="X128" i="7"/>
  <c r="Y128" i="7"/>
  <c r="T129" i="7"/>
  <c r="V129" i="7"/>
  <c r="W129" i="7"/>
  <c r="X129" i="7"/>
  <c r="Y129" i="7"/>
  <c r="Z129" i="7" s="1"/>
  <c r="T130" i="7"/>
  <c r="V130" i="7"/>
  <c r="W130" i="7"/>
  <c r="X130" i="7"/>
  <c r="Y130" i="7"/>
  <c r="T131" i="7"/>
  <c r="V131" i="7"/>
  <c r="W131" i="7"/>
  <c r="X131" i="7"/>
  <c r="Y131" i="7"/>
  <c r="T132" i="7"/>
  <c r="V132" i="7"/>
  <c r="W132" i="7"/>
  <c r="X132" i="7"/>
  <c r="Y132" i="7"/>
  <c r="T133" i="7"/>
  <c r="Z133" i="7" s="1"/>
  <c r="V133" i="7"/>
  <c r="W133" i="7"/>
  <c r="X133" i="7"/>
  <c r="Y133" i="7"/>
  <c r="T134" i="7"/>
  <c r="V134" i="7"/>
  <c r="W134" i="7"/>
  <c r="X134" i="7"/>
  <c r="Y134" i="7"/>
  <c r="T135" i="7"/>
  <c r="V135" i="7"/>
  <c r="W135" i="7"/>
  <c r="X135" i="7"/>
  <c r="Y135" i="7"/>
  <c r="T136" i="7"/>
  <c r="V136" i="7"/>
  <c r="W136" i="7"/>
  <c r="X136" i="7"/>
  <c r="Y136" i="7"/>
  <c r="T137" i="7"/>
  <c r="V137" i="7"/>
  <c r="W137" i="7"/>
  <c r="X137" i="7"/>
  <c r="Y137" i="7"/>
  <c r="T138" i="7"/>
  <c r="V138" i="7"/>
  <c r="W138" i="7"/>
  <c r="X138" i="7"/>
  <c r="Y138" i="7"/>
  <c r="T139" i="7"/>
  <c r="V139" i="7"/>
  <c r="W139" i="7"/>
  <c r="X139" i="7"/>
  <c r="Y139" i="7"/>
  <c r="T140" i="7"/>
  <c r="V140" i="7"/>
  <c r="W140" i="7"/>
  <c r="X140" i="7"/>
  <c r="Y140" i="7"/>
  <c r="T141" i="7"/>
  <c r="V141" i="7"/>
  <c r="W141" i="7"/>
  <c r="X141" i="7"/>
  <c r="Y141" i="7"/>
  <c r="Z141" i="7" s="1"/>
  <c r="T142" i="7"/>
  <c r="V142" i="7"/>
  <c r="W142" i="7"/>
  <c r="X142" i="7"/>
  <c r="Y142" i="7"/>
  <c r="T143" i="7"/>
  <c r="V143" i="7"/>
  <c r="W143" i="7"/>
  <c r="X143" i="7"/>
  <c r="Y143" i="7"/>
  <c r="T144" i="7"/>
  <c r="V144" i="7"/>
  <c r="W144" i="7"/>
  <c r="X144" i="7"/>
  <c r="Y144" i="7"/>
  <c r="T145" i="7"/>
  <c r="V145" i="7"/>
  <c r="W145" i="7"/>
  <c r="X145" i="7"/>
  <c r="Y145" i="7"/>
  <c r="T146" i="7"/>
  <c r="V146" i="7"/>
  <c r="W146" i="7"/>
  <c r="X146" i="7"/>
  <c r="Y146" i="7"/>
  <c r="T147" i="7"/>
  <c r="V147" i="7"/>
  <c r="W147" i="7"/>
  <c r="X147" i="7"/>
  <c r="Y147" i="7"/>
  <c r="T148" i="7"/>
  <c r="V148" i="7"/>
  <c r="W148" i="7"/>
  <c r="X148" i="7"/>
  <c r="Y148" i="7"/>
  <c r="Z148" i="7" s="1"/>
  <c r="T149" i="7"/>
  <c r="V149" i="7"/>
  <c r="W149" i="7"/>
  <c r="X149" i="7"/>
  <c r="Y149" i="7"/>
  <c r="T150" i="7"/>
  <c r="V150" i="7"/>
  <c r="W150" i="7"/>
  <c r="X150" i="7"/>
  <c r="Y150" i="7"/>
  <c r="T151" i="7"/>
  <c r="V151" i="7"/>
  <c r="W151" i="7"/>
  <c r="X151" i="7"/>
  <c r="Y151" i="7"/>
  <c r="T152" i="7"/>
  <c r="V152" i="7"/>
  <c r="W152" i="7"/>
  <c r="X152" i="7"/>
  <c r="Y152" i="7"/>
  <c r="T153" i="7"/>
  <c r="V153" i="7"/>
  <c r="W153" i="7"/>
  <c r="X153" i="7"/>
  <c r="Y153" i="7"/>
  <c r="T154" i="7"/>
  <c r="V154" i="7"/>
  <c r="W154" i="7"/>
  <c r="X154" i="7"/>
  <c r="Y154" i="7"/>
  <c r="T155" i="7"/>
  <c r="V155" i="7"/>
  <c r="W155" i="7"/>
  <c r="X155" i="7"/>
  <c r="Y155" i="7"/>
  <c r="T156" i="7"/>
  <c r="V156" i="7"/>
  <c r="W156" i="7"/>
  <c r="X156" i="7"/>
  <c r="Y156" i="7"/>
  <c r="T157" i="7"/>
  <c r="V157" i="7"/>
  <c r="W157" i="7"/>
  <c r="X157" i="7"/>
  <c r="Y157" i="7"/>
  <c r="T158" i="7"/>
  <c r="V158" i="7"/>
  <c r="W158" i="7"/>
  <c r="X158" i="7"/>
  <c r="Y158" i="7"/>
  <c r="T159" i="7"/>
  <c r="V159" i="7"/>
  <c r="W159" i="7"/>
  <c r="X159" i="7"/>
  <c r="Y159" i="7"/>
  <c r="Z159" i="7" s="1"/>
  <c r="T160" i="7"/>
  <c r="V160" i="7"/>
  <c r="W160" i="7"/>
  <c r="X160" i="7"/>
  <c r="Y160" i="7"/>
  <c r="T161" i="7"/>
  <c r="V161" i="7"/>
  <c r="W161" i="7"/>
  <c r="X161" i="7"/>
  <c r="Y161" i="7"/>
  <c r="Z161" i="7" s="1"/>
  <c r="T162" i="7"/>
  <c r="V162" i="7"/>
  <c r="W162" i="7"/>
  <c r="X162" i="7"/>
  <c r="Y162" i="7"/>
  <c r="T163" i="7"/>
  <c r="V163" i="7"/>
  <c r="W163" i="7"/>
  <c r="X163" i="7"/>
  <c r="Y163" i="7"/>
  <c r="T164" i="7"/>
  <c r="V164" i="7"/>
  <c r="W164" i="7"/>
  <c r="X164" i="7"/>
  <c r="Y164" i="7"/>
  <c r="Z164" i="7" s="1"/>
  <c r="T165" i="7"/>
  <c r="V165" i="7"/>
  <c r="W165" i="7"/>
  <c r="X165" i="7"/>
  <c r="Y165" i="7"/>
  <c r="T166" i="7"/>
  <c r="V166" i="7"/>
  <c r="W166" i="7"/>
  <c r="X166" i="7"/>
  <c r="Y166" i="7"/>
  <c r="T167" i="7"/>
  <c r="V167" i="7"/>
  <c r="W167" i="7"/>
  <c r="X167" i="7"/>
  <c r="Y167" i="7"/>
  <c r="T168" i="7"/>
  <c r="V168" i="7"/>
  <c r="W168" i="7"/>
  <c r="X168" i="7"/>
  <c r="Y168" i="7"/>
  <c r="T169" i="7"/>
  <c r="V169" i="7"/>
  <c r="W169" i="7"/>
  <c r="X169" i="7"/>
  <c r="Y169" i="7"/>
  <c r="T170" i="7"/>
  <c r="V170" i="7"/>
  <c r="W170" i="7"/>
  <c r="X170" i="7"/>
  <c r="Y170" i="7"/>
  <c r="T171" i="7"/>
  <c r="V171" i="7"/>
  <c r="W171" i="7"/>
  <c r="X171" i="7"/>
  <c r="Y171" i="7"/>
  <c r="T172" i="7"/>
  <c r="V172" i="7"/>
  <c r="W172" i="7"/>
  <c r="X172" i="7"/>
  <c r="Y172" i="7"/>
  <c r="T173" i="7"/>
  <c r="V173" i="7"/>
  <c r="W173" i="7"/>
  <c r="X173" i="7"/>
  <c r="Y173" i="7"/>
  <c r="T174" i="7"/>
  <c r="V174" i="7"/>
  <c r="W174" i="7"/>
  <c r="X174" i="7"/>
  <c r="Y174" i="7"/>
  <c r="T175" i="7"/>
  <c r="V175" i="7"/>
  <c r="W175" i="7"/>
  <c r="X175" i="7"/>
  <c r="Y175" i="7"/>
  <c r="T176" i="7"/>
  <c r="V176" i="7"/>
  <c r="W176" i="7"/>
  <c r="X176" i="7"/>
  <c r="Y176" i="7"/>
  <c r="T177" i="7"/>
  <c r="V177" i="7"/>
  <c r="W177" i="7"/>
  <c r="X177" i="7"/>
  <c r="Y177" i="7"/>
  <c r="T178" i="7"/>
  <c r="V178" i="7"/>
  <c r="W178" i="7"/>
  <c r="X178" i="7"/>
  <c r="Y178" i="7"/>
  <c r="T179" i="7"/>
  <c r="V179" i="7"/>
  <c r="W179" i="7"/>
  <c r="X179" i="7"/>
  <c r="Y179" i="7"/>
  <c r="Z179" i="7" s="1"/>
  <c r="T180" i="7"/>
  <c r="V180" i="7"/>
  <c r="W180" i="7"/>
  <c r="X180" i="7"/>
  <c r="Y180" i="7"/>
  <c r="T181" i="7"/>
  <c r="V181" i="7"/>
  <c r="W181" i="7"/>
  <c r="X181" i="7"/>
  <c r="Y181" i="7"/>
  <c r="T182" i="7"/>
  <c r="V182" i="7"/>
  <c r="W182" i="7"/>
  <c r="X182" i="7"/>
  <c r="Y182" i="7"/>
  <c r="Z182" i="7" s="1"/>
  <c r="T183" i="7"/>
  <c r="V183" i="7"/>
  <c r="W183" i="7"/>
  <c r="X183" i="7"/>
  <c r="Y183" i="7"/>
  <c r="T184" i="7"/>
  <c r="V184" i="7"/>
  <c r="W184" i="7"/>
  <c r="X184" i="7"/>
  <c r="Y184" i="7"/>
  <c r="Z184" i="7" s="1"/>
  <c r="T185" i="7"/>
  <c r="V185" i="7"/>
  <c r="W185" i="7"/>
  <c r="X185" i="7"/>
  <c r="Y185" i="7"/>
  <c r="T186" i="7"/>
  <c r="V186" i="7"/>
  <c r="W186" i="7"/>
  <c r="X186" i="7"/>
  <c r="Y186" i="7"/>
  <c r="T187" i="7"/>
  <c r="V187" i="7"/>
  <c r="W187" i="7"/>
  <c r="X187" i="7"/>
  <c r="Y187" i="7"/>
  <c r="Z187" i="7" s="1"/>
  <c r="T188" i="7"/>
  <c r="V188" i="7"/>
  <c r="W188" i="7"/>
  <c r="X188" i="7"/>
  <c r="Y188" i="7"/>
  <c r="T189" i="7"/>
  <c r="V189" i="7"/>
  <c r="W189" i="7"/>
  <c r="X189" i="7"/>
  <c r="Y189" i="7"/>
  <c r="T190" i="7"/>
  <c r="V190" i="7"/>
  <c r="W190" i="7"/>
  <c r="X190" i="7"/>
  <c r="Y190" i="7"/>
  <c r="Z190" i="7" s="1"/>
  <c r="T191" i="7"/>
  <c r="V191" i="7"/>
  <c r="W191" i="7"/>
  <c r="X191" i="7"/>
  <c r="Y191" i="7"/>
  <c r="T192" i="7"/>
  <c r="V192" i="7"/>
  <c r="W192" i="7"/>
  <c r="X192" i="7"/>
  <c r="Z192" i="7" s="1"/>
  <c r="Y192" i="7"/>
  <c r="T193" i="7"/>
  <c r="V193" i="7"/>
  <c r="W193" i="7"/>
  <c r="X193" i="7"/>
  <c r="Y193" i="7"/>
  <c r="T194" i="7"/>
  <c r="V194" i="7"/>
  <c r="W194" i="7"/>
  <c r="X194" i="7"/>
  <c r="Y194" i="7"/>
  <c r="T195" i="7"/>
  <c r="V195" i="7"/>
  <c r="W195" i="7"/>
  <c r="X195" i="7"/>
  <c r="Y195" i="7"/>
  <c r="T196" i="7"/>
  <c r="V196" i="7"/>
  <c r="W196" i="7"/>
  <c r="X196" i="7"/>
  <c r="Z196" i="7" s="1"/>
  <c r="Y196" i="7"/>
  <c r="T197" i="7"/>
  <c r="V197" i="7"/>
  <c r="W197" i="7"/>
  <c r="X197" i="7"/>
  <c r="Y197" i="7"/>
  <c r="Z197" i="7" s="1"/>
  <c r="T198" i="7"/>
  <c r="V198" i="7"/>
  <c r="W198" i="7"/>
  <c r="X198" i="7"/>
  <c r="Y198" i="7"/>
  <c r="T199" i="7"/>
  <c r="V199" i="7"/>
  <c r="W199" i="7"/>
  <c r="X199" i="7"/>
  <c r="Y199" i="7"/>
  <c r="T200" i="7"/>
  <c r="V200" i="7"/>
  <c r="W200" i="7"/>
  <c r="X200" i="7"/>
  <c r="Y200" i="7"/>
  <c r="T201" i="7"/>
  <c r="V201" i="7"/>
  <c r="W201" i="7"/>
  <c r="X201" i="7"/>
  <c r="Y201" i="7"/>
  <c r="T202" i="7"/>
  <c r="V202" i="7"/>
  <c r="W202" i="7"/>
  <c r="X202" i="7"/>
  <c r="Y202" i="7"/>
  <c r="T203" i="7"/>
  <c r="V203" i="7"/>
  <c r="W203" i="7"/>
  <c r="X203" i="7"/>
  <c r="Y203" i="7"/>
  <c r="T204" i="7"/>
  <c r="V204" i="7"/>
  <c r="W204" i="7"/>
  <c r="X204" i="7"/>
  <c r="Y204" i="7"/>
  <c r="T205" i="7"/>
  <c r="V205" i="7"/>
  <c r="W205" i="7"/>
  <c r="X205" i="7"/>
  <c r="Y205" i="7"/>
  <c r="T206" i="7"/>
  <c r="V206" i="7"/>
  <c r="W206" i="7"/>
  <c r="X206" i="7"/>
  <c r="Y206" i="7"/>
  <c r="T207" i="7"/>
  <c r="V207" i="7"/>
  <c r="W207" i="7"/>
  <c r="X207" i="7"/>
  <c r="Y207" i="7"/>
  <c r="Z207" i="7" s="1"/>
  <c r="T208" i="7"/>
  <c r="V208" i="7"/>
  <c r="W208" i="7"/>
  <c r="X208" i="7"/>
  <c r="Y208" i="7"/>
  <c r="T209" i="7"/>
  <c r="V209" i="7"/>
  <c r="W209" i="7"/>
  <c r="X209" i="7"/>
  <c r="Y209" i="7"/>
  <c r="T210" i="7"/>
  <c r="V210" i="7"/>
  <c r="W210" i="7"/>
  <c r="X210" i="7"/>
  <c r="Y210" i="7"/>
  <c r="T211" i="7"/>
  <c r="V211" i="7"/>
  <c r="W211" i="7"/>
  <c r="X211" i="7"/>
  <c r="Y211" i="7"/>
  <c r="Z211" i="7"/>
  <c r="T212" i="7"/>
  <c r="V212" i="7"/>
  <c r="W212" i="7"/>
  <c r="X212" i="7"/>
  <c r="Y212" i="7"/>
  <c r="T213" i="7"/>
  <c r="V213" i="7"/>
  <c r="W213" i="7"/>
  <c r="X213" i="7"/>
  <c r="Y213" i="7"/>
  <c r="T214" i="7"/>
  <c r="V214" i="7"/>
  <c r="W214" i="7"/>
  <c r="X214" i="7"/>
  <c r="Y214" i="7"/>
  <c r="T215" i="7"/>
  <c r="V215" i="7"/>
  <c r="W215" i="7"/>
  <c r="X215" i="7"/>
  <c r="Y215" i="7"/>
  <c r="Z215" i="7"/>
  <c r="T216" i="7"/>
  <c r="V216" i="7"/>
  <c r="W216" i="7"/>
  <c r="X216" i="7"/>
  <c r="Y216" i="7"/>
  <c r="T217" i="7"/>
  <c r="V217" i="7"/>
  <c r="W217" i="7"/>
  <c r="X217" i="7"/>
  <c r="Y217" i="7"/>
  <c r="T218" i="7"/>
  <c r="V218" i="7"/>
  <c r="W218" i="7"/>
  <c r="X218" i="7"/>
  <c r="Y218" i="7"/>
  <c r="Z218" i="7"/>
  <c r="T219" i="7"/>
  <c r="V219" i="7"/>
  <c r="W219" i="7"/>
  <c r="X219" i="7"/>
  <c r="Y219" i="7"/>
  <c r="Z219" i="7" s="1"/>
  <c r="T220" i="7"/>
  <c r="V220" i="7"/>
  <c r="W220" i="7"/>
  <c r="X220" i="7"/>
  <c r="Y220" i="7"/>
  <c r="Z220" i="7"/>
  <c r="T221" i="7"/>
  <c r="V221" i="7"/>
  <c r="W221" i="7"/>
  <c r="X221" i="7"/>
  <c r="Y221" i="7"/>
  <c r="T222" i="7"/>
  <c r="V222" i="7"/>
  <c r="W222" i="7"/>
  <c r="X222" i="7"/>
  <c r="Y222" i="7"/>
  <c r="T223" i="7"/>
  <c r="V223" i="7"/>
  <c r="W223" i="7"/>
  <c r="X223" i="7"/>
  <c r="Y223" i="7"/>
  <c r="T224" i="7"/>
  <c r="V224" i="7"/>
  <c r="W224" i="7"/>
  <c r="X224" i="7"/>
  <c r="Y224" i="7"/>
  <c r="T225" i="7"/>
  <c r="V225" i="7"/>
  <c r="W225" i="7"/>
  <c r="X225" i="7"/>
  <c r="Y225" i="7"/>
  <c r="T226" i="7"/>
  <c r="V226" i="7"/>
  <c r="W226" i="7"/>
  <c r="X226" i="7"/>
  <c r="Y226" i="7"/>
  <c r="T227" i="7"/>
  <c r="V227" i="7"/>
  <c r="W227" i="7"/>
  <c r="X227" i="7"/>
  <c r="Y227" i="7"/>
  <c r="Z227" i="7"/>
  <c r="T228" i="7"/>
  <c r="V228" i="7"/>
  <c r="W228" i="7"/>
  <c r="X228" i="7"/>
  <c r="Y228" i="7"/>
  <c r="Z228" i="7" s="1"/>
  <c r="T229" i="7"/>
  <c r="V229" i="7"/>
  <c r="W229" i="7"/>
  <c r="X229" i="7"/>
  <c r="Z229" i="7" s="1"/>
  <c r="Y229" i="7"/>
  <c r="T230" i="7"/>
  <c r="V230" i="7"/>
  <c r="W230" i="7"/>
  <c r="X230" i="7"/>
  <c r="Y230" i="7"/>
  <c r="T231" i="7"/>
  <c r="V231" i="7"/>
  <c r="W231" i="7"/>
  <c r="X231" i="7"/>
  <c r="Z231" i="7" s="1"/>
  <c r="Y231" i="7"/>
  <c r="T232" i="7"/>
  <c r="V232" i="7"/>
  <c r="W232" i="7"/>
  <c r="X232" i="7"/>
  <c r="Y232" i="7"/>
  <c r="Z232" i="7" s="1"/>
  <c r="T233" i="7"/>
  <c r="V233" i="7"/>
  <c r="W233" i="7"/>
  <c r="X233" i="7"/>
  <c r="Y233" i="7"/>
  <c r="T234" i="7"/>
  <c r="V234" i="7"/>
  <c r="W234" i="7"/>
  <c r="X234" i="7"/>
  <c r="Y234" i="7"/>
  <c r="Z234" i="7" s="1"/>
  <c r="T235" i="7"/>
  <c r="V235" i="7"/>
  <c r="W235" i="7"/>
  <c r="X235" i="7"/>
  <c r="Y235" i="7"/>
  <c r="Z235" i="7" s="1"/>
  <c r="T236" i="7"/>
  <c r="V236" i="7"/>
  <c r="W236" i="7"/>
  <c r="X236" i="7"/>
  <c r="Y236" i="7"/>
  <c r="T237" i="7"/>
  <c r="V237" i="7"/>
  <c r="W237" i="7"/>
  <c r="X237" i="7"/>
  <c r="Y237" i="7"/>
  <c r="T238" i="7"/>
  <c r="V238" i="7"/>
  <c r="W238" i="7"/>
  <c r="X238" i="7"/>
  <c r="Y238" i="7"/>
  <c r="T239" i="7"/>
  <c r="V239" i="7"/>
  <c r="W239" i="7"/>
  <c r="X239" i="7"/>
  <c r="Y239" i="7"/>
  <c r="T240" i="7"/>
  <c r="V240" i="7"/>
  <c r="W240" i="7"/>
  <c r="X240" i="7"/>
  <c r="Y240" i="7"/>
  <c r="T241" i="7"/>
  <c r="V241" i="7"/>
  <c r="W241" i="7"/>
  <c r="X241" i="7"/>
  <c r="Z241" i="7" s="1"/>
  <c r="Y241" i="7"/>
  <c r="T242" i="7"/>
  <c r="V242" i="7"/>
  <c r="W242" i="7"/>
  <c r="X242" i="7"/>
  <c r="Y242" i="7"/>
  <c r="T243" i="7"/>
  <c r="V243" i="7"/>
  <c r="W243" i="7"/>
  <c r="X243" i="7"/>
  <c r="Y243" i="7"/>
  <c r="T244" i="7"/>
  <c r="V244" i="7"/>
  <c r="W244" i="7"/>
  <c r="X244" i="7"/>
  <c r="Y244" i="7"/>
  <c r="T245" i="7"/>
  <c r="V245" i="7"/>
  <c r="W245" i="7"/>
  <c r="X245" i="7"/>
  <c r="Y245" i="7"/>
  <c r="T246" i="7"/>
  <c r="V246" i="7"/>
  <c r="W246" i="7"/>
  <c r="X246" i="7"/>
  <c r="Y246" i="7"/>
  <c r="Z246" i="7" s="1"/>
  <c r="T247" i="7"/>
  <c r="V247" i="7"/>
  <c r="W247" i="7"/>
  <c r="X247" i="7"/>
  <c r="Y247" i="7"/>
  <c r="Z247" i="7"/>
  <c r="T248" i="7"/>
  <c r="V248" i="7"/>
  <c r="W248" i="7"/>
  <c r="X248" i="7"/>
  <c r="Y248" i="7"/>
  <c r="T249" i="7"/>
  <c r="V249" i="7"/>
  <c r="W249" i="7"/>
  <c r="X249" i="7"/>
  <c r="Y249" i="7"/>
  <c r="T250" i="7"/>
  <c r="V250" i="7"/>
  <c r="W250" i="7"/>
  <c r="X250" i="7"/>
  <c r="Y250" i="7"/>
  <c r="T251" i="7"/>
  <c r="V251" i="7"/>
  <c r="W251" i="7"/>
  <c r="X251" i="7"/>
  <c r="Y251" i="7"/>
  <c r="T252" i="7"/>
  <c r="V252" i="7"/>
  <c r="W252" i="7"/>
  <c r="X252" i="7"/>
  <c r="Y252" i="7"/>
  <c r="T253" i="7"/>
  <c r="V253" i="7"/>
  <c r="W253" i="7"/>
  <c r="X253" i="7"/>
  <c r="Y253" i="7"/>
  <c r="T254" i="7"/>
  <c r="V254" i="7"/>
  <c r="W254" i="7"/>
  <c r="X254" i="7"/>
  <c r="Y254" i="7"/>
  <c r="T255" i="7"/>
  <c r="V255" i="7"/>
  <c r="W255" i="7"/>
  <c r="X255" i="7"/>
  <c r="Y255" i="7"/>
  <c r="T256" i="7"/>
  <c r="V256" i="7"/>
  <c r="W256" i="7"/>
  <c r="X256" i="7"/>
  <c r="Y256" i="7"/>
  <c r="T257" i="7"/>
  <c r="V257" i="7"/>
  <c r="W257" i="7"/>
  <c r="X257" i="7"/>
  <c r="Y257" i="7"/>
  <c r="T258" i="7"/>
  <c r="V258" i="7"/>
  <c r="W258" i="7"/>
  <c r="X258" i="7"/>
  <c r="Y258" i="7"/>
  <c r="T259" i="7"/>
  <c r="V259" i="7"/>
  <c r="W259" i="7"/>
  <c r="X259" i="7"/>
  <c r="Y259" i="7"/>
  <c r="T260" i="7"/>
  <c r="V260" i="7"/>
  <c r="W260" i="7"/>
  <c r="X260" i="7"/>
  <c r="Y260" i="7"/>
  <c r="T261" i="7"/>
  <c r="V261" i="7"/>
  <c r="W261" i="7"/>
  <c r="X261" i="7"/>
  <c r="Y261" i="7"/>
  <c r="T262" i="7"/>
  <c r="V262" i="7"/>
  <c r="W262" i="7"/>
  <c r="X262" i="7"/>
  <c r="Y262" i="7"/>
  <c r="Z262" i="7"/>
  <c r="T263" i="7"/>
  <c r="V263" i="7"/>
  <c r="W263" i="7"/>
  <c r="X263" i="7"/>
  <c r="Y263" i="7"/>
  <c r="T264" i="7"/>
  <c r="V264" i="7"/>
  <c r="W264" i="7"/>
  <c r="X264" i="7"/>
  <c r="Y264" i="7"/>
  <c r="T265" i="7"/>
  <c r="V265" i="7"/>
  <c r="W265" i="7"/>
  <c r="X265" i="7"/>
  <c r="Y265" i="7"/>
  <c r="T266" i="7"/>
  <c r="V266" i="7"/>
  <c r="W266" i="7"/>
  <c r="X266" i="7"/>
  <c r="Y266" i="7"/>
  <c r="T267" i="7"/>
  <c r="V267" i="7"/>
  <c r="W267" i="7"/>
  <c r="X267" i="7"/>
  <c r="Y267" i="7"/>
  <c r="T268" i="7"/>
  <c r="V268" i="7"/>
  <c r="W268" i="7"/>
  <c r="X268" i="7"/>
  <c r="Y268" i="7"/>
  <c r="T269" i="7"/>
  <c r="V269" i="7"/>
  <c r="W269" i="7"/>
  <c r="X269" i="7"/>
  <c r="Y269" i="7"/>
  <c r="Z269" i="7" s="1"/>
  <c r="T270" i="7"/>
  <c r="V270" i="7"/>
  <c r="W270" i="7"/>
  <c r="X270" i="7"/>
  <c r="Y270" i="7"/>
  <c r="Z270" i="7" s="1"/>
  <c r="T271" i="7"/>
  <c r="V271" i="7"/>
  <c r="W271" i="7"/>
  <c r="X271" i="7"/>
  <c r="Y271" i="7"/>
  <c r="T272" i="7"/>
  <c r="V272" i="7"/>
  <c r="W272" i="7"/>
  <c r="X272" i="7"/>
  <c r="Y272" i="7"/>
  <c r="Z272" i="7" s="1"/>
  <c r="T273" i="7"/>
  <c r="V273" i="7"/>
  <c r="W273" i="7"/>
  <c r="X273" i="7"/>
  <c r="Y273" i="7"/>
  <c r="T274" i="7"/>
  <c r="V274" i="7"/>
  <c r="W274" i="7"/>
  <c r="X274" i="7"/>
  <c r="Y274" i="7"/>
  <c r="T275" i="7"/>
  <c r="V275" i="7"/>
  <c r="W275" i="7"/>
  <c r="X275" i="7"/>
  <c r="Y275" i="7"/>
  <c r="Z275" i="7" s="1"/>
  <c r="T276" i="7"/>
  <c r="V276" i="7"/>
  <c r="W276" i="7"/>
  <c r="X276" i="7"/>
  <c r="Y276" i="7"/>
  <c r="T277" i="7"/>
  <c r="V277" i="7"/>
  <c r="W277" i="7"/>
  <c r="X277" i="7"/>
  <c r="Y277" i="7"/>
  <c r="T278" i="7"/>
  <c r="V278" i="7"/>
  <c r="W278" i="7"/>
  <c r="X278" i="7"/>
  <c r="Y278" i="7"/>
  <c r="T279" i="7"/>
  <c r="V279" i="7"/>
  <c r="W279" i="7"/>
  <c r="X279" i="7"/>
  <c r="Y279" i="7"/>
  <c r="Z279" i="7" s="1"/>
  <c r="T280" i="7"/>
  <c r="V280" i="7"/>
  <c r="W280" i="7"/>
  <c r="X280" i="7"/>
  <c r="Z280" i="7" s="1"/>
  <c r="Y280" i="7"/>
  <c r="T281" i="7"/>
  <c r="V281" i="7"/>
  <c r="W281" i="7"/>
  <c r="X281" i="7"/>
  <c r="Y281" i="7"/>
  <c r="Z281" i="7" s="1"/>
  <c r="T282" i="7"/>
  <c r="V282" i="7"/>
  <c r="W282" i="7"/>
  <c r="X282" i="7"/>
  <c r="Y282" i="7"/>
  <c r="Z282" i="7" s="1"/>
  <c r="T283" i="7"/>
  <c r="V283" i="7"/>
  <c r="W283" i="7"/>
  <c r="X283" i="7"/>
  <c r="Y283" i="7"/>
  <c r="T284" i="7"/>
  <c r="V284" i="7"/>
  <c r="W284" i="7"/>
  <c r="X284" i="7"/>
  <c r="Y284" i="7"/>
  <c r="T285" i="7"/>
  <c r="V285" i="7"/>
  <c r="W285" i="7"/>
  <c r="X285" i="7"/>
  <c r="Y285" i="7"/>
  <c r="Z285" i="7" s="1"/>
  <c r="T286" i="7"/>
  <c r="V286" i="7"/>
  <c r="W286" i="7"/>
  <c r="X286" i="7"/>
  <c r="Y286" i="7"/>
  <c r="Z286" i="7" s="1"/>
  <c r="T287" i="7"/>
  <c r="V287" i="7"/>
  <c r="W287" i="7"/>
  <c r="X287" i="7"/>
  <c r="Y287" i="7"/>
  <c r="T288" i="7"/>
  <c r="V288" i="7"/>
  <c r="W288" i="7"/>
  <c r="X288" i="7"/>
  <c r="Y288" i="7"/>
  <c r="T289" i="7"/>
  <c r="V289" i="7"/>
  <c r="W289" i="7"/>
  <c r="X289" i="7"/>
  <c r="Y289" i="7"/>
  <c r="T290" i="7"/>
  <c r="V290" i="7"/>
  <c r="W290" i="7"/>
  <c r="X290" i="7"/>
  <c r="Y290" i="7"/>
  <c r="T291" i="7"/>
  <c r="V291" i="7"/>
  <c r="W291" i="7"/>
  <c r="X291" i="7"/>
  <c r="Y291" i="7"/>
  <c r="T292" i="7"/>
  <c r="V292" i="7"/>
  <c r="W292" i="7"/>
  <c r="X292" i="7"/>
  <c r="Y292" i="7"/>
  <c r="T293" i="7"/>
  <c r="V293" i="7"/>
  <c r="Z293" i="7" s="1"/>
  <c r="W293" i="7"/>
  <c r="X293" i="7"/>
  <c r="Y293" i="7"/>
  <c r="T294" i="7"/>
  <c r="V294" i="7"/>
  <c r="W294" i="7"/>
  <c r="X294" i="7"/>
  <c r="Y294" i="7"/>
  <c r="T295" i="7"/>
  <c r="V295" i="7"/>
  <c r="W295" i="7"/>
  <c r="X295" i="7"/>
  <c r="Y295" i="7"/>
  <c r="Z295" i="7" s="1"/>
  <c r="T296" i="7"/>
  <c r="V296" i="7"/>
  <c r="W296" i="7"/>
  <c r="X296" i="7"/>
  <c r="Y296" i="7"/>
  <c r="T297" i="7"/>
  <c r="V297" i="7"/>
  <c r="W297" i="7"/>
  <c r="X297" i="7"/>
  <c r="Y297" i="7"/>
  <c r="T298" i="7"/>
  <c r="V298" i="7"/>
  <c r="W298" i="7"/>
  <c r="X298" i="7"/>
  <c r="Z298" i="7" s="1"/>
  <c r="Y298" i="7"/>
  <c r="T299" i="7"/>
  <c r="V299" i="7"/>
  <c r="W299" i="7"/>
  <c r="X299" i="7"/>
  <c r="Y299" i="7"/>
  <c r="T300" i="7"/>
  <c r="V300" i="7"/>
  <c r="W300" i="7"/>
  <c r="X300" i="7"/>
  <c r="Z300" i="7" s="1"/>
  <c r="Y300" i="7"/>
  <c r="T301" i="7"/>
  <c r="V301" i="7"/>
  <c r="W301" i="7"/>
  <c r="X301" i="7"/>
  <c r="Y301" i="7"/>
  <c r="T302" i="7"/>
  <c r="V302" i="7"/>
  <c r="W302" i="7"/>
  <c r="X302" i="7"/>
  <c r="Y302" i="7"/>
  <c r="T303" i="7"/>
  <c r="V303" i="7"/>
  <c r="W303" i="7"/>
  <c r="Z303" i="7" s="1"/>
  <c r="X303" i="7"/>
  <c r="Y303" i="7"/>
  <c r="T304" i="7"/>
  <c r="V304" i="7"/>
  <c r="W304" i="7"/>
  <c r="X304" i="7"/>
  <c r="Y304" i="7"/>
  <c r="Z304" i="7" s="1"/>
  <c r="T305" i="7"/>
  <c r="V305" i="7"/>
  <c r="W305" i="7"/>
  <c r="X305" i="7"/>
  <c r="Y305" i="7"/>
  <c r="T306" i="7"/>
  <c r="V306" i="7"/>
  <c r="W306" i="7"/>
  <c r="X306" i="7"/>
  <c r="Y306" i="7"/>
  <c r="Z306" i="7" s="1"/>
  <c r="T307" i="7"/>
  <c r="V307" i="7"/>
  <c r="W307" i="7"/>
  <c r="X307" i="7"/>
  <c r="Y307" i="7"/>
  <c r="Z307" i="7" s="1"/>
  <c r="T308" i="7"/>
  <c r="V308" i="7"/>
  <c r="W308" i="7"/>
  <c r="X308" i="7"/>
  <c r="Y308" i="7"/>
  <c r="T309" i="7"/>
  <c r="V309" i="7"/>
  <c r="W309" i="7"/>
  <c r="X309" i="7"/>
  <c r="Y309" i="7"/>
  <c r="T310" i="7"/>
  <c r="V310" i="7"/>
  <c r="W310" i="7"/>
  <c r="X310" i="7"/>
  <c r="Y310" i="7"/>
  <c r="T311" i="7"/>
  <c r="V311" i="7"/>
  <c r="W311" i="7"/>
  <c r="X311" i="7"/>
  <c r="Y311" i="7"/>
  <c r="T312" i="7"/>
  <c r="V312" i="7"/>
  <c r="W312" i="7"/>
  <c r="X312" i="7"/>
  <c r="Y312" i="7"/>
  <c r="T313" i="7"/>
  <c r="V313" i="7"/>
  <c r="W313" i="7"/>
  <c r="X313" i="7"/>
  <c r="Y313" i="7"/>
  <c r="Z313" i="7" s="1"/>
  <c r="T314" i="7"/>
  <c r="V314" i="7"/>
  <c r="W314" i="7"/>
  <c r="X314" i="7"/>
  <c r="Y314" i="7"/>
  <c r="T315" i="7"/>
  <c r="V315" i="7"/>
  <c r="W315" i="7"/>
  <c r="X315" i="7"/>
  <c r="Y315" i="7"/>
  <c r="T316" i="7"/>
  <c r="V316" i="7"/>
  <c r="W316" i="7"/>
  <c r="X316" i="7"/>
  <c r="Y316" i="7"/>
  <c r="T317" i="7"/>
  <c r="V317" i="7"/>
  <c r="W317" i="7"/>
  <c r="X317" i="7"/>
  <c r="Y317" i="7"/>
  <c r="Y7" i="7"/>
  <c r="X7" i="7"/>
  <c r="V7" i="7"/>
  <c r="T7" i="7"/>
  <c r="U318" i="7"/>
  <c r="L223" i="7"/>
  <c r="L98" i="7"/>
  <c r="J318" i="7"/>
  <c r="G318" i="7"/>
  <c r="L316" i="7"/>
  <c r="AA316" i="7" s="1"/>
  <c r="L317" i="7"/>
  <c r="AA317" i="7" s="1"/>
  <c r="L308" i="7"/>
  <c r="AA308" i="7" s="1"/>
  <c r="L309" i="7"/>
  <c r="AA309" i="7" s="1"/>
  <c r="L310" i="7"/>
  <c r="AA310" i="7" s="1"/>
  <c r="L311" i="7"/>
  <c r="AA311" i="7" s="1"/>
  <c r="L312" i="7"/>
  <c r="AA312" i="7" s="1"/>
  <c r="L313" i="7"/>
  <c r="AA313" i="7" s="1"/>
  <c r="L314" i="7"/>
  <c r="AA314" i="7" s="1"/>
  <c r="L315" i="7"/>
  <c r="AA315" i="7" s="1"/>
  <c r="P308" i="7"/>
  <c r="P309" i="7"/>
  <c r="P310" i="7"/>
  <c r="P311" i="7"/>
  <c r="P312" i="7"/>
  <c r="P313" i="7"/>
  <c r="Q313" i="7" s="1"/>
  <c r="P314" i="7"/>
  <c r="P315" i="7"/>
  <c r="P316" i="7"/>
  <c r="Q316" i="7" s="1"/>
  <c r="E305" i="1"/>
  <c r="O318" i="7"/>
  <c r="N318" i="7"/>
  <c r="M318" i="7"/>
  <c r="K318" i="7"/>
  <c r="I318" i="7"/>
  <c r="H318" i="7"/>
  <c r="P307" i="7"/>
  <c r="L307" i="7"/>
  <c r="AA307" i="7" s="1"/>
  <c r="P306" i="7"/>
  <c r="L306" i="7"/>
  <c r="AA306" i="7" s="1"/>
  <c r="P305" i="7"/>
  <c r="L305" i="7"/>
  <c r="AA305" i="7" s="1"/>
  <c r="P304" i="7"/>
  <c r="L304" i="7"/>
  <c r="AA304" i="7" s="1"/>
  <c r="P303" i="7"/>
  <c r="L303" i="7"/>
  <c r="AA303" i="7" s="1"/>
  <c r="P302" i="7"/>
  <c r="L302" i="7"/>
  <c r="AA302" i="7" s="1"/>
  <c r="P301" i="7"/>
  <c r="L301" i="7"/>
  <c r="AA301" i="7" s="1"/>
  <c r="P300" i="7"/>
  <c r="L300" i="7"/>
  <c r="AA300" i="7" s="1"/>
  <c r="P299" i="7"/>
  <c r="L299" i="7"/>
  <c r="AA299" i="7" s="1"/>
  <c r="P298" i="7"/>
  <c r="L298" i="7"/>
  <c r="AA298" i="7" s="1"/>
  <c r="P297" i="7"/>
  <c r="L297" i="7"/>
  <c r="AA297" i="7" s="1"/>
  <c r="P296" i="7"/>
  <c r="L296" i="7"/>
  <c r="AA296" i="7" s="1"/>
  <c r="P295" i="7"/>
  <c r="L295" i="7"/>
  <c r="AA295" i="7" s="1"/>
  <c r="P294" i="7"/>
  <c r="L294" i="7"/>
  <c r="AA294" i="7" s="1"/>
  <c r="P293" i="7"/>
  <c r="L293" i="7"/>
  <c r="AA293" i="7" s="1"/>
  <c r="P292" i="7"/>
  <c r="L292" i="7"/>
  <c r="AA292" i="7" s="1"/>
  <c r="P291" i="7"/>
  <c r="L291" i="7"/>
  <c r="AA291" i="7" s="1"/>
  <c r="P290" i="7"/>
  <c r="L290" i="7"/>
  <c r="AA290" i="7" s="1"/>
  <c r="P289" i="7"/>
  <c r="L289" i="7"/>
  <c r="AA289" i="7" s="1"/>
  <c r="P288" i="7"/>
  <c r="L288" i="7"/>
  <c r="AA288" i="7" s="1"/>
  <c r="P287" i="7"/>
  <c r="L287" i="7"/>
  <c r="AA287" i="7" s="1"/>
  <c r="P286" i="7"/>
  <c r="L286" i="7"/>
  <c r="AA286" i="7" s="1"/>
  <c r="P285" i="7"/>
  <c r="L285" i="7"/>
  <c r="AA285" i="7" s="1"/>
  <c r="P284" i="7"/>
  <c r="L284" i="7"/>
  <c r="AA284" i="7" s="1"/>
  <c r="P283" i="7"/>
  <c r="L283" i="7"/>
  <c r="AA283" i="7" s="1"/>
  <c r="P282" i="7"/>
  <c r="L282" i="7"/>
  <c r="AA282" i="7" s="1"/>
  <c r="P281" i="7"/>
  <c r="L281" i="7"/>
  <c r="AA281" i="7" s="1"/>
  <c r="P280" i="7"/>
  <c r="L280" i="7"/>
  <c r="AA280" i="7" s="1"/>
  <c r="P279" i="7"/>
  <c r="L279" i="7"/>
  <c r="AA279" i="7" s="1"/>
  <c r="P278" i="7"/>
  <c r="L278" i="7"/>
  <c r="AA278" i="7" s="1"/>
  <c r="P277" i="7"/>
  <c r="L277" i="7"/>
  <c r="AA277" i="7" s="1"/>
  <c r="P276" i="7"/>
  <c r="L276" i="7"/>
  <c r="AA276" i="7" s="1"/>
  <c r="P275" i="7"/>
  <c r="L275" i="7"/>
  <c r="AA275" i="7" s="1"/>
  <c r="P274" i="7"/>
  <c r="L274" i="7"/>
  <c r="AA274" i="7" s="1"/>
  <c r="P273" i="7"/>
  <c r="L273" i="7"/>
  <c r="AA273" i="7" s="1"/>
  <c r="P272" i="7"/>
  <c r="L272" i="7"/>
  <c r="AA272" i="7" s="1"/>
  <c r="P271" i="7"/>
  <c r="L271" i="7"/>
  <c r="AA271" i="7" s="1"/>
  <c r="P270" i="7"/>
  <c r="L270" i="7"/>
  <c r="AA270" i="7" s="1"/>
  <c r="P269" i="7"/>
  <c r="L269" i="7"/>
  <c r="AA269" i="7" s="1"/>
  <c r="P268" i="7"/>
  <c r="L268" i="7"/>
  <c r="AA268" i="7" s="1"/>
  <c r="P267" i="7"/>
  <c r="L267" i="7"/>
  <c r="AA267" i="7" s="1"/>
  <c r="P266" i="7"/>
  <c r="L266" i="7"/>
  <c r="AA266" i="7" s="1"/>
  <c r="P265" i="7"/>
  <c r="L265" i="7"/>
  <c r="AA265" i="7" s="1"/>
  <c r="P264" i="7"/>
  <c r="L264" i="7"/>
  <c r="AA264" i="7" s="1"/>
  <c r="P263" i="7"/>
  <c r="L263" i="7"/>
  <c r="AA263" i="7" s="1"/>
  <c r="P262" i="7"/>
  <c r="L262" i="7"/>
  <c r="AA262" i="7" s="1"/>
  <c r="P261" i="7"/>
  <c r="L261" i="7"/>
  <c r="AA261" i="7" s="1"/>
  <c r="P260" i="7"/>
  <c r="L260" i="7"/>
  <c r="AA260" i="7" s="1"/>
  <c r="P259" i="7"/>
  <c r="L259" i="7"/>
  <c r="AA259" i="7" s="1"/>
  <c r="P258" i="7"/>
  <c r="L258" i="7"/>
  <c r="AA258" i="7" s="1"/>
  <c r="P257" i="7"/>
  <c r="L257" i="7"/>
  <c r="AA257" i="7" s="1"/>
  <c r="P256" i="7"/>
  <c r="L256" i="7"/>
  <c r="AA256" i="7" s="1"/>
  <c r="P255" i="7"/>
  <c r="L255" i="7"/>
  <c r="AA255" i="7" s="1"/>
  <c r="P254" i="7"/>
  <c r="L254" i="7"/>
  <c r="AA254" i="7" s="1"/>
  <c r="P253" i="7"/>
  <c r="L253" i="7"/>
  <c r="AA253" i="7" s="1"/>
  <c r="P252" i="7"/>
  <c r="L252" i="7"/>
  <c r="AA252" i="7" s="1"/>
  <c r="P251" i="7"/>
  <c r="L251" i="7"/>
  <c r="AA251" i="7" s="1"/>
  <c r="P250" i="7"/>
  <c r="L250" i="7"/>
  <c r="AA250" i="7" s="1"/>
  <c r="P249" i="7"/>
  <c r="L249" i="7"/>
  <c r="AA249" i="7" s="1"/>
  <c r="P248" i="7"/>
  <c r="L248" i="7"/>
  <c r="AA248" i="7" s="1"/>
  <c r="P247" i="7"/>
  <c r="L247" i="7"/>
  <c r="AA247" i="7" s="1"/>
  <c r="P246" i="7"/>
  <c r="L246" i="7"/>
  <c r="AA246" i="7" s="1"/>
  <c r="P245" i="7"/>
  <c r="L245" i="7"/>
  <c r="AA245" i="7" s="1"/>
  <c r="P244" i="7"/>
  <c r="L244" i="7"/>
  <c r="AA244" i="7" s="1"/>
  <c r="P243" i="7"/>
  <c r="L243" i="7"/>
  <c r="AA243" i="7" s="1"/>
  <c r="P242" i="7"/>
  <c r="L242" i="7"/>
  <c r="AA242" i="7" s="1"/>
  <c r="P241" i="7"/>
  <c r="L241" i="7"/>
  <c r="AA241" i="7" s="1"/>
  <c r="P240" i="7"/>
  <c r="L240" i="7"/>
  <c r="AA240" i="7" s="1"/>
  <c r="P239" i="7"/>
  <c r="L239" i="7"/>
  <c r="AA239" i="7" s="1"/>
  <c r="P238" i="7"/>
  <c r="L238" i="7"/>
  <c r="AA238" i="7" s="1"/>
  <c r="P237" i="7"/>
  <c r="L237" i="7"/>
  <c r="AA237" i="7" s="1"/>
  <c r="P236" i="7"/>
  <c r="L236" i="7"/>
  <c r="AA236" i="7" s="1"/>
  <c r="P235" i="7"/>
  <c r="L235" i="7"/>
  <c r="AA235" i="7" s="1"/>
  <c r="P234" i="7"/>
  <c r="L234" i="7"/>
  <c r="AA234" i="7" s="1"/>
  <c r="P233" i="7"/>
  <c r="L233" i="7"/>
  <c r="AA233" i="7" s="1"/>
  <c r="P232" i="7"/>
  <c r="L232" i="7"/>
  <c r="AA232" i="7" s="1"/>
  <c r="P231" i="7"/>
  <c r="L231" i="7"/>
  <c r="AA231" i="7" s="1"/>
  <c r="P230" i="7"/>
  <c r="L230" i="7"/>
  <c r="AA230" i="7" s="1"/>
  <c r="P229" i="7"/>
  <c r="L229" i="7"/>
  <c r="AA229" i="7" s="1"/>
  <c r="P228" i="7"/>
  <c r="L228" i="7"/>
  <c r="AA228" i="7" s="1"/>
  <c r="P227" i="7"/>
  <c r="L227" i="7"/>
  <c r="AA227" i="7" s="1"/>
  <c r="P226" i="7"/>
  <c r="L226" i="7"/>
  <c r="AA226" i="7" s="1"/>
  <c r="P225" i="7"/>
  <c r="L225" i="7"/>
  <c r="AA225" i="7" s="1"/>
  <c r="P224" i="7"/>
  <c r="L224" i="7"/>
  <c r="AA224" i="7" s="1"/>
  <c r="P222" i="7"/>
  <c r="L222" i="7"/>
  <c r="AA222" i="7" s="1"/>
  <c r="P221" i="7"/>
  <c r="L221" i="7"/>
  <c r="AA221" i="7" s="1"/>
  <c r="P220" i="7"/>
  <c r="L220" i="7"/>
  <c r="AA220" i="7" s="1"/>
  <c r="P219" i="7"/>
  <c r="L219" i="7"/>
  <c r="AA219" i="7" s="1"/>
  <c r="P218" i="7"/>
  <c r="L218" i="7"/>
  <c r="AA218" i="7" s="1"/>
  <c r="P217" i="7"/>
  <c r="L217" i="7"/>
  <c r="AA217" i="7" s="1"/>
  <c r="P216" i="7"/>
  <c r="L216" i="7"/>
  <c r="AA216" i="7" s="1"/>
  <c r="P215" i="7"/>
  <c r="L215" i="7"/>
  <c r="AA215" i="7" s="1"/>
  <c r="P214" i="7"/>
  <c r="L214" i="7"/>
  <c r="AA214" i="7" s="1"/>
  <c r="P213" i="7"/>
  <c r="L213" i="7"/>
  <c r="AA213" i="7" s="1"/>
  <c r="P212" i="7"/>
  <c r="L212" i="7"/>
  <c r="AA212" i="7" s="1"/>
  <c r="P211" i="7"/>
  <c r="L211" i="7"/>
  <c r="AA211" i="7" s="1"/>
  <c r="P210" i="7"/>
  <c r="L210" i="7"/>
  <c r="AA210" i="7" s="1"/>
  <c r="P209" i="7"/>
  <c r="L209" i="7"/>
  <c r="AA209" i="7" s="1"/>
  <c r="P208" i="7"/>
  <c r="L208" i="7"/>
  <c r="AA208" i="7" s="1"/>
  <c r="P207" i="7"/>
  <c r="L207" i="7"/>
  <c r="AA207" i="7" s="1"/>
  <c r="P206" i="7"/>
  <c r="L206" i="7"/>
  <c r="AA206" i="7" s="1"/>
  <c r="P205" i="7"/>
  <c r="L205" i="7"/>
  <c r="AA205" i="7" s="1"/>
  <c r="P204" i="7"/>
  <c r="L204" i="7"/>
  <c r="AA204" i="7" s="1"/>
  <c r="P203" i="7"/>
  <c r="L203" i="7"/>
  <c r="AA203" i="7" s="1"/>
  <c r="P202" i="7"/>
  <c r="L202" i="7"/>
  <c r="AA202" i="7" s="1"/>
  <c r="P201" i="7"/>
  <c r="L201" i="7"/>
  <c r="AA201" i="7" s="1"/>
  <c r="P200" i="7"/>
  <c r="L200" i="7"/>
  <c r="AA200" i="7" s="1"/>
  <c r="P199" i="7"/>
  <c r="L199" i="7"/>
  <c r="AA199" i="7" s="1"/>
  <c r="P198" i="7"/>
  <c r="L198" i="7"/>
  <c r="AA198" i="7" s="1"/>
  <c r="P197" i="7"/>
  <c r="L197" i="7"/>
  <c r="AA197" i="7" s="1"/>
  <c r="P196" i="7"/>
  <c r="L196" i="7"/>
  <c r="AA196" i="7" s="1"/>
  <c r="P195" i="7"/>
  <c r="L195" i="7"/>
  <c r="AA195" i="7" s="1"/>
  <c r="P194" i="7"/>
  <c r="L194" i="7"/>
  <c r="AA194" i="7" s="1"/>
  <c r="P193" i="7"/>
  <c r="L193" i="7"/>
  <c r="AA193" i="7" s="1"/>
  <c r="P192" i="7"/>
  <c r="L192" i="7"/>
  <c r="AA192" i="7" s="1"/>
  <c r="P191" i="7"/>
  <c r="L191" i="7"/>
  <c r="AA191" i="7" s="1"/>
  <c r="P190" i="7"/>
  <c r="L190" i="7"/>
  <c r="AA190" i="7" s="1"/>
  <c r="P189" i="7"/>
  <c r="L189" i="7"/>
  <c r="AA189" i="7" s="1"/>
  <c r="P188" i="7"/>
  <c r="L188" i="7"/>
  <c r="AA188" i="7" s="1"/>
  <c r="P187" i="7"/>
  <c r="L187" i="7"/>
  <c r="AA187" i="7" s="1"/>
  <c r="P186" i="7"/>
  <c r="L186" i="7"/>
  <c r="AA186" i="7" s="1"/>
  <c r="P185" i="7"/>
  <c r="L185" i="7"/>
  <c r="AA185" i="7" s="1"/>
  <c r="P184" i="7"/>
  <c r="L184" i="7"/>
  <c r="AA184" i="7" s="1"/>
  <c r="P183" i="7"/>
  <c r="L183" i="7"/>
  <c r="AA183" i="7" s="1"/>
  <c r="P182" i="7"/>
  <c r="L182" i="7"/>
  <c r="AA182" i="7" s="1"/>
  <c r="P181" i="7"/>
  <c r="L181" i="7"/>
  <c r="AA181" i="7" s="1"/>
  <c r="P180" i="7"/>
  <c r="L180" i="7"/>
  <c r="AA180" i="7" s="1"/>
  <c r="P179" i="7"/>
  <c r="L179" i="7"/>
  <c r="AA179" i="7" s="1"/>
  <c r="P178" i="7"/>
  <c r="L178" i="7"/>
  <c r="AA178" i="7" s="1"/>
  <c r="P177" i="7"/>
  <c r="L177" i="7"/>
  <c r="AA177" i="7" s="1"/>
  <c r="P176" i="7"/>
  <c r="L176" i="7"/>
  <c r="AA176" i="7" s="1"/>
  <c r="P175" i="7"/>
  <c r="L175" i="7"/>
  <c r="AA175" i="7" s="1"/>
  <c r="P174" i="7"/>
  <c r="L174" i="7"/>
  <c r="AA174" i="7" s="1"/>
  <c r="P173" i="7"/>
  <c r="L173" i="7"/>
  <c r="AA173" i="7" s="1"/>
  <c r="P172" i="7"/>
  <c r="L172" i="7"/>
  <c r="AA172" i="7" s="1"/>
  <c r="P171" i="7"/>
  <c r="L171" i="7"/>
  <c r="AA171" i="7" s="1"/>
  <c r="P170" i="7"/>
  <c r="L170" i="7"/>
  <c r="AA170" i="7" s="1"/>
  <c r="P169" i="7"/>
  <c r="L169" i="7"/>
  <c r="AA169" i="7" s="1"/>
  <c r="P168" i="7"/>
  <c r="L168" i="7"/>
  <c r="AA168" i="7" s="1"/>
  <c r="P167" i="7"/>
  <c r="L167" i="7"/>
  <c r="AA167" i="7" s="1"/>
  <c r="P166" i="7"/>
  <c r="L166" i="7"/>
  <c r="AA166" i="7" s="1"/>
  <c r="P165" i="7"/>
  <c r="L165" i="7"/>
  <c r="AA165" i="7" s="1"/>
  <c r="P164" i="7"/>
  <c r="L164" i="7"/>
  <c r="AA164" i="7" s="1"/>
  <c r="P163" i="7"/>
  <c r="L163" i="7"/>
  <c r="AA163" i="7" s="1"/>
  <c r="P162" i="7"/>
  <c r="L162" i="7"/>
  <c r="AA162" i="7" s="1"/>
  <c r="P161" i="7"/>
  <c r="L161" i="7"/>
  <c r="AA161" i="7" s="1"/>
  <c r="P160" i="7"/>
  <c r="L160" i="7"/>
  <c r="AA160" i="7" s="1"/>
  <c r="P159" i="7"/>
  <c r="L159" i="7"/>
  <c r="AA159" i="7" s="1"/>
  <c r="P158" i="7"/>
  <c r="L158" i="7"/>
  <c r="AA158" i="7" s="1"/>
  <c r="P157" i="7"/>
  <c r="L157" i="7"/>
  <c r="AA157" i="7" s="1"/>
  <c r="P156" i="7"/>
  <c r="L156" i="7"/>
  <c r="AA156" i="7" s="1"/>
  <c r="P155" i="7"/>
  <c r="L155" i="7"/>
  <c r="AA155" i="7" s="1"/>
  <c r="P154" i="7"/>
  <c r="L154" i="7"/>
  <c r="AA154" i="7" s="1"/>
  <c r="P153" i="7"/>
  <c r="L153" i="7"/>
  <c r="AA153" i="7" s="1"/>
  <c r="P152" i="7"/>
  <c r="L152" i="7"/>
  <c r="AA152" i="7" s="1"/>
  <c r="P151" i="7"/>
  <c r="L151" i="7"/>
  <c r="AA151" i="7" s="1"/>
  <c r="P150" i="7"/>
  <c r="L150" i="7"/>
  <c r="AA150" i="7" s="1"/>
  <c r="P149" i="7"/>
  <c r="L149" i="7"/>
  <c r="AA149" i="7" s="1"/>
  <c r="P148" i="7"/>
  <c r="L148" i="7"/>
  <c r="AA148" i="7" s="1"/>
  <c r="P147" i="7"/>
  <c r="L147" i="7"/>
  <c r="AA147" i="7" s="1"/>
  <c r="P146" i="7"/>
  <c r="L146" i="7"/>
  <c r="AA146" i="7" s="1"/>
  <c r="P145" i="7"/>
  <c r="L145" i="7"/>
  <c r="AA145" i="7" s="1"/>
  <c r="P144" i="7"/>
  <c r="L144" i="7"/>
  <c r="AA144" i="7" s="1"/>
  <c r="P143" i="7"/>
  <c r="L143" i="7"/>
  <c r="AA143" i="7" s="1"/>
  <c r="P142" i="7"/>
  <c r="L142" i="7"/>
  <c r="AA142" i="7" s="1"/>
  <c r="P141" i="7"/>
  <c r="L141" i="7"/>
  <c r="AA141" i="7" s="1"/>
  <c r="P140" i="7"/>
  <c r="L140" i="7"/>
  <c r="AA140" i="7" s="1"/>
  <c r="P139" i="7"/>
  <c r="L139" i="7"/>
  <c r="AA139" i="7" s="1"/>
  <c r="P138" i="7"/>
  <c r="L138" i="7"/>
  <c r="AA138" i="7" s="1"/>
  <c r="P137" i="7"/>
  <c r="L137" i="7"/>
  <c r="AA137" i="7" s="1"/>
  <c r="P136" i="7"/>
  <c r="L136" i="7"/>
  <c r="AA136" i="7" s="1"/>
  <c r="P135" i="7"/>
  <c r="L135" i="7"/>
  <c r="AA135" i="7" s="1"/>
  <c r="P134" i="7"/>
  <c r="L134" i="7"/>
  <c r="AA134" i="7" s="1"/>
  <c r="P133" i="7"/>
  <c r="L133" i="7"/>
  <c r="AA133" i="7" s="1"/>
  <c r="P132" i="7"/>
  <c r="L132" i="7"/>
  <c r="AA132" i="7" s="1"/>
  <c r="P131" i="7"/>
  <c r="L131" i="7"/>
  <c r="AA131" i="7" s="1"/>
  <c r="P130" i="7"/>
  <c r="L130" i="7"/>
  <c r="AA130" i="7" s="1"/>
  <c r="P129" i="7"/>
  <c r="L129" i="7"/>
  <c r="AA129" i="7" s="1"/>
  <c r="P128" i="7"/>
  <c r="L128" i="7"/>
  <c r="AA128" i="7" s="1"/>
  <c r="P127" i="7"/>
  <c r="L127" i="7"/>
  <c r="AA127" i="7" s="1"/>
  <c r="P126" i="7"/>
  <c r="L126" i="7"/>
  <c r="AA126" i="7" s="1"/>
  <c r="P125" i="7"/>
  <c r="L125" i="7"/>
  <c r="AA125" i="7" s="1"/>
  <c r="P124" i="7"/>
  <c r="L124" i="7"/>
  <c r="AA124" i="7" s="1"/>
  <c r="P123" i="7"/>
  <c r="L123" i="7"/>
  <c r="AA123" i="7" s="1"/>
  <c r="P122" i="7"/>
  <c r="L122" i="7"/>
  <c r="AA122" i="7" s="1"/>
  <c r="P121" i="7"/>
  <c r="L121" i="7"/>
  <c r="AA121" i="7" s="1"/>
  <c r="P120" i="7"/>
  <c r="L120" i="7"/>
  <c r="AA120" i="7" s="1"/>
  <c r="P119" i="7"/>
  <c r="L119" i="7"/>
  <c r="AA119" i="7" s="1"/>
  <c r="P118" i="7"/>
  <c r="L118" i="7"/>
  <c r="AA118" i="7" s="1"/>
  <c r="P117" i="7"/>
  <c r="L117" i="7"/>
  <c r="AA117" i="7" s="1"/>
  <c r="P116" i="7"/>
  <c r="L116" i="7"/>
  <c r="AA116" i="7" s="1"/>
  <c r="P115" i="7"/>
  <c r="L115" i="7"/>
  <c r="AA115" i="7" s="1"/>
  <c r="P114" i="7"/>
  <c r="L114" i="7"/>
  <c r="AA114" i="7" s="1"/>
  <c r="P113" i="7"/>
  <c r="L113" i="7"/>
  <c r="AA113" i="7" s="1"/>
  <c r="P112" i="7"/>
  <c r="L112" i="7"/>
  <c r="AA112" i="7" s="1"/>
  <c r="P111" i="7"/>
  <c r="L111" i="7"/>
  <c r="AA111" i="7" s="1"/>
  <c r="P110" i="7"/>
  <c r="L110" i="7"/>
  <c r="AA110" i="7" s="1"/>
  <c r="P109" i="7"/>
  <c r="L109" i="7"/>
  <c r="AA109" i="7" s="1"/>
  <c r="P108" i="7"/>
  <c r="L108" i="7"/>
  <c r="AA108" i="7" s="1"/>
  <c r="P107" i="7"/>
  <c r="L107" i="7"/>
  <c r="AA107" i="7" s="1"/>
  <c r="P106" i="7"/>
  <c r="L106" i="7"/>
  <c r="AA106" i="7" s="1"/>
  <c r="P105" i="7"/>
  <c r="L105" i="7"/>
  <c r="AA105" i="7" s="1"/>
  <c r="P104" i="7"/>
  <c r="L104" i="7"/>
  <c r="AA104" i="7" s="1"/>
  <c r="P103" i="7"/>
  <c r="L103" i="7"/>
  <c r="AA103" i="7" s="1"/>
  <c r="P102" i="7"/>
  <c r="L102" i="7"/>
  <c r="AA102" i="7" s="1"/>
  <c r="P101" i="7"/>
  <c r="L101" i="7"/>
  <c r="AA101" i="7" s="1"/>
  <c r="P100" i="7"/>
  <c r="L100" i="7"/>
  <c r="AA100" i="7" s="1"/>
  <c r="P99" i="7"/>
  <c r="L99" i="7"/>
  <c r="AA99" i="7" s="1"/>
  <c r="L97" i="7"/>
  <c r="AA97" i="7" s="1"/>
  <c r="P96" i="7"/>
  <c r="L96" i="7"/>
  <c r="AA96" i="7" s="1"/>
  <c r="P94" i="7"/>
  <c r="L94" i="7"/>
  <c r="AA94" i="7" s="1"/>
  <c r="P93" i="7"/>
  <c r="L93" i="7"/>
  <c r="AA93" i="7" s="1"/>
  <c r="P92" i="7"/>
  <c r="L92" i="7"/>
  <c r="AA92" i="7" s="1"/>
  <c r="P91" i="7"/>
  <c r="L91" i="7"/>
  <c r="AA91" i="7" s="1"/>
  <c r="P90" i="7"/>
  <c r="L90" i="7"/>
  <c r="AA90" i="7" s="1"/>
  <c r="P89" i="7"/>
  <c r="L89" i="7"/>
  <c r="AA89" i="7" s="1"/>
  <c r="P88" i="7"/>
  <c r="L88" i="7"/>
  <c r="AA88" i="7" s="1"/>
  <c r="P87" i="7"/>
  <c r="L87" i="7"/>
  <c r="AA87" i="7" s="1"/>
  <c r="P86" i="7"/>
  <c r="L86" i="7"/>
  <c r="AA86" i="7" s="1"/>
  <c r="P85" i="7"/>
  <c r="L85" i="7"/>
  <c r="AA85" i="7" s="1"/>
  <c r="P84" i="7"/>
  <c r="L84" i="7"/>
  <c r="AA84" i="7" s="1"/>
  <c r="P83" i="7"/>
  <c r="L83" i="7"/>
  <c r="AA83" i="7" s="1"/>
  <c r="P82" i="7"/>
  <c r="L82" i="7"/>
  <c r="AA82" i="7" s="1"/>
  <c r="P81" i="7"/>
  <c r="L81" i="7"/>
  <c r="AA81" i="7" s="1"/>
  <c r="P80" i="7"/>
  <c r="L80" i="7"/>
  <c r="AA80" i="7" s="1"/>
  <c r="P79" i="7"/>
  <c r="L79" i="7"/>
  <c r="AA79" i="7" s="1"/>
  <c r="P78" i="7"/>
  <c r="L78" i="7"/>
  <c r="AA78" i="7" s="1"/>
  <c r="P77" i="7"/>
  <c r="L77" i="7"/>
  <c r="AA77" i="7" s="1"/>
  <c r="P76" i="7"/>
  <c r="L76" i="7"/>
  <c r="AA76" i="7" s="1"/>
  <c r="P75" i="7"/>
  <c r="L75" i="7"/>
  <c r="AA75" i="7" s="1"/>
  <c r="P74" i="7"/>
  <c r="L74" i="7"/>
  <c r="AA74" i="7" s="1"/>
  <c r="P73" i="7"/>
  <c r="L73" i="7"/>
  <c r="AA73" i="7" s="1"/>
  <c r="P72" i="7"/>
  <c r="L72" i="7"/>
  <c r="AA72" i="7" s="1"/>
  <c r="P71" i="7"/>
  <c r="L71" i="7"/>
  <c r="AA71" i="7" s="1"/>
  <c r="P70" i="7"/>
  <c r="L70" i="7"/>
  <c r="AA70" i="7" s="1"/>
  <c r="P69" i="7"/>
  <c r="L69" i="7"/>
  <c r="AA69" i="7" s="1"/>
  <c r="P68" i="7"/>
  <c r="L68" i="7"/>
  <c r="AA68" i="7" s="1"/>
  <c r="P67" i="7"/>
  <c r="L67" i="7"/>
  <c r="AA67" i="7" s="1"/>
  <c r="P66" i="7"/>
  <c r="L66" i="7"/>
  <c r="AA66" i="7" s="1"/>
  <c r="P65" i="7"/>
  <c r="L65" i="7"/>
  <c r="AA65" i="7" s="1"/>
  <c r="P64" i="7"/>
  <c r="L64" i="7"/>
  <c r="AA64" i="7" s="1"/>
  <c r="P63" i="7"/>
  <c r="L63" i="7"/>
  <c r="AA63" i="7" s="1"/>
  <c r="P62" i="7"/>
  <c r="L62" i="7"/>
  <c r="AA62" i="7" s="1"/>
  <c r="P61" i="7"/>
  <c r="L61" i="7"/>
  <c r="AA61" i="7" s="1"/>
  <c r="P60" i="7"/>
  <c r="L60" i="7"/>
  <c r="AA60" i="7" s="1"/>
  <c r="P59" i="7"/>
  <c r="L59" i="7"/>
  <c r="AA59" i="7" s="1"/>
  <c r="P58" i="7"/>
  <c r="L58" i="7"/>
  <c r="AA58" i="7" s="1"/>
  <c r="P57" i="7"/>
  <c r="L57" i="7"/>
  <c r="AA57" i="7" s="1"/>
  <c r="P56" i="7"/>
  <c r="L56" i="7"/>
  <c r="AA56" i="7" s="1"/>
  <c r="P55" i="7"/>
  <c r="L55" i="7"/>
  <c r="AA55" i="7" s="1"/>
  <c r="P54" i="7"/>
  <c r="L54" i="7"/>
  <c r="AA54" i="7" s="1"/>
  <c r="P53" i="7"/>
  <c r="L53" i="7"/>
  <c r="AA53" i="7" s="1"/>
  <c r="P52" i="7"/>
  <c r="L52" i="7"/>
  <c r="AA52" i="7" s="1"/>
  <c r="P51" i="7"/>
  <c r="L51" i="7"/>
  <c r="AA51" i="7" s="1"/>
  <c r="P50" i="7"/>
  <c r="L50" i="7"/>
  <c r="AA50" i="7" s="1"/>
  <c r="P49" i="7"/>
  <c r="L49" i="7"/>
  <c r="AA49" i="7" s="1"/>
  <c r="P48" i="7"/>
  <c r="L48" i="7"/>
  <c r="AA48" i="7" s="1"/>
  <c r="P47" i="7"/>
  <c r="L47" i="7"/>
  <c r="AA47" i="7" s="1"/>
  <c r="P46" i="7"/>
  <c r="L46" i="7"/>
  <c r="AA46" i="7" s="1"/>
  <c r="P45" i="7"/>
  <c r="L45" i="7"/>
  <c r="AA45" i="7" s="1"/>
  <c r="P44" i="7"/>
  <c r="L44" i="7"/>
  <c r="AA44" i="7" s="1"/>
  <c r="P43" i="7"/>
  <c r="L43" i="7"/>
  <c r="AA43" i="7" s="1"/>
  <c r="P42" i="7"/>
  <c r="L42" i="7"/>
  <c r="AA42" i="7" s="1"/>
  <c r="P41" i="7"/>
  <c r="L41" i="7"/>
  <c r="AA41" i="7" s="1"/>
  <c r="P40" i="7"/>
  <c r="L40" i="7"/>
  <c r="AA40" i="7" s="1"/>
  <c r="P39" i="7"/>
  <c r="L39" i="7"/>
  <c r="AA39" i="7" s="1"/>
  <c r="P38" i="7"/>
  <c r="L38" i="7"/>
  <c r="AA38" i="7" s="1"/>
  <c r="P37" i="7"/>
  <c r="L37" i="7"/>
  <c r="AA37" i="7" s="1"/>
  <c r="P36" i="7"/>
  <c r="L36" i="7"/>
  <c r="AA36" i="7" s="1"/>
  <c r="P35" i="7"/>
  <c r="L35" i="7"/>
  <c r="AA35" i="7" s="1"/>
  <c r="P34" i="7"/>
  <c r="L34" i="7"/>
  <c r="AA34" i="7" s="1"/>
  <c r="P33" i="7"/>
  <c r="L33" i="7"/>
  <c r="AA33" i="7" s="1"/>
  <c r="P32" i="7"/>
  <c r="L32" i="7"/>
  <c r="AA32" i="7" s="1"/>
  <c r="P31" i="7"/>
  <c r="L31" i="7"/>
  <c r="AA31" i="7" s="1"/>
  <c r="P30" i="7"/>
  <c r="L30" i="7"/>
  <c r="AA30" i="7" s="1"/>
  <c r="P29" i="7"/>
  <c r="L29" i="7"/>
  <c r="AA29" i="7" s="1"/>
  <c r="P28" i="7"/>
  <c r="L28" i="7"/>
  <c r="AA28" i="7" s="1"/>
  <c r="P27" i="7"/>
  <c r="L27" i="7"/>
  <c r="AA27" i="7" s="1"/>
  <c r="P26" i="7"/>
  <c r="L26" i="7"/>
  <c r="AA26" i="7" s="1"/>
  <c r="P25" i="7"/>
  <c r="L25" i="7"/>
  <c r="AA25" i="7" s="1"/>
  <c r="P24" i="7"/>
  <c r="L24" i="7"/>
  <c r="AA24" i="7" s="1"/>
  <c r="P23" i="7"/>
  <c r="L23" i="7"/>
  <c r="AA23" i="7" s="1"/>
  <c r="P22" i="7"/>
  <c r="L22" i="7"/>
  <c r="AA22" i="7" s="1"/>
  <c r="P21" i="7"/>
  <c r="L21" i="7"/>
  <c r="AA21" i="7" s="1"/>
  <c r="P20" i="7"/>
  <c r="L20" i="7"/>
  <c r="AA20" i="7" s="1"/>
  <c r="P19" i="7"/>
  <c r="L19" i="7"/>
  <c r="AA19" i="7" s="1"/>
  <c r="P18" i="7"/>
  <c r="L18" i="7"/>
  <c r="AA18" i="7" s="1"/>
  <c r="P17" i="7"/>
  <c r="L17" i="7"/>
  <c r="AA17" i="7" s="1"/>
  <c r="P16" i="7"/>
  <c r="L16" i="7"/>
  <c r="AA16" i="7" s="1"/>
  <c r="P15" i="7"/>
  <c r="L15" i="7"/>
  <c r="AA15" i="7" s="1"/>
  <c r="P14" i="7"/>
  <c r="L14" i="7"/>
  <c r="AA14" i="7" s="1"/>
  <c r="P13" i="7"/>
  <c r="L13" i="7"/>
  <c r="AA13" i="7" s="1"/>
  <c r="P12" i="7"/>
  <c r="L12" i="7"/>
  <c r="AA12" i="7" s="1"/>
  <c r="P11" i="7"/>
  <c r="L11" i="7"/>
  <c r="AA11" i="7" s="1"/>
  <c r="P10" i="7"/>
  <c r="L10" i="7"/>
  <c r="AA10" i="7" s="1"/>
  <c r="P9" i="7"/>
  <c r="L9" i="7"/>
  <c r="AA9" i="7" s="1"/>
  <c r="P8" i="7"/>
  <c r="L8" i="7"/>
  <c r="AA8" i="7" s="1"/>
  <c r="W7" i="7"/>
  <c r="P7" i="7"/>
  <c r="L7" i="7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7" i="1"/>
  <c r="R305" i="5"/>
  <c r="M305" i="5"/>
  <c r="L305" i="5"/>
  <c r="K305" i="5"/>
  <c r="I305" i="5"/>
  <c r="H305" i="5"/>
  <c r="G305" i="5"/>
  <c r="F305" i="5"/>
  <c r="E305" i="5"/>
  <c r="V304" i="5"/>
  <c r="U304" i="5"/>
  <c r="T304" i="5"/>
  <c r="S304" i="5"/>
  <c r="Q304" i="5"/>
  <c r="N304" i="5"/>
  <c r="J304" i="5"/>
  <c r="X304" i="5" s="1"/>
  <c r="V303" i="5"/>
  <c r="U303" i="5"/>
  <c r="T303" i="5"/>
  <c r="S303" i="5"/>
  <c r="Q303" i="5"/>
  <c r="W303" i="5" s="1"/>
  <c r="N303" i="5"/>
  <c r="J303" i="5"/>
  <c r="X303" i="5" s="1"/>
  <c r="V302" i="5"/>
  <c r="U302" i="5"/>
  <c r="T302" i="5"/>
  <c r="S302" i="5"/>
  <c r="Q302" i="5"/>
  <c r="W302" i="5" s="1"/>
  <c r="N302" i="5"/>
  <c r="J302" i="5"/>
  <c r="X302" i="5" s="1"/>
  <c r="Y302" i="5" s="1"/>
  <c r="V301" i="5"/>
  <c r="U301" i="5"/>
  <c r="T301" i="5"/>
  <c r="S301" i="5"/>
  <c r="Q301" i="5"/>
  <c r="W301" i="5" s="1"/>
  <c r="N301" i="5"/>
  <c r="J301" i="5"/>
  <c r="X301" i="5" s="1"/>
  <c r="Y301" i="5" s="1"/>
  <c r="V300" i="5"/>
  <c r="U300" i="5"/>
  <c r="T300" i="5"/>
  <c r="S300" i="5"/>
  <c r="Q300" i="5"/>
  <c r="W300" i="5" s="1"/>
  <c r="N300" i="5"/>
  <c r="J300" i="5"/>
  <c r="X300" i="5" s="1"/>
  <c r="Y300" i="5" s="1"/>
  <c r="V299" i="5"/>
  <c r="U299" i="5"/>
  <c r="T299" i="5"/>
  <c r="S299" i="5"/>
  <c r="Q299" i="5"/>
  <c r="W299" i="5" s="1"/>
  <c r="N299" i="5"/>
  <c r="J299" i="5"/>
  <c r="X299" i="5" s="1"/>
  <c r="Y299" i="5" s="1"/>
  <c r="V298" i="5"/>
  <c r="U298" i="5"/>
  <c r="T298" i="5"/>
  <c r="S298" i="5"/>
  <c r="Q298" i="5"/>
  <c r="W298" i="5" s="1"/>
  <c r="N298" i="5"/>
  <c r="J298" i="5"/>
  <c r="X298" i="5" s="1"/>
  <c r="Y298" i="5" s="1"/>
  <c r="V297" i="5"/>
  <c r="U297" i="5"/>
  <c r="T297" i="5"/>
  <c r="S297" i="5"/>
  <c r="Q297" i="5"/>
  <c r="W297" i="5" s="1"/>
  <c r="N297" i="5"/>
  <c r="J297" i="5"/>
  <c r="X297" i="5" s="1"/>
  <c r="Y297" i="5" s="1"/>
  <c r="V296" i="5"/>
  <c r="U296" i="5"/>
  <c r="T296" i="5"/>
  <c r="S296" i="5"/>
  <c r="Q296" i="5"/>
  <c r="W296" i="5" s="1"/>
  <c r="N296" i="5"/>
  <c r="J296" i="5"/>
  <c r="X296" i="5" s="1"/>
  <c r="Y296" i="5" s="1"/>
  <c r="V295" i="5"/>
  <c r="U295" i="5"/>
  <c r="T295" i="5"/>
  <c r="S295" i="5"/>
  <c r="Q295" i="5"/>
  <c r="W295" i="5" s="1"/>
  <c r="N295" i="5"/>
  <c r="J295" i="5"/>
  <c r="X295" i="5" s="1"/>
  <c r="Y295" i="5" s="1"/>
  <c r="V294" i="5"/>
  <c r="U294" i="5"/>
  <c r="T294" i="5"/>
  <c r="S294" i="5"/>
  <c r="Q294" i="5"/>
  <c r="W294" i="5" s="1"/>
  <c r="N294" i="5"/>
  <c r="J294" i="5"/>
  <c r="X294" i="5" s="1"/>
  <c r="Y294" i="5" s="1"/>
  <c r="V293" i="5"/>
  <c r="U293" i="5"/>
  <c r="T293" i="5"/>
  <c r="S293" i="5"/>
  <c r="Q293" i="5"/>
  <c r="N293" i="5"/>
  <c r="J293" i="5"/>
  <c r="X293" i="5" s="1"/>
  <c r="V292" i="5"/>
  <c r="U292" i="5"/>
  <c r="T292" i="5"/>
  <c r="S292" i="5"/>
  <c r="Q292" i="5"/>
  <c r="W292" i="5" s="1"/>
  <c r="N292" i="5"/>
  <c r="J292" i="5"/>
  <c r="X292" i="5" s="1"/>
  <c r="Y292" i="5" s="1"/>
  <c r="V291" i="5"/>
  <c r="U291" i="5"/>
  <c r="T291" i="5"/>
  <c r="S291" i="5"/>
  <c r="Q291" i="5"/>
  <c r="W291" i="5" s="1"/>
  <c r="N291" i="5"/>
  <c r="J291" i="5"/>
  <c r="X291" i="5" s="1"/>
  <c r="Y291" i="5" s="1"/>
  <c r="V290" i="5"/>
  <c r="U290" i="5"/>
  <c r="T290" i="5"/>
  <c r="S290" i="5"/>
  <c r="Q290" i="5"/>
  <c r="N290" i="5"/>
  <c r="J290" i="5"/>
  <c r="X290" i="5" s="1"/>
  <c r="V289" i="5"/>
  <c r="U289" i="5"/>
  <c r="T289" i="5"/>
  <c r="S289" i="5"/>
  <c r="Q289" i="5"/>
  <c r="W289" i="5" s="1"/>
  <c r="N289" i="5"/>
  <c r="J289" i="5"/>
  <c r="X289" i="5" s="1"/>
  <c r="Y289" i="5" s="1"/>
  <c r="V288" i="5"/>
  <c r="U288" i="5"/>
  <c r="T288" i="5"/>
  <c r="S288" i="5"/>
  <c r="Q288" i="5"/>
  <c r="W288" i="5" s="1"/>
  <c r="N288" i="5"/>
  <c r="J288" i="5"/>
  <c r="X288" i="5" s="1"/>
  <c r="Y288" i="5" s="1"/>
  <c r="V287" i="5"/>
  <c r="U287" i="5"/>
  <c r="T287" i="5"/>
  <c r="S287" i="5"/>
  <c r="Q287" i="5"/>
  <c r="W287" i="5" s="1"/>
  <c r="N287" i="5"/>
  <c r="J287" i="5"/>
  <c r="X287" i="5" s="1"/>
  <c r="Y287" i="5" s="1"/>
  <c r="V286" i="5"/>
  <c r="U286" i="5"/>
  <c r="T286" i="5"/>
  <c r="S286" i="5"/>
  <c r="Q286" i="5"/>
  <c r="W286" i="5" s="1"/>
  <c r="N286" i="5"/>
  <c r="J286" i="5"/>
  <c r="X286" i="5" s="1"/>
  <c r="Y286" i="5" s="1"/>
  <c r="V285" i="5"/>
  <c r="U285" i="5"/>
  <c r="T285" i="5"/>
  <c r="S285" i="5"/>
  <c r="Q285" i="5"/>
  <c r="W285" i="5" s="1"/>
  <c r="N285" i="5"/>
  <c r="J285" i="5"/>
  <c r="X285" i="5" s="1"/>
  <c r="Y285" i="5" s="1"/>
  <c r="V284" i="5"/>
  <c r="U284" i="5"/>
  <c r="T284" i="5"/>
  <c r="S284" i="5"/>
  <c r="Q284" i="5"/>
  <c r="W284" i="5" s="1"/>
  <c r="N284" i="5"/>
  <c r="J284" i="5"/>
  <c r="X284" i="5" s="1"/>
  <c r="Y284" i="5" s="1"/>
  <c r="V283" i="5"/>
  <c r="U283" i="5"/>
  <c r="T283" i="5"/>
  <c r="S283" i="5"/>
  <c r="Q283" i="5"/>
  <c r="W283" i="5" s="1"/>
  <c r="N283" i="5"/>
  <c r="J283" i="5"/>
  <c r="X283" i="5" s="1"/>
  <c r="Y283" i="5" s="1"/>
  <c r="V282" i="5"/>
  <c r="U282" i="5"/>
  <c r="T282" i="5"/>
  <c r="S282" i="5"/>
  <c r="Q282" i="5"/>
  <c r="W282" i="5" s="1"/>
  <c r="N282" i="5"/>
  <c r="J282" i="5"/>
  <c r="X282" i="5" s="1"/>
  <c r="Y282" i="5" s="1"/>
  <c r="V281" i="5"/>
  <c r="U281" i="5"/>
  <c r="T281" i="5"/>
  <c r="S281" i="5"/>
  <c r="Q281" i="5"/>
  <c r="N281" i="5"/>
  <c r="J281" i="5"/>
  <c r="X281" i="5" s="1"/>
  <c r="V280" i="5"/>
  <c r="U280" i="5"/>
  <c r="T280" i="5"/>
  <c r="S280" i="5"/>
  <c r="Q280" i="5"/>
  <c r="W280" i="5" s="1"/>
  <c r="N280" i="5"/>
  <c r="J280" i="5"/>
  <c r="X280" i="5" s="1"/>
  <c r="Y280" i="5" s="1"/>
  <c r="V279" i="5"/>
  <c r="U279" i="5"/>
  <c r="T279" i="5"/>
  <c r="S279" i="5"/>
  <c r="Q279" i="5"/>
  <c r="W279" i="5" s="1"/>
  <c r="N279" i="5"/>
  <c r="J279" i="5"/>
  <c r="X279" i="5" s="1"/>
  <c r="V278" i="5"/>
  <c r="U278" i="5"/>
  <c r="T278" i="5"/>
  <c r="S278" i="5"/>
  <c r="Q278" i="5"/>
  <c r="W278" i="5" s="1"/>
  <c r="N278" i="5"/>
  <c r="J278" i="5"/>
  <c r="X278" i="5" s="1"/>
  <c r="Y278" i="5" s="1"/>
  <c r="V277" i="5"/>
  <c r="U277" i="5"/>
  <c r="T277" i="5"/>
  <c r="S277" i="5"/>
  <c r="Q277" i="5"/>
  <c r="W277" i="5" s="1"/>
  <c r="N277" i="5"/>
  <c r="J277" i="5"/>
  <c r="X277" i="5" s="1"/>
  <c r="Y277" i="5" s="1"/>
  <c r="V276" i="5"/>
  <c r="U276" i="5"/>
  <c r="T276" i="5"/>
  <c r="S276" i="5"/>
  <c r="Q276" i="5"/>
  <c r="N276" i="5"/>
  <c r="J276" i="5"/>
  <c r="X276" i="5" s="1"/>
  <c r="V275" i="5"/>
  <c r="U275" i="5"/>
  <c r="T275" i="5"/>
  <c r="S275" i="5"/>
  <c r="Q275" i="5"/>
  <c r="W275" i="5" s="1"/>
  <c r="N275" i="5"/>
  <c r="J275" i="5"/>
  <c r="X275" i="5" s="1"/>
  <c r="Y275" i="5" s="1"/>
  <c r="V274" i="5"/>
  <c r="U274" i="5"/>
  <c r="T274" i="5"/>
  <c r="S274" i="5"/>
  <c r="Q274" i="5"/>
  <c r="W274" i="5" s="1"/>
  <c r="N274" i="5"/>
  <c r="J274" i="5"/>
  <c r="X274" i="5" s="1"/>
  <c r="Y274" i="5" s="1"/>
  <c r="V273" i="5"/>
  <c r="U273" i="5"/>
  <c r="T273" i="5"/>
  <c r="S273" i="5"/>
  <c r="Q273" i="5"/>
  <c r="W273" i="5" s="1"/>
  <c r="N273" i="5"/>
  <c r="J273" i="5"/>
  <c r="X273" i="5" s="1"/>
  <c r="V272" i="5"/>
  <c r="U272" i="5"/>
  <c r="T272" i="5"/>
  <c r="S272" i="5"/>
  <c r="Q272" i="5"/>
  <c r="W272" i="5" s="1"/>
  <c r="N272" i="5"/>
  <c r="J272" i="5"/>
  <c r="X272" i="5" s="1"/>
  <c r="Y272" i="5" s="1"/>
  <c r="V271" i="5"/>
  <c r="U271" i="5"/>
  <c r="T271" i="5"/>
  <c r="S271" i="5"/>
  <c r="Q271" i="5"/>
  <c r="W271" i="5" s="1"/>
  <c r="N271" i="5"/>
  <c r="J271" i="5"/>
  <c r="X271" i="5" s="1"/>
  <c r="V270" i="5"/>
  <c r="U270" i="5"/>
  <c r="T270" i="5"/>
  <c r="S270" i="5"/>
  <c r="Q270" i="5"/>
  <c r="W270" i="5" s="1"/>
  <c r="N270" i="5"/>
  <c r="J270" i="5"/>
  <c r="X270" i="5" s="1"/>
  <c r="Y270" i="5" s="1"/>
  <c r="V269" i="5"/>
  <c r="U269" i="5"/>
  <c r="T269" i="5"/>
  <c r="S269" i="5"/>
  <c r="Q269" i="5"/>
  <c r="W269" i="5" s="1"/>
  <c r="N269" i="5"/>
  <c r="J269" i="5"/>
  <c r="X269" i="5" s="1"/>
  <c r="Y269" i="5" s="1"/>
  <c r="V268" i="5"/>
  <c r="U268" i="5"/>
  <c r="T268" i="5"/>
  <c r="S268" i="5"/>
  <c r="Q268" i="5"/>
  <c r="W268" i="5" s="1"/>
  <c r="N268" i="5"/>
  <c r="J268" i="5"/>
  <c r="X268" i="5" s="1"/>
  <c r="V267" i="5"/>
  <c r="U267" i="5"/>
  <c r="T267" i="5"/>
  <c r="S267" i="5"/>
  <c r="Q267" i="5"/>
  <c r="N267" i="5"/>
  <c r="J267" i="5"/>
  <c r="X267" i="5" s="1"/>
  <c r="V266" i="5"/>
  <c r="U266" i="5"/>
  <c r="T266" i="5"/>
  <c r="S266" i="5"/>
  <c r="Q266" i="5"/>
  <c r="W266" i="5" s="1"/>
  <c r="N266" i="5"/>
  <c r="J266" i="5"/>
  <c r="X266" i="5" s="1"/>
  <c r="Y266" i="5" s="1"/>
  <c r="V265" i="5"/>
  <c r="U265" i="5"/>
  <c r="T265" i="5"/>
  <c r="S265" i="5"/>
  <c r="Q265" i="5"/>
  <c r="W265" i="5" s="1"/>
  <c r="N265" i="5"/>
  <c r="J265" i="5"/>
  <c r="X265" i="5" s="1"/>
  <c r="Y265" i="5" s="1"/>
  <c r="V264" i="5"/>
  <c r="U264" i="5"/>
  <c r="T264" i="5"/>
  <c r="S264" i="5"/>
  <c r="Q264" i="5"/>
  <c r="W264" i="5" s="1"/>
  <c r="N264" i="5"/>
  <c r="J264" i="5"/>
  <c r="X264" i="5" s="1"/>
  <c r="Y264" i="5" s="1"/>
  <c r="V263" i="5"/>
  <c r="U263" i="5"/>
  <c r="T263" i="5"/>
  <c r="S263" i="5"/>
  <c r="Q263" i="5"/>
  <c r="W263" i="5" s="1"/>
  <c r="N263" i="5"/>
  <c r="J263" i="5"/>
  <c r="X263" i="5" s="1"/>
  <c r="V262" i="5"/>
  <c r="U262" i="5"/>
  <c r="T262" i="5"/>
  <c r="S262" i="5"/>
  <c r="Q262" i="5"/>
  <c r="W262" i="5" s="1"/>
  <c r="N262" i="5"/>
  <c r="J262" i="5"/>
  <c r="X262" i="5" s="1"/>
  <c r="Y262" i="5" s="1"/>
  <c r="V261" i="5"/>
  <c r="U261" i="5"/>
  <c r="T261" i="5"/>
  <c r="S261" i="5"/>
  <c r="Q261" i="5"/>
  <c r="W261" i="5" s="1"/>
  <c r="N261" i="5"/>
  <c r="J261" i="5"/>
  <c r="X261" i="5" s="1"/>
  <c r="Y261" i="5" s="1"/>
  <c r="V260" i="5"/>
  <c r="U260" i="5"/>
  <c r="T260" i="5"/>
  <c r="S260" i="5"/>
  <c r="Q260" i="5"/>
  <c r="W260" i="5" s="1"/>
  <c r="N260" i="5"/>
  <c r="J260" i="5"/>
  <c r="X260" i="5" s="1"/>
  <c r="V259" i="5"/>
  <c r="U259" i="5"/>
  <c r="T259" i="5"/>
  <c r="S259" i="5"/>
  <c r="Q259" i="5"/>
  <c r="W259" i="5" s="1"/>
  <c r="N259" i="5"/>
  <c r="J259" i="5"/>
  <c r="X259" i="5" s="1"/>
  <c r="Y259" i="5" s="1"/>
  <c r="V258" i="5"/>
  <c r="U258" i="5"/>
  <c r="T258" i="5"/>
  <c r="S258" i="5"/>
  <c r="Q258" i="5"/>
  <c r="W258" i="5" s="1"/>
  <c r="N258" i="5"/>
  <c r="J258" i="5"/>
  <c r="X258" i="5" s="1"/>
  <c r="Y258" i="5" s="1"/>
  <c r="V257" i="5"/>
  <c r="U257" i="5"/>
  <c r="T257" i="5"/>
  <c r="S257" i="5"/>
  <c r="Q257" i="5"/>
  <c r="W257" i="5" s="1"/>
  <c r="N257" i="5"/>
  <c r="J257" i="5"/>
  <c r="X257" i="5" s="1"/>
  <c r="Y257" i="5" s="1"/>
  <c r="V256" i="5"/>
  <c r="U256" i="5"/>
  <c r="T256" i="5"/>
  <c r="S256" i="5"/>
  <c r="Q256" i="5"/>
  <c r="W256" i="5" s="1"/>
  <c r="N256" i="5"/>
  <c r="J256" i="5"/>
  <c r="X256" i="5" s="1"/>
  <c r="Y256" i="5" s="1"/>
  <c r="V255" i="5"/>
  <c r="U255" i="5"/>
  <c r="T255" i="5"/>
  <c r="S255" i="5"/>
  <c r="Q255" i="5"/>
  <c r="W255" i="5" s="1"/>
  <c r="N255" i="5"/>
  <c r="J255" i="5"/>
  <c r="X255" i="5" s="1"/>
  <c r="Y255" i="5" s="1"/>
  <c r="V254" i="5"/>
  <c r="U254" i="5"/>
  <c r="T254" i="5"/>
  <c r="S254" i="5"/>
  <c r="Q254" i="5"/>
  <c r="W254" i="5" s="1"/>
  <c r="N254" i="5"/>
  <c r="J254" i="5"/>
  <c r="X254" i="5" s="1"/>
  <c r="Y254" i="5" s="1"/>
  <c r="V253" i="5"/>
  <c r="U253" i="5"/>
  <c r="T253" i="5"/>
  <c r="S253" i="5"/>
  <c r="Q253" i="5"/>
  <c r="W253" i="5" s="1"/>
  <c r="N253" i="5"/>
  <c r="J253" i="5"/>
  <c r="X253" i="5" s="1"/>
  <c r="Y253" i="5" s="1"/>
  <c r="V252" i="5"/>
  <c r="U252" i="5"/>
  <c r="T252" i="5"/>
  <c r="S252" i="5"/>
  <c r="Q252" i="5"/>
  <c r="W252" i="5" s="1"/>
  <c r="N252" i="5"/>
  <c r="J252" i="5"/>
  <c r="X252" i="5" s="1"/>
  <c r="Y252" i="5" s="1"/>
  <c r="V251" i="5"/>
  <c r="U251" i="5"/>
  <c r="T251" i="5"/>
  <c r="S251" i="5"/>
  <c r="Q251" i="5"/>
  <c r="W251" i="5" s="1"/>
  <c r="N251" i="5"/>
  <c r="J251" i="5"/>
  <c r="X251" i="5" s="1"/>
  <c r="Y251" i="5" s="1"/>
  <c r="V250" i="5"/>
  <c r="U250" i="5"/>
  <c r="T250" i="5"/>
  <c r="S250" i="5"/>
  <c r="Q250" i="5"/>
  <c r="W250" i="5" s="1"/>
  <c r="N250" i="5"/>
  <c r="J250" i="5"/>
  <c r="X250" i="5" s="1"/>
  <c r="Y250" i="5" s="1"/>
  <c r="V249" i="5"/>
  <c r="U249" i="5"/>
  <c r="T249" i="5"/>
  <c r="S249" i="5"/>
  <c r="Q249" i="5"/>
  <c r="W249" i="5" s="1"/>
  <c r="N249" i="5"/>
  <c r="J249" i="5"/>
  <c r="X249" i="5" s="1"/>
  <c r="Y249" i="5" s="1"/>
  <c r="V248" i="5"/>
  <c r="U248" i="5"/>
  <c r="T248" i="5"/>
  <c r="S248" i="5"/>
  <c r="Q248" i="5"/>
  <c r="W248" i="5" s="1"/>
  <c r="N248" i="5"/>
  <c r="J248" i="5"/>
  <c r="X248" i="5" s="1"/>
  <c r="Y248" i="5" s="1"/>
  <c r="V247" i="5"/>
  <c r="U247" i="5"/>
  <c r="T247" i="5"/>
  <c r="S247" i="5"/>
  <c r="Q247" i="5"/>
  <c r="W247" i="5" s="1"/>
  <c r="N247" i="5"/>
  <c r="J247" i="5"/>
  <c r="X247" i="5" s="1"/>
  <c r="Y247" i="5" s="1"/>
  <c r="V246" i="5"/>
  <c r="U246" i="5"/>
  <c r="T246" i="5"/>
  <c r="S246" i="5"/>
  <c r="Q246" i="5"/>
  <c r="W246" i="5" s="1"/>
  <c r="N246" i="5"/>
  <c r="J246" i="5"/>
  <c r="X246" i="5" s="1"/>
  <c r="Y246" i="5" s="1"/>
  <c r="V245" i="5"/>
  <c r="U245" i="5"/>
  <c r="T245" i="5"/>
  <c r="S245" i="5"/>
  <c r="Q245" i="5"/>
  <c r="W245" i="5" s="1"/>
  <c r="N245" i="5"/>
  <c r="J245" i="5"/>
  <c r="X245" i="5" s="1"/>
  <c r="Y245" i="5" s="1"/>
  <c r="V244" i="5"/>
  <c r="U244" i="5"/>
  <c r="T244" i="5"/>
  <c r="S244" i="5"/>
  <c r="Q244" i="5"/>
  <c r="W244" i="5" s="1"/>
  <c r="N244" i="5"/>
  <c r="J244" i="5"/>
  <c r="X244" i="5" s="1"/>
  <c r="Y244" i="5" s="1"/>
  <c r="V243" i="5"/>
  <c r="U243" i="5"/>
  <c r="T243" i="5"/>
  <c r="S243" i="5"/>
  <c r="Q243" i="5"/>
  <c r="W243" i="5" s="1"/>
  <c r="N243" i="5"/>
  <c r="J243" i="5"/>
  <c r="X243" i="5" s="1"/>
  <c r="Y243" i="5" s="1"/>
  <c r="V242" i="5"/>
  <c r="U242" i="5"/>
  <c r="T242" i="5"/>
  <c r="S242" i="5"/>
  <c r="Q242" i="5"/>
  <c r="W242" i="5" s="1"/>
  <c r="N242" i="5"/>
  <c r="J242" i="5"/>
  <c r="X242" i="5" s="1"/>
  <c r="Y242" i="5" s="1"/>
  <c r="V241" i="5"/>
  <c r="U241" i="5"/>
  <c r="T241" i="5"/>
  <c r="S241" i="5"/>
  <c r="Q241" i="5"/>
  <c r="W241" i="5" s="1"/>
  <c r="N241" i="5"/>
  <c r="J241" i="5"/>
  <c r="X241" i="5" s="1"/>
  <c r="Y241" i="5" s="1"/>
  <c r="V240" i="5"/>
  <c r="U240" i="5"/>
  <c r="T240" i="5"/>
  <c r="S240" i="5"/>
  <c r="Q240" i="5"/>
  <c r="W240" i="5" s="1"/>
  <c r="N240" i="5"/>
  <c r="J240" i="5"/>
  <c r="X240" i="5" s="1"/>
  <c r="Y240" i="5" s="1"/>
  <c r="V239" i="5"/>
  <c r="U239" i="5"/>
  <c r="T239" i="5"/>
  <c r="S239" i="5"/>
  <c r="Q239" i="5"/>
  <c r="W239" i="5" s="1"/>
  <c r="N239" i="5"/>
  <c r="J239" i="5"/>
  <c r="X239" i="5" s="1"/>
  <c r="Y239" i="5" s="1"/>
  <c r="V238" i="5"/>
  <c r="U238" i="5"/>
  <c r="T238" i="5"/>
  <c r="S238" i="5"/>
  <c r="Q238" i="5"/>
  <c r="W238" i="5" s="1"/>
  <c r="N238" i="5"/>
  <c r="J238" i="5"/>
  <c r="X238" i="5" s="1"/>
  <c r="Y238" i="5" s="1"/>
  <c r="V237" i="5"/>
  <c r="U237" i="5"/>
  <c r="T237" i="5"/>
  <c r="S237" i="5"/>
  <c r="Q237" i="5"/>
  <c r="W237" i="5" s="1"/>
  <c r="N237" i="5"/>
  <c r="J237" i="5"/>
  <c r="X237" i="5" s="1"/>
  <c r="Y237" i="5" s="1"/>
  <c r="V236" i="5"/>
  <c r="U236" i="5"/>
  <c r="T236" i="5"/>
  <c r="S236" i="5"/>
  <c r="Q236" i="5"/>
  <c r="W236" i="5" s="1"/>
  <c r="N236" i="5"/>
  <c r="J236" i="5"/>
  <c r="X236" i="5" s="1"/>
  <c r="Y236" i="5" s="1"/>
  <c r="V235" i="5"/>
  <c r="U235" i="5"/>
  <c r="T235" i="5"/>
  <c r="S235" i="5"/>
  <c r="Q235" i="5"/>
  <c r="W235" i="5" s="1"/>
  <c r="N235" i="5"/>
  <c r="J235" i="5"/>
  <c r="X235" i="5" s="1"/>
  <c r="Y235" i="5" s="1"/>
  <c r="V234" i="5"/>
  <c r="U234" i="5"/>
  <c r="T234" i="5"/>
  <c r="S234" i="5"/>
  <c r="Q234" i="5"/>
  <c r="N234" i="5"/>
  <c r="J234" i="5"/>
  <c r="X234" i="5" s="1"/>
  <c r="V233" i="5"/>
  <c r="U233" i="5"/>
  <c r="T233" i="5"/>
  <c r="S233" i="5"/>
  <c r="Q233" i="5"/>
  <c r="W233" i="5" s="1"/>
  <c r="N233" i="5"/>
  <c r="J233" i="5"/>
  <c r="X233" i="5" s="1"/>
  <c r="Y233" i="5" s="1"/>
  <c r="V232" i="5"/>
  <c r="U232" i="5"/>
  <c r="T232" i="5"/>
  <c r="S232" i="5"/>
  <c r="Q232" i="5"/>
  <c r="W232" i="5" s="1"/>
  <c r="N232" i="5"/>
  <c r="J232" i="5"/>
  <c r="X232" i="5" s="1"/>
  <c r="Y232" i="5" s="1"/>
  <c r="V231" i="5"/>
  <c r="U231" i="5"/>
  <c r="T231" i="5"/>
  <c r="S231" i="5"/>
  <c r="Q231" i="5"/>
  <c r="W231" i="5" s="1"/>
  <c r="N231" i="5"/>
  <c r="J231" i="5"/>
  <c r="X231" i="5" s="1"/>
  <c r="V230" i="5"/>
  <c r="U230" i="5"/>
  <c r="T230" i="5"/>
  <c r="S230" i="5"/>
  <c r="Q230" i="5"/>
  <c r="W230" i="5" s="1"/>
  <c r="N230" i="5"/>
  <c r="J230" i="5"/>
  <c r="X230" i="5" s="1"/>
  <c r="Y230" i="5" s="1"/>
  <c r="V229" i="5"/>
  <c r="U229" i="5"/>
  <c r="T229" i="5"/>
  <c r="S229" i="5"/>
  <c r="Q229" i="5"/>
  <c r="W229" i="5" s="1"/>
  <c r="N229" i="5"/>
  <c r="J229" i="5"/>
  <c r="X229" i="5" s="1"/>
  <c r="Y229" i="5" s="1"/>
  <c r="V228" i="5"/>
  <c r="U228" i="5"/>
  <c r="T228" i="5"/>
  <c r="S228" i="5"/>
  <c r="Q228" i="5"/>
  <c r="W228" i="5" s="1"/>
  <c r="N228" i="5"/>
  <c r="J228" i="5"/>
  <c r="X228" i="5" s="1"/>
  <c r="Y228" i="5" s="1"/>
  <c r="V227" i="5"/>
  <c r="U227" i="5"/>
  <c r="T227" i="5"/>
  <c r="S227" i="5"/>
  <c r="Q227" i="5"/>
  <c r="W227" i="5" s="1"/>
  <c r="N227" i="5"/>
  <c r="J227" i="5"/>
  <c r="X227" i="5" s="1"/>
  <c r="V226" i="5"/>
  <c r="U226" i="5"/>
  <c r="T226" i="5"/>
  <c r="S226" i="5"/>
  <c r="Q226" i="5"/>
  <c r="W226" i="5" s="1"/>
  <c r="N226" i="5"/>
  <c r="J226" i="5"/>
  <c r="X226" i="5" s="1"/>
  <c r="Y226" i="5" s="1"/>
  <c r="V225" i="5"/>
  <c r="U225" i="5"/>
  <c r="T225" i="5"/>
  <c r="S225" i="5"/>
  <c r="Q225" i="5"/>
  <c r="W225" i="5" s="1"/>
  <c r="N225" i="5"/>
  <c r="J225" i="5"/>
  <c r="X225" i="5" s="1"/>
  <c r="V224" i="5"/>
  <c r="U224" i="5"/>
  <c r="T224" i="5"/>
  <c r="S224" i="5"/>
  <c r="Q224" i="5"/>
  <c r="W224" i="5" s="1"/>
  <c r="N224" i="5"/>
  <c r="J224" i="5"/>
  <c r="X224" i="5" s="1"/>
  <c r="Y224" i="5" s="1"/>
  <c r="V223" i="5"/>
  <c r="U223" i="5"/>
  <c r="T223" i="5"/>
  <c r="S223" i="5"/>
  <c r="Q223" i="5"/>
  <c r="W223" i="5" s="1"/>
  <c r="N223" i="5"/>
  <c r="J223" i="5"/>
  <c r="X223" i="5" s="1"/>
  <c r="V222" i="5"/>
  <c r="U222" i="5"/>
  <c r="T222" i="5"/>
  <c r="S222" i="5"/>
  <c r="Q222" i="5"/>
  <c r="W222" i="5" s="1"/>
  <c r="N222" i="5"/>
  <c r="J222" i="5"/>
  <c r="X222" i="5" s="1"/>
  <c r="V221" i="5"/>
  <c r="U221" i="5"/>
  <c r="T221" i="5"/>
  <c r="S221" i="5"/>
  <c r="Q221" i="5"/>
  <c r="W221" i="5" s="1"/>
  <c r="N221" i="5"/>
  <c r="J221" i="5"/>
  <c r="X221" i="5" s="1"/>
  <c r="V220" i="5"/>
  <c r="U220" i="5"/>
  <c r="T220" i="5"/>
  <c r="S220" i="5"/>
  <c r="Q220" i="5"/>
  <c r="W220" i="5" s="1"/>
  <c r="N220" i="5"/>
  <c r="J220" i="5"/>
  <c r="X220" i="5" s="1"/>
  <c r="Y220" i="5" s="1"/>
  <c r="V219" i="5"/>
  <c r="U219" i="5"/>
  <c r="T219" i="5"/>
  <c r="S219" i="5"/>
  <c r="Q219" i="5"/>
  <c r="W219" i="5" s="1"/>
  <c r="N219" i="5"/>
  <c r="J219" i="5"/>
  <c r="X219" i="5" s="1"/>
  <c r="Y219" i="5" s="1"/>
  <c r="V218" i="5"/>
  <c r="U218" i="5"/>
  <c r="T218" i="5"/>
  <c r="S218" i="5"/>
  <c r="Q218" i="5"/>
  <c r="W218" i="5" s="1"/>
  <c r="N218" i="5"/>
  <c r="J218" i="5"/>
  <c r="X218" i="5" s="1"/>
  <c r="Y218" i="5" s="1"/>
  <c r="V217" i="5"/>
  <c r="U217" i="5"/>
  <c r="T217" i="5"/>
  <c r="S217" i="5"/>
  <c r="Q217" i="5"/>
  <c r="W217" i="5" s="1"/>
  <c r="N217" i="5"/>
  <c r="J217" i="5"/>
  <c r="X217" i="5" s="1"/>
  <c r="Y217" i="5" s="1"/>
  <c r="V216" i="5"/>
  <c r="U216" i="5"/>
  <c r="T216" i="5"/>
  <c r="S216" i="5"/>
  <c r="Q216" i="5"/>
  <c r="W216" i="5" s="1"/>
  <c r="N216" i="5"/>
  <c r="J216" i="5"/>
  <c r="X216" i="5" s="1"/>
  <c r="Y216" i="5" s="1"/>
  <c r="V215" i="5"/>
  <c r="U215" i="5"/>
  <c r="T215" i="5"/>
  <c r="S215" i="5"/>
  <c r="Q215" i="5"/>
  <c r="W215" i="5" s="1"/>
  <c r="N215" i="5"/>
  <c r="J215" i="5"/>
  <c r="X215" i="5" s="1"/>
  <c r="V214" i="5"/>
  <c r="U214" i="5"/>
  <c r="T214" i="5"/>
  <c r="S214" i="5"/>
  <c r="Q214" i="5"/>
  <c r="W214" i="5" s="1"/>
  <c r="N214" i="5"/>
  <c r="J214" i="5"/>
  <c r="X214" i="5" s="1"/>
  <c r="Y214" i="5" s="1"/>
  <c r="V213" i="5"/>
  <c r="U213" i="5"/>
  <c r="T213" i="5"/>
  <c r="S213" i="5"/>
  <c r="Q213" i="5"/>
  <c r="W213" i="5" s="1"/>
  <c r="N213" i="5"/>
  <c r="J213" i="5"/>
  <c r="X213" i="5" s="1"/>
  <c r="Y213" i="5" s="1"/>
  <c r="V212" i="5"/>
  <c r="U212" i="5"/>
  <c r="T212" i="5"/>
  <c r="S212" i="5"/>
  <c r="Q212" i="5"/>
  <c r="W212" i="5" s="1"/>
  <c r="N212" i="5"/>
  <c r="J212" i="5"/>
  <c r="X212" i="5" s="1"/>
  <c r="Y212" i="5" s="1"/>
  <c r="V211" i="5"/>
  <c r="U211" i="5"/>
  <c r="T211" i="5"/>
  <c r="S211" i="5"/>
  <c r="Q211" i="5"/>
  <c r="N211" i="5"/>
  <c r="J211" i="5"/>
  <c r="X211" i="5" s="1"/>
  <c r="V210" i="5"/>
  <c r="U210" i="5"/>
  <c r="T210" i="5"/>
  <c r="S210" i="5"/>
  <c r="Q210" i="5"/>
  <c r="W210" i="5" s="1"/>
  <c r="N210" i="5"/>
  <c r="J210" i="5"/>
  <c r="X210" i="5" s="1"/>
  <c r="Y210" i="5" s="1"/>
  <c r="V209" i="5"/>
  <c r="U209" i="5"/>
  <c r="T209" i="5"/>
  <c r="S209" i="5"/>
  <c r="Q209" i="5"/>
  <c r="W209" i="5" s="1"/>
  <c r="N209" i="5"/>
  <c r="J209" i="5"/>
  <c r="X209" i="5" s="1"/>
  <c r="Y209" i="5" s="1"/>
  <c r="V208" i="5"/>
  <c r="U208" i="5"/>
  <c r="T208" i="5"/>
  <c r="S208" i="5"/>
  <c r="Q208" i="5"/>
  <c r="W208" i="5" s="1"/>
  <c r="N208" i="5"/>
  <c r="J208" i="5"/>
  <c r="X208" i="5" s="1"/>
  <c r="V207" i="5"/>
  <c r="U207" i="5"/>
  <c r="T207" i="5"/>
  <c r="S207" i="5"/>
  <c r="Q207" i="5"/>
  <c r="W207" i="5" s="1"/>
  <c r="N207" i="5"/>
  <c r="J207" i="5"/>
  <c r="X207" i="5" s="1"/>
  <c r="Y207" i="5" s="1"/>
  <c r="V206" i="5"/>
  <c r="U206" i="5"/>
  <c r="T206" i="5"/>
  <c r="S206" i="5"/>
  <c r="Q206" i="5"/>
  <c r="W206" i="5" s="1"/>
  <c r="N206" i="5"/>
  <c r="J206" i="5"/>
  <c r="X206" i="5" s="1"/>
  <c r="Y206" i="5" s="1"/>
  <c r="V205" i="5"/>
  <c r="U205" i="5"/>
  <c r="T205" i="5"/>
  <c r="S205" i="5"/>
  <c r="Q205" i="5"/>
  <c r="W205" i="5" s="1"/>
  <c r="N205" i="5"/>
  <c r="J205" i="5"/>
  <c r="X205" i="5" s="1"/>
  <c r="Y205" i="5" s="1"/>
  <c r="V204" i="5"/>
  <c r="U204" i="5"/>
  <c r="T204" i="5"/>
  <c r="S204" i="5"/>
  <c r="Q204" i="5"/>
  <c r="N204" i="5"/>
  <c r="J204" i="5"/>
  <c r="X204" i="5" s="1"/>
  <c r="V203" i="5"/>
  <c r="U203" i="5"/>
  <c r="T203" i="5"/>
  <c r="S203" i="5"/>
  <c r="Q203" i="5"/>
  <c r="W203" i="5" s="1"/>
  <c r="N203" i="5"/>
  <c r="J203" i="5"/>
  <c r="X203" i="5" s="1"/>
  <c r="Y203" i="5" s="1"/>
  <c r="V202" i="5"/>
  <c r="U202" i="5"/>
  <c r="T202" i="5"/>
  <c r="S202" i="5"/>
  <c r="Q202" i="5"/>
  <c r="W202" i="5" s="1"/>
  <c r="N202" i="5"/>
  <c r="J202" i="5"/>
  <c r="X202" i="5" s="1"/>
  <c r="Y202" i="5" s="1"/>
  <c r="V201" i="5"/>
  <c r="U201" i="5"/>
  <c r="T201" i="5"/>
  <c r="S201" i="5"/>
  <c r="Q201" i="5"/>
  <c r="W201" i="5" s="1"/>
  <c r="N201" i="5"/>
  <c r="J201" i="5"/>
  <c r="X201" i="5" s="1"/>
  <c r="Y201" i="5" s="1"/>
  <c r="V200" i="5"/>
  <c r="U200" i="5"/>
  <c r="T200" i="5"/>
  <c r="S200" i="5"/>
  <c r="Q200" i="5"/>
  <c r="W200" i="5" s="1"/>
  <c r="N200" i="5"/>
  <c r="J200" i="5"/>
  <c r="X200" i="5" s="1"/>
  <c r="V199" i="5"/>
  <c r="U199" i="5"/>
  <c r="T199" i="5"/>
  <c r="S199" i="5"/>
  <c r="Q199" i="5"/>
  <c r="W199" i="5" s="1"/>
  <c r="N199" i="5"/>
  <c r="J199" i="5"/>
  <c r="X199" i="5" s="1"/>
  <c r="Y199" i="5" s="1"/>
  <c r="V198" i="5"/>
  <c r="U198" i="5"/>
  <c r="T198" i="5"/>
  <c r="S198" i="5"/>
  <c r="Q198" i="5"/>
  <c r="N198" i="5"/>
  <c r="J198" i="5"/>
  <c r="X198" i="5" s="1"/>
  <c r="V197" i="5"/>
  <c r="U197" i="5"/>
  <c r="T197" i="5"/>
  <c r="S197" i="5"/>
  <c r="Q197" i="5"/>
  <c r="W197" i="5" s="1"/>
  <c r="N197" i="5"/>
  <c r="J197" i="5"/>
  <c r="X197" i="5" s="1"/>
  <c r="Y197" i="5" s="1"/>
  <c r="V196" i="5"/>
  <c r="U196" i="5"/>
  <c r="T196" i="5"/>
  <c r="S196" i="5"/>
  <c r="Q196" i="5"/>
  <c r="W196" i="5" s="1"/>
  <c r="N196" i="5"/>
  <c r="J196" i="5"/>
  <c r="X196" i="5" s="1"/>
  <c r="Y196" i="5" s="1"/>
  <c r="V195" i="5"/>
  <c r="U195" i="5"/>
  <c r="T195" i="5"/>
  <c r="S195" i="5"/>
  <c r="Q195" i="5"/>
  <c r="W195" i="5" s="1"/>
  <c r="N195" i="5"/>
  <c r="J195" i="5"/>
  <c r="X195" i="5" s="1"/>
  <c r="Y195" i="5" s="1"/>
  <c r="V194" i="5"/>
  <c r="U194" i="5"/>
  <c r="T194" i="5"/>
  <c r="S194" i="5"/>
  <c r="Q194" i="5"/>
  <c r="N194" i="5"/>
  <c r="J194" i="5"/>
  <c r="X194" i="5" s="1"/>
  <c r="V193" i="5"/>
  <c r="U193" i="5"/>
  <c r="T193" i="5"/>
  <c r="S193" i="5"/>
  <c r="Q193" i="5"/>
  <c r="W193" i="5" s="1"/>
  <c r="N193" i="5"/>
  <c r="J193" i="5"/>
  <c r="X193" i="5" s="1"/>
  <c r="Y193" i="5" s="1"/>
  <c r="V192" i="5"/>
  <c r="U192" i="5"/>
  <c r="T192" i="5"/>
  <c r="S192" i="5"/>
  <c r="Q192" i="5"/>
  <c r="W192" i="5" s="1"/>
  <c r="N192" i="5"/>
  <c r="J192" i="5"/>
  <c r="X192" i="5" s="1"/>
  <c r="Y192" i="5" s="1"/>
  <c r="V191" i="5"/>
  <c r="U191" i="5"/>
  <c r="T191" i="5"/>
  <c r="S191" i="5"/>
  <c r="Q191" i="5"/>
  <c r="W191" i="5" s="1"/>
  <c r="N191" i="5"/>
  <c r="J191" i="5"/>
  <c r="X191" i="5" s="1"/>
  <c r="Y191" i="5" s="1"/>
  <c r="V190" i="5"/>
  <c r="U190" i="5"/>
  <c r="T190" i="5"/>
  <c r="S190" i="5"/>
  <c r="Q190" i="5"/>
  <c r="W190" i="5" s="1"/>
  <c r="N190" i="5"/>
  <c r="J190" i="5"/>
  <c r="X190" i="5" s="1"/>
  <c r="Y190" i="5" s="1"/>
  <c r="V189" i="5"/>
  <c r="U189" i="5"/>
  <c r="T189" i="5"/>
  <c r="S189" i="5"/>
  <c r="Q189" i="5"/>
  <c r="W189" i="5" s="1"/>
  <c r="N189" i="5"/>
  <c r="J189" i="5"/>
  <c r="X189" i="5" s="1"/>
  <c r="Y189" i="5" s="1"/>
  <c r="V188" i="5"/>
  <c r="U188" i="5"/>
  <c r="T188" i="5"/>
  <c r="S188" i="5"/>
  <c r="Q188" i="5"/>
  <c r="W188" i="5" s="1"/>
  <c r="N188" i="5"/>
  <c r="J188" i="5"/>
  <c r="X188" i="5" s="1"/>
  <c r="Y188" i="5" s="1"/>
  <c r="V187" i="5"/>
  <c r="U187" i="5"/>
  <c r="T187" i="5"/>
  <c r="S187" i="5"/>
  <c r="Q187" i="5"/>
  <c r="W187" i="5" s="1"/>
  <c r="N187" i="5"/>
  <c r="J187" i="5"/>
  <c r="X187" i="5" s="1"/>
  <c r="Y187" i="5" s="1"/>
  <c r="V186" i="5"/>
  <c r="U186" i="5"/>
  <c r="T186" i="5"/>
  <c r="S186" i="5"/>
  <c r="Q186" i="5"/>
  <c r="W186" i="5" s="1"/>
  <c r="N186" i="5"/>
  <c r="J186" i="5"/>
  <c r="X186" i="5" s="1"/>
  <c r="Y186" i="5" s="1"/>
  <c r="V185" i="5"/>
  <c r="U185" i="5"/>
  <c r="T185" i="5"/>
  <c r="S185" i="5"/>
  <c r="Q185" i="5"/>
  <c r="W185" i="5" s="1"/>
  <c r="N185" i="5"/>
  <c r="J185" i="5"/>
  <c r="X185" i="5" s="1"/>
  <c r="Y185" i="5" s="1"/>
  <c r="V184" i="5"/>
  <c r="U184" i="5"/>
  <c r="T184" i="5"/>
  <c r="S184" i="5"/>
  <c r="Q184" i="5"/>
  <c r="W184" i="5" s="1"/>
  <c r="N184" i="5"/>
  <c r="J184" i="5"/>
  <c r="X184" i="5" s="1"/>
  <c r="Y184" i="5" s="1"/>
  <c r="V183" i="5"/>
  <c r="U183" i="5"/>
  <c r="T183" i="5"/>
  <c r="S183" i="5"/>
  <c r="Q183" i="5"/>
  <c r="W183" i="5" s="1"/>
  <c r="N183" i="5"/>
  <c r="J183" i="5"/>
  <c r="X183" i="5" s="1"/>
  <c r="Y183" i="5" s="1"/>
  <c r="V182" i="5"/>
  <c r="U182" i="5"/>
  <c r="T182" i="5"/>
  <c r="S182" i="5"/>
  <c r="Q182" i="5"/>
  <c r="W182" i="5" s="1"/>
  <c r="N182" i="5"/>
  <c r="O182" i="5" s="1"/>
  <c r="J182" i="5"/>
  <c r="X182" i="5" s="1"/>
  <c r="Y182" i="5" s="1"/>
  <c r="V181" i="5"/>
  <c r="U181" i="5"/>
  <c r="T181" i="5"/>
  <c r="S181" i="5"/>
  <c r="Q181" i="5"/>
  <c r="W181" i="5" s="1"/>
  <c r="N181" i="5"/>
  <c r="J181" i="5"/>
  <c r="X181" i="5" s="1"/>
  <c r="V180" i="5"/>
  <c r="U180" i="5"/>
  <c r="T180" i="5"/>
  <c r="S180" i="5"/>
  <c r="Q180" i="5"/>
  <c r="W180" i="5" s="1"/>
  <c r="N180" i="5"/>
  <c r="J180" i="5"/>
  <c r="X180" i="5" s="1"/>
  <c r="Y180" i="5" s="1"/>
  <c r="V179" i="5"/>
  <c r="U179" i="5"/>
  <c r="T179" i="5"/>
  <c r="S179" i="5"/>
  <c r="Q179" i="5"/>
  <c r="W179" i="5" s="1"/>
  <c r="N179" i="5"/>
  <c r="J179" i="5"/>
  <c r="X179" i="5" s="1"/>
  <c r="Y179" i="5" s="1"/>
  <c r="V178" i="5"/>
  <c r="U178" i="5"/>
  <c r="T178" i="5"/>
  <c r="S178" i="5"/>
  <c r="Q178" i="5"/>
  <c r="N178" i="5"/>
  <c r="J178" i="5"/>
  <c r="X178" i="5" s="1"/>
  <c r="V177" i="5"/>
  <c r="U177" i="5"/>
  <c r="T177" i="5"/>
  <c r="S177" i="5"/>
  <c r="Q177" i="5"/>
  <c r="W177" i="5" s="1"/>
  <c r="N177" i="5"/>
  <c r="J177" i="5"/>
  <c r="X177" i="5" s="1"/>
  <c r="Y177" i="5" s="1"/>
  <c r="V176" i="5"/>
  <c r="U176" i="5"/>
  <c r="T176" i="5"/>
  <c r="S176" i="5"/>
  <c r="Q176" i="5"/>
  <c r="N176" i="5"/>
  <c r="J176" i="5"/>
  <c r="X176" i="5" s="1"/>
  <c r="V175" i="5"/>
  <c r="U175" i="5"/>
  <c r="T175" i="5"/>
  <c r="S175" i="5"/>
  <c r="Q175" i="5"/>
  <c r="W175" i="5" s="1"/>
  <c r="N175" i="5"/>
  <c r="J175" i="5"/>
  <c r="X175" i="5" s="1"/>
  <c r="V174" i="5"/>
  <c r="U174" i="5"/>
  <c r="T174" i="5"/>
  <c r="S174" i="5"/>
  <c r="Q174" i="5"/>
  <c r="W174" i="5" s="1"/>
  <c r="N174" i="5"/>
  <c r="J174" i="5"/>
  <c r="X174" i="5" s="1"/>
  <c r="Y174" i="5" s="1"/>
  <c r="V173" i="5"/>
  <c r="U173" i="5"/>
  <c r="T173" i="5"/>
  <c r="S173" i="5"/>
  <c r="Q173" i="5"/>
  <c r="W173" i="5" s="1"/>
  <c r="N173" i="5"/>
  <c r="J173" i="5"/>
  <c r="X173" i="5" s="1"/>
  <c r="Y173" i="5" s="1"/>
  <c r="V172" i="5"/>
  <c r="U172" i="5"/>
  <c r="T172" i="5"/>
  <c r="S172" i="5"/>
  <c r="Q172" i="5"/>
  <c r="W172" i="5" s="1"/>
  <c r="N172" i="5"/>
  <c r="J172" i="5"/>
  <c r="X172" i="5" s="1"/>
  <c r="Y172" i="5" s="1"/>
  <c r="V171" i="5"/>
  <c r="U171" i="5"/>
  <c r="T171" i="5"/>
  <c r="S171" i="5"/>
  <c r="Q171" i="5"/>
  <c r="W171" i="5" s="1"/>
  <c r="N171" i="5"/>
  <c r="J171" i="5"/>
  <c r="X171" i="5" s="1"/>
  <c r="Y171" i="5" s="1"/>
  <c r="V170" i="5"/>
  <c r="U170" i="5"/>
  <c r="T170" i="5"/>
  <c r="S170" i="5"/>
  <c r="Q170" i="5"/>
  <c r="N170" i="5"/>
  <c r="J170" i="5"/>
  <c r="X170" i="5" s="1"/>
  <c r="V169" i="5"/>
  <c r="U169" i="5"/>
  <c r="T169" i="5"/>
  <c r="S169" i="5"/>
  <c r="Q169" i="5"/>
  <c r="W169" i="5" s="1"/>
  <c r="N169" i="5"/>
  <c r="J169" i="5"/>
  <c r="X169" i="5" s="1"/>
  <c r="Y169" i="5" s="1"/>
  <c r="V168" i="5"/>
  <c r="U168" i="5"/>
  <c r="T168" i="5"/>
  <c r="S168" i="5"/>
  <c r="Q168" i="5"/>
  <c r="W168" i="5" s="1"/>
  <c r="N168" i="5"/>
  <c r="J168" i="5"/>
  <c r="X168" i="5" s="1"/>
  <c r="Y168" i="5" s="1"/>
  <c r="V167" i="5"/>
  <c r="U167" i="5"/>
  <c r="T167" i="5"/>
  <c r="S167" i="5"/>
  <c r="Q167" i="5"/>
  <c r="W167" i="5" s="1"/>
  <c r="N167" i="5"/>
  <c r="J167" i="5"/>
  <c r="X167" i="5" s="1"/>
  <c r="Y167" i="5" s="1"/>
  <c r="V166" i="5"/>
  <c r="U166" i="5"/>
  <c r="T166" i="5"/>
  <c r="S166" i="5"/>
  <c r="Q166" i="5"/>
  <c r="W166" i="5" s="1"/>
  <c r="N166" i="5"/>
  <c r="J166" i="5"/>
  <c r="X166" i="5" s="1"/>
  <c r="Y166" i="5" s="1"/>
  <c r="V165" i="5"/>
  <c r="U165" i="5"/>
  <c r="T165" i="5"/>
  <c r="S165" i="5"/>
  <c r="Q165" i="5"/>
  <c r="W165" i="5" s="1"/>
  <c r="N165" i="5"/>
  <c r="J165" i="5"/>
  <c r="X165" i="5" s="1"/>
  <c r="Y165" i="5" s="1"/>
  <c r="V164" i="5"/>
  <c r="U164" i="5"/>
  <c r="T164" i="5"/>
  <c r="S164" i="5"/>
  <c r="Q164" i="5"/>
  <c r="W164" i="5" s="1"/>
  <c r="N164" i="5"/>
  <c r="J164" i="5"/>
  <c r="X164" i="5" s="1"/>
  <c r="Y164" i="5" s="1"/>
  <c r="V163" i="5"/>
  <c r="U163" i="5"/>
  <c r="T163" i="5"/>
  <c r="S163" i="5"/>
  <c r="Q163" i="5"/>
  <c r="W163" i="5" s="1"/>
  <c r="N163" i="5"/>
  <c r="J163" i="5"/>
  <c r="X163" i="5" s="1"/>
  <c r="Y163" i="5" s="1"/>
  <c r="V162" i="5"/>
  <c r="U162" i="5"/>
  <c r="T162" i="5"/>
  <c r="S162" i="5"/>
  <c r="Q162" i="5"/>
  <c r="W162" i="5" s="1"/>
  <c r="N162" i="5"/>
  <c r="J162" i="5"/>
  <c r="X162" i="5" s="1"/>
  <c r="Y162" i="5" s="1"/>
  <c r="V161" i="5"/>
  <c r="U161" i="5"/>
  <c r="T161" i="5"/>
  <c r="S161" i="5"/>
  <c r="Q161" i="5"/>
  <c r="W161" i="5" s="1"/>
  <c r="N161" i="5"/>
  <c r="J161" i="5"/>
  <c r="X161" i="5" s="1"/>
  <c r="Y161" i="5" s="1"/>
  <c r="V160" i="5"/>
  <c r="U160" i="5"/>
  <c r="T160" i="5"/>
  <c r="S160" i="5"/>
  <c r="Q160" i="5"/>
  <c r="W160" i="5" s="1"/>
  <c r="N160" i="5"/>
  <c r="J160" i="5"/>
  <c r="X160" i="5" s="1"/>
  <c r="Y160" i="5" s="1"/>
  <c r="V159" i="5"/>
  <c r="U159" i="5"/>
  <c r="T159" i="5"/>
  <c r="S159" i="5"/>
  <c r="Q159" i="5"/>
  <c r="N159" i="5"/>
  <c r="J159" i="5"/>
  <c r="X159" i="5" s="1"/>
  <c r="V158" i="5"/>
  <c r="U158" i="5"/>
  <c r="T158" i="5"/>
  <c r="S158" i="5"/>
  <c r="Q158" i="5"/>
  <c r="W158" i="5" s="1"/>
  <c r="N158" i="5"/>
  <c r="J158" i="5"/>
  <c r="X158" i="5" s="1"/>
  <c r="Y158" i="5" s="1"/>
  <c r="V157" i="5"/>
  <c r="U157" i="5"/>
  <c r="T157" i="5"/>
  <c r="S157" i="5"/>
  <c r="Q157" i="5"/>
  <c r="W157" i="5" s="1"/>
  <c r="N157" i="5"/>
  <c r="J157" i="5"/>
  <c r="X157" i="5" s="1"/>
  <c r="Y157" i="5" s="1"/>
  <c r="V156" i="5"/>
  <c r="U156" i="5"/>
  <c r="T156" i="5"/>
  <c r="S156" i="5"/>
  <c r="Q156" i="5"/>
  <c r="W156" i="5" s="1"/>
  <c r="N156" i="5"/>
  <c r="O156" i="5" s="1"/>
  <c r="J156" i="5"/>
  <c r="X156" i="5" s="1"/>
  <c r="Y156" i="5" s="1"/>
  <c r="V155" i="5"/>
  <c r="U155" i="5"/>
  <c r="T155" i="5"/>
  <c r="S155" i="5"/>
  <c r="Q155" i="5"/>
  <c r="N155" i="5"/>
  <c r="J155" i="5"/>
  <c r="X155" i="5" s="1"/>
  <c r="V154" i="5"/>
  <c r="U154" i="5"/>
  <c r="T154" i="5"/>
  <c r="S154" i="5"/>
  <c r="Q154" i="5"/>
  <c r="W154" i="5" s="1"/>
  <c r="N154" i="5"/>
  <c r="J154" i="5"/>
  <c r="X154" i="5" s="1"/>
  <c r="V153" i="5"/>
  <c r="U153" i="5"/>
  <c r="T153" i="5"/>
  <c r="S153" i="5"/>
  <c r="Q153" i="5"/>
  <c r="N153" i="5"/>
  <c r="J153" i="5"/>
  <c r="X153" i="5" s="1"/>
  <c r="V152" i="5"/>
  <c r="U152" i="5"/>
  <c r="T152" i="5"/>
  <c r="S152" i="5"/>
  <c r="Q152" i="5"/>
  <c r="W152" i="5" s="1"/>
  <c r="N152" i="5"/>
  <c r="J152" i="5"/>
  <c r="X152" i="5" s="1"/>
  <c r="Y152" i="5" s="1"/>
  <c r="V151" i="5"/>
  <c r="U151" i="5"/>
  <c r="T151" i="5"/>
  <c r="S151" i="5"/>
  <c r="Q151" i="5"/>
  <c r="W151" i="5" s="1"/>
  <c r="N151" i="5"/>
  <c r="J151" i="5"/>
  <c r="X151" i="5" s="1"/>
  <c r="Y151" i="5" s="1"/>
  <c r="V150" i="5"/>
  <c r="U150" i="5"/>
  <c r="T150" i="5"/>
  <c r="S150" i="5"/>
  <c r="Q150" i="5"/>
  <c r="W150" i="5" s="1"/>
  <c r="N150" i="5"/>
  <c r="J150" i="5"/>
  <c r="X150" i="5" s="1"/>
  <c r="Y150" i="5" s="1"/>
  <c r="V149" i="5"/>
  <c r="U149" i="5"/>
  <c r="T149" i="5"/>
  <c r="S149" i="5"/>
  <c r="Q149" i="5"/>
  <c r="N149" i="5"/>
  <c r="J149" i="5"/>
  <c r="X149" i="5" s="1"/>
  <c r="V148" i="5"/>
  <c r="U148" i="5"/>
  <c r="T148" i="5"/>
  <c r="S148" i="5"/>
  <c r="Q148" i="5"/>
  <c r="N148" i="5"/>
  <c r="J148" i="5"/>
  <c r="X148" i="5" s="1"/>
  <c r="V147" i="5"/>
  <c r="U147" i="5"/>
  <c r="T147" i="5"/>
  <c r="S147" i="5"/>
  <c r="Q147" i="5"/>
  <c r="W147" i="5" s="1"/>
  <c r="N147" i="5"/>
  <c r="J147" i="5"/>
  <c r="X147" i="5" s="1"/>
  <c r="V146" i="5"/>
  <c r="U146" i="5"/>
  <c r="T146" i="5"/>
  <c r="S146" i="5"/>
  <c r="Q146" i="5"/>
  <c r="N146" i="5"/>
  <c r="J146" i="5"/>
  <c r="X146" i="5" s="1"/>
  <c r="V145" i="5"/>
  <c r="U145" i="5"/>
  <c r="T145" i="5"/>
  <c r="S145" i="5"/>
  <c r="Q145" i="5"/>
  <c r="N145" i="5"/>
  <c r="J145" i="5"/>
  <c r="X145" i="5" s="1"/>
  <c r="V144" i="5"/>
  <c r="U144" i="5"/>
  <c r="T144" i="5"/>
  <c r="S144" i="5"/>
  <c r="Q144" i="5"/>
  <c r="W144" i="5" s="1"/>
  <c r="N144" i="5"/>
  <c r="J144" i="5"/>
  <c r="X144" i="5" s="1"/>
  <c r="Y144" i="5" s="1"/>
  <c r="V143" i="5"/>
  <c r="U143" i="5"/>
  <c r="T143" i="5"/>
  <c r="S143" i="5"/>
  <c r="Q143" i="5"/>
  <c r="W143" i="5" s="1"/>
  <c r="N143" i="5"/>
  <c r="J143" i="5"/>
  <c r="X143" i="5" s="1"/>
  <c r="Y143" i="5" s="1"/>
  <c r="V142" i="5"/>
  <c r="U142" i="5"/>
  <c r="T142" i="5"/>
  <c r="S142" i="5"/>
  <c r="Q142" i="5"/>
  <c r="W142" i="5" s="1"/>
  <c r="N142" i="5"/>
  <c r="J142" i="5"/>
  <c r="X142" i="5" s="1"/>
  <c r="V141" i="5"/>
  <c r="U141" i="5"/>
  <c r="T141" i="5"/>
  <c r="S141" i="5"/>
  <c r="Q141" i="5"/>
  <c r="N141" i="5"/>
  <c r="J141" i="5"/>
  <c r="X141" i="5" s="1"/>
  <c r="V140" i="5"/>
  <c r="U140" i="5"/>
  <c r="T140" i="5"/>
  <c r="S140" i="5"/>
  <c r="Q140" i="5"/>
  <c r="W140" i="5" s="1"/>
  <c r="N140" i="5"/>
  <c r="J140" i="5"/>
  <c r="X140" i="5" s="1"/>
  <c r="Y140" i="5" s="1"/>
  <c r="V139" i="5"/>
  <c r="U139" i="5"/>
  <c r="T139" i="5"/>
  <c r="S139" i="5"/>
  <c r="Q139" i="5"/>
  <c r="W139" i="5" s="1"/>
  <c r="N139" i="5"/>
  <c r="J139" i="5"/>
  <c r="X139" i="5" s="1"/>
  <c r="Y139" i="5" s="1"/>
  <c r="V138" i="5"/>
  <c r="U138" i="5"/>
  <c r="T138" i="5"/>
  <c r="S138" i="5"/>
  <c r="Q138" i="5"/>
  <c r="W138" i="5" s="1"/>
  <c r="N138" i="5"/>
  <c r="J138" i="5"/>
  <c r="X138" i="5" s="1"/>
  <c r="Y138" i="5" s="1"/>
  <c r="V137" i="5"/>
  <c r="U137" i="5"/>
  <c r="T137" i="5"/>
  <c r="S137" i="5"/>
  <c r="Q137" i="5"/>
  <c r="W137" i="5" s="1"/>
  <c r="N137" i="5"/>
  <c r="J137" i="5"/>
  <c r="X137" i="5" s="1"/>
  <c r="Y137" i="5" s="1"/>
  <c r="V136" i="5"/>
  <c r="U136" i="5"/>
  <c r="T136" i="5"/>
  <c r="S136" i="5"/>
  <c r="Q136" i="5"/>
  <c r="W136" i="5" s="1"/>
  <c r="N136" i="5"/>
  <c r="J136" i="5"/>
  <c r="V135" i="5"/>
  <c r="U135" i="5"/>
  <c r="T135" i="5"/>
  <c r="S135" i="5"/>
  <c r="Q135" i="5"/>
  <c r="W135" i="5" s="1"/>
  <c r="N135" i="5"/>
  <c r="J135" i="5"/>
  <c r="X135" i="5" s="1"/>
  <c r="Y135" i="5" s="1"/>
  <c r="V134" i="5"/>
  <c r="U134" i="5"/>
  <c r="T134" i="5"/>
  <c r="S134" i="5"/>
  <c r="Q134" i="5"/>
  <c r="W134" i="5" s="1"/>
  <c r="N134" i="5"/>
  <c r="J134" i="5"/>
  <c r="X134" i="5" s="1"/>
  <c r="Y134" i="5" s="1"/>
  <c r="V133" i="5"/>
  <c r="U133" i="5"/>
  <c r="T133" i="5"/>
  <c r="S133" i="5"/>
  <c r="Q133" i="5"/>
  <c r="W133" i="5" s="1"/>
  <c r="N133" i="5"/>
  <c r="J133" i="5"/>
  <c r="X133" i="5" s="1"/>
  <c r="Y133" i="5" s="1"/>
  <c r="V132" i="5"/>
  <c r="U132" i="5"/>
  <c r="T132" i="5"/>
  <c r="S132" i="5"/>
  <c r="Q132" i="5"/>
  <c r="W132" i="5" s="1"/>
  <c r="N132" i="5"/>
  <c r="J132" i="5"/>
  <c r="V131" i="5"/>
  <c r="U131" i="5"/>
  <c r="T131" i="5"/>
  <c r="S131" i="5"/>
  <c r="Q131" i="5"/>
  <c r="W131" i="5" s="1"/>
  <c r="N131" i="5"/>
  <c r="J131" i="5"/>
  <c r="X131" i="5" s="1"/>
  <c r="V130" i="5"/>
  <c r="U130" i="5"/>
  <c r="T130" i="5"/>
  <c r="S130" i="5"/>
  <c r="Q130" i="5"/>
  <c r="N130" i="5"/>
  <c r="J130" i="5"/>
  <c r="X130" i="5" s="1"/>
  <c r="V129" i="5"/>
  <c r="U129" i="5"/>
  <c r="T129" i="5"/>
  <c r="S129" i="5"/>
  <c r="Q129" i="5"/>
  <c r="W129" i="5" s="1"/>
  <c r="N129" i="5"/>
  <c r="J129" i="5"/>
  <c r="X129" i="5" s="1"/>
  <c r="Y129" i="5" s="1"/>
  <c r="V128" i="5"/>
  <c r="U128" i="5"/>
  <c r="T128" i="5"/>
  <c r="S128" i="5"/>
  <c r="Q128" i="5"/>
  <c r="W128" i="5" s="1"/>
  <c r="N128" i="5"/>
  <c r="J128" i="5"/>
  <c r="X128" i="5" s="1"/>
  <c r="Y128" i="5" s="1"/>
  <c r="V127" i="5"/>
  <c r="U127" i="5"/>
  <c r="T127" i="5"/>
  <c r="S127" i="5"/>
  <c r="Q127" i="5"/>
  <c r="W127" i="5" s="1"/>
  <c r="N127" i="5"/>
  <c r="J127" i="5"/>
  <c r="X127" i="5" s="1"/>
  <c r="Y127" i="5" s="1"/>
  <c r="V126" i="5"/>
  <c r="U126" i="5"/>
  <c r="T126" i="5"/>
  <c r="S126" i="5"/>
  <c r="Q126" i="5"/>
  <c r="W126" i="5" s="1"/>
  <c r="N126" i="5"/>
  <c r="J126" i="5"/>
  <c r="X126" i="5" s="1"/>
  <c r="Y126" i="5" s="1"/>
  <c r="V125" i="5"/>
  <c r="U125" i="5"/>
  <c r="T125" i="5"/>
  <c r="S125" i="5"/>
  <c r="Q125" i="5"/>
  <c r="W125" i="5" s="1"/>
  <c r="N125" i="5"/>
  <c r="J125" i="5"/>
  <c r="X125" i="5" s="1"/>
  <c r="Y125" i="5" s="1"/>
  <c r="V124" i="5"/>
  <c r="U124" i="5"/>
  <c r="T124" i="5"/>
  <c r="S124" i="5"/>
  <c r="Q124" i="5"/>
  <c r="W124" i="5" s="1"/>
  <c r="N124" i="5"/>
  <c r="J124" i="5"/>
  <c r="X124" i="5" s="1"/>
  <c r="Y124" i="5" s="1"/>
  <c r="V123" i="5"/>
  <c r="U123" i="5"/>
  <c r="T123" i="5"/>
  <c r="S123" i="5"/>
  <c r="Q123" i="5"/>
  <c r="W123" i="5" s="1"/>
  <c r="N123" i="5"/>
  <c r="J123" i="5"/>
  <c r="X123" i="5" s="1"/>
  <c r="Y123" i="5" s="1"/>
  <c r="V122" i="5"/>
  <c r="U122" i="5"/>
  <c r="T122" i="5"/>
  <c r="S122" i="5"/>
  <c r="Q122" i="5"/>
  <c r="W122" i="5" s="1"/>
  <c r="N122" i="5"/>
  <c r="J122" i="5"/>
  <c r="X122" i="5" s="1"/>
  <c r="Y122" i="5" s="1"/>
  <c r="V121" i="5"/>
  <c r="U121" i="5"/>
  <c r="T121" i="5"/>
  <c r="S121" i="5"/>
  <c r="Q121" i="5"/>
  <c r="W121" i="5" s="1"/>
  <c r="N121" i="5"/>
  <c r="J121" i="5"/>
  <c r="X121" i="5" s="1"/>
  <c r="Y121" i="5" s="1"/>
  <c r="V120" i="5"/>
  <c r="U120" i="5"/>
  <c r="T120" i="5"/>
  <c r="S120" i="5"/>
  <c r="Q120" i="5"/>
  <c r="W120" i="5" s="1"/>
  <c r="N120" i="5"/>
  <c r="J120" i="5"/>
  <c r="X120" i="5" s="1"/>
  <c r="Y120" i="5" s="1"/>
  <c r="V119" i="5"/>
  <c r="U119" i="5"/>
  <c r="T119" i="5"/>
  <c r="S119" i="5"/>
  <c r="Q119" i="5"/>
  <c r="W119" i="5" s="1"/>
  <c r="N119" i="5"/>
  <c r="J119" i="5"/>
  <c r="X119" i="5" s="1"/>
  <c r="Y119" i="5" s="1"/>
  <c r="V118" i="5"/>
  <c r="U118" i="5"/>
  <c r="T118" i="5"/>
  <c r="S118" i="5"/>
  <c r="Q118" i="5"/>
  <c r="W118" i="5" s="1"/>
  <c r="N118" i="5"/>
  <c r="J118" i="5"/>
  <c r="X118" i="5" s="1"/>
  <c r="Y118" i="5" s="1"/>
  <c r="V117" i="5"/>
  <c r="U117" i="5"/>
  <c r="T117" i="5"/>
  <c r="S117" i="5"/>
  <c r="Q117" i="5"/>
  <c r="W117" i="5" s="1"/>
  <c r="N117" i="5"/>
  <c r="J117" i="5"/>
  <c r="X117" i="5" s="1"/>
  <c r="Y117" i="5" s="1"/>
  <c r="V116" i="5"/>
  <c r="U116" i="5"/>
  <c r="T116" i="5"/>
  <c r="S116" i="5"/>
  <c r="Q116" i="5"/>
  <c r="W116" i="5" s="1"/>
  <c r="N116" i="5"/>
  <c r="J116" i="5"/>
  <c r="X116" i="5" s="1"/>
  <c r="Y116" i="5" s="1"/>
  <c r="V115" i="5"/>
  <c r="U115" i="5"/>
  <c r="T115" i="5"/>
  <c r="S115" i="5"/>
  <c r="Q115" i="5"/>
  <c r="W115" i="5" s="1"/>
  <c r="N115" i="5"/>
  <c r="J115" i="5"/>
  <c r="X115" i="5" s="1"/>
  <c r="Y115" i="5" s="1"/>
  <c r="V114" i="5"/>
  <c r="U114" i="5"/>
  <c r="T114" i="5"/>
  <c r="S114" i="5"/>
  <c r="Q114" i="5"/>
  <c r="W114" i="5" s="1"/>
  <c r="N114" i="5"/>
  <c r="J114" i="5"/>
  <c r="X114" i="5" s="1"/>
  <c r="Y114" i="5" s="1"/>
  <c r="V113" i="5"/>
  <c r="U113" i="5"/>
  <c r="T113" i="5"/>
  <c r="S113" i="5"/>
  <c r="Q113" i="5"/>
  <c r="W113" i="5" s="1"/>
  <c r="N113" i="5"/>
  <c r="J113" i="5"/>
  <c r="X113" i="5" s="1"/>
  <c r="Y113" i="5" s="1"/>
  <c r="V112" i="5"/>
  <c r="U112" i="5"/>
  <c r="T112" i="5"/>
  <c r="S112" i="5"/>
  <c r="Q112" i="5"/>
  <c r="W112" i="5" s="1"/>
  <c r="N112" i="5"/>
  <c r="J112" i="5"/>
  <c r="X112" i="5" s="1"/>
  <c r="Y112" i="5" s="1"/>
  <c r="V111" i="5"/>
  <c r="U111" i="5"/>
  <c r="T111" i="5"/>
  <c r="S111" i="5"/>
  <c r="Q111" i="5"/>
  <c r="W111" i="5" s="1"/>
  <c r="N111" i="5"/>
  <c r="J111" i="5"/>
  <c r="X111" i="5" s="1"/>
  <c r="Y111" i="5" s="1"/>
  <c r="V110" i="5"/>
  <c r="U110" i="5"/>
  <c r="T110" i="5"/>
  <c r="S110" i="5"/>
  <c r="Q110" i="5"/>
  <c r="W110" i="5" s="1"/>
  <c r="N110" i="5"/>
  <c r="J110" i="5"/>
  <c r="X110" i="5" s="1"/>
  <c r="Y110" i="5" s="1"/>
  <c r="V109" i="5"/>
  <c r="U109" i="5"/>
  <c r="T109" i="5"/>
  <c r="S109" i="5"/>
  <c r="Q109" i="5"/>
  <c r="W109" i="5" s="1"/>
  <c r="N109" i="5"/>
  <c r="J109" i="5"/>
  <c r="X109" i="5" s="1"/>
  <c r="Y109" i="5" s="1"/>
  <c r="V108" i="5"/>
  <c r="U108" i="5"/>
  <c r="T108" i="5"/>
  <c r="S108" i="5"/>
  <c r="Q108" i="5"/>
  <c r="W108" i="5" s="1"/>
  <c r="N108" i="5"/>
  <c r="J108" i="5"/>
  <c r="X108" i="5" s="1"/>
  <c r="Y108" i="5" s="1"/>
  <c r="V107" i="5"/>
  <c r="U107" i="5"/>
  <c r="T107" i="5"/>
  <c r="S107" i="5"/>
  <c r="Q107" i="5"/>
  <c r="W107" i="5" s="1"/>
  <c r="N107" i="5"/>
  <c r="J107" i="5"/>
  <c r="X107" i="5" s="1"/>
  <c r="Y107" i="5" s="1"/>
  <c r="V106" i="5"/>
  <c r="U106" i="5"/>
  <c r="T106" i="5"/>
  <c r="S106" i="5"/>
  <c r="Q106" i="5"/>
  <c r="W106" i="5" s="1"/>
  <c r="N106" i="5"/>
  <c r="J106" i="5"/>
  <c r="X106" i="5" s="1"/>
  <c r="Y106" i="5" s="1"/>
  <c r="V105" i="5"/>
  <c r="U105" i="5"/>
  <c r="T105" i="5"/>
  <c r="S105" i="5"/>
  <c r="Q105" i="5"/>
  <c r="N105" i="5"/>
  <c r="J105" i="5"/>
  <c r="V104" i="5"/>
  <c r="U104" i="5"/>
  <c r="T104" i="5"/>
  <c r="S104" i="5"/>
  <c r="Q104" i="5"/>
  <c r="W104" i="5" s="1"/>
  <c r="N104" i="5"/>
  <c r="J104" i="5"/>
  <c r="X104" i="5" s="1"/>
  <c r="Y104" i="5" s="1"/>
  <c r="V103" i="5"/>
  <c r="U103" i="5"/>
  <c r="T103" i="5"/>
  <c r="S103" i="5"/>
  <c r="Q103" i="5"/>
  <c r="W103" i="5" s="1"/>
  <c r="N103" i="5"/>
  <c r="J103" i="5"/>
  <c r="X103" i="5" s="1"/>
  <c r="Y103" i="5" s="1"/>
  <c r="V102" i="5"/>
  <c r="U102" i="5"/>
  <c r="T102" i="5"/>
  <c r="S102" i="5"/>
  <c r="Q102" i="5"/>
  <c r="W102" i="5" s="1"/>
  <c r="N102" i="5"/>
  <c r="J102" i="5"/>
  <c r="X102" i="5" s="1"/>
  <c r="Y102" i="5" s="1"/>
  <c r="V101" i="5"/>
  <c r="U101" i="5"/>
  <c r="T101" i="5"/>
  <c r="S101" i="5"/>
  <c r="Q101" i="5"/>
  <c r="W101" i="5" s="1"/>
  <c r="N101" i="5"/>
  <c r="J101" i="5"/>
  <c r="X101" i="5" s="1"/>
  <c r="Y101" i="5" s="1"/>
  <c r="V100" i="5"/>
  <c r="U100" i="5"/>
  <c r="T100" i="5"/>
  <c r="S100" i="5"/>
  <c r="Q100" i="5"/>
  <c r="W100" i="5" s="1"/>
  <c r="N100" i="5"/>
  <c r="J100" i="5"/>
  <c r="X100" i="5" s="1"/>
  <c r="Y100" i="5" s="1"/>
  <c r="V99" i="5"/>
  <c r="U99" i="5"/>
  <c r="T99" i="5"/>
  <c r="S99" i="5"/>
  <c r="Q99" i="5"/>
  <c r="W99" i="5" s="1"/>
  <c r="N99" i="5"/>
  <c r="J99" i="5"/>
  <c r="X99" i="5" s="1"/>
  <c r="Y99" i="5" s="1"/>
  <c r="V98" i="5"/>
  <c r="U98" i="5"/>
  <c r="T98" i="5"/>
  <c r="S98" i="5"/>
  <c r="Q98" i="5"/>
  <c r="W98" i="5" s="1"/>
  <c r="N98" i="5"/>
  <c r="J98" i="5"/>
  <c r="X98" i="5" s="1"/>
  <c r="Y98" i="5" s="1"/>
  <c r="V97" i="5"/>
  <c r="U97" i="5"/>
  <c r="T97" i="5"/>
  <c r="S97" i="5"/>
  <c r="Q97" i="5"/>
  <c r="W97" i="5" s="1"/>
  <c r="N97" i="5"/>
  <c r="J97" i="5"/>
  <c r="X97" i="5" s="1"/>
  <c r="Y97" i="5" s="1"/>
  <c r="V96" i="5"/>
  <c r="U96" i="5"/>
  <c r="T96" i="5"/>
  <c r="S96" i="5"/>
  <c r="Q96" i="5"/>
  <c r="W96" i="5" s="1"/>
  <c r="N96" i="5"/>
  <c r="J96" i="5"/>
  <c r="X96" i="5" s="1"/>
  <c r="Y96" i="5" s="1"/>
  <c r="V95" i="5"/>
  <c r="U95" i="5"/>
  <c r="T95" i="5"/>
  <c r="S95" i="5"/>
  <c r="Q95" i="5"/>
  <c r="W95" i="5" s="1"/>
  <c r="N95" i="5"/>
  <c r="J95" i="5"/>
  <c r="X95" i="5" s="1"/>
  <c r="Y95" i="5" s="1"/>
  <c r="V94" i="5"/>
  <c r="U94" i="5"/>
  <c r="T94" i="5"/>
  <c r="S94" i="5"/>
  <c r="Q94" i="5"/>
  <c r="W94" i="5" s="1"/>
  <c r="N94" i="5"/>
  <c r="J94" i="5"/>
  <c r="X94" i="5" s="1"/>
  <c r="Y94" i="5" s="1"/>
  <c r="V93" i="5"/>
  <c r="U93" i="5"/>
  <c r="T93" i="5"/>
  <c r="S93" i="5"/>
  <c r="Q93" i="5"/>
  <c r="W93" i="5" s="1"/>
  <c r="N93" i="5"/>
  <c r="J93" i="5"/>
  <c r="X93" i="5" s="1"/>
  <c r="Y93" i="5" s="1"/>
  <c r="V92" i="5"/>
  <c r="U92" i="5"/>
  <c r="T92" i="5"/>
  <c r="S92" i="5"/>
  <c r="Q92" i="5"/>
  <c r="W92" i="5" s="1"/>
  <c r="N92" i="5"/>
  <c r="J92" i="5"/>
  <c r="X92" i="5" s="1"/>
  <c r="Y92" i="5" s="1"/>
  <c r="V91" i="5"/>
  <c r="U91" i="5"/>
  <c r="T91" i="5"/>
  <c r="S91" i="5"/>
  <c r="Q91" i="5"/>
  <c r="W91" i="5" s="1"/>
  <c r="N91" i="5"/>
  <c r="J91" i="5"/>
  <c r="X91" i="5" s="1"/>
  <c r="Y91" i="5" s="1"/>
  <c r="V90" i="5"/>
  <c r="U90" i="5"/>
  <c r="T90" i="5"/>
  <c r="S90" i="5"/>
  <c r="Q90" i="5"/>
  <c r="W90" i="5" s="1"/>
  <c r="N90" i="5"/>
  <c r="J90" i="5"/>
  <c r="X90" i="5" s="1"/>
  <c r="Y90" i="5" s="1"/>
  <c r="V89" i="5"/>
  <c r="U89" i="5"/>
  <c r="T89" i="5"/>
  <c r="S89" i="5"/>
  <c r="Q89" i="5"/>
  <c r="W89" i="5" s="1"/>
  <c r="N89" i="5"/>
  <c r="J89" i="5"/>
  <c r="X89" i="5" s="1"/>
  <c r="Y89" i="5" s="1"/>
  <c r="V88" i="5"/>
  <c r="U88" i="5"/>
  <c r="T88" i="5"/>
  <c r="S88" i="5"/>
  <c r="Q88" i="5"/>
  <c r="W88" i="5" s="1"/>
  <c r="N88" i="5"/>
  <c r="J88" i="5"/>
  <c r="X88" i="5" s="1"/>
  <c r="Y88" i="5" s="1"/>
  <c r="V87" i="5"/>
  <c r="U87" i="5"/>
  <c r="T87" i="5"/>
  <c r="S87" i="5"/>
  <c r="Q87" i="5"/>
  <c r="W87" i="5" s="1"/>
  <c r="N87" i="5"/>
  <c r="J87" i="5"/>
  <c r="X87" i="5" s="1"/>
  <c r="Y87" i="5" s="1"/>
  <c r="V86" i="5"/>
  <c r="U86" i="5"/>
  <c r="T86" i="5"/>
  <c r="S86" i="5"/>
  <c r="Q86" i="5"/>
  <c r="W86" i="5" s="1"/>
  <c r="N86" i="5"/>
  <c r="J86" i="5"/>
  <c r="X86" i="5" s="1"/>
  <c r="Y86" i="5" s="1"/>
  <c r="V85" i="5"/>
  <c r="U85" i="5"/>
  <c r="T85" i="5"/>
  <c r="S85" i="5"/>
  <c r="Q85" i="5"/>
  <c r="W85" i="5" s="1"/>
  <c r="N85" i="5"/>
  <c r="J85" i="5"/>
  <c r="X85" i="5" s="1"/>
  <c r="Y85" i="5" s="1"/>
  <c r="V84" i="5"/>
  <c r="U84" i="5"/>
  <c r="T84" i="5"/>
  <c r="S84" i="5"/>
  <c r="Q84" i="5"/>
  <c r="W84" i="5" s="1"/>
  <c r="N84" i="5"/>
  <c r="J84" i="5"/>
  <c r="X84" i="5" s="1"/>
  <c r="Y84" i="5" s="1"/>
  <c r="V83" i="5"/>
  <c r="U83" i="5"/>
  <c r="T83" i="5"/>
  <c r="S83" i="5"/>
  <c r="Q83" i="5"/>
  <c r="W83" i="5" s="1"/>
  <c r="N83" i="5"/>
  <c r="J83" i="5"/>
  <c r="X83" i="5" s="1"/>
  <c r="Y83" i="5" s="1"/>
  <c r="V82" i="5"/>
  <c r="U82" i="5"/>
  <c r="T82" i="5"/>
  <c r="S82" i="5"/>
  <c r="Q82" i="5"/>
  <c r="W82" i="5" s="1"/>
  <c r="N82" i="5"/>
  <c r="J82" i="5"/>
  <c r="X82" i="5" s="1"/>
  <c r="Y82" i="5" s="1"/>
  <c r="V81" i="5"/>
  <c r="U81" i="5"/>
  <c r="T81" i="5"/>
  <c r="S81" i="5"/>
  <c r="Q81" i="5"/>
  <c r="W81" i="5" s="1"/>
  <c r="N81" i="5"/>
  <c r="J81" i="5"/>
  <c r="X81" i="5" s="1"/>
  <c r="Y81" i="5" s="1"/>
  <c r="V80" i="5"/>
  <c r="U80" i="5"/>
  <c r="T80" i="5"/>
  <c r="S80" i="5"/>
  <c r="Q80" i="5"/>
  <c r="W80" i="5" s="1"/>
  <c r="N80" i="5"/>
  <c r="J80" i="5"/>
  <c r="X80" i="5" s="1"/>
  <c r="Y80" i="5" s="1"/>
  <c r="V79" i="5"/>
  <c r="U79" i="5"/>
  <c r="T79" i="5"/>
  <c r="S79" i="5"/>
  <c r="Q79" i="5"/>
  <c r="W79" i="5" s="1"/>
  <c r="N79" i="5"/>
  <c r="J79" i="5"/>
  <c r="X79" i="5" s="1"/>
  <c r="Y79" i="5" s="1"/>
  <c r="V78" i="5"/>
  <c r="U78" i="5"/>
  <c r="T78" i="5"/>
  <c r="S78" i="5"/>
  <c r="Q78" i="5"/>
  <c r="W78" i="5" s="1"/>
  <c r="N78" i="5"/>
  <c r="J78" i="5"/>
  <c r="X78" i="5" s="1"/>
  <c r="Y78" i="5" s="1"/>
  <c r="V77" i="5"/>
  <c r="U77" i="5"/>
  <c r="T77" i="5"/>
  <c r="S77" i="5"/>
  <c r="Q77" i="5"/>
  <c r="W77" i="5" s="1"/>
  <c r="N77" i="5"/>
  <c r="J77" i="5"/>
  <c r="X77" i="5" s="1"/>
  <c r="Y77" i="5" s="1"/>
  <c r="V76" i="5"/>
  <c r="U76" i="5"/>
  <c r="T76" i="5"/>
  <c r="S76" i="5"/>
  <c r="Q76" i="5"/>
  <c r="W76" i="5" s="1"/>
  <c r="N76" i="5"/>
  <c r="J76" i="5"/>
  <c r="X76" i="5" s="1"/>
  <c r="Y76" i="5" s="1"/>
  <c r="V75" i="5"/>
  <c r="U75" i="5"/>
  <c r="T75" i="5"/>
  <c r="S75" i="5"/>
  <c r="Q75" i="5"/>
  <c r="W75" i="5" s="1"/>
  <c r="N75" i="5"/>
  <c r="J75" i="5"/>
  <c r="X75" i="5" s="1"/>
  <c r="Y75" i="5" s="1"/>
  <c r="V74" i="5"/>
  <c r="U74" i="5"/>
  <c r="T74" i="5"/>
  <c r="S74" i="5"/>
  <c r="Q74" i="5"/>
  <c r="W74" i="5" s="1"/>
  <c r="N74" i="5"/>
  <c r="J74" i="5"/>
  <c r="X74" i="5" s="1"/>
  <c r="Y74" i="5" s="1"/>
  <c r="V73" i="5"/>
  <c r="U73" i="5"/>
  <c r="T73" i="5"/>
  <c r="S73" i="5"/>
  <c r="Q73" i="5"/>
  <c r="W73" i="5" s="1"/>
  <c r="N73" i="5"/>
  <c r="J73" i="5"/>
  <c r="X73" i="5" s="1"/>
  <c r="Y73" i="5" s="1"/>
  <c r="V72" i="5"/>
  <c r="U72" i="5"/>
  <c r="T72" i="5"/>
  <c r="S72" i="5"/>
  <c r="Q72" i="5"/>
  <c r="W72" i="5" s="1"/>
  <c r="N72" i="5"/>
  <c r="J72" i="5"/>
  <c r="X72" i="5" s="1"/>
  <c r="Y72" i="5" s="1"/>
  <c r="V71" i="5"/>
  <c r="U71" i="5"/>
  <c r="T71" i="5"/>
  <c r="S71" i="5"/>
  <c r="Q71" i="5"/>
  <c r="W71" i="5" s="1"/>
  <c r="N71" i="5"/>
  <c r="J71" i="5"/>
  <c r="X71" i="5" s="1"/>
  <c r="Y71" i="5" s="1"/>
  <c r="V70" i="5"/>
  <c r="U70" i="5"/>
  <c r="T70" i="5"/>
  <c r="S70" i="5"/>
  <c r="Q70" i="5"/>
  <c r="W70" i="5" s="1"/>
  <c r="N70" i="5"/>
  <c r="J70" i="5"/>
  <c r="X70" i="5" s="1"/>
  <c r="Y70" i="5" s="1"/>
  <c r="V69" i="5"/>
  <c r="U69" i="5"/>
  <c r="T69" i="5"/>
  <c r="S69" i="5"/>
  <c r="Q69" i="5"/>
  <c r="W69" i="5" s="1"/>
  <c r="N69" i="5"/>
  <c r="J69" i="5"/>
  <c r="X69" i="5" s="1"/>
  <c r="Y69" i="5" s="1"/>
  <c r="V68" i="5"/>
  <c r="U68" i="5"/>
  <c r="T68" i="5"/>
  <c r="S68" i="5"/>
  <c r="Q68" i="5"/>
  <c r="W68" i="5" s="1"/>
  <c r="N68" i="5"/>
  <c r="J68" i="5"/>
  <c r="X68" i="5" s="1"/>
  <c r="Y68" i="5" s="1"/>
  <c r="V67" i="5"/>
  <c r="U67" i="5"/>
  <c r="T67" i="5"/>
  <c r="S67" i="5"/>
  <c r="Q67" i="5"/>
  <c r="W67" i="5" s="1"/>
  <c r="N67" i="5"/>
  <c r="J67" i="5"/>
  <c r="X67" i="5" s="1"/>
  <c r="Y67" i="5" s="1"/>
  <c r="V66" i="5"/>
  <c r="U66" i="5"/>
  <c r="T66" i="5"/>
  <c r="S66" i="5"/>
  <c r="Q66" i="5"/>
  <c r="W66" i="5" s="1"/>
  <c r="N66" i="5"/>
  <c r="J66" i="5"/>
  <c r="X66" i="5" s="1"/>
  <c r="Y66" i="5" s="1"/>
  <c r="V65" i="5"/>
  <c r="U65" i="5"/>
  <c r="T65" i="5"/>
  <c r="S65" i="5"/>
  <c r="Q65" i="5"/>
  <c r="W65" i="5" s="1"/>
  <c r="N65" i="5"/>
  <c r="J65" i="5"/>
  <c r="X65" i="5" s="1"/>
  <c r="Y65" i="5" s="1"/>
  <c r="V64" i="5"/>
  <c r="U64" i="5"/>
  <c r="T64" i="5"/>
  <c r="S64" i="5"/>
  <c r="Q64" i="5"/>
  <c r="W64" i="5" s="1"/>
  <c r="N64" i="5"/>
  <c r="J64" i="5"/>
  <c r="X64" i="5" s="1"/>
  <c r="Y64" i="5" s="1"/>
  <c r="V63" i="5"/>
  <c r="U63" i="5"/>
  <c r="T63" i="5"/>
  <c r="S63" i="5"/>
  <c r="Q63" i="5"/>
  <c r="W63" i="5" s="1"/>
  <c r="N63" i="5"/>
  <c r="J63" i="5"/>
  <c r="X63" i="5" s="1"/>
  <c r="Y63" i="5" s="1"/>
  <c r="V62" i="5"/>
  <c r="U62" i="5"/>
  <c r="T62" i="5"/>
  <c r="S62" i="5"/>
  <c r="Q62" i="5"/>
  <c r="N62" i="5"/>
  <c r="J62" i="5"/>
  <c r="X62" i="5" s="1"/>
  <c r="V61" i="5"/>
  <c r="U61" i="5"/>
  <c r="T61" i="5"/>
  <c r="S61" i="5"/>
  <c r="Q61" i="5"/>
  <c r="W61" i="5" s="1"/>
  <c r="N61" i="5"/>
  <c r="J61" i="5"/>
  <c r="X61" i="5" s="1"/>
  <c r="Y61" i="5" s="1"/>
  <c r="V60" i="5"/>
  <c r="U60" i="5"/>
  <c r="T60" i="5"/>
  <c r="S60" i="5"/>
  <c r="Q60" i="5"/>
  <c r="N60" i="5"/>
  <c r="J60" i="5"/>
  <c r="X60" i="5" s="1"/>
  <c r="V59" i="5"/>
  <c r="U59" i="5"/>
  <c r="T59" i="5"/>
  <c r="S59" i="5"/>
  <c r="Q59" i="5"/>
  <c r="W59" i="5" s="1"/>
  <c r="N59" i="5"/>
  <c r="J59" i="5"/>
  <c r="X59" i="5" s="1"/>
  <c r="Y59" i="5" s="1"/>
  <c r="V58" i="5"/>
  <c r="U58" i="5"/>
  <c r="T58" i="5"/>
  <c r="S58" i="5"/>
  <c r="Q58" i="5"/>
  <c r="W58" i="5" s="1"/>
  <c r="N58" i="5"/>
  <c r="J58" i="5"/>
  <c r="X58" i="5" s="1"/>
  <c r="Y58" i="5" s="1"/>
  <c r="V57" i="5"/>
  <c r="U57" i="5"/>
  <c r="T57" i="5"/>
  <c r="S57" i="5"/>
  <c r="Q57" i="5"/>
  <c r="W57" i="5" s="1"/>
  <c r="N57" i="5"/>
  <c r="J57" i="5"/>
  <c r="X57" i="5" s="1"/>
  <c r="Y57" i="5" s="1"/>
  <c r="V56" i="5"/>
  <c r="U56" i="5"/>
  <c r="T56" i="5"/>
  <c r="S56" i="5"/>
  <c r="Q56" i="5"/>
  <c r="W56" i="5" s="1"/>
  <c r="N56" i="5"/>
  <c r="J56" i="5"/>
  <c r="X56" i="5" s="1"/>
  <c r="Y56" i="5" s="1"/>
  <c r="V55" i="5"/>
  <c r="U55" i="5"/>
  <c r="T55" i="5"/>
  <c r="S55" i="5"/>
  <c r="Q55" i="5"/>
  <c r="W55" i="5" s="1"/>
  <c r="N55" i="5"/>
  <c r="J55" i="5"/>
  <c r="X55" i="5" s="1"/>
  <c r="Y55" i="5" s="1"/>
  <c r="V54" i="5"/>
  <c r="U54" i="5"/>
  <c r="T54" i="5"/>
  <c r="S54" i="5"/>
  <c r="Q54" i="5"/>
  <c r="W54" i="5" s="1"/>
  <c r="N54" i="5"/>
  <c r="J54" i="5"/>
  <c r="X54" i="5" s="1"/>
  <c r="Y54" i="5" s="1"/>
  <c r="V53" i="5"/>
  <c r="U53" i="5"/>
  <c r="T53" i="5"/>
  <c r="S53" i="5"/>
  <c r="Q53" i="5"/>
  <c r="W53" i="5" s="1"/>
  <c r="N53" i="5"/>
  <c r="J53" i="5"/>
  <c r="X53" i="5" s="1"/>
  <c r="Y53" i="5" s="1"/>
  <c r="V52" i="5"/>
  <c r="U52" i="5"/>
  <c r="T52" i="5"/>
  <c r="S52" i="5"/>
  <c r="Q52" i="5"/>
  <c r="W52" i="5" s="1"/>
  <c r="N52" i="5"/>
  <c r="J52" i="5"/>
  <c r="X52" i="5" s="1"/>
  <c r="V51" i="5"/>
  <c r="U51" i="5"/>
  <c r="T51" i="5"/>
  <c r="S51" i="5"/>
  <c r="Q51" i="5"/>
  <c r="W51" i="5" s="1"/>
  <c r="N51" i="5"/>
  <c r="J51" i="5"/>
  <c r="X51" i="5" s="1"/>
  <c r="Y51" i="5" s="1"/>
  <c r="V50" i="5"/>
  <c r="U50" i="5"/>
  <c r="T50" i="5"/>
  <c r="S50" i="5"/>
  <c r="Q50" i="5"/>
  <c r="W50" i="5" s="1"/>
  <c r="N50" i="5"/>
  <c r="O50" i="5" s="1"/>
  <c r="J50" i="5"/>
  <c r="X50" i="5" s="1"/>
  <c r="V49" i="5"/>
  <c r="U49" i="5"/>
  <c r="T49" i="5"/>
  <c r="S49" i="5"/>
  <c r="Q49" i="5"/>
  <c r="W49" i="5" s="1"/>
  <c r="N49" i="5"/>
  <c r="J49" i="5"/>
  <c r="X49" i="5" s="1"/>
  <c r="Y49" i="5" s="1"/>
  <c r="V48" i="5"/>
  <c r="U48" i="5"/>
  <c r="T48" i="5"/>
  <c r="S48" i="5"/>
  <c r="Q48" i="5"/>
  <c r="W48" i="5" s="1"/>
  <c r="N48" i="5"/>
  <c r="J48" i="5"/>
  <c r="X48" i="5" s="1"/>
  <c r="V47" i="5"/>
  <c r="U47" i="5"/>
  <c r="T47" i="5"/>
  <c r="S47" i="5"/>
  <c r="Q47" i="5"/>
  <c r="W47" i="5" s="1"/>
  <c r="N47" i="5"/>
  <c r="J47" i="5"/>
  <c r="X47" i="5" s="1"/>
  <c r="V46" i="5"/>
  <c r="U46" i="5"/>
  <c r="T46" i="5"/>
  <c r="S46" i="5"/>
  <c r="Q46" i="5"/>
  <c r="N46" i="5"/>
  <c r="J46" i="5"/>
  <c r="X46" i="5" s="1"/>
  <c r="V45" i="5"/>
  <c r="U45" i="5"/>
  <c r="T45" i="5"/>
  <c r="S45" i="5"/>
  <c r="Q45" i="5"/>
  <c r="N45" i="5"/>
  <c r="J45" i="5"/>
  <c r="X45" i="5" s="1"/>
  <c r="V44" i="5"/>
  <c r="U44" i="5"/>
  <c r="T44" i="5"/>
  <c r="S44" i="5"/>
  <c r="Q44" i="5"/>
  <c r="N44" i="5"/>
  <c r="J44" i="5"/>
  <c r="X44" i="5" s="1"/>
  <c r="V43" i="5"/>
  <c r="U43" i="5"/>
  <c r="T43" i="5"/>
  <c r="S43" i="5"/>
  <c r="Q43" i="5"/>
  <c r="W43" i="5" s="1"/>
  <c r="N43" i="5"/>
  <c r="J43" i="5"/>
  <c r="X43" i="5" s="1"/>
  <c r="V42" i="5"/>
  <c r="U42" i="5"/>
  <c r="T42" i="5"/>
  <c r="S42" i="5"/>
  <c r="Q42" i="5"/>
  <c r="W42" i="5" s="1"/>
  <c r="N42" i="5"/>
  <c r="J42" i="5"/>
  <c r="X42" i="5" s="1"/>
  <c r="Y42" i="5" s="1"/>
  <c r="V41" i="5"/>
  <c r="U41" i="5"/>
  <c r="T41" i="5"/>
  <c r="S41" i="5"/>
  <c r="Q41" i="5"/>
  <c r="W41" i="5" s="1"/>
  <c r="N41" i="5"/>
  <c r="J41" i="5"/>
  <c r="X41" i="5" s="1"/>
  <c r="Y41" i="5" s="1"/>
  <c r="V40" i="5"/>
  <c r="U40" i="5"/>
  <c r="T40" i="5"/>
  <c r="S40" i="5"/>
  <c r="Q40" i="5"/>
  <c r="N40" i="5"/>
  <c r="J40" i="5"/>
  <c r="X40" i="5" s="1"/>
  <c r="V39" i="5"/>
  <c r="U39" i="5"/>
  <c r="T39" i="5"/>
  <c r="S39" i="5"/>
  <c r="Q39" i="5"/>
  <c r="N39" i="5"/>
  <c r="J39" i="5"/>
  <c r="X39" i="5" s="1"/>
  <c r="V38" i="5"/>
  <c r="U38" i="5"/>
  <c r="T38" i="5"/>
  <c r="S38" i="5"/>
  <c r="Q38" i="5"/>
  <c r="W38" i="5" s="1"/>
  <c r="N38" i="5"/>
  <c r="J38" i="5"/>
  <c r="X38" i="5" s="1"/>
  <c r="Y38" i="5" s="1"/>
  <c r="V37" i="5"/>
  <c r="U37" i="5"/>
  <c r="T37" i="5"/>
  <c r="S37" i="5"/>
  <c r="Q37" i="5"/>
  <c r="W37" i="5" s="1"/>
  <c r="N37" i="5"/>
  <c r="J37" i="5"/>
  <c r="X37" i="5" s="1"/>
  <c r="Y37" i="5" s="1"/>
  <c r="V36" i="5"/>
  <c r="U36" i="5"/>
  <c r="T36" i="5"/>
  <c r="S36" i="5"/>
  <c r="Q36" i="5"/>
  <c r="W36" i="5" s="1"/>
  <c r="N36" i="5"/>
  <c r="J36" i="5"/>
  <c r="X36" i="5" s="1"/>
  <c r="Y36" i="5" s="1"/>
  <c r="V35" i="5"/>
  <c r="U35" i="5"/>
  <c r="T35" i="5"/>
  <c r="S35" i="5"/>
  <c r="Q35" i="5"/>
  <c r="W35" i="5" s="1"/>
  <c r="N35" i="5"/>
  <c r="J35" i="5"/>
  <c r="X35" i="5" s="1"/>
  <c r="Y35" i="5" s="1"/>
  <c r="V34" i="5"/>
  <c r="U34" i="5"/>
  <c r="T34" i="5"/>
  <c r="S34" i="5"/>
  <c r="Q34" i="5"/>
  <c r="W34" i="5" s="1"/>
  <c r="N34" i="5"/>
  <c r="J34" i="5"/>
  <c r="X34" i="5" s="1"/>
  <c r="V33" i="5"/>
  <c r="U33" i="5"/>
  <c r="T33" i="5"/>
  <c r="S33" i="5"/>
  <c r="Q33" i="5"/>
  <c r="W33" i="5" s="1"/>
  <c r="N33" i="5"/>
  <c r="O33" i="5" s="1"/>
  <c r="J33" i="5"/>
  <c r="X33" i="5" s="1"/>
  <c r="V32" i="5"/>
  <c r="U32" i="5"/>
  <c r="T32" i="5"/>
  <c r="S32" i="5"/>
  <c r="Q32" i="5"/>
  <c r="W32" i="5" s="1"/>
  <c r="N32" i="5"/>
  <c r="J32" i="5"/>
  <c r="X32" i="5" s="1"/>
  <c r="Y32" i="5" s="1"/>
  <c r="V31" i="5"/>
  <c r="U31" i="5"/>
  <c r="T31" i="5"/>
  <c r="S31" i="5"/>
  <c r="Q31" i="5"/>
  <c r="W31" i="5" s="1"/>
  <c r="N31" i="5"/>
  <c r="O31" i="5" s="1"/>
  <c r="J31" i="5"/>
  <c r="X31" i="5" s="1"/>
  <c r="Y31" i="5" s="1"/>
  <c r="V30" i="5"/>
  <c r="U30" i="5"/>
  <c r="T30" i="5"/>
  <c r="S30" i="5"/>
  <c r="Q30" i="5"/>
  <c r="W30" i="5" s="1"/>
  <c r="N30" i="5"/>
  <c r="J30" i="5"/>
  <c r="X30" i="5" s="1"/>
  <c r="V29" i="5"/>
  <c r="U29" i="5"/>
  <c r="T29" i="5"/>
  <c r="S29" i="5"/>
  <c r="Q29" i="5"/>
  <c r="W29" i="5" s="1"/>
  <c r="N29" i="5"/>
  <c r="J29" i="5"/>
  <c r="X29" i="5" s="1"/>
  <c r="Y29" i="5" s="1"/>
  <c r="V28" i="5"/>
  <c r="U28" i="5"/>
  <c r="T28" i="5"/>
  <c r="S28" i="5"/>
  <c r="Q28" i="5"/>
  <c r="W28" i="5" s="1"/>
  <c r="N28" i="5"/>
  <c r="J28" i="5"/>
  <c r="X28" i="5" s="1"/>
  <c r="V27" i="5"/>
  <c r="U27" i="5"/>
  <c r="T27" i="5"/>
  <c r="S27" i="5"/>
  <c r="Q27" i="5"/>
  <c r="W27" i="5" s="1"/>
  <c r="N27" i="5"/>
  <c r="O27" i="5" s="1"/>
  <c r="J27" i="5"/>
  <c r="X27" i="5" s="1"/>
  <c r="Y27" i="5" s="1"/>
  <c r="V26" i="5"/>
  <c r="U26" i="5"/>
  <c r="T26" i="5"/>
  <c r="S26" i="5"/>
  <c r="Q26" i="5"/>
  <c r="W26" i="5" s="1"/>
  <c r="N26" i="5"/>
  <c r="O26" i="5" s="1"/>
  <c r="J26" i="5"/>
  <c r="X26" i="5" s="1"/>
  <c r="V25" i="5"/>
  <c r="U25" i="5"/>
  <c r="T25" i="5"/>
  <c r="S25" i="5"/>
  <c r="Q25" i="5"/>
  <c r="W25" i="5" s="1"/>
  <c r="N25" i="5"/>
  <c r="O25" i="5" s="1"/>
  <c r="J25" i="5"/>
  <c r="X25" i="5" s="1"/>
  <c r="V24" i="5"/>
  <c r="U24" i="5"/>
  <c r="T24" i="5"/>
  <c r="S24" i="5"/>
  <c r="Q24" i="5"/>
  <c r="N24" i="5"/>
  <c r="J24" i="5"/>
  <c r="X24" i="5" s="1"/>
  <c r="V23" i="5"/>
  <c r="U23" i="5"/>
  <c r="T23" i="5"/>
  <c r="S23" i="5"/>
  <c r="Q23" i="5"/>
  <c r="N23" i="5"/>
  <c r="J23" i="5"/>
  <c r="X23" i="5" s="1"/>
  <c r="V22" i="5"/>
  <c r="U22" i="5"/>
  <c r="T22" i="5"/>
  <c r="S22" i="5"/>
  <c r="Q22" i="5"/>
  <c r="W22" i="5" s="1"/>
  <c r="N22" i="5"/>
  <c r="J22" i="5"/>
  <c r="X22" i="5" s="1"/>
  <c r="Y22" i="5" s="1"/>
  <c r="V21" i="5"/>
  <c r="U21" i="5"/>
  <c r="T21" i="5"/>
  <c r="S21" i="5"/>
  <c r="Q21" i="5"/>
  <c r="W21" i="5" s="1"/>
  <c r="N21" i="5"/>
  <c r="J21" i="5"/>
  <c r="X21" i="5" s="1"/>
  <c r="V20" i="5"/>
  <c r="U20" i="5"/>
  <c r="T20" i="5"/>
  <c r="S20" i="5"/>
  <c r="Q20" i="5"/>
  <c r="W20" i="5" s="1"/>
  <c r="N20" i="5"/>
  <c r="J20" i="5"/>
  <c r="X20" i="5" s="1"/>
  <c r="Y20" i="5" s="1"/>
  <c r="V19" i="5"/>
  <c r="U19" i="5"/>
  <c r="T19" i="5"/>
  <c r="S19" i="5"/>
  <c r="Q19" i="5"/>
  <c r="W19" i="5" s="1"/>
  <c r="N19" i="5"/>
  <c r="J19" i="5"/>
  <c r="X19" i="5" s="1"/>
  <c r="Y19" i="5" s="1"/>
  <c r="V18" i="5"/>
  <c r="U18" i="5"/>
  <c r="T18" i="5"/>
  <c r="S18" i="5"/>
  <c r="Q18" i="5"/>
  <c r="W18" i="5" s="1"/>
  <c r="N18" i="5"/>
  <c r="O18" i="5" s="1"/>
  <c r="J18" i="5"/>
  <c r="X18" i="5" s="1"/>
  <c r="Y18" i="5" s="1"/>
  <c r="V17" i="5"/>
  <c r="U17" i="5"/>
  <c r="T17" i="5"/>
  <c r="S17" i="5"/>
  <c r="Q17" i="5"/>
  <c r="W17" i="5" s="1"/>
  <c r="N17" i="5"/>
  <c r="J17" i="5"/>
  <c r="X17" i="5" s="1"/>
  <c r="Y17" i="5" s="1"/>
  <c r="V16" i="5"/>
  <c r="U16" i="5"/>
  <c r="T16" i="5"/>
  <c r="S16" i="5"/>
  <c r="Q16" i="5"/>
  <c r="W16" i="5" s="1"/>
  <c r="N16" i="5"/>
  <c r="J16" i="5"/>
  <c r="X16" i="5" s="1"/>
  <c r="Y16" i="5" s="1"/>
  <c r="V15" i="5"/>
  <c r="U15" i="5"/>
  <c r="T15" i="5"/>
  <c r="S15" i="5"/>
  <c r="Q15" i="5"/>
  <c r="W15" i="5" s="1"/>
  <c r="N15" i="5"/>
  <c r="O15" i="5" s="1"/>
  <c r="J15" i="5"/>
  <c r="X15" i="5" s="1"/>
  <c r="V14" i="5"/>
  <c r="U14" i="5"/>
  <c r="T14" i="5"/>
  <c r="S14" i="5"/>
  <c r="Q14" i="5"/>
  <c r="W14" i="5" s="1"/>
  <c r="N14" i="5"/>
  <c r="J14" i="5"/>
  <c r="X14" i="5" s="1"/>
  <c r="V13" i="5"/>
  <c r="U13" i="5"/>
  <c r="T13" i="5"/>
  <c r="S13" i="5"/>
  <c r="Q13" i="5"/>
  <c r="W13" i="5" s="1"/>
  <c r="N13" i="5"/>
  <c r="J13" i="5"/>
  <c r="X13" i="5" s="1"/>
  <c r="Y13" i="5" s="1"/>
  <c r="V12" i="5"/>
  <c r="U12" i="5"/>
  <c r="T12" i="5"/>
  <c r="S12" i="5"/>
  <c r="Q12" i="5"/>
  <c r="W12" i="5" s="1"/>
  <c r="N12" i="5"/>
  <c r="J12" i="5"/>
  <c r="X12" i="5" s="1"/>
  <c r="Y12" i="5" s="1"/>
  <c r="V11" i="5"/>
  <c r="U11" i="5"/>
  <c r="T11" i="5"/>
  <c r="S11" i="5"/>
  <c r="Q11" i="5"/>
  <c r="W11" i="5" s="1"/>
  <c r="N11" i="5"/>
  <c r="O11" i="5" s="1"/>
  <c r="J11" i="5"/>
  <c r="X11" i="5" s="1"/>
  <c r="Y11" i="5" s="1"/>
  <c r="V10" i="5"/>
  <c r="U10" i="5"/>
  <c r="T10" i="5"/>
  <c r="S10" i="5"/>
  <c r="Q10" i="5"/>
  <c r="W10" i="5" s="1"/>
  <c r="N10" i="5"/>
  <c r="J10" i="5"/>
  <c r="X10" i="5" s="1"/>
  <c r="Y10" i="5" s="1"/>
  <c r="V9" i="5"/>
  <c r="U9" i="5"/>
  <c r="T9" i="5"/>
  <c r="S9" i="5"/>
  <c r="Q9" i="5"/>
  <c r="W9" i="5" s="1"/>
  <c r="N9" i="5"/>
  <c r="J9" i="5"/>
  <c r="X9" i="5" s="1"/>
  <c r="Y9" i="5" s="1"/>
  <c r="V8" i="5"/>
  <c r="U8" i="5"/>
  <c r="T8" i="5"/>
  <c r="S8" i="5"/>
  <c r="Q8" i="5"/>
  <c r="W8" i="5" s="1"/>
  <c r="N8" i="5"/>
  <c r="O8" i="5" s="1"/>
  <c r="J8" i="5"/>
  <c r="X8" i="5" s="1"/>
  <c r="Y8" i="5" s="1"/>
  <c r="V7" i="5"/>
  <c r="V305" i="5" s="1"/>
  <c r="U7" i="5"/>
  <c r="U305" i="5" s="1"/>
  <c r="T7" i="5"/>
  <c r="T305" i="5" s="1"/>
  <c r="S7" i="5"/>
  <c r="S305" i="5" s="1"/>
  <c r="Q7" i="5"/>
  <c r="N7" i="5"/>
  <c r="J7" i="5"/>
  <c r="R305" i="4"/>
  <c r="M305" i="4"/>
  <c r="L305" i="4"/>
  <c r="K305" i="4"/>
  <c r="I305" i="4"/>
  <c r="H305" i="4"/>
  <c r="G305" i="4"/>
  <c r="F305" i="4"/>
  <c r="E305" i="4"/>
  <c r="V304" i="4"/>
  <c r="U304" i="4"/>
  <c r="T304" i="4"/>
  <c r="S304" i="4"/>
  <c r="Q304" i="4"/>
  <c r="W304" i="4" s="1"/>
  <c r="N304" i="4"/>
  <c r="O304" i="4" s="1"/>
  <c r="J304" i="4"/>
  <c r="X304" i="4" s="1"/>
  <c r="Y304" i="4" s="1"/>
  <c r="V303" i="4"/>
  <c r="U303" i="4"/>
  <c r="T303" i="4"/>
  <c r="S303" i="4"/>
  <c r="Q303" i="4"/>
  <c r="W303" i="4" s="1"/>
  <c r="N303" i="4"/>
  <c r="O303" i="4" s="1"/>
  <c r="J303" i="4"/>
  <c r="X303" i="4" s="1"/>
  <c r="Y303" i="4" s="1"/>
  <c r="V302" i="4"/>
  <c r="U302" i="4"/>
  <c r="T302" i="4"/>
  <c r="S302" i="4"/>
  <c r="Q302" i="4"/>
  <c r="W302" i="4" s="1"/>
  <c r="N302" i="4"/>
  <c r="O302" i="4" s="1"/>
  <c r="J302" i="4"/>
  <c r="X302" i="4" s="1"/>
  <c r="Y302" i="4" s="1"/>
  <c r="V301" i="4"/>
  <c r="U301" i="4"/>
  <c r="T301" i="4"/>
  <c r="S301" i="4"/>
  <c r="Q301" i="4"/>
  <c r="W301" i="4" s="1"/>
  <c r="N301" i="4"/>
  <c r="O301" i="4" s="1"/>
  <c r="J301" i="4"/>
  <c r="X301" i="4" s="1"/>
  <c r="Y301" i="4" s="1"/>
  <c r="V300" i="4"/>
  <c r="U300" i="4"/>
  <c r="T300" i="4"/>
  <c r="S300" i="4"/>
  <c r="Q300" i="4"/>
  <c r="W300" i="4" s="1"/>
  <c r="N300" i="4"/>
  <c r="O300" i="4" s="1"/>
  <c r="J300" i="4"/>
  <c r="X300" i="4" s="1"/>
  <c r="Y300" i="4" s="1"/>
  <c r="V299" i="4"/>
  <c r="U299" i="4"/>
  <c r="T299" i="4"/>
  <c r="S299" i="4"/>
  <c r="Q299" i="4"/>
  <c r="W299" i="4" s="1"/>
  <c r="N299" i="4"/>
  <c r="O299" i="4" s="1"/>
  <c r="J299" i="4"/>
  <c r="X299" i="4" s="1"/>
  <c r="Y299" i="4" s="1"/>
  <c r="V298" i="4"/>
  <c r="U298" i="4"/>
  <c r="T298" i="4"/>
  <c r="S298" i="4"/>
  <c r="Q298" i="4"/>
  <c r="W298" i="4" s="1"/>
  <c r="N298" i="4"/>
  <c r="O298" i="4" s="1"/>
  <c r="J298" i="4"/>
  <c r="X298" i="4" s="1"/>
  <c r="Y298" i="4" s="1"/>
  <c r="V297" i="4"/>
  <c r="U297" i="4"/>
  <c r="T297" i="4"/>
  <c r="S297" i="4"/>
  <c r="Q297" i="4"/>
  <c r="W297" i="4" s="1"/>
  <c r="N297" i="4"/>
  <c r="O297" i="4" s="1"/>
  <c r="J297" i="4"/>
  <c r="X297" i="4" s="1"/>
  <c r="Y297" i="4" s="1"/>
  <c r="V296" i="4"/>
  <c r="U296" i="4"/>
  <c r="T296" i="4"/>
  <c r="S296" i="4"/>
  <c r="Q296" i="4"/>
  <c r="W296" i="4" s="1"/>
  <c r="N296" i="4"/>
  <c r="O296" i="4" s="1"/>
  <c r="J296" i="4"/>
  <c r="X296" i="4" s="1"/>
  <c r="Y296" i="4" s="1"/>
  <c r="V295" i="4"/>
  <c r="U295" i="4"/>
  <c r="T295" i="4"/>
  <c r="S295" i="4"/>
  <c r="Q295" i="4"/>
  <c r="W295" i="4" s="1"/>
  <c r="N295" i="4"/>
  <c r="O295" i="4" s="1"/>
  <c r="J295" i="4"/>
  <c r="X295" i="4" s="1"/>
  <c r="Y295" i="4" s="1"/>
  <c r="V294" i="4"/>
  <c r="U294" i="4"/>
  <c r="T294" i="4"/>
  <c r="S294" i="4"/>
  <c r="Q294" i="4"/>
  <c r="W294" i="4" s="1"/>
  <c r="N294" i="4"/>
  <c r="O294" i="4" s="1"/>
  <c r="J294" i="4"/>
  <c r="X294" i="4" s="1"/>
  <c r="Y294" i="4" s="1"/>
  <c r="V293" i="4"/>
  <c r="U293" i="4"/>
  <c r="T293" i="4"/>
  <c r="S293" i="4"/>
  <c r="Q293" i="4"/>
  <c r="W293" i="4" s="1"/>
  <c r="N293" i="4"/>
  <c r="O293" i="4" s="1"/>
  <c r="J293" i="4"/>
  <c r="X293" i="4" s="1"/>
  <c r="Y293" i="4" s="1"/>
  <c r="V292" i="4"/>
  <c r="U292" i="4"/>
  <c r="T292" i="4"/>
  <c r="S292" i="4"/>
  <c r="Q292" i="4"/>
  <c r="W292" i="4" s="1"/>
  <c r="N292" i="4"/>
  <c r="O292" i="4" s="1"/>
  <c r="J292" i="4"/>
  <c r="X292" i="4" s="1"/>
  <c r="Y292" i="4" s="1"/>
  <c r="V291" i="4"/>
  <c r="U291" i="4"/>
  <c r="T291" i="4"/>
  <c r="S291" i="4"/>
  <c r="Q291" i="4"/>
  <c r="W291" i="4" s="1"/>
  <c r="N291" i="4"/>
  <c r="O291" i="4" s="1"/>
  <c r="J291" i="4"/>
  <c r="X291" i="4" s="1"/>
  <c r="Y291" i="4" s="1"/>
  <c r="V290" i="4"/>
  <c r="U290" i="4"/>
  <c r="T290" i="4"/>
  <c r="S290" i="4"/>
  <c r="Q290" i="4"/>
  <c r="W290" i="4" s="1"/>
  <c r="N290" i="4"/>
  <c r="O290" i="4" s="1"/>
  <c r="J290" i="4"/>
  <c r="X290" i="4" s="1"/>
  <c r="Y290" i="4" s="1"/>
  <c r="V289" i="4"/>
  <c r="U289" i="4"/>
  <c r="T289" i="4"/>
  <c r="S289" i="4"/>
  <c r="Q289" i="4"/>
  <c r="W289" i="4" s="1"/>
  <c r="N289" i="4"/>
  <c r="O289" i="4" s="1"/>
  <c r="J289" i="4"/>
  <c r="X289" i="4" s="1"/>
  <c r="Y289" i="4" s="1"/>
  <c r="V288" i="4"/>
  <c r="U288" i="4"/>
  <c r="T288" i="4"/>
  <c r="S288" i="4"/>
  <c r="Q288" i="4"/>
  <c r="W288" i="4" s="1"/>
  <c r="N288" i="4"/>
  <c r="O288" i="4" s="1"/>
  <c r="J288" i="4"/>
  <c r="X288" i="4" s="1"/>
  <c r="Y288" i="4" s="1"/>
  <c r="V287" i="4"/>
  <c r="U287" i="4"/>
  <c r="T287" i="4"/>
  <c r="S287" i="4"/>
  <c r="Q287" i="4"/>
  <c r="W287" i="4" s="1"/>
  <c r="N287" i="4"/>
  <c r="O287" i="4" s="1"/>
  <c r="J287" i="4"/>
  <c r="X287" i="4" s="1"/>
  <c r="Y287" i="4" s="1"/>
  <c r="V286" i="4"/>
  <c r="U286" i="4"/>
  <c r="T286" i="4"/>
  <c r="S286" i="4"/>
  <c r="Q286" i="4"/>
  <c r="W286" i="4" s="1"/>
  <c r="N286" i="4"/>
  <c r="O286" i="4" s="1"/>
  <c r="J286" i="4"/>
  <c r="X286" i="4" s="1"/>
  <c r="Y286" i="4" s="1"/>
  <c r="V285" i="4"/>
  <c r="U285" i="4"/>
  <c r="T285" i="4"/>
  <c r="S285" i="4"/>
  <c r="Q285" i="4"/>
  <c r="W285" i="4" s="1"/>
  <c r="N285" i="4"/>
  <c r="O285" i="4" s="1"/>
  <c r="J285" i="4"/>
  <c r="X285" i="4" s="1"/>
  <c r="Y285" i="4" s="1"/>
  <c r="V284" i="4"/>
  <c r="U284" i="4"/>
  <c r="T284" i="4"/>
  <c r="S284" i="4"/>
  <c r="Q284" i="4"/>
  <c r="W284" i="4" s="1"/>
  <c r="N284" i="4"/>
  <c r="O284" i="4" s="1"/>
  <c r="J284" i="4"/>
  <c r="X284" i="4" s="1"/>
  <c r="Y284" i="4" s="1"/>
  <c r="V283" i="4"/>
  <c r="U283" i="4"/>
  <c r="T283" i="4"/>
  <c r="S283" i="4"/>
  <c r="Q283" i="4"/>
  <c r="W283" i="4" s="1"/>
  <c r="N283" i="4"/>
  <c r="O283" i="4" s="1"/>
  <c r="J283" i="4"/>
  <c r="X283" i="4" s="1"/>
  <c r="Y283" i="4" s="1"/>
  <c r="V282" i="4"/>
  <c r="U282" i="4"/>
  <c r="T282" i="4"/>
  <c r="S282" i="4"/>
  <c r="Q282" i="4"/>
  <c r="W282" i="4" s="1"/>
  <c r="N282" i="4"/>
  <c r="O282" i="4" s="1"/>
  <c r="J282" i="4"/>
  <c r="X282" i="4" s="1"/>
  <c r="Y282" i="4" s="1"/>
  <c r="V281" i="4"/>
  <c r="U281" i="4"/>
  <c r="T281" i="4"/>
  <c r="S281" i="4"/>
  <c r="Q281" i="4"/>
  <c r="W281" i="4" s="1"/>
  <c r="N281" i="4"/>
  <c r="O281" i="4" s="1"/>
  <c r="J281" i="4"/>
  <c r="X281" i="4" s="1"/>
  <c r="Y281" i="4" s="1"/>
  <c r="V280" i="4"/>
  <c r="U280" i="4"/>
  <c r="T280" i="4"/>
  <c r="S280" i="4"/>
  <c r="Q280" i="4"/>
  <c r="W280" i="4" s="1"/>
  <c r="N280" i="4"/>
  <c r="O280" i="4" s="1"/>
  <c r="J280" i="4"/>
  <c r="X280" i="4" s="1"/>
  <c r="Y280" i="4" s="1"/>
  <c r="V279" i="4"/>
  <c r="U279" i="4"/>
  <c r="T279" i="4"/>
  <c r="S279" i="4"/>
  <c r="Q279" i="4"/>
  <c r="W279" i="4" s="1"/>
  <c r="N279" i="4"/>
  <c r="O279" i="4" s="1"/>
  <c r="J279" i="4"/>
  <c r="X279" i="4" s="1"/>
  <c r="Y279" i="4" s="1"/>
  <c r="V278" i="4"/>
  <c r="U278" i="4"/>
  <c r="T278" i="4"/>
  <c r="S278" i="4"/>
  <c r="Q278" i="4"/>
  <c r="W278" i="4" s="1"/>
  <c r="N278" i="4"/>
  <c r="O278" i="4" s="1"/>
  <c r="J278" i="4"/>
  <c r="X278" i="4" s="1"/>
  <c r="Y278" i="4" s="1"/>
  <c r="V277" i="4"/>
  <c r="U277" i="4"/>
  <c r="T277" i="4"/>
  <c r="S277" i="4"/>
  <c r="Q277" i="4"/>
  <c r="W277" i="4" s="1"/>
  <c r="N277" i="4"/>
  <c r="O277" i="4" s="1"/>
  <c r="J277" i="4"/>
  <c r="X277" i="4" s="1"/>
  <c r="Y277" i="4" s="1"/>
  <c r="V276" i="4"/>
  <c r="U276" i="4"/>
  <c r="T276" i="4"/>
  <c r="S276" i="4"/>
  <c r="Q276" i="4"/>
  <c r="W276" i="4" s="1"/>
  <c r="N276" i="4"/>
  <c r="O276" i="4" s="1"/>
  <c r="J276" i="4"/>
  <c r="X276" i="4" s="1"/>
  <c r="Y276" i="4" s="1"/>
  <c r="V275" i="4"/>
  <c r="U275" i="4"/>
  <c r="T275" i="4"/>
  <c r="S275" i="4"/>
  <c r="Q275" i="4"/>
  <c r="W275" i="4" s="1"/>
  <c r="N275" i="4"/>
  <c r="O275" i="4" s="1"/>
  <c r="J275" i="4"/>
  <c r="X275" i="4" s="1"/>
  <c r="Y275" i="4" s="1"/>
  <c r="V274" i="4"/>
  <c r="U274" i="4"/>
  <c r="T274" i="4"/>
  <c r="S274" i="4"/>
  <c r="Q274" i="4"/>
  <c r="W274" i="4" s="1"/>
  <c r="N274" i="4"/>
  <c r="O274" i="4" s="1"/>
  <c r="J274" i="4"/>
  <c r="X274" i="4" s="1"/>
  <c r="Y274" i="4" s="1"/>
  <c r="V273" i="4"/>
  <c r="U273" i="4"/>
  <c r="T273" i="4"/>
  <c r="S273" i="4"/>
  <c r="Q273" i="4"/>
  <c r="W273" i="4" s="1"/>
  <c r="N273" i="4"/>
  <c r="O273" i="4" s="1"/>
  <c r="J273" i="4"/>
  <c r="X273" i="4" s="1"/>
  <c r="Y273" i="4" s="1"/>
  <c r="V272" i="4"/>
  <c r="U272" i="4"/>
  <c r="T272" i="4"/>
  <c r="S272" i="4"/>
  <c r="Q272" i="4"/>
  <c r="W272" i="4" s="1"/>
  <c r="N272" i="4"/>
  <c r="O272" i="4" s="1"/>
  <c r="J272" i="4"/>
  <c r="X272" i="4" s="1"/>
  <c r="Y272" i="4" s="1"/>
  <c r="V271" i="4"/>
  <c r="U271" i="4"/>
  <c r="T271" i="4"/>
  <c r="S271" i="4"/>
  <c r="Q271" i="4"/>
  <c r="W271" i="4" s="1"/>
  <c r="N271" i="4"/>
  <c r="O271" i="4" s="1"/>
  <c r="J271" i="4"/>
  <c r="X271" i="4" s="1"/>
  <c r="Y271" i="4" s="1"/>
  <c r="V270" i="4"/>
  <c r="U270" i="4"/>
  <c r="T270" i="4"/>
  <c r="S270" i="4"/>
  <c r="Q270" i="4"/>
  <c r="W270" i="4" s="1"/>
  <c r="N270" i="4"/>
  <c r="O270" i="4" s="1"/>
  <c r="J270" i="4"/>
  <c r="X270" i="4" s="1"/>
  <c r="Y270" i="4" s="1"/>
  <c r="V269" i="4"/>
  <c r="U269" i="4"/>
  <c r="T269" i="4"/>
  <c r="S269" i="4"/>
  <c r="Q269" i="4"/>
  <c r="W269" i="4" s="1"/>
  <c r="N269" i="4"/>
  <c r="O269" i="4" s="1"/>
  <c r="J269" i="4"/>
  <c r="X269" i="4" s="1"/>
  <c r="Y269" i="4" s="1"/>
  <c r="V268" i="4"/>
  <c r="U268" i="4"/>
  <c r="T268" i="4"/>
  <c r="S268" i="4"/>
  <c r="Q268" i="4"/>
  <c r="W268" i="4" s="1"/>
  <c r="N268" i="4"/>
  <c r="O268" i="4" s="1"/>
  <c r="J268" i="4"/>
  <c r="X268" i="4" s="1"/>
  <c r="Y268" i="4" s="1"/>
  <c r="V267" i="4"/>
  <c r="U267" i="4"/>
  <c r="T267" i="4"/>
  <c r="S267" i="4"/>
  <c r="Q267" i="4"/>
  <c r="W267" i="4" s="1"/>
  <c r="N267" i="4"/>
  <c r="O267" i="4" s="1"/>
  <c r="J267" i="4"/>
  <c r="X267" i="4" s="1"/>
  <c r="Y267" i="4" s="1"/>
  <c r="V266" i="4"/>
  <c r="U266" i="4"/>
  <c r="T266" i="4"/>
  <c r="S266" i="4"/>
  <c r="Q266" i="4"/>
  <c r="W266" i="4" s="1"/>
  <c r="N266" i="4"/>
  <c r="O266" i="4" s="1"/>
  <c r="J266" i="4"/>
  <c r="X266" i="4" s="1"/>
  <c r="Y266" i="4" s="1"/>
  <c r="V265" i="4"/>
  <c r="U265" i="4"/>
  <c r="T265" i="4"/>
  <c r="S265" i="4"/>
  <c r="Q265" i="4"/>
  <c r="W265" i="4" s="1"/>
  <c r="N265" i="4"/>
  <c r="O265" i="4" s="1"/>
  <c r="J265" i="4"/>
  <c r="X265" i="4" s="1"/>
  <c r="Y265" i="4" s="1"/>
  <c r="V264" i="4"/>
  <c r="U264" i="4"/>
  <c r="T264" i="4"/>
  <c r="S264" i="4"/>
  <c r="Q264" i="4"/>
  <c r="W264" i="4" s="1"/>
  <c r="N264" i="4"/>
  <c r="O264" i="4" s="1"/>
  <c r="J264" i="4"/>
  <c r="X264" i="4" s="1"/>
  <c r="Y264" i="4" s="1"/>
  <c r="V263" i="4"/>
  <c r="U263" i="4"/>
  <c r="T263" i="4"/>
  <c r="S263" i="4"/>
  <c r="Q263" i="4"/>
  <c r="W263" i="4" s="1"/>
  <c r="N263" i="4"/>
  <c r="O263" i="4" s="1"/>
  <c r="J263" i="4"/>
  <c r="X263" i="4" s="1"/>
  <c r="Y263" i="4" s="1"/>
  <c r="V262" i="4"/>
  <c r="U262" i="4"/>
  <c r="T262" i="4"/>
  <c r="S262" i="4"/>
  <c r="Q262" i="4"/>
  <c r="W262" i="4" s="1"/>
  <c r="N262" i="4"/>
  <c r="O262" i="4" s="1"/>
  <c r="J262" i="4"/>
  <c r="X262" i="4" s="1"/>
  <c r="Y262" i="4" s="1"/>
  <c r="V261" i="4"/>
  <c r="U261" i="4"/>
  <c r="T261" i="4"/>
  <c r="S261" i="4"/>
  <c r="Q261" i="4"/>
  <c r="W261" i="4" s="1"/>
  <c r="N261" i="4"/>
  <c r="O261" i="4" s="1"/>
  <c r="J261" i="4"/>
  <c r="X261" i="4" s="1"/>
  <c r="Y261" i="4" s="1"/>
  <c r="V260" i="4"/>
  <c r="U260" i="4"/>
  <c r="T260" i="4"/>
  <c r="S260" i="4"/>
  <c r="Q260" i="4"/>
  <c r="W260" i="4" s="1"/>
  <c r="N260" i="4"/>
  <c r="O260" i="4" s="1"/>
  <c r="J260" i="4"/>
  <c r="X260" i="4" s="1"/>
  <c r="Y260" i="4" s="1"/>
  <c r="V259" i="4"/>
  <c r="U259" i="4"/>
  <c r="T259" i="4"/>
  <c r="S259" i="4"/>
  <c r="Q259" i="4"/>
  <c r="W259" i="4" s="1"/>
  <c r="N259" i="4"/>
  <c r="O259" i="4" s="1"/>
  <c r="J259" i="4"/>
  <c r="X259" i="4" s="1"/>
  <c r="Y259" i="4" s="1"/>
  <c r="V258" i="4"/>
  <c r="U258" i="4"/>
  <c r="T258" i="4"/>
  <c r="S258" i="4"/>
  <c r="Q258" i="4"/>
  <c r="W258" i="4" s="1"/>
  <c r="N258" i="4"/>
  <c r="O258" i="4" s="1"/>
  <c r="J258" i="4"/>
  <c r="X258" i="4" s="1"/>
  <c r="Y258" i="4" s="1"/>
  <c r="V257" i="4"/>
  <c r="U257" i="4"/>
  <c r="T257" i="4"/>
  <c r="S257" i="4"/>
  <c r="Q257" i="4"/>
  <c r="W257" i="4" s="1"/>
  <c r="N257" i="4"/>
  <c r="O257" i="4" s="1"/>
  <c r="J257" i="4"/>
  <c r="X257" i="4" s="1"/>
  <c r="Y257" i="4" s="1"/>
  <c r="V256" i="4"/>
  <c r="U256" i="4"/>
  <c r="T256" i="4"/>
  <c r="S256" i="4"/>
  <c r="Q256" i="4"/>
  <c r="W256" i="4" s="1"/>
  <c r="N256" i="4"/>
  <c r="O256" i="4" s="1"/>
  <c r="J256" i="4"/>
  <c r="X256" i="4" s="1"/>
  <c r="Y256" i="4" s="1"/>
  <c r="V255" i="4"/>
  <c r="U255" i="4"/>
  <c r="T255" i="4"/>
  <c r="S255" i="4"/>
  <c r="Q255" i="4"/>
  <c r="W255" i="4" s="1"/>
  <c r="N255" i="4"/>
  <c r="O255" i="4" s="1"/>
  <c r="J255" i="4"/>
  <c r="X255" i="4" s="1"/>
  <c r="Y255" i="4" s="1"/>
  <c r="V254" i="4"/>
  <c r="U254" i="4"/>
  <c r="T254" i="4"/>
  <c r="S254" i="4"/>
  <c r="Q254" i="4"/>
  <c r="W254" i="4" s="1"/>
  <c r="N254" i="4"/>
  <c r="O254" i="4" s="1"/>
  <c r="J254" i="4"/>
  <c r="X254" i="4" s="1"/>
  <c r="Y254" i="4" s="1"/>
  <c r="V253" i="4"/>
  <c r="U253" i="4"/>
  <c r="T253" i="4"/>
  <c r="S253" i="4"/>
  <c r="Q253" i="4"/>
  <c r="W253" i="4" s="1"/>
  <c r="N253" i="4"/>
  <c r="O253" i="4" s="1"/>
  <c r="J253" i="4"/>
  <c r="X253" i="4" s="1"/>
  <c r="Y253" i="4" s="1"/>
  <c r="V252" i="4"/>
  <c r="U252" i="4"/>
  <c r="T252" i="4"/>
  <c r="S252" i="4"/>
  <c r="Q252" i="4"/>
  <c r="W252" i="4" s="1"/>
  <c r="N252" i="4"/>
  <c r="O252" i="4" s="1"/>
  <c r="J252" i="4"/>
  <c r="X252" i="4" s="1"/>
  <c r="Y252" i="4" s="1"/>
  <c r="V251" i="4"/>
  <c r="U251" i="4"/>
  <c r="T251" i="4"/>
  <c r="S251" i="4"/>
  <c r="Q251" i="4"/>
  <c r="W251" i="4" s="1"/>
  <c r="N251" i="4"/>
  <c r="O251" i="4" s="1"/>
  <c r="J251" i="4"/>
  <c r="X251" i="4" s="1"/>
  <c r="Y251" i="4" s="1"/>
  <c r="V250" i="4"/>
  <c r="U250" i="4"/>
  <c r="T250" i="4"/>
  <c r="S250" i="4"/>
  <c r="Q250" i="4"/>
  <c r="W250" i="4" s="1"/>
  <c r="N250" i="4"/>
  <c r="O250" i="4" s="1"/>
  <c r="J250" i="4"/>
  <c r="X250" i="4" s="1"/>
  <c r="Y250" i="4" s="1"/>
  <c r="V249" i="4"/>
  <c r="U249" i="4"/>
  <c r="T249" i="4"/>
  <c r="S249" i="4"/>
  <c r="Q249" i="4"/>
  <c r="W249" i="4" s="1"/>
  <c r="N249" i="4"/>
  <c r="O249" i="4" s="1"/>
  <c r="J249" i="4"/>
  <c r="X249" i="4" s="1"/>
  <c r="Y249" i="4" s="1"/>
  <c r="V248" i="4"/>
  <c r="U248" i="4"/>
  <c r="T248" i="4"/>
  <c r="S248" i="4"/>
  <c r="Q248" i="4"/>
  <c r="W248" i="4" s="1"/>
  <c r="N248" i="4"/>
  <c r="O248" i="4" s="1"/>
  <c r="J248" i="4"/>
  <c r="X248" i="4" s="1"/>
  <c r="Y248" i="4" s="1"/>
  <c r="V247" i="4"/>
  <c r="U247" i="4"/>
  <c r="T247" i="4"/>
  <c r="S247" i="4"/>
  <c r="Q247" i="4"/>
  <c r="W247" i="4" s="1"/>
  <c r="N247" i="4"/>
  <c r="O247" i="4" s="1"/>
  <c r="J247" i="4"/>
  <c r="X247" i="4" s="1"/>
  <c r="Y247" i="4" s="1"/>
  <c r="V246" i="4"/>
  <c r="U246" i="4"/>
  <c r="T246" i="4"/>
  <c r="S246" i="4"/>
  <c r="Q246" i="4"/>
  <c r="W246" i="4" s="1"/>
  <c r="N246" i="4"/>
  <c r="O246" i="4" s="1"/>
  <c r="J246" i="4"/>
  <c r="X246" i="4" s="1"/>
  <c r="Y246" i="4" s="1"/>
  <c r="V245" i="4"/>
  <c r="U245" i="4"/>
  <c r="T245" i="4"/>
  <c r="S245" i="4"/>
  <c r="Q245" i="4"/>
  <c r="W245" i="4" s="1"/>
  <c r="N245" i="4"/>
  <c r="O245" i="4" s="1"/>
  <c r="J245" i="4"/>
  <c r="X245" i="4" s="1"/>
  <c r="Y245" i="4" s="1"/>
  <c r="V244" i="4"/>
  <c r="U244" i="4"/>
  <c r="T244" i="4"/>
  <c r="S244" i="4"/>
  <c r="Q244" i="4"/>
  <c r="W244" i="4" s="1"/>
  <c r="N244" i="4"/>
  <c r="O244" i="4" s="1"/>
  <c r="J244" i="4"/>
  <c r="X244" i="4" s="1"/>
  <c r="Y244" i="4" s="1"/>
  <c r="V243" i="4"/>
  <c r="U243" i="4"/>
  <c r="T243" i="4"/>
  <c r="S243" i="4"/>
  <c r="Q243" i="4"/>
  <c r="W243" i="4" s="1"/>
  <c r="N243" i="4"/>
  <c r="O243" i="4" s="1"/>
  <c r="J243" i="4"/>
  <c r="X243" i="4" s="1"/>
  <c r="Y243" i="4" s="1"/>
  <c r="V242" i="4"/>
  <c r="U242" i="4"/>
  <c r="T242" i="4"/>
  <c r="S242" i="4"/>
  <c r="Q242" i="4"/>
  <c r="W242" i="4" s="1"/>
  <c r="N242" i="4"/>
  <c r="O242" i="4" s="1"/>
  <c r="J242" i="4"/>
  <c r="X242" i="4" s="1"/>
  <c r="Y242" i="4" s="1"/>
  <c r="V241" i="4"/>
  <c r="U241" i="4"/>
  <c r="T241" i="4"/>
  <c r="S241" i="4"/>
  <c r="Q241" i="4"/>
  <c r="W241" i="4" s="1"/>
  <c r="N241" i="4"/>
  <c r="O241" i="4" s="1"/>
  <c r="J241" i="4"/>
  <c r="X241" i="4" s="1"/>
  <c r="Y241" i="4" s="1"/>
  <c r="V240" i="4"/>
  <c r="U240" i="4"/>
  <c r="T240" i="4"/>
  <c r="S240" i="4"/>
  <c r="Q240" i="4"/>
  <c r="W240" i="4" s="1"/>
  <c r="N240" i="4"/>
  <c r="O240" i="4" s="1"/>
  <c r="J240" i="4"/>
  <c r="X240" i="4" s="1"/>
  <c r="Y240" i="4" s="1"/>
  <c r="V239" i="4"/>
  <c r="U239" i="4"/>
  <c r="T239" i="4"/>
  <c r="S239" i="4"/>
  <c r="Q239" i="4"/>
  <c r="W239" i="4" s="1"/>
  <c r="N239" i="4"/>
  <c r="O239" i="4" s="1"/>
  <c r="J239" i="4"/>
  <c r="X239" i="4" s="1"/>
  <c r="Y239" i="4" s="1"/>
  <c r="V238" i="4"/>
  <c r="U238" i="4"/>
  <c r="T238" i="4"/>
  <c r="S238" i="4"/>
  <c r="Q238" i="4"/>
  <c r="W238" i="4" s="1"/>
  <c r="N238" i="4"/>
  <c r="O238" i="4" s="1"/>
  <c r="J238" i="4"/>
  <c r="X238" i="4" s="1"/>
  <c r="Y238" i="4" s="1"/>
  <c r="V237" i="4"/>
  <c r="U237" i="4"/>
  <c r="T237" i="4"/>
  <c r="S237" i="4"/>
  <c r="Q237" i="4"/>
  <c r="W237" i="4" s="1"/>
  <c r="N237" i="4"/>
  <c r="O237" i="4" s="1"/>
  <c r="J237" i="4"/>
  <c r="X237" i="4" s="1"/>
  <c r="Y237" i="4" s="1"/>
  <c r="V236" i="4"/>
  <c r="U236" i="4"/>
  <c r="T236" i="4"/>
  <c r="S236" i="4"/>
  <c r="Q236" i="4"/>
  <c r="W236" i="4" s="1"/>
  <c r="N236" i="4"/>
  <c r="O236" i="4" s="1"/>
  <c r="J236" i="4"/>
  <c r="X236" i="4" s="1"/>
  <c r="Y236" i="4" s="1"/>
  <c r="V235" i="4"/>
  <c r="U235" i="4"/>
  <c r="T235" i="4"/>
  <c r="S235" i="4"/>
  <c r="Q235" i="4"/>
  <c r="W235" i="4" s="1"/>
  <c r="N235" i="4"/>
  <c r="O235" i="4" s="1"/>
  <c r="J235" i="4"/>
  <c r="X235" i="4" s="1"/>
  <c r="Y235" i="4" s="1"/>
  <c r="V234" i="4"/>
  <c r="U234" i="4"/>
  <c r="T234" i="4"/>
  <c r="S234" i="4"/>
  <c r="Q234" i="4"/>
  <c r="W234" i="4" s="1"/>
  <c r="N234" i="4"/>
  <c r="O234" i="4" s="1"/>
  <c r="J234" i="4"/>
  <c r="X234" i="4" s="1"/>
  <c r="Y234" i="4" s="1"/>
  <c r="V233" i="4"/>
  <c r="U233" i="4"/>
  <c r="T233" i="4"/>
  <c r="S233" i="4"/>
  <c r="Q233" i="4"/>
  <c r="W233" i="4" s="1"/>
  <c r="N233" i="4"/>
  <c r="O233" i="4" s="1"/>
  <c r="J233" i="4"/>
  <c r="X233" i="4" s="1"/>
  <c r="Y233" i="4" s="1"/>
  <c r="V232" i="4"/>
  <c r="U232" i="4"/>
  <c r="T232" i="4"/>
  <c r="S232" i="4"/>
  <c r="Q232" i="4"/>
  <c r="W232" i="4" s="1"/>
  <c r="N232" i="4"/>
  <c r="O232" i="4" s="1"/>
  <c r="J232" i="4"/>
  <c r="X232" i="4" s="1"/>
  <c r="Y232" i="4" s="1"/>
  <c r="V231" i="4"/>
  <c r="U231" i="4"/>
  <c r="T231" i="4"/>
  <c r="S231" i="4"/>
  <c r="Q231" i="4"/>
  <c r="W231" i="4" s="1"/>
  <c r="N231" i="4"/>
  <c r="O231" i="4" s="1"/>
  <c r="J231" i="4"/>
  <c r="X231" i="4" s="1"/>
  <c r="Y231" i="4" s="1"/>
  <c r="V230" i="4"/>
  <c r="U230" i="4"/>
  <c r="T230" i="4"/>
  <c r="S230" i="4"/>
  <c r="Q230" i="4"/>
  <c r="W230" i="4" s="1"/>
  <c r="N230" i="4"/>
  <c r="O230" i="4" s="1"/>
  <c r="J230" i="4"/>
  <c r="X230" i="4" s="1"/>
  <c r="Y230" i="4" s="1"/>
  <c r="V229" i="4"/>
  <c r="U229" i="4"/>
  <c r="T229" i="4"/>
  <c r="S229" i="4"/>
  <c r="Q229" i="4"/>
  <c r="W229" i="4" s="1"/>
  <c r="N229" i="4"/>
  <c r="O229" i="4" s="1"/>
  <c r="J229" i="4"/>
  <c r="X229" i="4" s="1"/>
  <c r="Y229" i="4" s="1"/>
  <c r="V228" i="4"/>
  <c r="U228" i="4"/>
  <c r="T228" i="4"/>
  <c r="S228" i="4"/>
  <c r="Q228" i="4"/>
  <c r="W228" i="4" s="1"/>
  <c r="N228" i="4"/>
  <c r="O228" i="4" s="1"/>
  <c r="J228" i="4"/>
  <c r="X228" i="4" s="1"/>
  <c r="Y228" i="4" s="1"/>
  <c r="V227" i="4"/>
  <c r="U227" i="4"/>
  <c r="T227" i="4"/>
  <c r="S227" i="4"/>
  <c r="Q227" i="4"/>
  <c r="W227" i="4" s="1"/>
  <c r="N227" i="4"/>
  <c r="O227" i="4" s="1"/>
  <c r="J227" i="4"/>
  <c r="X227" i="4" s="1"/>
  <c r="Y227" i="4" s="1"/>
  <c r="V226" i="4"/>
  <c r="U226" i="4"/>
  <c r="T226" i="4"/>
  <c r="S226" i="4"/>
  <c r="Q226" i="4"/>
  <c r="W226" i="4" s="1"/>
  <c r="N226" i="4"/>
  <c r="O226" i="4" s="1"/>
  <c r="J226" i="4"/>
  <c r="X226" i="4" s="1"/>
  <c r="Y226" i="4" s="1"/>
  <c r="V225" i="4"/>
  <c r="U225" i="4"/>
  <c r="T225" i="4"/>
  <c r="S225" i="4"/>
  <c r="Q225" i="4"/>
  <c r="W225" i="4" s="1"/>
  <c r="N225" i="4"/>
  <c r="O225" i="4" s="1"/>
  <c r="J225" i="4"/>
  <c r="X225" i="4" s="1"/>
  <c r="Y225" i="4" s="1"/>
  <c r="V224" i="4"/>
  <c r="U224" i="4"/>
  <c r="T224" i="4"/>
  <c r="S224" i="4"/>
  <c r="Q224" i="4"/>
  <c r="W224" i="4" s="1"/>
  <c r="N224" i="4"/>
  <c r="O224" i="4" s="1"/>
  <c r="J224" i="4"/>
  <c r="X224" i="4" s="1"/>
  <c r="Y224" i="4" s="1"/>
  <c r="V223" i="4"/>
  <c r="U223" i="4"/>
  <c r="T223" i="4"/>
  <c r="S223" i="4"/>
  <c r="Q223" i="4"/>
  <c r="W223" i="4" s="1"/>
  <c r="N223" i="4"/>
  <c r="O223" i="4" s="1"/>
  <c r="J223" i="4"/>
  <c r="X223" i="4" s="1"/>
  <c r="Y223" i="4" s="1"/>
  <c r="V222" i="4"/>
  <c r="U222" i="4"/>
  <c r="T222" i="4"/>
  <c r="S222" i="4"/>
  <c r="Q222" i="4"/>
  <c r="W222" i="4" s="1"/>
  <c r="N222" i="4"/>
  <c r="O222" i="4" s="1"/>
  <c r="J222" i="4"/>
  <c r="X222" i="4" s="1"/>
  <c r="Y222" i="4" s="1"/>
  <c r="V221" i="4"/>
  <c r="U221" i="4"/>
  <c r="T221" i="4"/>
  <c r="S221" i="4"/>
  <c r="Q221" i="4"/>
  <c r="W221" i="4" s="1"/>
  <c r="N221" i="4"/>
  <c r="O221" i="4" s="1"/>
  <c r="J221" i="4"/>
  <c r="X221" i="4" s="1"/>
  <c r="Y221" i="4" s="1"/>
  <c r="V220" i="4"/>
  <c r="U220" i="4"/>
  <c r="T220" i="4"/>
  <c r="S220" i="4"/>
  <c r="Q220" i="4"/>
  <c r="W220" i="4" s="1"/>
  <c r="N220" i="4"/>
  <c r="O220" i="4" s="1"/>
  <c r="J220" i="4"/>
  <c r="X220" i="4" s="1"/>
  <c r="Y220" i="4" s="1"/>
  <c r="V219" i="4"/>
  <c r="U219" i="4"/>
  <c r="T219" i="4"/>
  <c r="S219" i="4"/>
  <c r="Q219" i="4"/>
  <c r="W219" i="4" s="1"/>
  <c r="N219" i="4"/>
  <c r="O219" i="4" s="1"/>
  <c r="J219" i="4"/>
  <c r="X219" i="4" s="1"/>
  <c r="Y219" i="4" s="1"/>
  <c r="V218" i="4"/>
  <c r="U218" i="4"/>
  <c r="T218" i="4"/>
  <c r="S218" i="4"/>
  <c r="Q218" i="4"/>
  <c r="W218" i="4" s="1"/>
  <c r="N218" i="4"/>
  <c r="O218" i="4" s="1"/>
  <c r="J218" i="4"/>
  <c r="X218" i="4" s="1"/>
  <c r="Y218" i="4" s="1"/>
  <c r="V217" i="4"/>
  <c r="U217" i="4"/>
  <c r="T217" i="4"/>
  <c r="S217" i="4"/>
  <c r="Q217" i="4"/>
  <c r="W217" i="4" s="1"/>
  <c r="N217" i="4"/>
  <c r="O217" i="4" s="1"/>
  <c r="J217" i="4"/>
  <c r="X217" i="4" s="1"/>
  <c r="Y217" i="4" s="1"/>
  <c r="V216" i="4"/>
  <c r="U216" i="4"/>
  <c r="T216" i="4"/>
  <c r="S216" i="4"/>
  <c r="Q216" i="4"/>
  <c r="W216" i="4" s="1"/>
  <c r="N216" i="4"/>
  <c r="O216" i="4" s="1"/>
  <c r="J216" i="4"/>
  <c r="X216" i="4" s="1"/>
  <c r="Y216" i="4" s="1"/>
  <c r="V215" i="4"/>
  <c r="U215" i="4"/>
  <c r="T215" i="4"/>
  <c r="S215" i="4"/>
  <c r="Q215" i="4"/>
  <c r="W215" i="4" s="1"/>
  <c r="N215" i="4"/>
  <c r="O215" i="4" s="1"/>
  <c r="J215" i="4"/>
  <c r="X215" i="4" s="1"/>
  <c r="Y215" i="4" s="1"/>
  <c r="V214" i="4"/>
  <c r="U214" i="4"/>
  <c r="T214" i="4"/>
  <c r="S214" i="4"/>
  <c r="Q214" i="4"/>
  <c r="W214" i="4" s="1"/>
  <c r="N214" i="4"/>
  <c r="O214" i="4" s="1"/>
  <c r="J214" i="4"/>
  <c r="X214" i="4" s="1"/>
  <c r="Y214" i="4" s="1"/>
  <c r="V213" i="4"/>
  <c r="U213" i="4"/>
  <c r="T213" i="4"/>
  <c r="S213" i="4"/>
  <c r="Q213" i="4"/>
  <c r="W213" i="4" s="1"/>
  <c r="N213" i="4"/>
  <c r="O213" i="4" s="1"/>
  <c r="J213" i="4"/>
  <c r="X213" i="4" s="1"/>
  <c r="Y213" i="4" s="1"/>
  <c r="V212" i="4"/>
  <c r="U212" i="4"/>
  <c r="T212" i="4"/>
  <c r="S212" i="4"/>
  <c r="Q212" i="4"/>
  <c r="W212" i="4" s="1"/>
  <c r="N212" i="4"/>
  <c r="O212" i="4" s="1"/>
  <c r="J212" i="4"/>
  <c r="X212" i="4" s="1"/>
  <c r="Y212" i="4" s="1"/>
  <c r="V211" i="4"/>
  <c r="U211" i="4"/>
  <c r="T211" i="4"/>
  <c r="S211" i="4"/>
  <c r="Q211" i="4"/>
  <c r="W211" i="4" s="1"/>
  <c r="N211" i="4"/>
  <c r="O211" i="4" s="1"/>
  <c r="J211" i="4"/>
  <c r="X211" i="4" s="1"/>
  <c r="Y211" i="4" s="1"/>
  <c r="V210" i="4"/>
  <c r="U210" i="4"/>
  <c r="T210" i="4"/>
  <c r="S210" i="4"/>
  <c r="Q210" i="4"/>
  <c r="W210" i="4" s="1"/>
  <c r="N210" i="4"/>
  <c r="O210" i="4" s="1"/>
  <c r="J210" i="4"/>
  <c r="X210" i="4" s="1"/>
  <c r="Y210" i="4" s="1"/>
  <c r="V209" i="4"/>
  <c r="U209" i="4"/>
  <c r="T209" i="4"/>
  <c r="S209" i="4"/>
  <c r="Q209" i="4"/>
  <c r="W209" i="4" s="1"/>
  <c r="N209" i="4"/>
  <c r="O209" i="4" s="1"/>
  <c r="J209" i="4"/>
  <c r="X209" i="4" s="1"/>
  <c r="Y209" i="4" s="1"/>
  <c r="V208" i="4"/>
  <c r="U208" i="4"/>
  <c r="T208" i="4"/>
  <c r="S208" i="4"/>
  <c r="Q208" i="4"/>
  <c r="W208" i="4" s="1"/>
  <c r="N208" i="4"/>
  <c r="O208" i="4" s="1"/>
  <c r="J208" i="4"/>
  <c r="X208" i="4" s="1"/>
  <c r="Y208" i="4" s="1"/>
  <c r="V207" i="4"/>
  <c r="U207" i="4"/>
  <c r="T207" i="4"/>
  <c r="S207" i="4"/>
  <c r="Q207" i="4"/>
  <c r="W207" i="4" s="1"/>
  <c r="N207" i="4"/>
  <c r="O207" i="4" s="1"/>
  <c r="J207" i="4"/>
  <c r="X207" i="4" s="1"/>
  <c r="Y207" i="4" s="1"/>
  <c r="V206" i="4"/>
  <c r="U206" i="4"/>
  <c r="T206" i="4"/>
  <c r="S206" i="4"/>
  <c r="Q206" i="4"/>
  <c r="W206" i="4" s="1"/>
  <c r="N206" i="4"/>
  <c r="O206" i="4" s="1"/>
  <c r="J206" i="4"/>
  <c r="X206" i="4" s="1"/>
  <c r="Y206" i="4" s="1"/>
  <c r="V205" i="4"/>
  <c r="U205" i="4"/>
  <c r="T205" i="4"/>
  <c r="S205" i="4"/>
  <c r="Q205" i="4"/>
  <c r="W205" i="4" s="1"/>
  <c r="N205" i="4"/>
  <c r="O205" i="4" s="1"/>
  <c r="J205" i="4"/>
  <c r="X205" i="4" s="1"/>
  <c r="Y205" i="4" s="1"/>
  <c r="X204" i="4"/>
  <c r="V204" i="4"/>
  <c r="U204" i="4"/>
  <c r="T204" i="4"/>
  <c r="S204" i="4"/>
  <c r="W204" i="4" s="1"/>
  <c r="Q204" i="4"/>
  <c r="N204" i="4"/>
  <c r="O204" i="4" s="1"/>
  <c r="J204" i="4"/>
  <c r="V203" i="4"/>
  <c r="U203" i="4"/>
  <c r="T203" i="4"/>
  <c r="S203" i="4"/>
  <c r="Q203" i="4"/>
  <c r="W203" i="4" s="1"/>
  <c r="N203" i="4"/>
  <c r="O203" i="4" s="1"/>
  <c r="J203" i="4"/>
  <c r="X203" i="4" s="1"/>
  <c r="V202" i="4"/>
  <c r="U202" i="4"/>
  <c r="T202" i="4"/>
  <c r="S202" i="4"/>
  <c r="Q202" i="4"/>
  <c r="W202" i="4" s="1"/>
  <c r="N202" i="4"/>
  <c r="O202" i="4" s="1"/>
  <c r="J202" i="4"/>
  <c r="X202" i="4" s="1"/>
  <c r="Y202" i="4" s="1"/>
  <c r="V201" i="4"/>
  <c r="U201" i="4"/>
  <c r="T201" i="4"/>
  <c r="S201" i="4"/>
  <c r="Q201" i="4"/>
  <c r="W201" i="4" s="1"/>
  <c r="N201" i="4"/>
  <c r="O201" i="4" s="1"/>
  <c r="J201" i="4"/>
  <c r="X201" i="4" s="1"/>
  <c r="Y201" i="4" s="1"/>
  <c r="V200" i="4"/>
  <c r="U200" i="4"/>
  <c r="T200" i="4"/>
  <c r="S200" i="4"/>
  <c r="Q200" i="4"/>
  <c r="W200" i="4" s="1"/>
  <c r="N200" i="4"/>
  <c r="O200" i="4" s="1"/>
  <c r="J200" i="4"/>
  <c r="X200" i="4" s="1"/>
  <c r="Y200" i="4" s="1"/>
  <c r="V199" i="4"/>
  <c r="U199" i="4"/>
  <c r="T199" i="4"/>
  <c r="S199" i="4"/>
  <c r="Q199" i="4"/>
  <c r="W199" i="4" s="1"/>
  <c r="N199" i="4"/>
  <c r="O199" i="4" s="1"/>
  <c r="J199" i="4"/>
  <c r="X199" i="4" s="1"/>
  <c r="Y199" i="4" s="1"/>
  <c r="V198" i="4"/>
  <c r="U198" i="4"/>
  <c r="T198" i="4"/>
  <c r="S198" i="4"/>
  <c r="Q198" i="4"/>
  <c r="W198" i="4" s="1"/>
  <c r="N198" i="4"/>
  <c r="O198" i="4" s="1"/>
  <c r="J198" i="4"/>
  <c r="X198" i="4" s="1"/>
  <c r="Y198" i="4" s="1"/>
  <c r="V197" i="4"/>
  <c r="U197" i="4"/>
  <c r="T197" i="4"/>
  <c r="S197" i="4"/>
  <c r="Q197" i="4"/>
  <c r="W197" i="4" s="1"/>
  <c r="N197" i="4"/>
  <c r="O197" i="4" s="1"/>
  <c r="J197" i="4"/>
  <c r="X197" i="4" s="1"/>
  <c r="Y197" i="4" s="1"/>
  <c r="V196" i="4"/>
  <c r="U196" i="4"/>
  <c r="T196" i="4"/>
  <c r="S196" i="4"/>
  <c r="Q196" i="4"/>
  <c r="W196" i="4" s="1"/>
  <c r="N196" i="4"/>
  <c r="O196" i="4" s="1"/>
  <c r="J196" i="4"/>
  <c r="X196" i="4" s="1"/>
  <c r="Y196" i="4" s="1"/>
  <c r="V195" i="4"/>
  <c r="U195" i="4"/>
  <c r="T195" i="4"/>
  <c r="S195" i="4"/>
  <c r="Q195" i="4"/>
  <c r="W195" i="4" s="1"/>
  <c r="N195" i="4"/>
  <c r="O195" i="4" s="1"/>
  <c r="J195" i="4"/>
  <c r="X195" i="4" s="1"/>
  <c r="Y195" i="4" s="1"/>
  <c r="V194" i="4"/>
  <c r="U194" i="4"/>
  <c r="T194" i="4"/>
  <c r="S194" i="4"/>
  <c r="Q194" i="4"/>
  <c r="W194" i="4" s="1"/>
  <c r="N194" i="4"/>
  <c r="O194" i="4" s="1"/>
  <c r="J194" i="4"/>
  <c r="X194" i="4" s="1"/>
  <c r="Y194" i="4" s="1"/>
  <c r="V193" i="4"/>
  <c r="U193" i="4"/>
  <c r="T193" i="4"/>
  <c r="S193" i="4"/>
  <c r="Q193" i="4"/>
  <c r="W193" i="4" s="1"/>
  <c r="N193" i="4"/>
  <c r="O193" i="4" s="1"/>
  <c r="J193" i="4"/>
  <c r="X193" i="4" s="1"/>
  <c r="Y193" i="4" s="1"/>
  <c r="V192" i="4"/>
  <c r="U192" i="4"/>
  <c r="T192" i="4"/>
  <c r="S192" i="4"/>
  <c r="Q192" i="4"/>
  <c r="W192" i="4" s="1"/>
  <c r="N192" i="4"/>
  <c r="O192" i="4" s="1"/>
  <c r="J192" i="4"/>
  <c r="X192" i="4" s="1"/>
  <c r="Y192" i="4" s="1"/>
  <c r="V191" i="4"/>
  <c r="U191" i="4"/>
  <c r="T191" i="4"/>
  <c r="S191" i="4"/>
  <c r="Q191" i="4"/>
  <c r="W191" i="4" s="1"/>
  <c r="N191" i="4"/>
  <c r="O191" i="4" s="1"/>
  <c r="J191" i="4"/>
  <c r="X191" i="4" s="1"/>
  <c r="Y191" i="4" s="1"/>
  <c r="V190" i="4"/>
  <c r="U190" i="4"/>
  <c r="T190" i="4"/>
  <c r="S190" i="4"/>
  <c r="Q190" i="4"/>
  <c r="W190" i="4" s="1"/>
  <c r="N190" i="4"/>
  <c r="O190" i="4" s="1"/>
  <c r="J190" i="4"/>
  <c r="X190" i="4" s="1"/>
  <c r="Y190" i="4" s="1"/>
  <c r="V189" i="4"/>
  <c r="U189" i="4"/>
  <c r="T189" i="4"/>
  <c r="S189" i="4"/>
  <c r="Q189" i="4"/>
  <c r="W189" i="4" s="1"/>
  <c r="N189" i="4"/>
  <c r="O189" i="4" s="1"/>
  <c r="J189" i="4"/>
  <c r="X189" i="4" s="1"/>
  <c r="Y189" i="4" s="1"/>
  <c r="V188" i="4"/>
  <c r="U188" i="4"/>
  <c r="T188" i="4"/>
  <c r="S188" i="4"/>
  <c r="Q188" i="4"/>
  <c r="W188" i="4" s="1"/>
  <c r="N188" i="4"/>
  <c r="O188" i="4" s="1"/>
  <c r="J188" i="4"/>
  <c r="X188" i="4" s="1"/>
  <c r="Y188" i="4" s="1"/>
  <c r="V187" i="4"/>
  <c r="U187" i="4"/>
  <c r="T187" i="4"/>
  <c r="S187" i="4"/>
  <c r="Q187" i="4"/>
  <c r="W187" i="4" s="1"/>
  <c r="N187" i="4"/>
  <c r="O187" i="4" s="1"/>
  <c r="J187" i="4"/>
  <c r="X187" i="4" s="1"/>
  <c r="Y187" i="4" s="1"/>
  <c r="V186" i="4"/>
  <c r="U186" i="4"/>
  <c r="T186" i="4"/>
  <c r="S186" i="4"/>
  <c r="Q186" i="4"/>
  <c r="W186" i="4" s="1"/>
  <c r="N186" i="4"/>
  <c r="O186" i="4" s="1"/>
  <c r="J186" i="4"/>
  <c r="X186" i="4" s="1"/>
  <c r="Y186" i="4" s="1"/>
  <c r="V185" i="4"/>
  <c r="U185" i="4"/>
  <c r="T185" i="4"/>
  <c r="S185" i="4"/>
  <c r="Q185" i="4"/>
  <c r="W185" i="4" s="1"/>
  <c r="N185" i="4"/>
  <c r="O185" i="4" s="1"/>
  <c r="J185" i="4"/>
  <c r="X185" i="4" s="1"/>
  <c r="Y185" i="4" s="1"/>
  <c r="V184" i="4"/>
  <c r="U184" i="4"/>
  <c r="T184" i="4"/>
  <c r="S184" i="4"/>
  <c r="Q184" i="4"/>
  <c r="W184" i="4" s="1"/>
  <c r="N184" i="4"/>
  <c r="O184" i="4" s="1"/>
  <c r="J184" i="4"/>
  <c r="X184" i="4" s="1"/>
  <c r="Y184" i="4" s="1"/>
  <c r="V183" i="4"/>
  <c r="U183" i="4"/>
  <c r="T183" i="4"/>
  <c r="S183" i="4"/>
  <c r="Q183" i="4"/>
  <c r="W183" i="4" s="1"/>
  <c r="N183" i="4"/>
  <c r="O183" i="4" s="1"/>
  <c r="J183" i="4"/>
  <c r="X183" i="4" s="1"/>
  <c r="Y183" i="4" s="1"/>
  <c r="V182" i="4"/>
  <c r="U182" i="4"/>
  <c r="T182" i="4"/>
  <c r="S182" i="4"/>
  <c r="Q182" i="4"/>
  <c r="W182" i="4" s="1"/>
  <c r="N182" i="4"/>
  <c r="O182" i="4" s="1"/>
  <c r="J182" i="4"/>
  <c r="X182" i="4" s="1"/>
  <c r="Y182" i="4" s="1"/>
  <c r="V181" i="4"/>
  <c r="U181" i="4"/>
  <c r="T181" i="4"/>
  <c r="S181" i="4"/>
  <c r="Q181" i="4"/>
  <c r="W181" i="4" s="1"/>
  <c r="N181" i="4"/>
  <c r="O181" i="4" s="1"/>
  <c r="J181" i="4"/>
  <c r="X181" i="4" s="1"/>
  <c r="Y181" i="4" s="1"/>
  <c r="V180" i="4"/>
  <c r="U180" i="4"/>
  <c r="T180" i="4"/>
  <c r="S180" i="4"/>
  <c r="Q180" i="4"/>
  <c r="W180" i="4" s="1"/>
  <c r="N180" i="4"/>
  <c r="O180" i="4" s="1"/>
  <c r="J180" i="4"/>
  <c r="X180" i="4" s="1"/>
  <c r="Y180" i="4" s="1"/>
  <c r="V179" i="4"/>
  <c r="U179" i="4"/>
  <c r="T179" i="4"/>
  <c r="S179" i="4"/>
  <c r="Q179" i="4"/>
  <c r="W179" i="4" s="1"/>
  <c r="N179" i="4"/>
  <c r="O179" i="4" s="1"/>
  <c r="J179" i="4"/>
  <c r="X179" i="4" s="1"/>
  <c r="Y179" i="4" s="1"/>
  <c r="V178" i="4"/>
  <c r="U178" i="4"/>
  <c r="T178" i="4"/>
  <c r="S178" i="4"/>
  <c r="Q178" i="4"/>
  <c r="W178" i="4" s="1"/>
  <c r="N178" i="4"/>
  <c r="O178" i="4" s="1"/>
  <c r="J178" i="4"/>
  <c r="X178" i="4" s="1"/>
  <c r="Y178" i="4" s="1"/>
  <c r="V177" i="4"/>
  <c r="U177" i="4"/>
  <c r="T177" i="4"/>
  <c r="S177" i="4"/>
  <c r="Q177" i="4"/>
  <c r="W177" i="4" s="1"/>
  <c r="N177" i="4"/>
  <c r="O177" i="4" s="1"/>
  <c r="J177" i="4"/>
  <c r="X177" i="4" s="1"/>
  <c r="Y177" i="4" s="1"/>
  <c r="V176" i="4"/>
  <c r="U176" i="4"/>
  <c r="T176" i="4"/>
  <c r="S176" i="4"/>
  <c r="Q176" i="4"/>
  <c r="W176" i="4" s="1"/>
  <c r="N176" i="4"/>
  <c r="O176" i="4" s="1"/>
  <c r="J176" i="4"/>
  <c r="X176" i="4" s="1"/>
  <c r="Y176" i="4" s="1"/>
  <c r="V175" i="4"/>
  <c r="U175" i="4"/>
  <c r="T175" i="4"/>
  <c r="S175" i="4"/>
  <c r="Q175" i="4"/>
  <c r="W175" i="4" s="1"/>
  <c r="N175" i="4"/>
  <c r="O175" i="4" s="1"/>
  <c r="J175" i="4"/>
  <c r="X175" i="4" s="1"/>
  <c r="Y175" i="4" s="1"/>
  <c r="V174" i="4"/>
  <c r="U174" i="4"/>
  <c r="T174" i="4"/>
  <c r="S174" i="4"/>
  <c r="Q174" i="4"/>
  <c r="W174" i="4" s="1"/>
  <c r="N174" i="4"/>
  <c r="O174" i="4" s="1"/>
  <c r="J174" i="4"/>
  <c r="X174" i="4" s="1"/>
  <c r="Y174" i="4" s="1"/>
  <c r="V173" i="4"/>
  <c r="U173" i="4"/>
  <c r="T173" i="4"/>
  <c r="S173" i="4"/>
  <c r="Q173" i="4"/>
  <c r="W173" i="4" s="1"/>
  <c r="N173" i="4"/>
  <c r="O173" i="4" s="1"/>
  <c r="J173" i="4"/>
  <c r="X173" i="4" s="1"/>
  <c r="Y173" i="4" s="1"/>
  <c r="V172" i="4"/>
  <c r="U172" i="4"/>
  <c r="T172" i="4"/>
  <c r="S172" i="4"/>
  <c r="Q172" i="4"/>
  <c r="W172" i="4" s="1"/>
  <c r="N172" i="4"/>
  <c r="O172" i="4" s="1"/>
  <c r="J172" i="4"/>
  <c r="X172" i="4" s="1"/>
  <c r="Y172" i="4" s="1"/>
  <c r="V171" i="4"/>
  <c r="U171" i="4"/>
  <c r="T171" i="4"/>
  <c r="S171" i="4"/>
  <c r="Q171" i="4"/>
  <c r="W171" i="4" s="1"/>
  <c r="N171" i="4"/>
  <c r="O171" i="4" s="1"/>
  <c r="J171" i="4"/>
  <c r="X171" i="4" s="1"/>
  <c r="Y171" i="4" s="1"/>
  <c r="V170" i="4"/>
  <c r="U170" i="4"/>
  <c r="T170" i="4"/>
  <c r="S170" i="4"/>
  <c r="Q170" i="4"/>
  <c r="W170" i="4" s="1"/>
  <c r="N170" i="4"/>
  <c r="O170" i="4" s="1"/>
  <c r="J170" i="4"/>
  <c r="X170" i="4" s="1"/>
  <c r="Y170" i="4" s="1"/>
  <c r="V169" i="4"/>
  <c r="U169" i="4"/>
  <c r="T169" i="4"/>
  <c r="S169" i="4"/>
  <c r="Q169" i="4"/>
  <c r="W169" i="4" s="1"/>
  <c r="N169" i="4"/>
  <c r="O169" i="4" s="1"/>
  <c r="J169" i="4"/>
  <c r="X169" i="4" s="1"/>
  <c r="Y169" i="4" s="1"/>
  <c r="V168" i="4"/>
  <c r="U168" i="4"/>
  <c r="T168" i="4"/>
  <c r="S168" i="4"/>
  <c r="Q168" i="4"/>
  <c r="W168" i="4" s="1"/>
  <c r="N168" i="4"/>
  <c r="O168" i="4" s="1"/>
  <c r="J168" i="4"/>
  <c r="X168" i="4" s="1"/>
  <c r="Y168" i="4" s="1"/>
  <c r="V167" i="4"/>
  <c r="U167" i="4"/>
  <c r="T167" i="4"/>
  <c r="S167" i="4"/>
  <c r="Q167" i="4"/>
  <c r="W167" i="4" s="1"/>
  <c r="N167" i="4"/>
  <c r="O167" i="4" s="1"/>
  <c r="J167" i="4"/>
  <c r="X167" i="4" s="1"/>
  <c r="Y167" i="4" s="1"/>
  <c r="V166" i="4"/>
  <c r="U166" i="4"/>
  <c r="T166" i="4"/>
  <c r="S166" i="4"/>
  <c r="Q166" i="4"/>
  <c r="W166" i="4" s="1"/>
  <c r="N166" i="4"/>
  <c r="O166" i="4" s="1"/>
  <c r="J166" i="4"/>
  <c r="X166" i="4" s="1"/>
  <c r="Y166" i="4" s="1"/>
  <c r="V165" i="4"/>
  <c r="U165" i="4"/>
  <c r="T165" i="4"/>
  <c r="S165" i="4"/>
  <c r="Q165" i="4"/>
  <c r="W165" i="4" s="1"/>
  <c r="N165" i="4"/>
  <c r="O165" i="4" s="1"/>
  <c r="J165" i="4"/>
  <c r="X165" i="4" s="1"/>
  <c r="Y165" i="4" s="1"/>
  <c r="V164" i="4"/>
  <c r="U164" i="4"/>
  <c r="T164" i="4"/>
  <c r="S164" i="4"/>
  <c r="Q164" i="4"/>
  <c r="W164" i="4" s="1"/>
  <c r="N164" i="4"/>
  <c r="O164" i="4" s="1"/>
  <c r="J164" i="4"/>
  <c r="X164" i="4" s="1"/>
  <c r="Y164" i="4" s="1"/>
  <c r="V163" i="4"/>
  <c r="U163" i="4"/>
  <c r="T163" i="4"/>
  <c r="S163" i="4"/>
  <c r="Q163" i="4"/>
  <c r="W163" i="4" s="1"/>
  <c r="N163" i="4"/>
  <c r="O163" i="4" s="1"/>
  <c r="J163" i="4"/>
  <c r="X163" i="4" s="1"/>
  <c r="Y163" i="4" s="1"/>
  <c r="V162" i="4"/>
  <c r="U162" i="4"/>
  <c r="T162" i="4"/>
  <c r="S162" i="4"/>
  <c r="Q162" i="4"/>
  <c r="W162" i="4" s="1"/>
  <c r="N162" i="4"/>
  <c r="O162" i="4" s="1"/>
  <c r="J162" i="4"/>
  <c r="X162" i="4" s="1"/>
  <c r="Y162" i="4" s="1"/>
  <c r="V161" i="4"/>
  <c r="U161" i="4"/>
  <c r="T161" i="4"/>
  <c r="S161" i="4"/>
  <c r="Q161" i="4"/>
  <c r="W161" i="4" s="1"/>
  <c r="N161" i="4"/>
  <c r="O161" i="4" s="1"/>
  <c r="J161" i="4"/>
  <c r="X161" i="4" s="1"/>
  <c r="Y161" i="4" s="1"/>
  <c r="V160" i="4"/>
  <c r="U160" i="4"/>
  <c r="T160" i="4"/>
  <c r="S160" i="4"/>
  <c r="Q160" i="4"/>
  <c r="W160" i="4" s="1"/>
  <c r="N160" i="4"/>
  <c r="O160" i="4" s="1"/>
  <c r="J160" i="4"/>
  <c r="X160" i="4" s="1"/>
  <c r="Y160" i="4" s="1"/>
  <c r="V159" i="4"/>
  <c r="U159" i="4"/>
  <c r="T159" i="4"/>
  <c r="S159" i="4"/>
  <c r="Q159" i="4"/>
  <c r="W159" i="4" s="1"/>
  <c r="N159" i="4"/>
  <c r="O159" i="4" s="1"/>
  <c r="J159" i="4"/>
  <c r="X159" i="4" s="1"/>
  <c r="Y159" i="4" s="1"/>
  <c r="V158" i="4"/>
  <c r="U158" i="4"/>
  <c r="T158" i="4"/>
  <c r="S158" i="4"/>
  <c r="Q158" i="4"/>
  <c r="W158" i="4" s="1"/>
  <c r="N158" i="4"/>
  <c r="O158" i="4" s="1"/>
  <c r="J158" i="4"/>
  <c r="X158" i="4" s="1"/>
  <c r="Y158" i="4" s="1"/>
  <c r="V157" i="4"/>
  <c r="U157" i="4"/>
  <c r="T157" i="4"/>
  <c r="S157" i="4"/>
  <c r="Q157" i="4"/>
  <c r="W157" i="4" s="1"/>
  <c r="N157" i="4"/>
  <c r="O157" i="4" s="1"/>
  <c r="J157" i="4"/>
  <c r="X157" i="4" s="1"/>
  <c r="Y157" i="4" s="1"/>
  <c r="V156" i="4"/>
  <c r="U156" i="4"/>
  <c r="T156" i="4"/>
  <c r="S156" i="4"/>
  <c r="Q156" i="4"/>
  <c r="W156" i="4" s="1"/>
  <c r="N156" i="4"/>
  <c r="O156" i="4" s="1"/>
  <c r="J156" i="4"/>
  <c r="X156" i="4" s="1"/>
  <c r="Y156" i="4" s="1"/>
  <c r="V155" i="4"/>
  <c r="U155" i="4"/>
  <c r="T155" i="4"/>
  <c r="S155" i="4"/>
  <c r="Q155" i="4"/>
  <c r="W155" i="4" s="1"/>
  <c r="N155" i="4"/>
  <c r="O155" i="4" s="1"/>
  <c r="J155" i="4"/>
  <c r="X155" i="4" s="1"/>
  <c r="Y155" i="4" s="1"/>
  <c r="V154" i="4"/>
  <c r="U154" i="4"/>
  <c r="T154" i="4"/>
  <c r="S154" i="4"/>
  <c r="Q154" i="4"/>
  <c r="W154" i="4" s="1"/>
  <c r="N154" i="4"/>
  <c r="O154" i="4" s="1"/>
  <c r="J154" i="4"/>
  <c r="X154" i="4" s="1"/>
  <c r="Y154" i="4" s="1"/>
  <c r="V153" i="4"/>
  <c r="U153" i="4"/>
  <c r="T153" i="4"/>
  <c r="S153" i="4"/>
  <c r="Q153" i="4"/>
  <c r="W153" i="4" s="1"/>
  <c r="N153" i="4"/>
  <c r="O153" i="4" s="1"/>
  <c r="J153" i="4"/>
  <c r="X153" i="4" s="1"/>
  <c r="Y153" i="4" s="1"/>
  <c r="V152" i="4"/>
  <c r="U152" i="4"/>
  <c r="T152" i="4"/>
  <c r="S152" i="4"/>
  <c r="Q152" i="4"/>
  <c r="W152" i="4" s="1"/>
  <c r="N152" i="4"/>
  <c r="O152" i="4" s="1"/>
  <c r="J152" i="4"/>
  <c r="X152" i="4" s="1"/>
  <c r="Y152" i="4" s="1"/>
  <c r="V151" i="4"/>
  <c r="U151" i="4"/>
  <c r="T151" i="4"/>
  <c r="S151" i="4"/>
  <c r="Q151" i="4"/>
  <c r="W151" i="4" s="1"/>
  <c r="N151" i="4"/>
  <c r="O151" i="4" s="1"/>
  <c r="J151" i="4"/>
  <c r="X151" i="4" s="1"/>
  <c r="Y151" i="4" s="1"/>
  <c r="V150" i="4"/>
  <c r="U150" i="4"/>
  <c r="T150" i="4"/>
  <c r="S150" i="4"/>
  <c r="Q150" i="4"/>
  <c r="W150" i="4" s="1"/>
  <c r="N150" i="4"/>
  <c r="O150" i="4" s="1"/>
  <c r="J150" i="4"/>
  <c r="X150" i="4" s="1"/>
  <c r="Y150" i="4" s="1"/>
  <c r="V149" i="4"/>
  <c r="U149" i="4"/>
  <c r="T149" i="4"/>
  <c r="S149" i="4"/>
  <c r="Q149" i="4"/>
  <c r="W149" i="4" s="1"/>
  <c r="N149" i="4"/>
  <c r="O149" i="4" s="1"/>
  <c r="J149" i="4"/>
  <c r="X149" i="4" s="1"/>
  <c r="Y149" i="4" s="1"/>
  <c r="V148" i="4"/>
  <c r="U148" i="4"/>
  <c r="T148" i="4"/>
  <c r="S148" i="4"/>
  <c r="Q148" i="4"/>
  <c r="W148" i="4" s="1"/>
  <c r="N148" i="4"/>
  <c r="O148" i="4" s="1"/>
  <c r="J148" i="4"/>
  <c r="X148" i="4" s="1"/>
  <c r="Y148" i="4" s="1"/>
  <c r="V147" i="4"/>
  <c r="U147" i="4"/>
  <c r="T147" i="4"/>
  <c r="S147" i="4"/>
  <c r="Q147" i="4"/>
  <c r="W147" i="4" s="1"/>
  <c r="N147" i="4"/>
  <c r="O147" i="4" s="1"/>
  <c r="J147" i="4"/>
  <c r="X147" i="4" s="1"/>
  <c r="Y147" i="4" s="1"/>
  <c r="V146" i="4"/>
  <c r="U146" i="4"/>
  <c r="T146" i="4"/>
  <c r="S146" i="4"/>
  <c r="Q146" i="4"/>
  <c r="W146" i="4" s="1"/>
  <c r="N146" i="4"/>
  <c r="O146" i="4" s="1"/>
  <c r="J146" i="4"/>
  <c r="X146" i="4" s="1"/>
  <c r="Y146" i="4" s="1"/>
  <c r="V145" i="4"/>
  <c r="U145" i="4"/>
  <c r="T145" i="4"/>
  <c r="S145" i="4"/>
  <c r="Q145" i="4"/>
  <c r="W145" i="4" s="1"/>
  <c r="N145" i="4"/>
  <c r="O145" i="4" s="1"/>
  <c r="J145" i="4"/>
  <c r="X145" i="4" s="1"/>
  <c r="Y145" i="4" s="1"/>
  <c r="V144" i="4"/>
  <c r="U144" i="4"/>
  <c r="T144" i="4"/>
  <c r="S144" i="4"/>
  <c r="Q144" i="4"/>
  <c r="W144" i="4" s="1"/>
  <c r="N144" i="4"/>
  <c r="O144" i="4" s="1"/>
  <c r="J144" i="4"/>
  <c r="X144" i="4" s="1"/>
  <c r="Y144" i="4" s="1"/>
  <c r="V143" i="4"/>
  <c r="U143" i="4"/>
  <c r="T143" i="4"/>
  <c r="S143" i="4"/>
  <c r="Q143" i="4"/>
  <c r="W143" i="4" s="1"/>
  <c r="N143" i="4"/>
  <c r="O143" i="4" s="1"/>
  <c r="J143" i="4"/>
  <c r="X143" i="4" s="1"/>
  <c r="Y143" i="4" s="1"/>
  <c r="V142" i="4"/>
  <c r="U142" i="4"/>
  <c r="T142" i="4"/>
  <c r="S142" i="4"/>
  <c r="Q142" i="4"/>
  <c r="W142" i="4" s="1"/>
  <c r="N142" i="4"/>
  <c r="O142" i="4" s="1"/>
  <c r="J142" i="4"/>
  <c r="X142" i="4" s="1"/>
  <c r="Y142" i="4" s="1"/>
  <c r="V141" i="4"/>
  <c r="U141" i="4"/>
  <c r="T141" i="4"/>
  <c r="S141" i="4"/>
  <c r="Q141" i="4"/>
  <c r="W141" i="4" s="1"/>
  <c r="N141" i="4"/>
  <c r="O141" i="4" s="1"/>
  <c r="J141" i="4"/>
  <c r="X141" i="4" s="1"/>
  <c r="Y141" i="4" s="1"/>
  <c r="V140" i="4"/>
  <c r="U140" i="4"/>
  <c r="T140" i="4"/>
  <c r="S140" i="4"/>
  <c r="Q140" i="4"/>
  <c r="W140" i="4" s="1"/>
  <c r="N140" i="4"/>
  <c r="O140" i="4" s="1"/>
  <c r="J140" i="4"/>
  <c r="X140" i="4" s="1"/>
  <c r="Y140" i="4" s="1"/>
  <c r="V139" i="4"/>
  <c r="U139" i="4"/>
  <c r="T139" i="4"/>
  <c r="S139" i="4"/>
  <c r="Q139" i="4"/>
  <c r="W139" i="4" s="1"/>
  <c r="N139" i="4"/>
  <c r="O139" i="4" s="1"/>
  <c r="J139" i="4"/>
  <c r="X139" i="4" s="1"/>
  <c r="Y139" i="4" s="1"/>
  <c r="V138" i="4"/>
  <c r="U138" i="4"/>
  <c r="T138" i="4"/>
  <c r="S138" i="4"/>
  <c r="Q138" i="4"/>
  <c r="W138" i="4" s="1"/>
  <c r="N138" i="4"/>
  <c r="O138" i="4" s="1"/>
  <c r="J138" i="4"/>
  <c r="X138" i="4" s="1"/>
  <c r="Y138" i="4" s="1"/>
  <c r="V137" i="4"/>
  <c r="U137" i="4"/>
  <c r="T137" i="4"/>
  <c r="S137" i="4"/>
  <c r="Q137" i="4"/>
  <c r="W137" i="4" s="1"/>
  <c r="N137" i="4"/>
  <c r="O137" i="4" s="1"/>
  <c r="J137" i="4"/>
  <c r="X137" i="4" s="1"/>
  <c r="Y137" i="4" s="1"/>
  <c r="V136" i="4"/>
  <c r="U136" i="4"/>
  <c r="T136" i="4"/>
  <c r="S136" i="4"/>
  <c r="Q136" i="4"/>
  <c r="W136" i="4" s="1"/>
  <c r="N136" i="4"/>
  <c r="O136" i="4" s="1"/>
  <c r="J136" i="4"/>
  <c r="X136" i="4" s="1"/>
  <c r="Y136" i="4" s="1"/>
  <c r="V135" i="4"/>
  <c r="U135" i="4"/>
  <c r="T135" i="4"/>
  <c r="S135" i="4"/>
  <c r="Q135" i="4"/>
  <c r="W135" i="4" s="1"/>
  <c r="N135" i="4"/>
  <c r="O135" i="4" s="1"/>
  <c r="J135" i="4"/>
  <c r="X135" i="4" s="1"/>
  <c r="Y135" i="4" s="1"/>
  <c r="V134" i="4"/>
  <c r="U134" i="4"/>
  <c r="T134" i="4"/>
  <c r="S134" i="4"/>
  <c r="Q134" i="4"/>
  <c r="W134" i="4" s="1"/>
  <c r="N134" i="4"/>
  <c r="O134" i="4" s="1"/>
  <c r="J134" i="4"/>
  <c r="X134" i="4" s="1"/>
  <c r="Y134" i="4" s="1"/>
  <c r="V133" i="4"/>
  <c r="U133" i="4"/>
  <c r="T133" i="4"/>
  <c r="S133" i="4"/>
  <c r="Q133" i="4"/>
  <c r="W133" i="4" s="1"/>
  <c r="N133" i="4"/>
  <c r="O133" i="4" s="1"/>
  <c r="J133" i="4"/>
  <c r="X133" i="4" s="1"/>
  <c r="Y133" i="4" s="1"/>
  <c r="V132" i="4"/>
  <c r="U132" i="4"/>
  <c r="T132" i="4"/>
  <c r="S132" i="4"/>
  <c r="Q132" i="4"/>
  <c r="W132" i="4" s="1"/>
  <c r="N132" i="4"/>
  <c r="O132" i="4" s="1"/>
  <c r="J132" i="4"/>
  <c r="X132" i="4" s="1"/>
  <c r="Y132" i="4" s="1"/>
  <c r="V131" i="4"/>
  <c r="U131" i="4"/>
  <c r="T131" i="4"/>
  <c r="S131" i="4"/>
  <c r="Q131" i="4"/>
  <c r="W131" i="4" s="1"/>
  <c r="N131" i="4"/>
  <c r="O131" i="4" s="1"/>
  <c r="J131" i="4"/>
  <c r="X131" i="4" s="1"/>
  <c r="Y131" i="4" s="1"/>
  <c r="V130" i="4"/>
  <c r="U130" i="4"/>
  <c r="T130" i="4"/>
  <c r="S130" i="4"/>
  <c r="Q130" i="4"/>
  <c r="W130" i="4" s="1"/>
  <c r="N130" i="4"/>
  <c r="O130" i="4" s="1"/>
  <c r="J130" i="4"/>
  <c r="X130" i="4" s="1"/>
  <c r="Y130" i="4" s="1"/>
  <c r="V129" i="4"/>
  <c r="U129" i="4"/>
  <c r="T129" i="4"/>
  <c r="S129" i="4"/>
  <c r="Q129" i="4"/>
  <c r="W129" i="4" s="1"/>
  <c r="N129" i="4"/>
  <c r="O129" i="4" s="1"/>
  <c r="J129" i="4"/>
  <c r="X129" i="4" s="1"/>
  <c r="Y129" i="4" s="1"/>
  <c r="V128" i="4"/>
  <c r="U128" i="4"/>
  <c r="T128" i="4"/>
  <c r="S128" i="4"/>
  <c r="Q128" i="4"/>
  <c r="W128" i="4" s="1"/>
  <c r="N128" i="4"/>
  <c r="O128" i="4" s="1"/>
  <c r="J128" i="4"/>
  <c r="X128" i="4" s="1"/>
  <c r="Y128" i="4" s="1"/>
  <c r="V127" i="4"/>
  <c r="U127" i="4"/>
  <c r="T127" i="4"/>
  <c r="S127" i="4"/>
  <c r="Q127" i="4"/>
  <c r="W127" i="4" s="1"/>
  <c r="N127" i="4"/>
  <c r="O127" i="4" s="1"/>
  <c r="J127" i="4"/>
  <c r="X127" i="4" s="1"/>
  <c r="Y127" i="4" s="1"/>
  <c r="V126" i="4"/>
  <c r="U126" i="4"/>
  <c r="T126" i="4"/>
  <c r="S126" i="4"/>
  <c r="Q126" i="4"/>
  <c r="W126" i="4" s="1"/>
  <c r="N126" i="4"/>
  <c r="O126" i="4" s="1"/>
  <c r="J126" i="4"/>
  <c r="X126" i="4" s="1"/>
  <c r="Y126" i="4" s="1"/>
  <c r="V125" i="4"/>
  <c r="U125" i="4"/>
  <c r="T125" i="4"/>
  <c r="S125" i="4"/>
  <c r="Q125" i="4"/>
  <c r="W125" i="4" s="1"/>
  <c r="N125" i="4"/>
  <c r="O125" i="4" s="1"/>
  <c r="J125" i="4"/>
  <c r="X125" i="4" s="1"/>
  <c r="Y125" i="4" s="1"/>
  <c r="V124" i="4"/>
  <c r="U124" i="4"/>
  <c r="T124" i="4"/>
  <c r="S124" i="4"/>
  <c r="Q124" i="4"/>
  <c r="W124" i="4" s="1"/>
  <c r="N124" i="4"/>
  <c r="O124" i="4" s="1"/>
  <c r="J124" i="4"/>
  <c r="X124" i="4" s="1"/>
  <c r="Y124" i="4" s="1"/>
  <c r="V123" i="4"/>
  <c r="U123" i="4"/>
  <c r="T123" i="4"/>
  <c r="S123" i="4"/>
  <c r="Q123" i="4"/>
  <c r="W123" i="4" s="1"/>
  <c r="N123" i="4"/>
  <c r="O123" i="4" s="1"/>
  <c r="J123" i="4"/>
  <c r="X123" i="4" s="1"/>
  <c r="Y123" i="4" s="1"/>
  <c r="V122" i="4"/>
  <c r="U122" i="4"/>
  <c r="T122" i="4"/>
  <c r="S122" i="4"/>
  <c r="Q122" i="4"/>
  <c r="W122" i="4" s="1"/>
  <c r="N122" i="4"/>
  <c r="O122" i="4" s="1"/>
  <c r="J122" i="4"/>
  <c r="X122" i="4" s="1"/>
  <c r="Y122" i="4" s="1"/>
  <c r="V121" i="4"/>
  <c r="U121" i="4"/>
  <c r="T121" i="4"/>
  <c r="S121" i="4"/>
  <c r="Q121" i="4"/>
  <c r="W121" i="4" s="1"/>
  <c r="N121" i="4"/>
  <c r="O121" i="4" s="1"/>
  <c r="J121" i="4"/>
  <c r="X121" i="4" s="1"/>
  <c r="Y121" i="4" s="1"/>
  <c r="V120" i="4"/>
  <c r="U120" i="4"/>
  <c r="T120" i="4"/>
  <c r="S120" i="4"/>
  <c r="Q120" i="4"/>
  <c r="W120" i="4" s="1"/>
  <c r="N120" i="4"/>
  <c r="O120" i="4" s="1"/>
  <c r="J120" i="4"/>
  <c r="X120" i="4" s="1"/>
  <c r="Y120" i="4" s="1"/>
  <c r="V119" i="4"/>
  <c r="U119" i="4"/>
  <c r="T119" i="4"/>
  <c r="S119" i="4"/>
  <c r="Q119" i="4"/>
  <c r="W119" i="4" s="1"/>
  <c r="N119" i="4"/>
  <c r="O119" i="4" s="1"/>
  <c r="J119" i="4"/>
  <c r="X119" i="4" s="1"/>
  <c r="Y119" i="4" s="1"/>
  <c r="V118" i="4"/>
  <c r="U118" i="4"/>
  <c r="T118" i="4"/>
  <c r="S118" i="4"/>
  <c r="Q118" i="4"/>
  <c r="W118" i="4" s="1"/>
  <c r="N118" i="4"/>
  <c r="O118" i="4" s="1"/>
  <c r="J118" i="4"/>
  <c r="X118" i="4" s="1"/>
  <c r="Y118" i="4" s="1"/>
  <c r="V117" i="4"/>
  <c r="U117" i="4"/>
  <c r="T117" i="4"/>
  <c r="S117" i="4"/>
  <c r="Q117" i="4"/>
  <c r="W117" i="4" s="1"/>
  <c r="N117" i="4"/>
  <c r="O117" i="4" s="1"/>
  <c r="J117" i="4"/>
  <c r="X117" i="4" s="1"/>
  <c r="Y117" i="4" s="1"/>
  <c r="V116" i="4"/>
  <c r="U116" i="4"/>
  <c r="T116" i="4"/>
  <c r="S116" i="4"/>
  <c r="Q116" i="4"/>
  <c r="W116" i="4" s="1"/>
  <c r="N116" i="4"/>
  <c r="O116" i="4" s="1"/>
  <c r="J116" i="4"/>
  <c r="X116" i="4" s="1"/>
  <c r="Y116" i="4" s="1"/>
  <c r="V115" i="4"/>
  <c r="U115" i="4"/>
  <c r="T115" i="4"/>
  <c r="S115" i="4"/>
  <c r="Q115" i="4"/>
  <c r="W115" i="4" s="1"/>
  <c r="N115" i="4"/>
  <c r="O115" i="4" s="1"/>
  <c r="J115" i="4"/>
  <c r="X115" i="4" s="1"/>
  <c r="Y115" i="4" s="1"/>
  <c r="V114" i="4"/>
  <c r="U114" i="4"/>
  <c r="T114" i="4"/>
  <c r="S114" i="4"/>
  <c r="Q114" i="4"/>
  <c r="W114" i="4" s="1"/>
  <c r="N114" i="4"/>
  <c r="O114" i="4" s="1"/>
  <c r="J114" i="4"/>
  <c r="X114" i="4" s="1"/>
  <c r="Y114" i="4" s="1"/>
  <c r="V113" i="4"/>
  <c r="U113" i="4"/>
  <c r="T113" i="4"/>
  <c r="S113" i="4"/>
  <c r="Q113" i="4"/>
  <c r="W113" i="4" s="1"/>
  <c r="N113" i="4"/>
  <c r="O113" i="4" s="1"/>
  <c r="J113" i="4"/>
  <c r="X113" i="4" s="1"/>
  <c r="Y113" i="4" s="1"/>
  <c r="V112" i="4"/>
  <c r="U112" i="4"/>
  <c r="T112" i="4"/>
  <c r="S112" i="4"/>
  <c r="Q112" i="4"/>
  <c r="W112" i="4" s="1"/>
  <c r="N112" i="4"/>
  <c r="O112" i="4" s="1"/>
  <c r="J112" i="4"/>
  <c r="X112" i="4" s="1"/>
  <c r="Y112" i="4" s="1"/>
  <c r="V111" i="4"/>
  <c r="U111" i="4"/>
  <c r="T111" i="4"/>
  <c r="S111" i="4"/>
  <c r="Q111" i="4"/>
  <c r="W111" i="4" s="1"/>
  <c r="N111" i="4"/>
  <c r="O111" i="4" s="1"/>
  <c r="J111" i="4"/>
  <c r="X111" i="4" s="1"/>
  <c r="Y111" i="4" s="1"/>
  <c r="V110" i="4"/>
  <c r="U110" i="4"/>
  <c r="T110" i="4"/>
  <c r="S110" i="4"/>
  <c r="Q110" i="4"/>
  <c r="W110" i="4" s="1"/>
  <c r="N110" i="4"/>
  <c r="O110" i="4" s="1"/>
  <c r="J110" i="4"/>
  <c r="X110" i="4" s="1"/>
  <c r="Y110" i="4" s="1"/>
  <c r="V109" i="4"/>
  <c r="U109" i="4"/>
  <c r="T109" i="4"/>
  <c r="S109" i="4"/>
  <c r="Q109" i="4"/>
  <c r="W109" i="4" s="1"/>
  <c r="N109" i="4"/>
  <c r="O109" i="4" s="1"/>
  <c r="J109" i="4"/>
  <c r="X109" i="4" s="1"/>
  <c r="Y109" i="4" s="1"/>
  <c r="V108" i="4"/>
  <c r="U108" i="4"/>
  <c r="T108" i="4"/>
  <c r="S108" i="4"/>
  <c r="Q108" i="4"/>
  <c r="W108" i="4" s="1"/>
  <c r="N108" i="4"/>
  <c r="O108" i="4" s="1"/>
  <c r="J108" i="4"/>
  <c r="X108" i="4" s="1"/>
  <c r="Y108" i="4" s="1"/>
  <c r="V107" i="4"/>
  <c r="U107" i="4"/>
  <c r="T107" i="4"/>
  <c r="S107" i="4"/>
  <c r="Q107" i="4"/>
  <c r="W107" i="4" s="1"/>
  <c r="N107" i="4"/>
  <c r="O107" i="4" s="1"/>
  <c r="J107" i="4"/>
  <c r="X107" i="4" s="1"/>
  <c r="Y107" i="4" s="1"/>
  <c r="V106" i="4"/>
  <c r="U106" i="4"/>
  <c r="T106" i="4"/>
  <c r="S106" i="4"/>
  <c r="Q106" i="4"/>
  <c r="W106" i="4" s="1"/>
  <c r="N106" i="4"/>
  <c r="O106" i="4" s="1"/>
  <c r="J106" i="4"/>
  <c r="X106" i="4" s="1"/>
  <c r="Y106" i="4" s="1"/>
  <c r="V105" i="4"/>
  <c r="U105" i="4"/>
  <c r="T105" i="4"/>
  <c r="S105" i="4"/>
  <c r="Q105" i="4"/>
  <c r="W105" i="4" s="1"/>
  <c r="N105" i="4"/>
  <c r="O105" i="4" s="1"/>
  <c r="J105" i="4"/>
  <c r="X105" i="4" s="1"/>
  <c r="Y105" i="4" s="1"/>
  <c r="V104" i="4"/>
  <c r="U104" i="4"/>
  <c r="T104" i="4"/>
  <c r="S104" i="4"/>
  <c r="Q104" i="4"/>
  <c r="W104" i="4" s="1"/>
  <c r="N104" i="4"/>
  <c r="O104" i="4" s="1"/>
  <c r="J104" i="4"/>
  <c r="X104" i="4" s="1"/>
  <c r="Y104" i="4" s="1"/>
  <c r="V103" i="4"/>
  <c r="U103" i="4"/>
  <c r="T103" i="4"/>
  <c r="S103" i="4"/>
  <c r="Q103" i="4"/>
  <c r="W103" i="4" s="1"/>
  <c r="N103" i="4"/>
  <c r="O103" i="4" s="1"/>
  <c r="J103" i="4"/>
  <c r="X103" i="4" s="1"/>
  <c r="Y103" i="4" s="1"/>
  <c r="V102" i="4"/>
  <c r="U102" i="4"/>
  <c r="T102" i="4"/>
  <c r="S102" i="4"/>
  <c r="Q102" i="4"/>
  <c r="W102" i="4" s="1"/>
  <c r="N102" i="4"/>
  <c r="O102" i="4" s="1"/>
  <c r="J102" i="4"/>
  <c r="X102" i="4" s="1"/>
  <c r="Y102" i="4" s="1"/>
  <c r="V101" i="4"/>
  <c r="U101" i="4"/>
  <c r="T101" i="4"/>
  <c r="S101" i="4"/>
  <c r="Q101" i="4"/>
  <c r="W101" i="4" s="1"/>
  <c r="N101" i="4"/>
  <c r="O101" i="4" s="1"/>
  <c r="J101" i="4"/>
  <c r="X101" i="4" s="1"/>
  <c r="Y101" i="4" s="1"/>
  <c r="V100" i="4"/>
  <c r="U100" i="4"/>
  <c r="T100" i="4"/>
  <c r="S100" i="4"/>
  <c r="Q100" i="4"/>
  <c r="W100" i="4" s="1"/>
  <c r="N100" i="4"/>
  <c r="O100" i="4" s="1"/>
  <c r="J100" i="4"/>
  <c r="X100" i="4" s="1"/>
  <c r="Y100" i="4" s="1"/>
  <c r="V99" i="4"/>
  <c r="U99" i="4"/>
  <c r="T99" i="4"/>
  <c r="S99" i="4"/>
  <c r="Q99" i="4"/>
  <c r="W99" i="4" s="1"/>
  <c r="N99" i="4"/>
  <c r="O99" i="4" s="1"/>
  <c r="J99" i="4"/>
  <c r="X99" i="4" s="1"/>
  <c r="Y99" i="4" s="1"/>
  <c r="V98" i="4"/>
  <c r="U98" i="4"/>
  <c r="T98" i="4"/>
  <c r="S98" i="4"/>
  <c r="Q98" i="4"/>
  <c r="W98" i="4" s="1"/>
  <c r="N98" i="4"/>
  <c r="O98" i="4" s="1"/>
  <c r="J98" i="4"/>
  <c r="X98" i="4" s="1"/>
  <c r="Y98" i="4" s="1"/>
  <c r="V97" i="4"/>
  <c r="U97" i="4"/>
  <c r="T97" i="4"/>
  <c r="S97" i="4"/>
  <c r="Q97" i="4"/>
  <c r="W97" i="4" s="1"/>
  <c r="N97" i="4"/>
  <c r="O97" i="4" s="1"/>
  <c r="J97" i="4"/>
  <c r="X97" i="4" s="1"/>
  <c r="Y97" i="4" s="1"/>
  <c r="V96" i="4"/>
  <c r="U96" i="4"/>
  <c r="T96" i="4"/>
  <c r="S96" i="4"/>
  <c r="Q96" i="4"/>
  <c r="W96" i="4" s="1"/>
  <c r="N96" i="4"/>
  <c r="O96" i="4" s="1"/>
  <c r="J96" i="4"/>
  <c r="X96" i="4" s="1"/>
  <c r="Y96" i="4" s="1"/>
  <c r="V95" i="4"/>
  <c r="U95" i="4"/>
  <c r="T95" i="4"/>
  <c r="S95" i="4"/>
  <c r="Q95" i="4"/>
  <c r="W95" i="4" s="1"/>
  <c r="N95" i="4"/>
  <c r="O95" i="4" s="1"/>
  <c r="J95" i="4"/>
  <c r="X95" i="4" s="1"/>
  <c r="Y95" i="4" s="1"/>
  <c r="V94" i="4"/>
  <c r="U94" i="4"/>
  <c r="T94" i="4"/>
  <c r="S94" i="4"/>
  <c r="Q94" i="4"/>
  <c r="W94" i="4" s="1"/>
  <c r="N94" i="4"/>
  <c r="O94" i="4" s="1"/>
  <c r="J94" i="4"/>
  <c r="X94" i="4" s="1"/>
  <c r="Y94" i="4" s="1"/>
  <c r="V93" i="4"/>
  <c r="U93" i="4"/>
  <c r="T93" i="4"/>
  <c r="S93" i="4"/>
  <c r="Q93" i="4"/>
  <c r="W93" i="4" s="1"/>
  <c r="N93" i="4"/>
  <c r="O93" i="4" s="1"/>
  <c r="J93" i="4"/>
  <c r="X93" i="4" s="1"/>
  <c r="Y93" i="4" s="1"/>
  <c r="V92" i="4"/>
  <c r="U92" i="4"/>
  <c r="T92" i="4"/>
  <c r="S92" i="4"/>
  <c r="Q92" i="4"/>
  <c r="W92" i="4" s="1"/>
  <c r="N92" i="4"/>
  <c r="O92" i="4" s="1"/>
  <c r="J92" i="4"/>
  <c r="X92" i="4" s="1"/>
  <c r="Y92" i="4" s="1"/>
  <c r="V91" i="4"/>
  <c r="U91" i="4"/>
  <c r="T91" i="4"/>
  <c r="S91" i="4"/>
  <c r="Q91" i="4"/>
  <c r="W91" i="4" s="1"/>
  <c r="N91" i="4"/>
  <c r="O91" i="4" s="1"/>
  <c r="J91" i="4"/>
  <c r="X91" i="4" s="1"/>
  <c r="Y91" i="4" s="1"/>
  <c r="V90" i="4"/>
  <c r="U90" i="4"/>
  <c r="T90" i="4"/>
  <c r="S90" i="4"/>
  <c r="Q90" i="4"/>
  <c r="W90" i="4" s="1"/>
  <c r="N90" i="4"/>
  <c r="O90" i="4" s="1"/>
  <c r="J90" i="4"/>
  <c r="X90" i="4" s="1"/>
  <c r="Y90" i="4" s="1"/>
  <c r="V89" i="4"/>
  <c r="U89" i="4"/>
  <c r="T89" i="4"/>
  <c r="S89" i="4"/>
  <c r="Q89" i="4"/>
  <c r="W89" i="4" s="1"/>
  <c r="N89" i="4"/>
  <c r="O89" i="4" s="1"/>
  <c r="J89" i="4"/>
  <c r="X89" i="4" s="1"/>
  <c r="Y89" i="4" s="1"/>
  <c r="V88" i="4"/>
  <c r="U88" i="4"/>
  <c r="T88" i="4"/>
  <c r="S88" i="4"/>
  <c r="Q88" i="4"/>
  <c r="W88" i="4" s="1"/>
  <c r="N88" i="4"/>
  <c r="O88" i="4" s="1"/>
  <c r="J88" i="4"/>
  <c r="X88" i="4" s="1"/>
  <c r="Y88" i="4" s="1"/>
  <c r="V87" i="4"/>
  <c r="U87" i="4"/>
  <c r="T87" i="4"/>
  <c r="S87" i="4"/>
  <c r="Q87" i="4"/>
  <c r="W87" i="4" s="1"/>
  <c r="N87" i="4"/>
  <c r="O87" i="4" s="1"/>
  <c r="J87" i="4"/>
  <c r="X87" i="4" s="1"/>
  <c r="Y87" i="4" s="1"/>
  <c r="V86" i="4"/>
  <c r="U86" i="4"/>
  <c r="T86" i="4"/>
  <c r="S86" i="4"/>
  <c r="Q86" i="4"/>
  <c r="W86" i="4" s="1"/>
  <c r="N86" i="4"/>
  <c r="O86" i="4" s="1"/>
  <c r="J86" i="4"/>
  <c r="X86" i="4" s="1"/>
  <c r="Y86" i="4" s="1"/>
  <c r="V85" i="4"/>
  <c r="U85" i="4"/>
  <c r="T85" i="4"/>
  <c r="S85" i="4"/>
  <c r="Q85" i="4"/>
  <c r="W85" i="4" s="1"/>
  <c r="N85" i="4"/>
  <c r="O85" i="4" s="1"/>
  <c r="J85" i="4"/>
  <c r="X85" i="4" s="1"/>
  <c r="Y85" i="4" s="1"/>
  <c r="V84" i="4"/>
  <c r="U84" i="4"/>
  <c r="T84" i="4"/>
  <c r="S84" i="4"/>
  <c r="Q84" i="4"/>
  <c r="W84" i="4" s="1"/>
  <c r="N84" i="4"/>
  <c r="O84" i="4" s="1"/>
  <c r="J84" i="4"/>
  <c r="X84" i="4" s="1"/>
  <c r="Y84" i="4" s="1"/>
  <c r="V83" i="4"/>
  <c r="U83" i="4"/>
  <c r="T83" i="4"/>
  <c r="S83" i="4"/>
  <c r="Q83" i="4"/>
  <c r="W83" i="4" s="1"/>
  <c r="N83" i="4"/>
  <c r="O83" i="4" s="1"/>
  <c r="J83" i="4"/>
  <c r="X83" i="4" s="1"/>
  <c r="Y83" i="4" s="1"/>
  <c r="V82" i="4"/>
  <c r="U82" i="4"/>
  <c r="T82" i="4"/>
  <c r="S82" i="4"/>
  <c r="Q82" i="4"/>
  <c r="W82" i="4" s="1"/>
  <c r="N82" i="4"/>
  <c r="O82" i="4" s="1"/>
  <c r="J82" i="4"/>
  <c r="X82" i="4" s="1"/>
  <c r="Y82" i="4" s="1"/>
  <c r="V81" i="4"/>
  <c r="U81" i="4"/>
  <c r="T81" i="4"/>
  <c r="S81" i="4"/>
  <c r="Q81" i="4"/>
  <c r="W81" i="4" s="1"/>
  <c r="N81" i="4"/>
  <c r="O81" i="4" s="1"/>
  <c r="J81" i="4"/>
  <c r="X81" i="4" s="1"/>
  <c r="Y81" i="4" s="1"/>
  <c r="V80" i="4"/>
  <c r="U80" i="4"/>
  <c r="T80" i="4"/>
  <c r="S80" i="4"/>
  <c r="Q80" i="4"/>
  <c r="W80" i="4" s="1"/>
  <c r="N80" i="4"/>
  <c r="O80" i="4" s="1"/>
  <c r="J80" i="4"/>
  <c r="X80" i="4" s="1"/>
  <c r="Y80" i="4" s="1"/>
  <c r="V79" i="4"/>
  <c r="U79" i="4"/>
  <c r="T79" i="4"/>
  <c r="S79" i="4"/>
  <c r="Q79" i="4"/>
  <c r="W79" i="4" s="1"/>
  <c r="N79" i="4"/>
  <c r="O79" i="4" s="1"/>
  <c r="J79" i="4"/>
  <c r="X79" i="4" s="1"/>
  <c r="Y79" i="4" s="1"/>
  <c r="V78" i="4"/>
  <c r="U78" i="4"/>
  <c r="T78" i="4"/>
  <c r="S78" i="4"/>
  <c r="Q78" i="4"/>
  <c r="W78" i="4" s="1"/>
  <c r="N78" i="4"/>
  <c r="O78" i="4" s="1"/>
  <c r="J78" i="4"/>
  <c r="X78" i="4" s="1"/>
  <c r="Y78" i="4" s="1"/>
  <c r="V77" i="4"/>
  <c r="U77" i="4"/>
  <c r="T77" i="4"/>
  <c r="S77" i="4"/>
  <c r="Q77" i="4"/>
  <c r="W77" i="4" s="1"/>
  <c r="N77" i="4"/>
  <c r="O77" i="4" s="1"/>
  <c r="J77" i="4"/>
  <c r="X77" i="4" s="1"/>
  <c r="Y77" i="4" s="1"/>
  <c r="V76" i="4"/>
  <c r="U76" i="4"/>
  <c r="T76" i="4"/>
  <c r="S76" i="4"/>
  <c r="Q76" i="4"/>
  <c r="W76" i="4" s="1"/>
  <c r="N76" i="4"/>
  <c r="O76" i="4" s="1"/>
  <c r="J76" i="4"/>
  <c r="X76" i="4" s="1"/>
  <c r="Y76" i="4" s="1"/>
  <c r="V75" i="4"/>
  <c r="U75" i="4"/>
  <c r="T75" i="4"/>
  <c r="S75" i="4"/>
  <c r="Q75" i="4"/>
  <c r="W75" i="4" s="1"/>
  <c r="N75" i="4"/>
  <c r="O75" i="4" s="1"/>
  <c r="J75" i="4"/>
  <c r="X75" i="4" s="1"/>
  <c r="Y75" i="4" s="1"/>
  <c r="V74" i="4"/>
  <c r="U74" i="4"/>
  <c r="T74" i="4"/>
  <c r="S74" i="4"/>
  <c r="Q74" i="4"/>
  <c r="W74" i="4" s="1"/>
  <c r="N74" i="4"/>
  <c r="O74" i="4" s="1"/>
  <c r="J74" i="4"/>
  <c r="X74" i="4" s="1"/>
  <c r="Y74" i="4" s="1"/>
  <c r="V73" i="4"/>
  <c r="U73" i="4"/>
  <c r="T73" i="4"/>
  <c r="S73" i="4"/>
  <c r="Q73" i="4"/>
  <c r="W73" i="4" s="1"/>
  <c r="N73" i="4"/>
  <c r="O73" i="4" s="1"/>
  <c r="J73" i="4"/>
  <c r="X73" i="4" s="1"/>
  <c r="Y73" i="4" s="1"/>
  <c r="V72" i="4"/>
  <c r="U72" i="4"/>
  <c r="T72" i="4"/>
  <c r="S72" i="4"/>
  <c r="Q72" i="4"/>
  <c r="W72" i="4" s="1"/>
  <c r="N72" i="4"/>
  <c r="O72" i="4" s="1"/>
  <c r="J72" i="4"/>
  <c r="X72" i="4" s="1"/>
  <c r="Y72" i="4" s="1"/>
  <c r="V71" i="4"/>
  <c r="U71" i="4"/>
  <c r="T71" i="4"/>
  <c r="S71" i="4"/>
  <c r="Q71" i="4"/>
  <c r="W71" i="4" s="1"/>
  <c r="N71" i="4"/>
  <c r="O71" i="4" s="1"/>
  <c r="J71" i="4"/>
  <c r="X71" i="4" s="1"/>
  <c r="Y71" i="4" s="1"/>
  <c r="V70" i="4"/>
  <c r="U70" i="4"/>
  <c r="T70" i="4"/>
  <c r="S70" i="4"/>
  <c r="Q70" i="4"/>
  <c r="W70" i="4" s="1"/>
  <c r="N70" i="4"/>
  <c r="O70" i="4" s="1"/>
  <c r="J70" i="4"/>
  <c r="X70" i="4" s="1"/>
  <c r="Y70" i="4" s="1"/>
  <c r="V69" i="4"/>
  <c r="U69" i="4"/>
  <c r="T69" i="4"/>
  <c r="S69" i="4"/>
  <c r="Q69" i="4"/>
  <c r="W69" i="4" s="1"/>
  <c r="N69" i="4"/>
  <c r="O69" i="4" s="1"/>
  <c r="J69" i="4"/>
  <c r="X69" i="4" s="1"/>
  <c r="Y69" i="4" s="1"/>
  <c r="V68" i="4"/>
  <c r="U68" i="4"/>
  <c r="T68" i="4"/>
  <c r="S68" i="4"/>
  <c r="Q68" i="4"/>
  <c r="W68" i="4" s="1"/>
  <c r="N68" i="4"/>
  <c r="O68" i="4" s="1"/>
  <c r="J68" i="4"/>
  <c r="X68" i="4" s="1"/>
  <c r="Y68" i="4" s="1"/>
  <c r="V67" i="4"/>
  <c r="U67" i="4"/>
  <c r="T67" i="4"/>
  <c r="S67" i="4"/>
  <c r="Q67" i="4"/>
  <c r="W67" i="4" s="1"/>
  <c r="N67" i="4"/>
  <c r="O67" i="4" s="1"/>
  <c r="J67" i="4"/>
  <c r="X67" i="4" s="1"/>
  <c r="Y67" i="4" s="1"/>
  <c r="V66" i="4"/>
  <c r="U66" i="4"/>
  <c r="T66" i="4"/>
  <c r="S66" i="4"/>
  <c r="Q66" i="4"/>
  <c r="W66" i="4" s="1"/>
  <c r="N66" i="4"/>
  <c r="O66" i="4" s="1"/>
  <c r="J66" i="4"/>
  <c r="X66" i="4" s="1"/>
  <c r="Y66" i="4" s="1"/>
  <c r="V65" i="4"/>
  <c r="U65" i="4"/>
  <c r="T65" i="4"/>
  <c r="S65" i="4"/>
  <c r="Q65" i="4"/>
  <c r="W65" i="4" s="1"/>
  <c r="N65" i="4"/>
  <c r="O65" i="4" s="1"/>
  <c r="J65" i="4"/>
  <c r="X65" i="4" s="1"/>
  <c r="Y65" i="4" s="1"/>
  <c r="V64" i="4"/>
  <c r="U64" i="4"/>
  <c r="T64" i="4"/>
  <c r="S64" i="4"/>
  <c r="Q64" i="4"/>
  <c r="W64" i="4" s="1"/>
  <c r="N64" i="4"/>
  <c r="O64" i="4" s="1"/>
  <c r="J64" i="4"/>
  <c r="X64" i="4" s="1"/>
  <c r="Y64" i="4" s="1"/>
  <c r="V63" i="4"/>
  <c r="U63" i="4"/>
  <c r="T63" i="4"/>
  <c r="S63" i="4"/>
  <c r="Q63" i="4"/>
  <c r="W63" i="4" s="1"/>
  <c r="N63" i="4"/>
  <c r="O63" i="4" s="1"/>
  <c r="J63" i="4"/>
  <c r="X63" i="4" s="1"/>
  <c r="Y63" i="4" s="1"/>
  <c r="V62" i="4"/>
  <c r="U62" i="4"/>
  <c r="T62" i="4"/>
  <c r="S62" i="4"/>
  <c r="Q62" i="4"/>
  <c r="W62" i="4" s="1"/>
  <c r="N62" i="4"/>
  <c r="O62" i="4" s="1"/>
  <c r="J62" i="4"/>
  <c r="X62" i="4" s="1"/>
  <c r="Y62" i="4" s="1"/>
  <c r="V61" i="4"/>
  <c r="U61" i="4"/>
  <c r="T61" i="4"/>
  <c r="S61" i="4"/>
  <c r="Q61" i="4"/>
  <c r="W61" i="4" s="1"/>
  <c r="N61" i="4"/>
  <c r="O61" i="4" s="1"/>
  <c r="J61" i="4"/>
  <c r="X61" i="4" s="1"/>
  <c r="Y61" i="4" s="1"/>
  <c r="V60" i="4"/>
  <c r="U60" i="4"/>
  <c r="T60" i="4"/>
  <c r="S60" i="4"/>
  <c r="Q60" i="4"/>
  <c r="W60" i="4" s="1"/>
  <c r="N60" i="4"/>
  <c r="O60" i="4" s="1"/>
  <c r="J60" i="4"/>
  <c r="X60" i="4" s="1"/>
  <c r="Y60" i="4" s="1"/>
  <c r="V59" i="4"/>
  <c r="U59" i="4"/>
  <c r="T59" i="4"/>
  <c r="S59" i="4"/>
  <c r="Q59" i="4"/>
  <c r="W59" i="4" s="1"/>
  <c r="N59" i="4"/>
  <c r="O59" i="4" s="1"/>
  <c r="J59" i="4"/>
  <c r="X59" i="4" s="1"/>
  <c r="Y59" i="4" s="1"/>
  <c r="V58" i="4"/>
  <c r="U58" i="4"/>
  <c r="T58" i="4"/>
  <c r="S58" i="4"/>
  <c r="Q58" i="4"/>
  <c r="W58" i="4" s="1"/>
  <c r="N58" i="4"/>
  <c r="O58" i="4" s="1"/>
  <c r="J58" i="4"/>
  <c r="X58" i="4" s="1"/>
  <c r="Y58" i="4" s="1"/>
  <c r="V57" i="4"/>
  <c r="U57" i="4"/>
  <c r="T57" i="4"/>
  <c r="S57" i="4"/>
  <c r="Q57" i="4"/>
  <c r="W57" i="4" s="1"/>
  <c r="N57" i="4"/>
  <c r="O57" i="4" s="1"/>
  <c r="J57" i="4"/>
  <c r="X57" i="4" s="1"/>
  <c r="Y57" i="4" s="1"/>
  <c r="V56" i="4"/>
  <c r="U56" i="4"/>
  <c r="T56" i="4"/>
  <c r="S56" i="4"/>
  <c r="Q56" i="4"/>
  <c r="W56" i="4" s="1"/>
  <c r="N56" i="4"/>
  <c r="O56" i="4" s="1"/>
  <c r="J56" i="4"/>
  <c r="X56" i="4" s="1"/>
  <c r="Y56" i="4" s="1"/>
  <c r="V55" i="4"/>
  <c r="U55" i="4"/>
  <c r="T55" i="4"/>
  <c r="S55" i="4"/>
  <c r="Q55" i="4"/>
  <c r="W55" i="4" s="1"/>
  <c r="N55" i="4"/>
  <c r="O55" i="4" s="1"/>
  <c r="J55" i="4"/>
  <c r="X55" i="4" s="1"/>
  <c r="Y55" i="4" s="1"/>
  <c r="V54" i="4"/>
  <c r="U54" i="4"/>
  <c r="T54" i="4"/>
  <c r="S54" i="4"/>
  <c r="Q54" i="4"/>
  <c r="W54" i="4" s="1"/>
  <c r="N54" i="4"/>
  <c r="O54" i="4" s="1"/>
  <c r="J54" i="4"/>
  <c r="X54" i="4" s="1"/>
  <c r="Y54" i="4" s="1"/>
  <c r="V53" i="4"/>
  <c r="U53" i="4"/>
  <c r="T53" i="4"/>
  <c r="S53" i="4"/>
  <c r="Q53" i="4"/>
  <c r="W53" i="4" s="1"/>
  <c r="N53" i="4"/>
  <c r="O53" i="4" s="1"/>
  <c r="J53" i="4"/>
  <c r="X53" i="4" s="1"/>
  <c r="Y53" i="4" s="1"/>
  <c r="V52" i="4"/>
  <c r="U52" i="4"/>
  <c r="T52" i="4"/>
  <c r="S52" i="4"/>
  <c r="Q52" i="4"/>
  <c r="W52" i="4" s="1"/>
  <c r="N52" i="4"/>
  <c r="O52" i="4" s="1"/>
  <c r="J52" i="4"/>
  <c r="X52" i="4" s="1"/>
  <c r="Y52" i="4" s="1"/>
  <c r="V51" i="4"/>
  <c r="U51" i="4"/>
  <c r="T51" i="4"/>
  <c r="S51" i="4"/>
  <c r="Q51" i="4"/>
  <c r="W51" i="4" s="1"/>
  <c r="N51" i="4"/>
  <c r="O51" i="4" s="1"/>
  <c r="J51" i="4"/>
  <c r="X51" i="4" s="1"/>
  <c r="Y51" i="4" s="1"/>
  <c r="V50" i="4"/>
  <c r="U50" i="4"/>
  <c r="T50" i="4"/>
  <c r="S50" i="4"/>
  <c r="Q50" i="4"/>
  <c r="W50" i="4" s="1"/>
  <c r="N50" i="4"/>
  <c r="O50" i="4" s="1"/>
  <c r="J50" i="4"/>
  <c r="X50" i="4" s="1"/>
  <c r="Y50" i="4" s="1"/>
  <c r="V49" i="4"/>
  <c r="U49" i="4"/>
  <c r="T49" i="4"/>
  <c r="S49" i="4"/>
  <c r="Q49" i="4"/>
  <c r="W49" i="4" s="1"/>
  <c r="N49" i="4"/>
  <c r="O49" i="4" s="1"/>
  <c r="J49" i="4"/>
  <c r="X49" i="4" s="1"/>
  <c r="Y49" i="4" s="1"/>
  <c r="V48" i="4"/>
  <c r="U48" i="4"/>
  <c r="T48" i="4"/>
  <c r="S48" i="4"/>
  <c r="Q48" i="4"/>
  <c r="W48" i="4" s="1"/>
  <c r="N48" i="4"/>
  <c r="O48" i="4" s="1"/>
  <c r="J48" i="4"/>
  <c r="X48" i="4" s="1"/>
  <c r="Y48" i="4" s="1"/>
  <c r="V47" i="4"/>
  <c r="U47" i="4"/>
  <c r="T47" i="4"/>
  <c r="S47" i="4"/>
  <c r="Q47" i="4"/>
  <c r="W47" i="4" s="1"/>
  <c r="N47" i="4"/>
  <c r="O47" i="4" s="1"/>
  <c r="J47" i="4"/>
  <c r="X47" i="4" s="1"/>
  <c r="Y47" i="4" s="1"/>
  <c r="V46" i="4"/>
  <c r="U46" i="4"/>
  <c r="T46" i="4"/>
  <c r="S46" i="4"/>
  <c r="Q46" i="4"/>
  <c r="W46" i="4" s="1"/>
  <c r="N46" i="4"/>
  <c r="O46" i="4" s="1"/>
  <c r="J46" i="4"/>
  <c r="X46" i="4" s="1"/>
  <c r="Y46" i="4" s="1"/>
  <c r="V45" i="4"/>
  <c r="U45" i="4"/>
  <c r="T45" i="4"/>
  <c r="S45" i="4"/>
  <c r="Q45" i="4"/>
  <c r="W45" i="4" s="1"/>
  <c r="N45" i="4"/>
  <c r="O45" i="4" s="1"/>
  <c r="J45" i="4"/>
  <c r="X45" i="4" s="1"/>
  <c r="Y45" i="4" s="1"/>
  <c r="V44" i="4"/>
  <c r="U44" i="4"/>
  <c r="T44" i="4"/>
  <c r="S44" i="4"/>
  <c r="Q44" i="4"/>
  <c r="W44" i="4" s="1"/>
  <c r="N44" i="4"/>
  <c r="O44" i="4" s="1"/>
  <c r="J44" i="4"/>
  <c r="X44" i="4" s="1"/>
  <c r="Y44" i="4" s="1"/>
  <c r="V43" i="4"/>
  <c r="U43" i="4"/>
  <c r="T43" i="4"/>
  <c r="S43" i="4"/>
  <c r="Q43" i="4"/>
  <c r="W43" i="4" s="1"/>
  <c r="N43" i="4"/>
  <c r="O43" i="4" s="1"/>
  <c r="J43" i="4"/>
  <c r="X43" i="4" s="1"/>
  <c r="Y43" i="4" s="1"/>
  <c r="V42" i="4"/>
  <c r="U42" i="4"/>
  <c r="T42" i="4"/>
  <c r="S42" i="4"/>
  <c r="Q42" i="4"/>
  <c r="W42" i="4" s="1"/>
  <c r="N42" i="4"/>
  <c r="O42" i="4" s="1"/>
  <c r="J42" i="4"/>
  <c r="X42" i="4" s="1"/>
  <c r="Y42" i="4" s="1"/>
  <c r="V41" i="4"/>
  <c r="U41" i="4"/>
  <c r="T41" i="4"/>
  <c r="S41" i="4"/>
  <c r="Q41" i="4"/>
  <c r="W41" i="4" s="1"/>
  <c r="N41" i="4"/>
  <c r="O41" i="4" s="1"/>
  <c r="J41" i="4"/>
  <c r="X41" i="4" s="1"/>
  <c r="Y41" i="4" s="1"/>
  <c r="V40" i="4"/>
  <c r="U40" i="4"/>
  <c r="T40" i="4"/>
  <c r="S40" i="4"/>
  <c r="Q40" i="4"/>
  <c r="W40" i="4" s="1"/>
  <c r="N40" i="4"/>
  <c r="O40" i="4" s="1"/>
  <c r="J40" i="4"/>
  <c r="X40" i="4" s="1"/>
  <c r="Y40" i="4" s="1"/>
  <c r="V39" i="4"/>
  <c r="U39" i="4"/>
  <c r="T39" i="4"/>
  <c r="S39" i="4"/>
  <c r="Q39" i="4"/>
  <c r="W39" i="4" s="1"/>
  <c r="N39" i="4"/>
  <c r="O39" i="4" s="1"/>
  <c r="J39" i="4"/>
  <c r="X39" i="4" s="1"/>
  <c r="Y39" i="4" s="1"/>
  <c r="V38" i="4"/>
  <c r="U38" i="4"/>
  <c r="T38" i="4"/>
  <c r="S38" i="4"/>
  <c r="Q38" i="4"/>
  <c r="W38" i="4" s="1"/>
  <c r="N38" i="4"/>
  <c r="O38" i="4" s="1"/>
  <c r="J38" i="4"/>
  <c r="X38" i="4" s="1"/>
  <c r="Y38" i="4" s="1"/>
  <c r="V37" i="4"/>
  <c r="U37" i="4"/>
  <c r="T37" i="4"/>
  <c r="S37" i="4"/>
  <c r="Q37" i="4"/>
  <c r="W37" i="4" s="1"/>
  <c r="N37" i="4"/>
  <c r="O37" i="4" s="1"/>
  <c r="J37" i="4"/>
  <c r="X37" i="4" s="1"/>
  <c r="Y37" i="4" s="1"/>
  <c r="V36" i="4"/>
  <c r="U36" i="4"/>
  <c r="T36" i="4"/>
  <c r="S36" i="4"/>
  <c r="Q36" i="4"/>
  <c r="W36" i="4" s="1"/>
  <c r="N36" i="4"/>
  <c r="O36" i="4" s="1"/>
  <c r="J36" i="4"/>
  <c r="X36" i="4" s="1"/>
  <c r="Y36" i="4" s="1"/>
  <c r="V35" i="4"/>
  <c r="U35" i="4"/>
  <c r="T35" i="4"/>
  <c r="S35" i="4"/>
  <c r="Q35" i="4"/>
  <c r="W35" i="4" s="1"/>
  <c r="N35" i="4"/>
  <c r="O35" i="4" s="1"/>
  <c r="J35" i="4"/>
  <c r="X35" i="4" s="1"/>
  <c r="Y35" i="4" s="1"/>
  <c r="V34" i="4"/>
  <c r="U34" i="4"/>
  <c r="T34" i="4"/>
  <c r="S34" i="4"/>
  <c r="Q34" i="4"/>
  <c r="W34" i="4" s="1"/>
  <c r="N34" i="4"/>
  <c r="O34" i="4" s="1"/>
  <c r="J34" i="4"/>
  <c r="X34" i="4" s="1"/>
  <c r="Y34" i="4" s="1"/>
  <c r="V33" i="4"/>
  <c r="U33" i="4"/>
  <c r="T33" i="4"/>
  <c r="S33" i="4"/>
  <c r="Q33" i="4"/>
  <c r="W33" i="4" s="1"/>
  <c r="N33" i="4"/>
  <c r="O33" i="4" s="1"/>
  <c r="J33" i="4"/>
  <c r="X33" i="4" s="1"/>
  <c r="Y33" i="4" s="1"/>
  <c r="V32" i="4"/>
  <c r="U32" i="4"/>
  <c r="T32" i="4"/>
  <c r="S32" i="4"/>
  <c r="Q32" i="4"/>
  <c r="W32" i="4" s="1"/>
  <c r="N32" i="4"/>
  <c r="O32" i="4" s="1"/>
  <c r="J32" i="4"/>
  <c r="X32" i="4" s="1"/>
  <c r="Y32" i="4" s="1"/>
  <c r="V31" i="4"/>
  <c r="U31" i="4"/>
  <c r="T31" i="4"/>
  <c r="S31" i="4"/>
  <c r="Q31" i="4"/>
  <c r="W31" i="4" s="1"/>
  <c r="N31" i="4"/>
  <c r="O31" i="4" s="1"/>
  <c r="J31" i="4"/>
  <c r="X31" i="4" s="1"/>
  <c r="Y31" i="4" s="1"/>
  <c r="V30" i="4"/>
  <c r="U30" i="4"/>
  <c r="T30" i="4"/>
  <c r="S30" i="4"/>
  <c r="Q30" i="4"/>
  <c r="W30" i="4" s="1"/>
  <c r="N30" i="4"/>
  <c r="O30" i="4" s="1"/>
  <c r="J30" i="4"/>
  <c r="X30" i="4" s="1"/>
  <c r="Y30" i="4" s="1"/>
  <c r="V29" i="4"/>
  <c r="U29" i="4"/>
  <c r="T29" i="4"/>
  <c r="S29" i="4"/>
  <c r="Q29" i="4"/>
  <c r="W29" i="4" s="1"/>
  <c r="N29" i="4"/>
  <c r="O29" i="4" s="1"/>
  <c r="J29" i="4"/>
  <c r="X29" i="4" s="1"/>
  <c r="Y29" i="4" s="1"/>
  <c r="V28" i="4"/>
  <c r="U28" i="4"/>
  <c r="T28" i="4"/>
  <c r="S28" i="4"/>
  <c r="Q28" i="4"/>
  <c r="W28" i="4" s="1"/>
  <c r="N28" i="4"/>
  <c r="O28" i="4" s="1"/>
  <c r="J28" i="4"/>
  <c r="X28" i="4" s="1"/>
  <c r="Y28" i="4" s="1"/>
  <c r="V27" i="4"/>
  <c r="U27" i="4"/>
  <c r="T27" i="4"/>
  <c r="S27" i="4"/>
  <c r="Q27" i="4"/>
  <c r="W27" i="4" s="1"/>
  <c r="N27" i="4"/>
  <c r="O27" i="4" s="1"/>
  <c r="J27" i="4"/>
  <c r="X27" i="4" s="1"/>
  <c r="Y27" i="4" s="1"/>
  <c r="V26" i="4"/>
  <c r="U26" i="4"/>
  <c r="T26" i="4"/>
  <c r="S26" i="4"/>
  <c r="Q26" i="4"/>
  <c r="W26" i="4" s="1"/>
  <c r="N26" i="4"/>
  <c r="O26" i="4" s="1"/>
  <c r="J26" i="4"/>
  <c r="X26" i="4" s="1"/>
  <c r="Y26" i="4" s="1"/>
  <c r="V25" i="4"/>
  <c r="U25" i="4"/>
  <c r="T25" i="4"/>
  <c r="S25" i="4"/>
  <c r="Q25" i="4"/>
  <c r="W25" i="4" s="1"/>
  <c r="N25" i="4"/>
  <c r="O25" i="4" s="1"/>
  <c r="J25" i="4"/>
  <c r="X25" i="4" s="1"/>
  <c r="Y25" i="4" s="1"/>
  <c r="V24" i="4"/>
  <c r="U24" i="4"/>
  <c r="T24" i="4"/>
  <c r="S24" i="4"/>
  <c r="Q24" i="4"/>
  <c r="W24" i="4" s="1"/>
  <c r="N24" i="4"/>
  <c r="O24" i="4" s="1"/>
  <c r="J24" i="4"/>
  <c r="X24" i="4" s="1"/>
  <c r="Y24" i="4" s="1"/>
  <c r="V23" i="4"/>
  <c r="U23" i="4"/>
  <c r="T23" i="4"/>
  <c r="S23" i="4"/>
  <c r="Q23" i="4"/>
  <c r="W23" i="4" s="1"/>
  <c r="N23" i="4"/>
  <c r="O23" i="4" s="1"/>
  <c r="J23" i="4"/>
  <c r="X23" i="4" s="1"/>
  <c r="Y23" i="4" s="1"/>
  <c r="V22" i="4"/>
  <c r="U22" i="4"/>
  <c r="T22" i="4"/>
  <c r="S22" i="4"/>
  <c r="Q22" i="4"/>
  <c r="W22" i="4" s="1"/>
  <c r="N22" i="4"/>
  <c r="O22" i="4" s="1"/>
  <c r="J22" i="4"/>
  <c r="X22" i="4" s="1"/>
  <c r="Y22" i="4" s="1"/>
  <c r="V21" i="4"/>
  <c r="U21" i="4"/>
  <c r="T21" i="4"/>
  <c r="S21" i="4"/>
  <c r="Q21" i="4"/>
  <c r="W21" i="4" s="1"/>
  <c r="N21" i="4"/>
  <c r="O21" i="4" s="1"/>
  <c r="J21" i="4"/>
  <c r="X21" i="4" s="1"/>
  <c r="Y21" i="4" s="1"/>
  <c r="V20" i="4"/>
  <c r="U20" i="4"/>
  <c r="T20" i="4"/>
  <c r="S20" i="4"/>
  <c r="Q20" i="4"/>
  <c r="W20" i="4" s="1"/>
  <c r="N20" i="4"/>
  <c r="O20" i="4" s="1"/>
  <c r="J20" i="4"/>
  <c r="X20" i="4" s="1"/>
  <c r="Y20" i="4" s="1"/>
  <c r="V19" i="4"/>
  <c r="U19" i="4"/>
  <c r="T19" i="4"/>
  <c r="S19" i="4"/>
  <c r="Q19" i="4"/>
  <c r="W19" i="4" s="1"/>
  <c r="N19" i="4"/>
  <c r="O19" i="4" s="1"/>
  <c r="J19" i="4"/>
  <c r="X19" i="4" s="1"/>
  <c r="Y19" i="4" s="1"/>
  <c r="V18" i="4"/>
  <c r="U18" i="4"/>
  <c r="T18" i="4"/>
  <c r="S18" i="4"/>
  <c r="Q18" i="4"/>
  <c r="W18" i="4" s="1"/>
  <c r="N18" i="4"/>
  <c r="O18" i="4" s="1"/>
  <c r="J18" i="4"/>
  <c r="X18" i="4" s="1"/>
  <c r="Y18" i="4" s="1"/>
  <c r="V17" i="4"/>
  <c r="U17" i="4"/>
  <c r="T17" i="4"/>
  <c r="S17" i="4"/>
  <c r="Q17" i="4"/>
  <c r="W17" i="4" s="1"/>
  <c r="N17" i="4"/>
  <c r="O17" i="4" s="1"/>
  <c r="J17" i="4"/>
  <c r="X17" i="4" s="1"/>
  <c r="Y17" i="4" s="1"/>
  <c r="V16" i="4"/>
  <c r="U16" i="4"/>
  <c r="T16" i="4"/>
  <c r="S16" i="4"/>
  <c r="Q16" i="4"/>
  <c r="W16" i="4" s="1"/>
  <c r="N16" i="4"/>
  <c r="O16" i="4" s="1"/>
  <c r="J16" i="4"/>
  <c r="X16" i="4" s="1"/>
  <c r="Y16" i="4" s="1"/>
  <c r="V15" i="4"/>
  <c r="U15" i="4"/>
  <c r="T15" i="4"/>
  <c r="S15" i="4"/>
  <c r="Q15" i="4"/>
  <c r="W15" i="4" s="1"/>
  <c r="N15" i="4"/>
  <c r="O15" i="4" s="1"/>
  <c r="J15" i="4"/>
  <c r="X15" i="4" s="1"/>
  <c r="Y15" i="4" s="1"/>
  <c r="V14" i="4"/>
  <c r="U14" i="4"/>
  <c r="T14" i="4"/>
  <c r="S14" i="4"/>
  <c r="Q14" i="4"/>
  <c r="W14" i="4" s="1"/>
  <c r="N14" i="4"/>
  <c r="O14" i="4" s="1"/>
  <c r="J14" i="4"/>
  <c r="X14" i="4" s="1"/>
  <c r="Y14" i="4" s="1"/>
  <c r="V13" i="4"/>
  <c r="U13" i="4"/>
  <c r="T13" i="4"/>
  <c r="S13" i="4"/>
  <c r="Q13" i="4"/>
  <c r="W13" i="4" s="1"/>
  <c r="N13" i="4"/>
  <c r="O13" i="4" s="1"/>
  <c r="J13" i="4"/>
  <c r="X13" i="4" s="1"/>
  <c r="Y13" i="4" s="1"/>
  <c r="V12" i="4"/>
  <c r="U12" i="4"/>
  <c r="T12" i="4"/>
  <c r="S12" i="4"/>
  <c r="Q12" i="4"/>
  <c r="W12" i="4" s="1"/>
  <c r="N12" i="4"/>
  <c r="O12" i="4" s="1"/>
  <c r="J12" i="4"/>
  <c r="X12" i="4" s="1"/>
  <c r="Y12" i="4" s="1"/>
  <c r="V11" i="4"/>
  <c r="U11" i="4"/>
  <c r="T11" i="4"/>
  <c r="S11" i="4"/>
  <c r="Q11" i="4"/>
  <c r="W11" i="4" s="1"/>
  <c r="N11" i="4"/>
  <c r="O11" i="4" s="1"/>
  <c r="J11" i="4"/>
  <c r="X11" i="4" s="1"/>
  <c r="Y11" i="4" s="1"/>
  <c r="V10" i="4"/>
  <c r="U10" i="4"/>
  <c r="T10" i="4"/>
  <c r="S10" i="4"/>
  <c r="Q10" i="4"/>
  <c r="W10" i="4" s="1"/>
  <c r="N10" i="4"/>
  <c r="O10" i="4" s="1"/>
  <c r="J10" i="4"/>
  <c r="X10" i="4" s="1"/>
  <c r="Y10" i="4" s="1"/>
  <c r="V9" i="4"/>
  <c r="U9" i="4"/>
  <c r="T9" i="4"/>
  <c r="S9" i="4"/>
  <c r="Q9" i="4"/>
  <c r="W9" i="4" s="1"/>
  <c r="N9" i="4"/>
  <c r="O9" i="4" s="1"/>
  <c r="J9" i="4"/>
  <c r="X9" i="4" s="1"/>
  <c r="Y9" i="4" s="1"/>
  <c r="V8" i="4"/>
  <c r="U8" i="4"/>
  <c r="T8" i="4"/>
  <c r="S8" i="4"/>
  <c r="Q8" i="4"/>
  <c r="W8" i="4" s="1"/>
  <c r="N8" i="4"/>
  <c r="O8" i="4" s="1"/>
  <c r="J8" i="4"/>
  <c r="X8" i="4" s="1"/>
  <c r="Y8" i="4" s="1"/>
  <c r="V7" i="4"/>
  <c r="V305" i="4" s="1"/>
  <c r="U7" i="4"/>
  <c r="U305" i="4" s="1"/>
  <c r="T7" i="4"/>
  <c r="T305" i="4" s="1"/>
  <c r="S7" i="4"/>
  <c r="S305" i="4" s="1"/>
  <c r="Q7" i="4"/>
  <c r="N7" i="4"/>
  <c r="J7" i="4"/>
  <c r="R305" i="3"/>
  <c r="M305" i="3"/>
  <c r="L305" i="3"/>
  <c r="K305" i="3"/>
  <c r="I305" i="3"/>
  <c r="H305" i="3"/>
  <c r="G305" i="3"/>
  <c r="F305" i="3"/>
  <c r="E305" i="3"/>
  <c r="V304" i="3"/>
  <c r="U304" i="3"/>
  <c r="T304" i="3"/>
  <c r="S304" i="3"/>
  <c r="Q304" i="3"/>
  <c r="W304" i="3" s="1"/>
  <c r="N304" i="3"/>
  <c r="O304" i="3" s="1"/>
  <c r="J304" i="3"/>
  <c r="X303" i="3"/>
  <c r="V303" i="3"/>
  <c r="V305" i="3" s="1"/>
  <c r="U303" i="3"/>
  <c r="U305" i="3" s="1"/>
  <c r="T303" i="3"/>
  <c r="T305" i="3" s="1"/>
  <c r="S303" i="3"/>
  <c r="S305" i="3" s="1"/>
  <c r="Q303" i="3"/>
  <c r="N303" i="3"/>
  <c r="J303" i="3"/>
  <c r="V302" i="3"/>
  <c r="U302" i="3"/>
  <c r="T302" i="3"/>
  <c r="S302" i="3"/>
  <c r="Q302" i="3"/>
  <c r="W302" i="3" s="1"/>
  <c r="N302" i="3"/>
  <c r="O302" i="3" s="1"/>
  <c r="J302" i="3"/>
  <c r="X302" i="3" s="1"/>
  <c r="Y302" i="3" s="1"/>
  <c r="V301" i="3"/>
  <c r="U301" i="3"/>
  <c r="T301" i="3"/>
  <c r="S301" i="3"/>
  <c r="Q301" i="3"/>
  <c r="W301" i="3" s="1"/>
  <c r="N301" i="3"/>
  <c r="O301" i="3" s="1"/>
  <c r="J301" i="3"/>
  <c r="X301" i="3" s="1"/>
  <c r="Y301" i="3" s="1"/>
  <c r="V300" i="3"/>
  <c r="U300" i="3"/>
  <c r="T300" i="3"/>
  <c r="S300" i="3"/>
  <c r="Q300" i="3"/>
  <c r="W300" i="3" s="1"/>
  <c r="N300" i="3"/>
  <c r="O300" i="3" s="1"/>
  <c r="J300" i="3"/>
  <c r="X300" i="3" s="1"/>
  <c r="Y300" i="3" s="1"/>
  <c r="V299" i="3"/>
  <c r="U299" i="3"/>
  <c r="T299" i="3"/>
  <c r="S299" i="3"/>
  <c r="Q299" i="3"/>
  <c r="W299" i="3" s="1"/>
  <c r="N299" i="3"/>
  <c r="O299" i="3" s="1"/>
  <c r="J299" i="3"/>
  <c r="X299" i="3" s="1"/>
  <c r="Y299" i="3" s="1"/>
  <c r="V298" i="3"/>
  <c r="U298" i="3"/>
  <c r="T298" i="3"/>
  <c r="S298" i="3"/>
  <c r="Q298" i="3"/>
  <c r="W298" i="3" s="1"/>
  <c r="N298" i="3"/>
  <c r="O298" i="3" s="1"/>
  <c r="J298" i="3"/>
  <c r="X298" i="3" s="1"/>
  <c r="Y298" i="3" s="1"/>
  <c r="V297" i="3"/>
  <c r="U297" i="3"/>
  <c r="T297" i="3"/>
  <c r="S297" i="3"/>
  <c r="Q297" i="3"/>
  <c r="W297" i="3" s="1"/>
  <c r="N297" i="3"/>
  <c r="O297" i="3" s="1"/>
  <c r="J297" i="3"/>
  <c r="X297" i="3" s="1"/>
  <c r="Y297" i="3" s="1"/>
  <c r="V296" i="3"/>
  <c r="U296" i="3"/>
  <c r="T296" i="3"/>
  <c r="S296" i="3"/>
  <c r="Q296" i="3"/>
  <c r="W296" i="3" s="1"/>
  <c r="N296" i="3"/>
  <c r="O296" i="3" s="1"/>
  <c r="J296" i="3"/>
  <c r="X296" i="3" s="1"/>
  <c r="Y296" i="3" s="1"/>
  <c r="V295" i="3"/>
  <c r="U295" i="3"/>
  <c r="T295" i="3"/>
  <c r="S295" i="3"/>
  <c r="Q295" i="3"/>
  <c r="W295" i="3" s="1"/>
  <c r="N295" i="3"/>
  <c r="O295" i="3" s="1"/>
  <c r="J295" i="3"/>
  <c r="X295" i="3" s="1"/>
  <c r="Y295" i="3" s="1"/>
  <c r="V294" i="3"/>
  <c r="U294" i="3"/>
  <c r="T294" i="3"/>
  <c r="S294" i="3"/>
  <c r="Q294" i="3"/>
  <c r="W294" i="3" s="1"/>
  <c r="N294" i="3"/>
  <c r="O294" i="3" s="1"/>
  <c r="J294" i="3"/>
  <c r="X294" i="3" s="1"/>
  <c r="Y294" i="3" s="1"/>
  <c r="V293" i="3"/>
  <c r="U293" i="3"/>
  <c r="T293" i="3"/>
  <c r="S293" i="3"/>
  <c r="Q293" i="3"/>
  <c r="W293" i="3" s="1"/>
  <c r="N293" i="3"/>
  <c r="O293" i="3" s="1"/>
  <c r="J293" i="3"/>
  <c r="X293" i="3" s="1"/>
  <c r="Y293" i="3" s="1"/>
  <c r="V292" i="3"/>
  <c r="U292" i="3"/>
  <c r="T292" i="3"/>
  <c r="S292" i="3"/>
  <c r="Q292" i="3"/>
  <c r="W292" i="3" s="1"/>
  <c r="N292" i="3"/>
  <c r="O292" i="3" s="1"/>
  <c r="J292" i="3"/>
  <c r="X292" i="3" s="1"/>
  <c r="Y292" i="3" s="1"/>
  <c r="V291" i="3"/>
  <c r="U291" i="3"/>
  <c r="T291" i="3"/>
  <c r="S291" i="3"/>
  <c r="Q291" i="3"/>
  <c r="W291" i="3" s="1"/>
  <c r="N291" i="3"/>
  <c r="O291" i="3" s="1"/>
  <c r="J291" i="3"/>
  <c r="X291" i="3" s="1"/>
  <c r="Y291" i="3" s="1"/>
  <c r="V290" i="3"/>
  <c r="U290" i="3"/>
  <c r="T290" i="3"/>
  <c r="S290" i="3"/>
  <c r="Q290" i="3"/>
  <c r="W290" i="3" s="1"/>
  <c r="N290" i="3"/>
  <c r="O290" i="3" s="1"/>
  <c r="J290" i="3"/>
  <c r="X290" i="3" s="1"/>
  <c r="Y290" i="3" s="1"/>
  <c r="V289" i="3"/>
  <c r="U289" i="3"/>
  <c r="T289" i="3"/>
  <c r="S289" i="3"/>
  <c r="Q289" i="3"/>
  <c r="W289" i="3" s="1"/>
  <c r="N289" i="3"/>
  <c r="O289" i="3" s="1"/>
  <c r="J289" i="3"/>
  <c r="X289" i="3" s="1"/>
  <c r="Y289" i="3" s="1"/>
  <c r="V288" i="3"/>
  <c r="U288" i="3"/>
  <c r="T288" i="3"/>
  <c r="S288" i="3"/>
  <c r="Q288" i="3"/>
  <c r="W288" i="3" s="1"/>
  <c r="N288" i="3"/>
  <c r="O288" i="3" s="1"/>
  <c r="J288" i="3"/>
  <c r="X288" i="3" s="1"/>
  <c r="Y288" i="3" s="1"/>
  <c r="V287" i="3"/>
  <c r="U287" i="3"/>
  <c r="T287" i="3"/>
  <c r="S287" i="3"/>
  <c r="Q287" i="3"/>
  <c r="W287" i="3" s="1"/>
  <c r="N287" i="3"/>
  <c r="O287" i="3" s="1"/>
  <c r="J287" i="3"/>
  <c r="X287" i="3" s="1"/>
  <c r="Y287" i="3" s="1"/>
  <c r="V286" i="3"/>
  <c r="U286" i="3"/>
  <c r="T286" i="3"/>
  <c r="S286" i="3"/>
  <c r="Q286" i="3"/>
  <c r="W286" i="3" s="1"/>
  <c r="N286" i="3"/>
  <c r="O286" i="3" s="1"/>
  <c r="J286" i="3"/>
  <c r="X286" i="3" s="1"/>
  <c r="Y286" i="3" s="1"/>
  <c r="V285" i="3"/>
  <c r="U285" i="3"/>
  <c r="T285" i="3"/>
  <c r="S285" i="3"/>
  <c r="Q285" i="3"/>
  <c r="W285" i="3" s="1"/>
  <c r="N285" i="3"/>
  <c r="O285" i="3" s="1"/>
  <c r="J285" i="3"/>
  <c r="X285" i="3" s="1"/>
  <c r="Y285" i="3" s="1"/>
  <c r="V284" i="3"/>
  <c r="U284" i="3"/>
  <c r="T284" i="3"/>
  <c r="S284" i="3"/>
  <c r="Q284" i="3"/>
  <c r="W284" i="3" s="1"/>
  <c r="N284" i="3"/>
  <c r="O284" i="3" s="1"/>
  <c r="J284" i="3"/>
  <c r="X284" i="3" s="1"/>
  <c r="Y284" i="3" s="1"/>
  <c r="V283" i="3"/>
  <c r="U283" i="3"/>
  <c r="T283" i="3"/>
  <c r="S283" i="3"/>
  <c r="Q283" i="3"/>
  <c r="W283" i="3" s="1"/>
  <c r="N283" i="3"/>
  <c r="O283" i="3" s="1"/>
  <c r="J283" i="3"/>
  <c r="X283" i="3" s="1"/>
  <c r="Y283" i="3" s="1"/>
  <c r="V282" i="3"/>
  <c r="U282" i="3"/>
  <c r="T282" i="3"/>
  <c r="S282" i="3"/>
  <c r="Q282" i="3"/>
  <c r="W282" i="3" s="1"/>
  <c r="N282" i="3"/>
  <c r="O282" i="3" s="1"/>
  <c r="J282" i="3"/>
  <c r="X282" i="3" s="1"/>
  <c r="Y282" i="3" s="1"/>
  <c r="V281" i="3"/>
  <c r="U281" i="3"/>
  <c r="T281" i="3"/>
  <c r="S281" i="3"/>
  <c r="Q281" i="3"/>
  <c r="W281" i="3" s="1"/>
  <c r="N281" i="3"/>
  <c r="O281" i="3" s="1"/>
  <c r="J281" i="3"/>
  <c r="X281" i="3" s="1"/>
  <c r="Y281" i="3" s="1"/>
  <c r="V280" i="3"/>
  <c r="U280" i="3"/>
  <c r="T280" i="3"/>
  <c r="S280" i="3"/>
  <c r="Q280" i="3"/>
  <c r="W280" i="3" s="1"/>
  <c r="N280" i="3"/>
  <c r="O280" i="3" s="1"/>
  <c r="J280" i="3"/>
  <c r="X280" i="3" s="1"/>
  <c r="Y280" i="3" s="1"/>
  <c r="V279" i="3"/>
  <c r="U279" i="3"/>
  <c r="T279" i="3"/>
  <c r="S279" i="3"/>
  <c r="Q279" i="3"/>
  <c r="W279" i="3" s="1"/>
  <c r="N279" i="3"/>
  <c r="O279" i="3" s="1"/>
  <c r="J279" i="3"/>
  <c r="X279" i="3" s="1"/>
  <c r="Y279" i="3" s="1"/>
  <c r="V278" i="3"/>
  <c r="U278" i="3"/>
  <c r="T278" i="3"/>
  <c r="S278" i="3"/>
  <c r="Q278" i="3"/>
  <c r="W278" i="3" s="1"/>
  <c r="N278" i="3"/>
  <c r="O278" i="3" s="1"/>
  <c r="J278" i="3"/>
  <c r="X278" i="3" s="1"/>
  <c r="Y278" i="3" s="1"/>
  <c r="V277" i="3"/>
  <c r="U277" i="3"/>
  <c r="T277" i="3"/>
  <c r="S277" i="3"/>
  <c r="Q277" i="3"/>
  <c r="W277" i="3" s="1"/>
  <c r="N277" i="3"/>
  <c r="O277" i="3" s="1"/>
  <c r="J277" i="3"/>
  <c r="X277" i="3" s="1"/>
  <c r="Y277" i="3" s="1"/>
  <c r="V276" i="3"/>
  <c r="U276" i="3"/>
  <c r="T276" i="3"/>
  <c r="S276" i="3"/>
  <c r="Q276" i="3"/>
  <c r="W276" i="3" s="1"/>
  <c r="N276" i="3"/>
  <c r="O276" i="3" s="1"/>
  <c r="J276" i="3"/>
  <c r="X276" i="3" s="1"/>
  <c r="Y276" i="3" s="1"/>
  <c r="V275" i="3"/>
  <c r="U275" i="3"/>
  <c r="T275" i="3"/>
  <c r="S275" i="3"/>
  <c r="Q275" i="3"/>
  <c r="W275" i="3" s="1"/>
  <c r="N275" i="3"/>
  <c r="O275" i="3" s="1"/>
  <c r="J275" i="3"/>
  <c r="X275" i="3" s="1"/>
  <c r="Y275" i="3" s="1"/>
  <c r="V274" i="3"/>
  <c r="U274" i="3"/>
  <c r="T274" i="3"/>
  <c r="S274" i="3"/>
  <c r="Q274" i="3"/>
  <c r="W274" i="3" s="1"/>
  <c r="N274" i="3"/>
  <c r="O274" i="3" s="1"/>
  <c r="J274" i="3"/>
  <c r="X274" i="3" s="1"/>
  <c r="Y274" i="3" s="1"/>
  <c r="V273" i="3"/>
  <c r="U273" i="3"/>
  <c r="T273" i="3"/>
  <c r="S273" i="3"/>
  <c r="Q273" i="3"/>
  <c r="W273" i="3" s="1"/>
  <c r="N273" i="3"/>
  <c r="O273" i="3" s="1"/>
  <c r="J273" i="3"/>
  <c r="X273" i="3" s="1"/>
  <c r="Y273" i="3" s="1"/>
  <c r="V272" i="3"/>
  <c r="U272" i="3"/>
  <c r="T272" i="3"/>
  <c r="S272" i="3"/>
  <c r="Q272" i="3"/>
  <c r="W272" i="3" s="1"/>
  <c r="N272" i="3"/>
  <c r="O272" i="3" s="1"/>
  <c r="J272" i="3"/>
  <c r="X272" i="3" s="1"/>
  <c r="Y272" i="3" s="1"/>
  <c r="V271" i="3"/>
  <c r="U271" i="3"/>
  <c r="T271" i="3"/>
  <c r="S271" i="3"/>
  <c r="Q271" i="3"/>
  <c r="W271" i="3" s="1"/>
  <c r="N271" i="3"/>
  <c r="O271" i="3" s="1"/>
  <c r="J271" i="3"/>
  <c r="X271" i="3" s="1"/>
  <c r="Y271" i="3" s="1"/>
  <c r="V270" i="3"/>
  <c r="U270" i="3"/>
  <c r="T270" i="3"/>
  <c r="S270" i="3"/>
  <c r="Q270" i="3"/>
  <c r="W270" i="3" s="1"/>
  <c r="N270" i="3"/>
  <c r="O270" i="3" s="1"/>
  <c r="J270" i="3"/>
  <c r="X270" i="3" s="1"/>
  <c r="Y270" i="3" s="1"/>
  <c r="V269" i="3"/>
  <c r="U269" i="3"/>
  <c r="T269" i="3"/>
  <c r="S269" i="3"/>
  <c r="Q269" i="3"/>
  <c r="W269" i="3" s="1"/>
  <c r="N269" i="3"/>
  <c r="O269" i="3" s="1"/>
  <c r="J269" i="3"/>
  <c r="X269" i="3" s="1"/>
  <c r="Y269" i="3" s="1"/>
  <c r="V268" i="3"/>
  <c r="U268" i="3"/>
  <c r="T268" i="3"/>
  <c r="S268" i="3"/>
  <c r="Q268" i="3"/>
  <c r="W268" i="3" s="1"/>
  <c r="N268" i="3"/>
  <c r="O268" i="3" s="1"/>
  <c r="J268" i="3"/>
  <c r="X268" i="3" s="1"/>
  <c r="Y268" i="3" s="1"/>
  <c r="V267" i="3"/>
  <c r="U267" i="3"/>
  <c r="T267" i="3"/>
  <c r="S267" i="3"/>
  <c r="Q267" i="3"/>
  <c r="W267" i="3" s="1"/>
  <c r="N267" i="3"/>
  <c r="O267" i="3" s="1"/>
  <c r="J267" i="3"/>
  <c r="X267" i="3" s="1"/>
  <c r="Y267" i="3" s="1"/>
  <c r="V266" i="3"/>
  <c r="U266" i="3"/>
  <c r="T266" i="3"/>
  <c r="S266" i="3"/>
  <c r="Q266" i="3"/>
  <c r="W266" i="3" s="1"/>
  <c r="N266" i="3"/>
  <c r="O266" i="3" s="1"/>
  <c r="J266" i="3"/>
  <c r="X266" i="3" s="1"/>
  <c r="Y266" i="3" s="1"/>
  <c r="V265" i="3"/>
  <c r="U265" i="3"/>
  <c r="T265" i="3"/>
  <c r="S265" i="3"/>
  <c r="Q265" i="3"/>
  <c r="W265" i="3" s="1"/>
  <c r="N265" i="3"/>
  <c r="O265" i="3" s="1"/>
  <c r="J265" i="3"/>
  <c r="X265" i="3" s="1"/>
  <c r="Y265" i="3" s="1"/>
  <c r="V264" i="3"/>
  <c r="U264" i="3"/>
  <c r="T264" i="3"/>
  <c r="S264" i="3"/>
  <c r="Q264" i="3"/>
  <c r="W264" i="3" s="1"/>
  <c r="N264" i="3"/>
  <c r="O264" i="3" s="1"/>
  <c r="J264" i="3"/>
  <c r="X264" i="3" s="1"/>
  <c r="Y264" i="3" s="1"/>
  <c r="V263" i="3"/>
  <c r="U263" i="3"/>
  <c r="T263" i="3"/>
  <c r="S263" i="3"/>
  <c r="Q263" i="3"/>
  <c r="W263" i="3" s="1"/>
  <c r="N263" i="3"/>
  <c r="O263" i="3" s="1"/>
  <c r="J263" i="3"/>
  <c r="X263" i="3" s="1"/>
  <c r="V262" i="3"/>
  <c r="U262" i="3"/>
  <c r="T262" i="3"/>
  <c r="S262" i="3"/>
  <c r="Q262" i="3"/>
  <c r="W262" i="3" s="1"/>
  <c r="N262" i="3"/>
  <c r="O262" i="3" s="1"/>
  <c r="J262" i="3"/>
  <c r="X262" i="3" s="1"/>
  <c r="Y262" i="3" s="1"/>
  <c r="V261" i="3"/>
  <c r="U261" i="3"/>
  <c r="T261" i="3"/>
  <c r="S261" i="3"/>
  <c r="Q261" i="3"/>
  <c r="W261" i="3" s="1"/>
  <c r="N261" i="3"/>
  <c r="O261" i="3" s="1"/>
  <c r="J261" i="3"/>
  <c r="X261" i="3" s="1"/>
  <c r="Y261" i="3" s="1"/>
  <c r="V260" i="3"/>
  <c r="U260" i="3"/>
  <c r="T260" i="3"/>
  <c r="S260" i="3"/>
  <c r="Q260" i="3"/>
  <c r="W260" i="3" s="1"/>
  <c r="N260" i="3"/>
  <c r="O260" i="3" s="1"/>
  <c r="J260" i="3"/>
  <c r="X260" i="3" s="1"/>
  <c r="Y260" i="3" s="1"/>
  <c r="V259" i="3"/>
  <c r="U259" i="3"/>
  <c r="T259" i="3"/>
  <c r="S259" i="3"/>
  <c r="Q259" i="3"/>
  <c r="W259" i="3" s="1"/>
  <c r="N259" i="3"/>
  <c r="O259" i="3" s="1"/>
  <c r="J259" i="3"/>
  <c r="X259" i="3" s="1"/>
  <c r="Y259" i="3" s="1"/>
  <c r="V258" i="3"/>
  <c r="U258" i="3"/>
  <c r="T258" i="3"/>
  <c r="S258" i="3"/>
  <c r="Q258" i="3"/>
  <c r="W258" i="3" s="1"/>
  <c r="N258" i="3"/>
  <c r="O258" i="3" s="1"/>
  <c r="J258" i="3"/>
  <c r="X258" i="3" s="1"/>
  <c r="Y258" i="3" s="1"/>
  <c r="V257" i="3"/>
  <c r="U257" i="3"/>
  <c r="T257" i="3"/>
  <c r="S257" i="3"/>
  <c r="Q257" i="3"/>
  <c r="W257" i="3" s="1"/>
  <c r="N257" i="3"/>
  <c r="O257" i="3" s="1"/>
  <c r="J257" i="3"/>
  <c r="X257" i="3" s="1"/>
  <c r="Y257" i="3" s="1"/>
  <c r="V256" i="3"/>
  <c r="U256" i="3"/>
  <c r="T256" i="3"/>
  <c r="S256" i="3"/>
  <c r="Q256" i="3"/>
  <c r="W256" i="3" s="1"/>
  <c r="N256" i="3"/>
  <c r="O256" i="3" s="1"/>
  <c r="J256" i="3"/>
  <c r="X256" i="3" s="1"/>
  <c r="Y256" i="3" s="1"/>
  <c r="V255" i="3"/>
  <c r="U255" i="3"/>
  <c r="T255" i="3"/>
  <c r="S255" i="3"/>
  <c r="Q255" i="3"/>
  <c r="W255" i="3" s="1"/>
  <c r="N255" i="3"/>
  <c r="O255" i="3" s="1"/>
  <c r="J255" i="3"/>
  <c r="X255" i="3" s="1"/>
  <c r="Y255" i="3" s="1"/>
  <c r="V254" i="3"/>
  <c r="U254" i="3"/>
  <c r="T254" i="3"/>
  <c r="S254" i="3"/>
  <c r="Q254" i="3"/>
  <c r="W254" i="3" s="1"/>
  <c r="N254" i="3"/>
  <c r="O254" i="3" s="1"/>
  <c r="J254" i="3"/>
  <c r="X254" i="3" s="1"/>
  <c r="Y254" i="3" s="1"/>
  <c r="V253" i="3"/>
  <c r="U253" i="3"/>
  <c r="T253" i="3"/>
  <c r="S253" i="3"/>
  <c r="Q253" i="3"/>
  <c r="W253" i="3" s="1"/>
  <c r="N253" i="3"/>
  <c r="O253" i="3" s="1"/>
  <c r="J253" i="3"/>
  <c r="X253" i="3" s="1"/>
  <c r="Y253" i="3" s="1"/>
  <c r="V252" i="3"/>
  <c r="U252" i="3"/>
  <c r="T252" i="3"/>
  <c r="S252" i="3"/>
  <c r="Q252" i="3"/>
  <c r="W252" i="3" s="1"/>
  <c r="N252" i="3"/>
  <c r="O252" i="3" s="1"/>
  <c r="J252" i="3"/>
  <c r="X252" i="3" s="1"/>
  <c r="Y252" i="3" s="1"/>
  <c r="V251" i="3"/>
  <c r="U251" i="3"/>
  <c r="T251" i="3"/>
  <c r="S251" i="3"/>
  <c r="Q251" i="3"/>
  <c r="W251" i="3" s="1"/>
  <c r="N251" i="3"/>
  <c r="O251" i="3" s="1"/>
  <c r="J251" i="3"/>
  <c r="X251" i="3" s="1"/>
  <c r="Y251" i="3" s="1"/>
  <c r="V250" i="3"/>
  <c r="U250" i="3"/>
  <c r="T250" i="3"/>
  <c r="S250" i="3"/>
  <c r="Q250" i="3"/>
  <c r="W250" i="3" s="1"/>
  <c r="N250" i="3"/>
  <c r="O250" i="3" s="1"/>
  <c r="J250" i="3"/>
  <c r="X250" i="3" s="1"/>
  <c r="Y250" i="3" s="1"/>
  <c r="V249" i="3"/>
  <c r="U249" i="3"/>
  <c r="T249" i="3"/>
  <c r="S249" i="3"/>
  <c r="Q249" i="3"/>
  <c r="W249" i="3" s="1"/>
  <c r="N249" i="3"/>
  <c r="O249" i="3" s="1"/>
  <c r="J249" i="3"/>
  <c r="X249" i="3" s="1"/>
  <c r="Y249" i="3" s="1"/>
  <c r="V248" i="3"/>
  <c r="U248" i="3"/>
  <c r="T248" i="3"/>
  <c r="S248" i="3"/>
  <c r="Q248" i="3"/>
  <c r="W248" i="3" s="1"/>
  <c r="N248" i="3"/>
  <c r="O248" i="3" s="1"/>
  <c r="J248" i="3"/>
  <c r="X248" i="3" s="1"/>
  <c r="Y248" i="3" s="1"/>
  <c r="V247" i="3"/>
  <c r="U247" i="3"/>
  <c r="T247" i="3"/>
  <c r="S247" i="3"/>
  <c r="Q247" i="3"/>
  <c r="W247" i="3" s="1"/>
  <c r="N247" i="3"/>
  <c r="O247" i="3" s="1"/>
  <c r="J247" i="3"/>
  <c r="X247" i="3" s="1"/>
  <c r="Y247" i="3" s="1"/>
  <c r="V246" i="3"/>
  <c r="U246" i="3"/>
  <c r="T246" i="3"/>
  <c r="S246" i="3"/>
  <c r="Q246" i="3"/>
  <c r="W246" i="3" s="1"/>
  <c r="N246" i="3"/>
  <c r="O246" i="3" s="1"/>
  <c r="J246" i="3"/>
  <c r="X246" i="3" s="1"/>
  <c r="Y246" i="3" s="1"/>
  <c r="V245" i="3"/>
  <c r="U245" i="3"/>
  <c r="T245" i="3"/>
  <c r="S245" i="3"/>
  <c r="Q245" i="3"/>
  <c r="W245" i="3" s="1"/>
  <c r="N245" i="3"/>
  <c r="O245" i="3" s="1"/>
  <c r="J245" i="3"/>
  <c r="X245" i="3" s="1"/>
  <c r="Y245" i="3" s="1"/>
  <c r="V244" i="3"/>
  <c r="U244" i="3"/>
  <c r="T244" i="3"/>
  <c r="S244" i="3"/>
  <c r="Q244" i="3"/>
  <c r="W244" i="3" s="1"/>
  <c r="N244" i="3"/>
  <c r="O244" i="3" s="1"/>
  <c r="J244" i="3"/>
  <c r="X244" i="3" s="1"/>
  <c r="Y244" i="3" s="1"/>
  <c r="V243" i="3"/>
  <c r="U243" i="3"/>
  <c r="T243" i="3"/>
  <c r="S243" i="3"/>
  <c r="Q243" i="3"/>
  <c r="W243" i="3" s="1"/>
  <c r="N243" i="3"/>
  <c r="O243" i="3" s="1"/>
  <c r="J243" i="3"/>
  <c r="X243" i="3" s="1"/>
  <c r="Y243" i="3" s="1"/>
  <c r="V242" i="3"/>
  <c r="U242" i="3"/>
  <c r="T242" i="3"/>
  <c r="S242" i="3"/>
  <c r="Q242" i="3"/>
  <c r="W242" i="3" s="1"/>
  <c r="N242" i="3"/>
  <c r="O242" i="3" s="1"/>
  <c r="J242" i="3"/>
  <c r="X242" i="3" s="1"/>
  <c r="Y242" i="3" s="1"/>
  <c r="V241" i="3"/>
  <c r="U241" i="3"/>
  <c r="T241" i="3"/>
  <c r="S241" i="3"/>
  <c r="Q241" i="3"/>
  <c r="W241" i="3" s="1"/>
  <c r="N241" i="3"/>
  <c r="O241" i="3" s="1"/>
  <c r="J241" i="3"/>
  <c r="X241" i="3" s="1"/>
  <c r="Y241" i="3" s="1"/>
  <c r="V240" i="3"/>
  <c r="U240" i="3"/>
  <c r="T240" i="3"/>
  <c r="S240" i="3"/>
  <c r="Q240" i="3"/>
  <c r="W240" i="3" s="1"/>
  <c r="N240" i="3"/>
  <c r="O240" i="3" s="1"/>
  <c r="J240" i="3"/>
  <c r="X240" i="3" s="1"/>
  <c r="Y240" i="3" s="1"/>
  <c r="V239" i="3"/>
  <c r="U239" i="3"/>
  <c r="T239" i="3"/>
  <c r="S239" i="3"/>
  <c r="Q239" i="3"/>
  <c r="W239" i="3" s="1"/>
  <c r="N239" i="3"/>
  <c r="O239" i="3" s="1"/>
  <c r="J239" i="3"/>
  <c r="X239" i="3" s="1"/>
  <c r="Y239" i="3" s="1"/>
  <c r="V238" i="3"/>
  <c r="U238" i="3"/>
  <c r="T238" i="3"/>
  <c r="S238" i="3"/>
  <c r="Q238" i="3"/>
  <c r="W238" i="3" s="1"/>
  <c r="N238" i="3"/>
  <c r="O238" i="3" s="1"/>
  <c r="J238" i="3"/>
  <c r="X238" i="3" s="1"/>
  <c r="Y238" i="3" s="1"/>
  <c r="V237" i="3"/>
  <c r="U237" i="3"/>
  <c r="T237" i="3"/>
  <c r="S237" i="3"/>
  <c r="Q237" i="3"/>
  <c r="W237" i="3" s="1"/>
  <c r="N237" i="3"/>
  <c r="O237" i="3" s="1"/>
  <c r="J237" i="3"/>
  <c r="X237" i="3" s="1"/>
  <c r="Y237" i="3" s="1"/>
  <c r="V236" i="3"/>
  <c r="U236" i="3"/>
  <c r="T236" i="3"/>
  <c r="S236" i="3"/>
  <c r="Q236" i="3"/>
  <c r="W236" i="3" s="1"/>
  <c r="N236" i="3"/>
  <c r="O236" i="3" s="1"/>
  <c r="J236" i="3"/>
  <c r="X236" i="3" s="1"/>
  <c r="Y236" i="3" s="1"/>
  <c r="V235" i="3"/>
  <c r="U235" i="3"/>
  <c r="T235" i="3"/>
  <c r="S235" i="3"/>
  <c r="Q235" i="3"/>
  <c r="W235" i="3" s="1"/>
  <c r="N235" i="3"/>
  <c r="O235" i="3" s="1"/>
  <c r="J235" i="3"/>
  <c r="X235" i="3" s="1"/>
  <c r="Y235" i="3" s="1"/>
  <c r="V234" i="3"/>
  <c r="U234" i="3"/>
  <c r="T234" i="3"/>
  <c r="S234" i="3"/>
  <c r="Q234" i="3"/>
  <c r="W234" i="3" s="1"/>
  <c r="N234" i="3"/>
  <c r="O234" i="3" s="1"/>
  <c r="J234" i="3"/>
  <c r="X234" i="3" s="1"/>
  <c r="Y234" i="3" s="1"/>
  <c r="V233" i="3"/>
  <c r="U233" i="3"/>
  <c r="T233" i="3"/>
  <c r="S233" i="3"/>
  <c r="Q233" i="3"/>
  <c r="W233" i="3" s="1"/>
  <c r="N233" i="3"/>
  <c r="O233" i="3" s="1"/>
  <c r="J233" i="3"/>
  <c r="X233" i="3" s="1"/>
  <c r="Y233" i="3" s="1"/>
  <c r="V232" i="3"/>
  <c r="U232" i="3"/>
  <c r="T232" i="3"/>
  <c r="S232" i="3"/>
  <c r="Q232" i="3"/>
  <c r="W232" i="3" s="1"/>
  <c r="N232" i="3"/>
  <c r="O232" i="3" s="1"/>
  <c r="J232" i="3"/>
  <c r="X232" i="3" s="1"/>
  <c r="Y232" i="3" s="1"/>
  <c r="V231" i="3"/>
  <c r="U231" i="3"/>
  <c r="T231" i="3"/>
  <c r="S231" i="3"/>
  <c r="Q231" i="3"/>
  <c r="W231" i="3" s="1"/>
  <c r="N231" i="3"/>
  <c r="O231" i="3" s="1"/>
  <c r="J231" i="3"/>
  <c r="X231" i="3" s="1"/>
  <c r="Y231" i="3" s="1"/>
  <c r="V230" i="3"/>
  <c r="U230" i="3"/>
  <c r="T230" i="3"/>
  <c r="S230" i="3"/>
  <c r="Q230" i="3"/>
  <c r="W230" i="3" s="1"/>
  <c r="N230" i="3"/>
  <c r="O230" i="3" s="1"/>
  <c r="J230" i="3"/>
  <c r="X230" i="3" s="1"/>
  <c r="Y230" i="3" s="1"/>
  <c r="V229" i="3"/>
  <c r="U229" i="3"/>
  <c r="T229" i="3"/>
  <c r="S229" i="3"/>
  <c r="Q229" i="3"/>
  <c r="W229" i="3" s="1"/>
  <c r="N229" i="3"/>
  <c r="O229" i="3" s="1"/>
  <c r="J229" i="3"/>
  <c r="X229" i="3" s="1"/>
  <c r="Y229" i="3" s="1"/>
  <c r="V228" i="3"/>
  <c r="U228" i="3"/>
  <c r="T228" i="3"/>
  <c r="S228" i="3"/>
  <c r="Q228" i="3"/>
  <c r="W228" i="3" s="1"/>
  <c r="N228" i="3"/>
  <c r="O228" i="3" s="1"/>
  <c r="J228" i="3"/>
  <c r="X228" i="3" s="1"/>
  <c r="Y228" i="3" s="1"/>
  <c r="V227" i="3"/>
  <c r="U227" i="3"/>
  <c r="T227" i="3"/>
  <c r="S227" i="3"/>
  <c r="Q227" i="3"/>
  <c r="W227" i="3" s="1"/>
  <c r="N227" i="3"/>
  <c r="O227" i="3" s="1"/>
  <c r="J227" i="3"/>
  <c r="X227" i="3" s="1"/>
  <c r="V226" i="3"/>
  <c r="U226" i="3"/>
  <c r="T226" i="3"/>
  <c r="S226" i="3"/>
  <c r="Q226" i="3"/>
  <c r="W226" i="3" s="1"/>
  <c r="N226" i="3"/>
  <c r="O226" i="3" s="1"/>
  <c r="J226" i="3"/>
  <c r="X226" i="3" s="1"/>
  <c r="V225" i="3"/>
  <c r="U225" i="3"/>
  <c r="T225" i="3"/>
  <c r="S225" i="3"/>
  <c r="Q225" i="3"/>
  <c r="W225" i="3" s="1"/>
  <c r="N225" i="3"/>
  <c r="O225" i="3" s="1"/>
  <c r="J225" i="3"/>
  <c r="X225" i="3" s="1"/>
  <c r="Y225" i="3" s="1"/>
  <c r="V224" i="3"/>
  <c r="U224" i="3"/>
  <c r="T224" i="3"/>
  <c r="S224" i="3"/>
  <c r="Q224" i="3"/>
  <c r="W224" i="3" s="1"/>
  <c r="N224" i="3"/>
  <c r="O224" i="3" s="1"/>
  <c r="J224" i="3"/>
  <c r="X224" i="3" s="1"/>
  <c r="Y224" i="3" s="1"/>
  <c r="V223" i="3"/>
  <c r="U223" i="3"/>
  <c r="T223" i="3"/>
  <c r="S223" i="3"/>
  <c r="Q223" i="3"/>
  <c r="W223" i="3" s="1"/>
  <c r="N223" i="3"/>
  <c r="O223" i="3" s="1"/>
  <c r="J223" i="3"/>
  <c r="X223" i="3" s="1"/>
  <c r="Y223" i="3" s="1"/>
  <c r="V222" i="3"/>
  <c r="U222" i="3"/>
  <c r="T222" i="3"/>
  <c r="S222" i="3"/>
  <c r="Q222" i="3"/>
  <c r="W222" i="3" s="1"/>
  <c r="N222" i="3"/>
  <c r="O222" i="3" s="1"/>
  <c r="J222" i="3"/>
  <c r="X222" i="3" s="1"/>
  <c r="Y222" i="3" s="1"/>
  <c r="V221" i="3"/>
  <c r="U221" i="3"/>
  <c r="T221" i="3"/>
  <c r="S221" i="3"/>
  <c r="Q221" i="3"/>
  <c r="W221" i="3" s="1"/>
  <c r="N221" i="3"/>
  <c r="O221" i="3" s="1"/>
  <c r="J221" i="3"/>
  <c r="X221" i="3" s="1"/>
  <c r="Y221" i="3" s="1"/>
  <c r="V220" i="3"/>
  <c r="U220" i="3"/>
  <c r="T220" i="3"/>
  <c r="S220" i="3"/>
  <c r="Q220" i="3"/>
  <c r="W220" i="3" s="1"/>
  <c r="N220" i="3"/>
  <c r="O220" i="3" s="1"/>
  <c r="J220" i="3"/>
  <c r="X220" i="3" s="1"/>
  <c r="Y220" i="3" s="1"/>
  <c r="V219" i="3"/>
  <c r="U219" i="3"/>
  <c r="T219" i="3"/>
  <c r="S219" i="3"/>
  <c r="Q219" i="3"/>
  <c r="W219" i="3" s="1"/>
  <c r="N219" i="3"/>
  <c r="O219" i="3" s="1"/>
  <c r="J219" i="3"/>
  <c r="X219" i="3" s="1"/>
  <c r="V218" i="3"/>
  <c r="U218" i="3"/>
  <c r="T218" i="3"/>
  <c r="S218" i="3"/>
  <c r="Q218" i="3"/>
  <c r="W218" i="3" s="1"/>
  <c r="N218" i="3"/>
  <c r="O218" i="3" s="1"/>
  <c r="J218" i="3"/>
  <c r="X218" i="3" s="1"/>
  <c r="Y218" i="3" s="1"/>
  <c r="V217" i="3"/>
  <c r="U217" i="3"/>
  <c r="T217" i="3"/>
  <c r="S217" i="3"/>
  <c r="Q217" i="3"/>
  <c r="W217" i="3" s="1"/>
  <c r="N217" i="3"/>
  <c r="O217" i="3" s="1"/>
  <c r="J217" i="3"/>
  <c r="X217" i="3" s="1"/>
  <c r="Y217" i="3" s="1"/>
  <c r="V216" i="3"/>
  <c r="U216" i="3"/>
  <c r="T216" i="3"/>
  <c r="S216" i="3"/>
  <c r="Q216" i="3"/>
  <c r="W216" i="3" s="1"/>
  <c r="N216" i="3"/>
  <c r="O216" i="3" s="1"/>
  <c r="J216" i="3"/>
  <c r="X216" i="3" s="1"/>
  <c r="Y216" i="3" s="1"/>
  <c r="V215" i="3"/>
  <c r="U215" i="3"/>
  <c r="T215" i="3"/>
  <c r="S215" i="3"/>
  <c r="Q215" i="3"/>
  <c r="W215" i="3" s="1"/>
  <c r="N215" i="3"/>
  <c r="O215" i="3" s="1"/>
  <c r="J215" i="3"/>
  <c r="X215" i="3" s="1"/>
  <c r="Y215" i="3" s="1"/>
  <c r="V214" i="3"/>
  <c r="U214" i="3"/>
  <c r="T214" i="3"/>
  <c r="S214" i="3"/>
  <c r="Q214" i="3"/>
  <c r="W214" i="3" s="1"/>
  <c r="N214" i="3"/>
  <c r="O214" i="3" s="1"/>
  <c r="J214" i="3"/>
  <c r="X214" i="3" s="1"/>
  <c r="Y214" i="3" s="1"/>
  <c r="V213" i="3"/>
  <c r="U213" i="3"/>
  <c r="T213" i="3"/>
  <c r="S213" i="3"/>
  <c r="Q213" i="3"/>
  <c r="W213" i="3" s="1"/>
  <c r="N213" i="3"/>
  <c r="O213" i="3" s="1"/>
  <c r="J213" i="3"/>
  <c r="X213" i="3" s="1"/>
  <c r="Y213" i="3" s="1"/>
  <c r="V212" i="3"/>
  <c r="U212" i="3"/>
  <c r="T212" i="3"/>
  <c r="S212" i="3"/>
  <c r="Q212" i="3"/>
  <c r="W212" i="3" s="1"/>
  <c r="N212" i="3"/>
  <c r="O212" i="3" s="1"/>
  <c r="J212" i="3"/>
  <c r="X212" i="3" s="1"/>
  <c r="Y212" i="3" s="1"/>
  <c r="V211" i="3"/>
  <c r="U211" i="3"/>
  <c r="T211" i="3"/>
  <c r="S211" i="3"/>
  <c r="Q211" i="3"/>
  <c r="W211" i="3" s="1"/>
  <c r="N211" i="3"/>
  <c r="O211" i="3" s="1"/>
  <c r="J211" i="3"/>
  <c r="X211" i="3" s="1"/>
  <c r="Y211" i="3" s="1"/>
  <c r="V210" i="3"/>
  <c r="U210" i="3"/>
  <c r="T210" i="3"/>
  <c r="S210" i="3"/>
  <c r="Q210" i="3"/>
  <c r="W210" i="3" s="1"/>
  <c r="N210" i="3"/>
  <c r="O210" i="3" s="1"/>
  <c r="J210" i="3"/>
  <c r="X210" i="3" s="1"/>
  <c r="Y210" i="3" s="1"/>
  <c r="V209" i="3"/>
  <c r="U209" i="3"/>
  <c r="T209" i="3"/>
  <c r="S209" i="3"/>
  <c r="Q209" i="3"/>
  <c r="W209" i="3" s="1"/>
  <c r="N209" i="3"/>
  <c r="O209" i="3" s="1"/>
  <c r="J209" i="3"/>
  <c r="X209" i="3" s="1"/>
  <c r="Y209" i="3" s="1"/>
  <c r="V208" i="3"/>
  <c r="U208" i="3"/>
  <c r="T208" i="3"/>
  <c r="S208" i="3"/>
  <c r="Q208" i="3"/>
  <c r="W208" i="3" s="1"/>
  <c r="N208" i="3"/>
  <c r="O208" i="3" s="1"/>
  <c r="J208" i="3"/>
  <c r="X208" i="3" s="1"/>
  <c r="Y208" i="3" s="1"/>
  <c r="V207" i="3"/>
  <c r="U207" i="3"/>
  <c r="T207" i="3"/>
  <c r="S207" i="3"/>
  <c r="Q207" i="3"/>
  <c r="W207" i="3" s="1"/>
  <c r="N207" i="3"/>
  <c r="O207" i="3" s="1"/>
  <c r="J207" i="3"/>
  <c r="X207" i="3" s="1"/>
  <c r="Y207" i="3" s="1"/>
  <c r="V206" i="3"/>
  <c r="U206" i="3"/>
  <c r="T206" i="3"/>
  <c r="S206" i="3"/>
  <c r="Q206" i="3"/>
  <c r="W206" i="3" s="1"/>
  <c r="N206" i="3"/>
  <c r="O206" i="3" s="1"/>
  <c r="J206" i="3"/>
  <c r="X206" i="3" s="1"/>
  <c r="Y206" i="3" s="1"/>
  <c r="V205" i="3"/>
  <c r="U205" i="3"/>
  <c r="T205" i="3"/>
  <c r="S205" i="3"/>
  <c r="Q205" i="3"/>
  <c r="W205" i="3" s="1"/>
  <c r="N205" i="3"/>
  <c r="O205" i="3" s="1"/>
  <c r="J205" i="3"/>
  <c r="X205" i="3" s="1"/>
  <c r="Y205" i="3" s="1"/>
  <c r="V204" i="3"/>
  <c r="U204" i="3"/>
  <c r="T204" i="3"/>
  <c r="S204" i="3"/>
  <c r="Q204" i="3"/>
  <c r="W204" i="3" s="1"/>
  <c r="N204" i="3"/>
  <c r="O204" i="3" s="1"/>
  <c r="J204" i="3"/>
  <c r="X204" i="3" s="1"/>
  <c r="V203" i="3"/>
  <c r="U203" i="3"/>
  <c r="T203" i="3"/>
  <c r="S203" i="3"/>
  <c r="Q203" i="3"/>
  <c r="W203" i="3" s="1"/>
  <c r="N203" i="3"/>
  <c r="O203" i="3" s="1"/>
  <c r="J203" i="3"/>
  <c r="X203" i="3" s="1"/>
  <c r="Y203" i="3" s="1"/>
  <c r="V202" i="3"/>
  <c r="U202" i="3"/>
  <c r="T202" i="3"/>
  <c r="S202" i="3"/>
  <c r="Q202" i="3"/>
  <c r="W202" i="3" s="1"/>
  <c r="N202" i="3"/>
  <c r="O202" i="3" s="1"/>
  <c r="J202" i="3"/>
  <c r="X202" i="3" s="1"/>
  <c r="Y202" i="3" s="1"/>
  <c r="V201" i="3"/>
  <c r="U201" i="3"/>
  <c r="T201" i="3"/>
  <c r="S201" i="3"/>
  <c r="Q201" i="3"/>
  <c r="W201" i="3" s="1"/>
  <c r="N201" i="3"/>
  <c r="O201" i="3" s="1"/>
  <c r="J201" i="3"/>
  <c r="X201" i="3" s="1"/>
  <c r="Y201" i="3" s="1"/>
  <c r="V200" i="3"/>
  <c r="U200" i="3"/>
  <c r="T200" i="3"/>
  <c r="S200" i="3"/>
  <c r="Q200" i="3"/>
  <c r="W200" i="3" s="1"/>
  <c r="N200" i="3"/>
  <c r="O200" i="3" s="1"/>
  <c r="J200" i="3"/>
  <c r="X200" i="3" s="1"/>
  <c r="Y200" i="3" s="1"/>
  <c r="V199" i="3"/>
  <c r="U199" i="3"/>
  <c r="T199" i="3"/>
  <c r="S199" i="3"/>
  <c r="Q199" i="3"/>
  <c r="W199" i="3" s="1"/>
  <c r="N199" i="3"/>
  <c r="O199" i="3" s="1"/>
  <c r="J199" i="3"/>
  <c r="X199" i="3" s="1"/>
  <c r="Y199" i="3" s="1"/>
  <c r="V198" i="3"/>
  <c r="U198" i="3"/>
  <c r="T198" i="3"/>
  <c r="S198" i="3"/>
  <c r="Q198" i="3"/>
  <c r="W198" i="3" s="1"/>
  <c r="N198" i="3"/>
  <c r="O198" i="3" s="1"/>
  <c r="J198" i="3"/>
  <c r="X198" i="3" s="1"/>
  <c r="Y198" i="3" s="1"/>
  <c r="V197" i="3"/>
  <c r="U197" i="3"/>
  <c r="T197" i="3"/>
  <c r="S197" i="3"/>
  <c r="Q197" i="3"/>
  <c r="W197" i="3" s="1"/>
  <c r="N197" i="3"/>
  <c r="O197" i="3" s="1"/>
  <c r="J197" i="3"/>
  <c r="X197" i="3" s="1"/>
  <c r="Y197" i="3" s="1"/>
  <c r="V196" i="3"/>
  <c r="U196" i="3"/>
  <c r="T196" i="3"/>
  <c r="S196" i="3"/>
  <c r="Q196" i="3"/>
  <c r="W196" i="3" s="1"/>
  <c r="N196" i="3"/>
  <c r="O196" i="3" s="1"/>
  <c r="J196" i="3"/>
  <c r="X196" i="3" s="1"/>
  <c r="Y196" i="3" s="1"/>
  <c r="V195" i="3"/>
  <c r="U195" i="3"/>
  <c r="T195" i="3"/>
  <c r="S195" i="3"/>
  <c r="Q195" i="3"/>
  <c r="W195" i="3" s="1"/>
  <c r="N195" i="3"/>
  <c r="O195" i="3" s="1"/>
  <c r="J195" i="3"/>
  <c r="X195" i="3" s="1"/>
  <c r="Y195" i="3" s="1"/>
  <c r="V194" i="3"/>
  <c r="U194" i="3"/>
  <c r="T194" i="3"/>
  <c r="S194" i="3"/>
  <c r="Q194" i="3"/>
  <c r="W194" i="3" s="1"/>
  <c r="N194" i="3"/>
  <c r="O194" i="3" s="1"/>
  <c r="J194" i="3"/>
  <c r="X194" i="3" s="1"/>
  <c r="V193" i="3"/>
  <c r="U193" i="3"/>
  <c r="T193" i="3"/>
  <c r="S193" i="3"/>
  <c r="Q193" i="3"/>
  <c r="W193" i="3" s="1"/>
  <c r="N193" i="3"/>
  <c r="O193" i="3" s="1"/>
  <c r="J193" i="3"/>
  <c r="X193" i="3" s="1"/>
  <c r="Y193" i="3" s="1"/>
  <c r="V192" i="3"/>
  <c r="U192" i="3"/>
  <c r="T192" i="3"/>
  <c r="S192" i="3"/>
  <c r="Q192" i="3"/>
  <c r="W192" i="3" s="1"/>
  <c r="N192" i="3"/>
  <c r="O192" i="3" s="1"/>
  <c r="J192" i="3"/>
  <c r="X192" i="3" s="1"/>
  <c r="Y192" i="3" s="1"/>
  <c r="V191" i="3"/>
  <c r="U191" i="3"/>
  <c r="T191" i="3"/>
  <c r="S191" i="3"/>
  <c r="Q191" i="3"/>
  <c r="W191" i="3" s="1"/>
  <c r="N191" i="3"/>
  <c r="O191" i="3" s="1"/>
  <c r="J191" i="3"/>
  <c r="X191" i="3" s="1"/>
  <c r="Y191" i="3" s="1"/>
  <c r="V190" i="3"/>
  <c r="U190" i="3"/>
  <c r="T190" i="3"/>
  <c r="S190" i="3"/>
  <c r="Q190" i="3"/>
  <c r="W190" i="3" s="1"/>
  <c r="N190" i="3"/>
  <c r="O190" i="3" s="1"/>
  <c r="J190" i="3"/>
  <c r="X190" i="3" s="1"/>
  <c r="Y190" i="3" s="1"/>
  <c r="V189" i="3"/>
  <c r="U189" i="3"/>
  <c r="T189" i="3"/>
  <c r="S189" i="3"/>
  <c r="Q189" i="3"/>
  <c r="W189" i="3" s="1"/>
  <c r="N189" i="3"/>
  <c r="O189" i="3" s="1"/>
  <c r="J189" i="3"/>
  <c r="X189" i="3" s="1"/>
  <c r="Y189" i="3" s="1"/>
  <c r="V188" i="3"/>
  <c r="U188" i="3"/>
  <c r="T188" i="3"/>
  <c r="S188" i="3"/>
  <c r="Q188" i="3"/>
  <c r="W188" i="3" s="1"/>
  <c r="N188" i="3"/>
  <c r="O188" i="3" s="1"/>
  <c r="J188" i="3"/>
  <c r="X188" i="3" s="1"/>
  <c r="Y188" i="3" s="1"/>
  <c r="V187" i="3"/>
  <c r="U187" i="3"/>
  <c r="T187" i="3"/>
  <c r="S187" i="3"/>
  <c r="Q187" i="3"/>
  <c r="W187" i="3" s="1"/>
  <c r="N187" i="3"/>
  <c r="O187" i="3" s="1"/>
  <c r="J187" i="3"/>
  <c r="X187" i="3" s="1"/>
  <c r="Y187" i="3" s="1"/>
  <c r="V186" i="3"/>
  <c r="U186" i="3"/>
  <c r="T186" i="3"/>
  <c r="S186" i="3"/>
  <c r="Q186" i="3"/>
  <c r="W186" i="3" s="1"/>
  <c r="N186" i="3"/>
  <c r="O186" i="3" s="1"/>
  <c r="J186" i="3"/>
  <c r="X186" i="3" s="1"/>
  <c r="V185" i="3"/>
  <c r="U185" i="3"/>
  <c r="T185" i="3"/>
  <c r="S185" i="3"/>
  <c r="Q185" i="3"/>
  <c r="W185" i="3" s="1"/>
  <c r="N185" i="3"/>
  <c r="O185" i="3" s="1"/>
  <c r="J185" i="3"/>
  <c r="X185" i="3" s="1"/>
  <c r="Y185" i="3" s="1"/>
  <c r="V184" i="3"/>
  <c r="U184" i="3"/>
  <c r="T184" i="3"/>
  <c r="S184" i="3"/>
  <c r="Q184" i="3"/>
  <c r="W184" i="3" s="1"/>
  <c r="N184" i="3"/>
  <c r="O184" i="3" s="1"/>
  <c r="J184" i="3"/>
  <c r="X184" i="3" s="1"/>
  <c r="Y184" i="3" s="1"/>
  <c r="V183" i="3"/>
  <c r="U183" i="3"/>
  <c r="T183" i="3"/>
  <c r="S183" i="3"/>
  <c r="Q183" i="3"/>
  <c r="W183" i="3" s="1"/>
  <c r="N183" i="3"/>
  <c r="O183" i="3" s="1"/>
  <c r="J183" i="3"/>
  <c r="X183" i="3" s="1"/>
  <c r="Y183" i="3" s="1"/>
  <c r="V182" i="3"/>
  <c r="U182" i="3"/>
  <c r="T182" i="3"/>
  <c r="S182" i="3"/>
  <c r="Q182" i="3"/>
  <c r="W182" i="3" s="1"/>
  <c r="N182" i="3"/>
  <c r="O182" i="3" s="1"/>
  <c r="J182" i="3"/>
  <c r="X182" i="3" s="1"/>
  <c r="Y182" i="3" s="1"/>
  <c r="V181" i="3"/>
  <c r="U181" i="3"/>
  <c r="T181" i="3"/>
  <c r="S181" i="3"/>
  <c r="Q181" i="3"/>
  <c r="W181" i="3" s="1"/>
  <c r="N181" i="3"/>
  <c r="O181" i="3" s="1"/>
  <c r="J181" i="3"/>
  <c r="X181" i="3" s="1"/>
  <c r="Y181" i="3" s="1"/>
  <c r="V180" i="3"/>
  <c r="U180" i="3"/>
  <c r="T180" i="3"/>
  <c r="S180" i="3"/>
  <c r="Q180" i="3"/>
  <c r="W180" i="3" s="1"/>
  <c r="N180" i="3"/>
  <c r="O180" i="3" s="1"/>
  <c r="J180" i="3"/>
  <c r="X180" i="3" s="1"/>
  <c r="Y180" i="3" s="1"/>
  <c r="V179" i="3"/>
  <c r="U179" i="3"/>
  <c r="T179" i="3"/>
  <c r="S179" i="3"/>
  <c r="Q179" i="3"/>
  <c r="W179" i="3" s="1"/>
  <c r="N179" i="3"/>
  <c r="O179" i="3" s="1"/>
  <c r="J179" i="3"/>
  <c r="X179" i="3" s="1"/>
  <c r="Y179" i="3" s="1"/>
  <c r="V178" i="3"/>
  <c r="U178" i="3"/>
  <c r="T178" i="3"/>
  <c r="S178" i="3"/>
  <c r="Q178" i="3"/>
  <c r="W178" i="3" s="1"/>
  <c r="N178" i="3"/>
  <c r="O178" i="3" s="1"/>
  <c r="J178" i="3"/>
  <c r="X178" i="3" s="1"/>
  <c r="Y178" i="3" s="1"/>
  <c r="V177" i="3"/>
  <c r="U177" i="3"/>
  <c r="T177" i="3"/>
  <c r="S177" i="3"/>
  <c r="Q177" i="3"/>
  <c r="W177" i="3" s="1"/>
  <c r="N177" i="3"/>
  <c r="O177" i="3" s="1"/>
  <c r="J177" i="3"/>
  <c r="X177" i="3" s="1"/>
  <c r="Y177" i="3" s="1"/>
  <c r="V176" i="3"/>
  <c r="U176" i="3"/>
  <c r="T176" i="3"/>
  <c r="S176" i="3"/>
  <c r="Q176" i="3"/>
  <c r="W176" i="3" s="1"/>
  <c r="N176" i="3"/>
  <c r="O176" i="3" s="1"/>
  <c r="J176" i="3"/>
  <c r="X176" i="3" s="1"/>
  <c r="Y176" i="3" s="1"/>
  <c r="V175" i="3"/>
  <c r="U175" i="3"/>
  <c r="T175" i="3"/>
  <c r="S175" i="3"/>
  <c r="Q175" i="3"/>
  <c r="W175" i="3" s="1"/>
  <c r="N175" i="3"/>
  <c r="O175" i="3" s="1"/>
  <c r="J175" i="3"/>
  <c r="X175" i="3" s="1"/>
  <c r="Y175" i="3" s="1"/>
  <c r="V174" i="3"/>
  <c r="U174" i="3"/>
  <c r="T174" i="3"/>
  <c r="S174" i="3"/>
  <c r="Q174" i="3"/>
  <c r="W174" i="3" s="1"/>
  <c r="N174" i="3"/>
  <c r="O174" i="3" s="1"/>
  <c r="J174" i="3"/>
  <c r="X174" i="3" s="1"/>
  <c r="Y174" i="3" s="1"/>
  <c r="V173" i="3"/>
  <c r="U173" i="3"/>
  <c r="T173" i="3"/>
  <c r="S173" i="3"/>
  <c r="Q173" i="3"/>
  <c r="W173" i="3" s="1"/>
  <c r="N173" i="3"/>
  <c r="O173" i="3" s="1"/>
  <c r="J173" i="3"/>
  <c r="X173" i="3" s="1"/>
  <c r="Y173" i="3" s="1"/>
  <c r="V172" i="3"/>
  <c r="U172" i="3"/>
  <c r="T172" i="3"/>
  <c r="S172" i="3"/>
  <c r="Q172" i="3"/>
  <c r="W172" i="3" s="1"/>
  <c r="N172" i="3"/>
  <c r="O172" i="3" s="1"/>
  <c r="J172" i="3"/>
  <c r="X172" i="3" s="1"/>
  <c r="Y172" i="3" s="1"/>
  <c r="V171" i="3"/>
  <c r="U171" i="3"/>
  <c r="T171" i="3"/>
  <c r="S171" i="3"/>
  <c r="Q171" i="3"/>
  <c r="W171" i="3" s="1"/>
  <c r="N171" i="3"/>
  <c r="O171" i="3" s="1"/>
  <c r="J171" i="3"/>
  <c r="X171" i="3" s="1"/>
  <c r="Y171" i="3" s="1"/>
  <c r="V170" i="3"/>
  <c r="U170" i="3"/>
  <c r="T170" i="3"/>
  <c r="S170" i="3"/>
  <c r="Q170" i="3"/>
  <c r="W170" i="3" s="1"/>
  <c r="N170" i="3"/>
  <c r="O170" i="3" s="1"/>
  <c r="J170" i="3"/>
  <c r="X170" i="3" s="1"/>
  <c r="Y170" i="3" s="1"/>
  <c r="V169" i="3"/>
  <c r="U169" i="3"/>
  <c r="T169" i="3"/>
  <c r="S169" i="3"/>
  <c r="Q169" i="3"/>
  <c r="W169" i="3" s="1"/>
  <c r="N169" i="3"/>
  <c r="O169" i="3" s="1"/>
  <c r="J169" i="3"/>
  <c r="X169" i="3" s="1"/>
  <c r="Y169" i="3" s="1"/>
  <c r="V168" i="3"/>
  <c r="U168" i="3"/>
  <c r="T168" i="3"/>
  <c r="S168" i="3"/>
  <c r="Q168" i="3"/>
  <c r="W168" i="3" s="1"/>
  <c r="N168" i="3"/>
  <c r="O168" i="3" s="1"/>
  <c r="J168" i="3"/>
  <c r="X168" i="3" s="1"/>
  <c r="V167" i="3"/>
  <c r="U167" i="3"/>
  <c r="T167" i="3"/>
  <c r="S167" i="3"/>
  <c r="Q167" i="3"/>
  <c r="W167" i="3" s="1"/>
  <c r="N167" i="3"/>
  <c r="O167" i="3" s="1"/>
  <c r="J167" i="3"/>
  <c r="X167" i="3" s="1"/>
  <c r="V166" i="3"/>
  <c r="U166" i="3"/>
  <c r="T166" i="3"/>
  <c r="S166" i="3"/>
  <c r="Q166" i="3"/>
  <c r="W166" i="3" s="1"/>
  <c r="N166" i="3"/>
  <c r="O166" i="3" s="1"/>
  <c r="J166" i="3"/>
  <c r="X166" i="3" s="1"/>
  <c r="Y166" i="3" s="1"/>
  <c r="V165" i="3"/>
  <c r="U165" i="3"/>
  <c r="T165" i="3"/>
  <c r="S165" i="3"/>
  <c r="Q165" i="3"/>
  <c r="W165" i="3" s="1"/>
  <c r="N165" i="3"/>
  <c r="O165" i="3" s="1"/>
  <c r="J165" i="3"/>
  <c r="X165" i="3" s="1"/>
  <c r="Y165" i="3" s="1"/>
  <c r="V164" i="3"/>
  <c r="U164" i="3"/>
  <c r="T164" i="3"/>
  <c r="S164" i="3"/>
  <c r="Q164" i="3"/>
  <c r="W164" i="3" s="1"/>
  <c r="N164" i="3"/>
  <c r="O164" i="3" s="1"/>
  <c r="J164" i="3"/>
  <c r="X164" i="3" s="1"/>
  <c r="Y164" i="3" s="1"/>
  <c r="V163" i="3"/>
  <c r="U163" i="3"/>
  <c r="T163" i="3"/>
  <c r="S163" i="3"/>
  <c r="Q163" i="3"/>
  <c r="W163" i="3" s="1"/>
  <c r="N163" i="3"/>
  <c r="O163" i="3" s="1"/>
  <c r="J163" i="3"/>
  <c r="X163" i="3" s="1"/>
  <c r="Y163" i="3" s="1"/>
  <c r="V162" i="3"/>
  <c r="U162" i="3"/>
  <c r="T162" i="3"/>
  <c r="S162" i="3"/>
  <c r="Q162" i="3"/>
  <c r="W162" i="3" s="1"/>
  <c r="N162" i="3"/>
  <c r="O162" i="3" s="1"/>
  <c r="J162" i="3"/>
  <c r="X162" i="3" s="1"/>
  <c r="V161" i="3"/>
  <c r="U161" i="3"/>
  <c r="T161" i="3"/>
  <c r="S161" i="3"/>
  <c r="Q161" i="3"/>
  <c r="W161" i="3" s="1"/>
  <c r="N161" i="3"/>
  <c r="O161" i="3" s="1"/>
  <c r="J161" i="3"/>
  <c r="X161" i="3" s="1"/>
  <c r="Y161" i="3" s="1"/>
  <c r="V160" i="3"/>
  <c r="U160" i="3"/>
  <c r="T160" i="3"/>
  <c r="S160" i="3"/>
  <c r="Q160" i="3"/>
  <c r="W160" i="3" s="1"/>
  <c r="N160" i="3"/>
  <c r="O160" i="3" s="1"/>
  <c r="J160" i="3"/>
  <c r="X160" i="3" s="1"/>
  <c r="Y160" i="3" s="1"/>
  <c r="V159" i="3"/>
  <c r="U159" i="3"/>
  <c r="T159" i="3"/>
  <c r="S159" i="3"/>
  <c r="Q159" i="3"/>
  <c r="W159" i="3" s="1"/>
  <c r="N159" i="3"/>
  <c r="O159" i="3" s="1"/>
  <c r="J159" i="3"/>
  <c r="X159" i="3" s="1"/>
  <c r="Y159" i="3" s="1"/>
  <c r="V158" i="3"/>
  <c r="U158" i="3"/>
  <c r="T158" i="3"/>
  <c r="S158" i="3"/>
  <c r="Q158" i="3"/>
  <c r="W158" i="3" s="1"/>
  <c r="N158" i="3"/>
  <c r="O158" i="3" s="1"/>
  <c r="J158" i="3"/>
  <c r="X158" i="3" s="1"/>
  <c r="Y158" i="3" s="1"/>
  <c r="V157" i="3"/>
  <c r="U157" i="3"/>
  <c r="T157" i="3"/>
  <c r="S157" i="3"/>
  <c r="Q157" i="3"/>
  <c r="W157" i="3" s="1"/>
  <c r="N157" i="3"/>
  <c r="O157" i="3" s="1"/>
  <c r="J157" i="3"/>
  <c r="X157" i="3" s="1"/>
  <c r="Y157" i="3" s="1"/>
  <c r="V156" i="3"/>
  <c r="U156" i="3"/>
  <c r="T156" i="3"/>
  <c r="S156" i="3"/>
  <c r="Q156" i="3"/>
  <c r="W156" i="3" s="1"/>
  <c r="N156" i="3"/>
  <c r="O156" i="3" s="1"/>
  <c r="J156" i="3"/>
  <c r="X156" i="3" s="1"/>
  <c r="Y156" i="3" s="1"/>
  <c r="V155" i="3"/>
  <c r="U155" i="3"/>
  <c r="T155" i="3"/>
  <c r="S155" i="3"/>
  <c r="Q155" i="3"/>
  <c r="W155" i="3" s="1"/>
  <c r="N155" i="3"/>
  <c r="O155" i="3" s="1"/>
  <c r="J155" i="3"/>
  <c r="X155" i="3" s="1"/>
  <c r="Y155" i="3" s="1"/>
  <c r="V154" i="3"/>
  <c r="U154" i="3"/>
  <c r="T154" i="3"/>
  <c r="S154" i="3"/>
  <c r="Q154" i="3"/>
  <c r="W154" i="3" s="1"/>
  <c r="N154" i="3"/>
  <c r="O154" i="3" s="1"/>
  <c r="J154" i="3"/>
  <c r="X154" i="3" s="1"/>
  <c r="Y154" i="3" s="1"/>
  <c r="V153" i="3"/>
  <c r="U153" i="3"/>
  <c r="T153" i="3"/>
  <c r="S153" i="3"/>
  <c r="Q153" i="3"/>
  <c r="W153" i="3" s="1"/>
  <c r="N153" i="3"/>
  <c r="O153" i="3" s="1"/>
  <c r="J153" i="3"/>
  <c r="X153" i="3" s="1"/>
  <c r="Y153" i="3" s="1"/>
  <c r="V152" i="3"/>
  <c r="U152" i="3"/>
  <c r="T152" i="3"/>
  <c r="S152" i="3"/>
  <c r="Q152" i="3"/>
  <c r="W152" i="3" s="1"/>
  <c r="N152" i="3"/>
  <c r="O152" i="3" s="1"/>
  <c r="J152" i="3"/>
  <c r="X152" i="3" s="1"/>
  <c r="Y152" i="3" s="1"/>
  <c r="V151" i="3"/>
  <c r="U151" i="3"/>
  <c r="T151" i="3"/>
  <c r="S151" i="3"/>
  <c r="Q151" i="3"/>
  <c r="W151" i="3" s="1"/>
  <c r="N151" i="3"/>
  <c r="O151" i="3" s="1"/>
  <c r="J151" i="3"/>
  <c r="X151" i="3" s="1"/>
  <c r="Y151" i="3" s="1"/>
  <c r="V150" i="3"/>
  <c r="U150" i="3"/>
  <c r="T150" i="3"/>
  <c r="S150" i="3"/>
  <c r="Q150" i="3"/>
  <c r="W150" i="3" s="1"/>
  <c r="N150" i="3"/>
  <c r="O150" i="3" s="1"/>
  <c r="J150" i="3"/>
  <c r="X150" i="3" s="1"/>
  <c r="Y150" i="3" s="1"/>
  <c r="V149" i="3"/>
  <c r="U149" i="3"/>
  <c r="T149" i="3"/>
  <c r="S149" i="3"/>
  <c r="Q149" i="3"/>
  <c r="W149" i="3" s="1"/>
  <c r="N149" i="3"/>
  <c r="O149" i="3" s="1"/>
  <c r="J149" i="3"/>
  <c r="X149" i="3" s="1"/>
  <c r="Y149" i="3" s="1"/>
  <c r="V148" i="3"/>
  <c r="U148" i="3"/>
  <c r="T148" i="3"/>
  <c r="S148" i="3"/>
  <c r="Q148" i="3"/>
  <c r="W148" i="3" s="1"/>
  <c r="N148" i="3"/>
  <c r="O148" i="3" s="1"/>
  <c r="J148" i="3"/>
  <c r="X148" i="3" s="1"/>
  <c r="Y148" i="3" s="1"/>
  <c r="V147" i="3"/>
  <c r="U147" i="3"/>
  <c r="T147" i="3"/>
  <c r="S147" i="3"/>
  <c r="Q147" i="3"/>
  <c r="W147" i="3" s="1"/>
  <c r="N147" i="3"/>
  <c r="O147" i="3" s="1"/>
  <c r="J147" i="3"/>
  <c r="X147" i="3" s="1"/>
  <c r="Y147" i="3" s="1"/>
  <c r="V146" i="3"/>
  <c r="U146" i="3"/>
  <c r="T146" i="3"/>
  <c r="S146" i="3"/>
  <c r="Q146" i="3"/>
  <c r="W146" i="3" s="1"/>
  <c r="N146" i="3"/>
  <c r="O146" i="3" s="1"/>
  <c r="J146" i="3"/>
  <c r="X146" i="3" s="1"/>
  <c r="Y146" i="3" s="1"/>
  <c r="V145" i="3"/>
  <c r="U145" i="3"/>
  <c r="T145" i="3"/>
  <c r="S145" i="3"/>
  <c r="Q145" i="3"/>
  <c r="W145" i="3" s="1"/>
  <c r="N145" i="3"/>
  <c r="O145" i="3" s="1"/>
  <c r="J145" i="3"/>
  <c r="X145" i="3" s="1"/>
  <c r="V144" i="3"/>
  <c r="U144" i="3"/>
  <c r="T144" i="3"/>
  <c r="S144" i="3"/>
  <c r="Q144" i="3"/>
  <c r="W144" i="3" s="1"/>
  <c r="N144" i="3"/>
  <c r="O144" i="3" s="1"/>
  <c r="J144" i="3"/>
  <c r="X144" i="3" s="1"/>
  <c r="Y144" i="3" s="1"/>
  <c r="V143" i="3"/>
  <c r="U143" i="3"/>
  <c r="T143" i="3"/>
  <c r="S143" i="3"/>
  <c r="Q143" i="3"/>
  <c r="W143" i="3" s="1"/>
  <c r="N143" i="3"/>
  <c r="O143" i="3" s="1"/>
  <c r="J143" i="3"/>
  <c r="X143" i="3" s="1"/>
  <c r="Y143" i="3" s="1"/>
  <c r="V142" i="3"/>
  <c r="U142" i="3"/>
  <c r="T142" i="3"/>
  <c r="S142" i="3"/>
  <c r="Q142" i="3"/>
  <c r="W142" i="3" s="1"/>
  <c r="N142" i="3"/>
  <c r="O142" i="3" s="1"/>
  <c r="J142" i="3"/>
  <c r="X142" i="3" s="1"/>
  <c r="Y142" i="3" s="1"/>
  <c r="V141" i="3"/>
  <c r="U141" i="3"/>
  <c r="T141" i="3"/>
  <c r="S141" i="3"/>
  <c r="Q141" i="3"/>
  <c r="W141" i="3" s="1"/>
  <c r="N141" i="3"/>
  <c r="O141" i="3" s="1"/>
  <c r="J141" i="3"/>
  <c r="X141" i="3" s="1"/>
  <c r="Y141" i="3" s="1"/>
  <c r="V140" i="3"/>
  <c r="U140" i="3"/>
  <c r="T140" i="3"/>
  <c r="S140" i="3"/>
  <c r="Q140" i="3"/>
  <c r="W140" i="3" s="1"/>
  <c r="N140" i="3"/>
  <c r="O140" i="3" s="1"/>
  <c r="J140" i="3"/>
  <c r="X140" i="3" s="1"/>
  <c r="Y140" i="3" s="1"/>
  <c r="V139" i="3"/>
  <c r="U139" i="3"/>
  <c r="T139" i="3"/>
  <c r="S139" i="3"/>
  <c r="Q139" i="3"/>
  <c r="W139" i="3" s="1"/>
  <c r="N139" i="3"/>
  <c r="O139" i="3" s="1"/>
  <c r="J139" i="3"/>
  <c r="X139" i="3" s="1"/>
  <c r="Y139" i="3" s="1"/>
  <c r="V138" i="3"/>
  <c r="U138" i="3"/>
  <c r="T138" i="3"/>
  <c r="S138" i="3"/>
  <c r="Q138" i="3"/>
  <c r="W138" i="3" s="1"/>
  <c r="N138" i="3"/>
  <c r="O138" i="3" s="1"/>
  <c r="J138" i="3"/>
  <c r="X138" i="3" s="1"/>
  <c r="Y138" i="3" s="1"/>
  <c r="V137" i="3"/>
  <c r="U137" i="3"/>
  <c r="T137" i="3"/>
  <c r="S137" i="3"/>
  <c r="Q137" i="3"/>
  <c r="W137" i="3" s="1"/>
  <c r="N137" i="3"/>
  <c r="O137" i="3" s="1"/>
  <c r="J137" i="3"/>
  <c r="X137" i="3" s="1"/>
  <c r="Y137" i="3" s="1"/>
  <c r="V136" i="3"/>
  <c r="U136" i="3"/>
  <c r="T136" i="3"/>
  <c r="S136" i="3"/>
  <c r="Q136" i="3"/>
  <c r="W136" i="3" s="1"/>
  <c r="N136" i="3"/>
  <c r="O136" i="3" s="1"/>
  <c r="J136" i="3"/>
  <c r="X136" i="3" s="1"/>
  <c r="Y136" i="3" s="1"/>
  <c r="V135" i="3"/>
  <c r="U135" i="3"/>
  <c r="T135" i="3"/>
  <c r="S135" i="3"/>
  <c r="Q135" i="3"/>
  <c r="W135" i="3" s="1"/>
  <c r="N135" i="3"/>
  <c r="O135" i="3" s="1"/>
  <c r="J135" i="3"/>
  <c r="X135" i="3" s="1"/>
  <c r="Y135" i="3" s="1"/>
  <c r="V134" i="3"/>
  <c r="U134" i="3"/>
  <c r="T134" i="3"/>
  <c r="S134" i="3"/>
  <c r="Q134" i="3"/>
  <c r="W134" i="3" s="1"/>
  <c r="N134" i="3"/>
  <c r="O134" i="3" s="1"/>
  <c r="J134" i="3"/>
  <c r="X134" i="3" s="1"/>
  <c r="Y134" i="3" s="1"/>
  <c r="V133" i="3"/>
  <c r="U133" i="3"/>
  <c r="T133" i="3"/>
  <c r="S133" i="3"/>
  <c r="Q133" i="3"/>
  <c r="W133" i="3" s="1"/>
  <c r="N133" i="3"/>
  <c r="O133" i="3" s="1"/>
  <c r="J133" i="3"/>
  <c r="X133" i="3" s="1"/>
  <c r="Y133" i="3" s="1"/>
  <c r="V132" i="3"/>
  <c r="U132" i="3"/>
  <c r="T132" i="3"/>
  <c r="S132" i="3"/>
  <c r="Q132" i="3"/>
  <c r="W132" i="3" s="1"/>
  <c r="N132" i="3"/>
  <c r="O132" i="3" s="1"/>
  <c r="J132" i="3"/>
  <c r="X132" i="3" s="1"/>
  <c r="Y132" i="3" s="1"/>
  <c r="V131" i="3"/>
  <c r="U131" i="3"/>
  <c r="T131" i="3"/>
  <c r="S131" i="3"/>
  <c r="Q131" i="3"/>
  <c r="W131" i="3" s="1"/>
  <c r="N131" i="3"/>
  <c r="O131" i="3" s="1"/>
  <c r="J131" i="3"/>
  <c r="X131" i="3" s="1"/>
  <c r="Y131" i="3" s="1"/>
  <c r="V130" i="3"/>
  <c r="U130" i="3"/>
  <c r="T130" i="3"/>
  <c r="S130" i="3"/>
  <c r="Q130" i="3"/>
  <c r="W130" i="3" s="1"/>
  <c r="N130" i="3"/>
  <c r="O130" i="3" s="1"/>
  <c r="J130" i="3"/>
  <c r="X130" i="3" s="1"/>
  <c r="V129" i="3"/>
  <c r="U129" i="3"/>
  <c r="T129" i="3"/>
  <c r="S129" i="3"/>
  <c r="Q129" i="3"/>
  <c r="W129" i="3" s="1"/>
  <c r="N129" i="3"/>
  <c r="O129" i="3" s="1"/>
  <c r="J129" i="3"/>
  <c r="X129" i="3" s="1"/>
  <c r="V128" i="3"/>
  <c r="U128" i="3"/>
  <c r="T128" i="3"/>
  <c r="S128" i="3"/>
  <c r="Q128" i="3"/>
  <c r="W128" i="3" s="1"/>
  <c r="N128" i="3"/>
  <c r="O128" i="3" s="1"/>
  <c r="J128" i="3"/>
  <c r="X128" i="3" s="1"/>
  <c r="Y128" i="3" s="1"/>
  <c r="V127" i="3"/>
  <c r="U127" i="3"/>
  <c r="T127" i="3"/>
  <c r="S127" i="3"/>
  <c r="Q127" i="3"/>
  <c r="W127" i="3" s="1"/>
  <c r="N127" i="3"/>
  <c r="O127" i="3" s="1"/>
  <c r="J127" i="3"/>
  <c r="X127" i="3" s="1"/>
  <c r="Y127" i="3" s="1"/>
  <c r="V126" i="3"/>
  <c r="U126" i="3"/>
  <c r="T126" i="3"/>
  <c r="S126" i="3"/>
  <c r="Q126" i="3"/>
  <c r="W126" i="3" s="1"/>
  <c r="N126" i="3"/>
  <c r="O126" i="3" s="1"/>
  <c r="J126" i="3"/>
  <c r="X126" i="3" s="1"/>
  <c r="Y126" i="3" s="1"/>
  <c r="V125" i="3"/>
  <c r="U125" i="3"/>
  <c r="T125" i="3"/>
  <c r="S125" i="3"/>
  <c r="Q125" i="3"/>
  <c r="W125" i="3" s="1"/>
  <c r="N125" i="3"/>
  <c r="O125" i="3" s="1"/>
  <c r="J125" i="3"/>
  <c r="X125" i="3" s="1"/>
  <c r="Y125" i="3" s="1"/>
  <c r="V124" i="3"/>
  <c r="U124" i="3"/>
  <c r="T124" i="3"/>
  <c r="S124" i="3"/>
  <c r="Q124" i="3"/>
  <c r="W124" i="3" s="1"/>
  <c r="N124" i="3"/>
  <c r="O124" i="3" s="1"/>
  <c r="J124" i="3"/>
  <c r="X124" i="3" s="1"/>
  <c r="Y124" i="3" s="1"/>
  <c r="V123" i="3"/>
  <c r="U123" i="3"/>
  <c r="T123" i="3"/>
  <c r="S123" i="3"/>
  <c r="Q123" i="3"/>
  <c r="W123" i="3" s="1"/>
  <c r="N123" i="3"/>
  <c r="O123" i="3" s="1"/>
  <c r="J123" i="3"/>
  <c r="X123" i="3" s="1"/>
  <c r="V122" i="3"/>
  <c r="U122" i="3"/>
  <c r="T122" i="3"/>
  <c r="S122" i="3"/>
  <c r="Q122" i="3"/>
  <c r="W122" i="3" s="1"/>
  <c r="N122" i="3"/>
  <c r="O122" i="3" s="1"/>
  <c r="J122" i="3"/>
  <c r="X122" i="3" s="1"/>
  <c r="Y122" i="3" s="1"/>
  <c r="V121" i="3"/>
  <c r="U121" i="3"/>
  <c r="T121" i="3"/>
  <c r="S121" i="3"/>
  <c r="Q121" i="3"/>
  <c r="W121" i="3" s="1"/>
  <c r="N121" i="3"/>
  <c r="O121" i="3" s="1"/>
  <c r="J121" i="3"/>
  <c r="X121" i="3" s="1"/>
  <c r="Y121" i="3" s="1"/>
  <c r="V120" i="3"/>
  <c r="U120" i="3"/>
  <c r="T120" i="3"/>
  <c r="S120" i="3"/>
  <c r="Q120" i="3"/>
  <c r="W120" i="3" s="1"/>
  <c r="N120" i="3"/>
  <c r="O120" i="3" s="1"/>
  <c r="J120" i="3"/>
  <c r="X120" i="3" s="1"/>
  <c r="Y120" i="3" s="1"/>
  <c r="V119" i="3"/>
  <c r="U119" i="3"/>
  <c r="T119" i="3"/>
  <c r="S119" i="3"/>
  <c r="Q119" i="3"/>
  <c r="W119" i="3" s="1"/>
  <c r="N119" i="3"/>
  <c r="O119" i="3" s="1"/>
  <c r="J119" i="3"/>
  <c r="X119" i="3" s="1"/>
  <c r="Y119" i="3" s="1"/>
  <c r="V118" i="3"/>
  <c r="U118" i="3"/>
  <c r="T118" i="3"/>
  <c r="S118" i="3"/>
  <c r="Q118" i="3"/>
  <c r="W118" i="3" s="1"/>
  <c r="N118" i="3"/>
  <c r="O118" i="3" s="1"/>
  <c r="J118" i="3"/>
  <c r="X118" i="3" s="1"/>
  <c r="Y118" i="3" s="1"/>
  <c r="V117" i="3"/>
  <c r="U117" i="3"/>
  <c r="T117" i="3"/>
  <c r="S117" i="3"/>
  <c r="Q117" i="3"/>
  <c r="W117" i="3" s="1"/>
  <c r="N117" i="3"/>
  <c r="O117" i="3" s="1"/>
  <c r="J117" i="3"/>
  <c r="X117" i="3" s="1"/>
  <c r="Y117" i="3" s="1"/>
  <c r="V116" i="3"/>
  <c r="U116" i="3"/>
  <c r="T116" i="3"/>
  <c r="S116" i="3"/>
  <c r="Q116" i="3"/>
  <c r="W116" i="3" s="1"/>
  <c r="N116" i="3"/>
  <c r="O116" i="3" s="1"/>
  <c r="J116" i="3"/>
  <c r="X116" i="3" s="1"/>
  <c r="V115" i="3"/>
  <c r="U115" i="3"/>
  <c r="T115" i="3"/>
  <c r="S115" i="3"/>
  <c r="Q115" i="3"/>
  <c r="W115" i="3" s="1"/>
  <c r="N115" i="3"/>
  <c r="O115" i="3" s="1"/>
  <c r="J115" i="3"/>
  <c r="X115" i="3" s="1"/>
  <c r="Y115" i="3" s="1"/>
  <c r="V114" i="3"/>
  <c r="U114" i="3"/>
  <c r="T114" i="3"/>
  <c r="S114" i="3"/>
  <c r="Q114" i="3"/>
  <c r="W114" i="3" s="1"/>
  <c r="N114" i="3"/>
  <c r="O114" i="3" s="1"/>
  <c r="J114" i="3"/>
  <c r="X114" i="3" s="1"/>
  <c r="Y114" i="3" s="1"/>
  <c r="V113" i="3"/>
  <c r="U113" i="3"/>
  <c r="T113" i="3"/>
  <c r="S113" i="3"/>
  <c r="Q113" i="3"/>
  <c r="W113" i="3" s="1"/>
  <c r="N113" i="3"/>
  <c r="O113" i="3" s="1"/>
  <c r="J113" i="3"/>
  <c r="X113" i="3" s="1"/>
  <c r="Y113" i="3" s="1"/>
  <c r="V112" i="3"/>
  <c r="U112" i="3"/>
  <c r="T112" i="3"/>
  <c r="S112" i="3"/>
  <c r="Q112" i="3"/>
  <c r="W112" i="3" s="1"/>
  <c r="N112" i="3"/>
  <c r="O112" i="3" s="1"/>
  <c r="J112" i="3"/>
  <c r="X112" i="3" s="1"/>
  <c r="Y112" i="3" s="1"/>
  <c r="V111" i="3"/>
  <c r="U111" i="3"/>
  <c r="T111" i="3"/>
  <c r="S111" i="3"/>
  <c r="Q111" i="3"/>
  <c r="W111" i="3" s="1"/>
  <c r="N111" i="3"/>
  <c r="O111" i="3" s="1"/>
  <c r="J111" i="3"/>
  <c r="X111" i="3" s="1"/>
  <c r="Y111" i="3" s="1"/>
  <c r="V110" i="3"/>
  <c r="U110" i="3"/>
  <c r="T110" i="3"/>
  <c r="S110" i="3"/>
  <c r="Q110" i="3"/>
  <c r="W110" i="3" s="1"/>
  <c r="N110" i="3"/>
  <c r="O110" i="3" s="1"/>
  <c r="J110" i="3"/>
  <c r="X110" i="3" s="1"/>
  <c r="V109" i="3"/>
  <c r="U109" i="3"/>
  <c r="T109" i="3"/>
  <c r="S109" i="3"/>
  <c r="Q109" i="3"/>
  <c r="W109" i="3" s="1"/>
  <c r="N109" i="3"/>
  <c r="O109" i="3" s="1"/>
  <c r="J109" i="3"/>
  <c r="X109" i="3" s="1"/>
  <c r="Y109" i="3" s="1"/>
  <c r="V108" i="3"/>
  <c r="U108" i="3"/>
  <c r="T108" i="3"/>
  <c r="S108" i="3"/>
  <c r="Q108" i="3"/>
  <c r="W108" i="3" s="1"/>
  <c r="N108" i="3"/>
  <c r="O108" i="3" s="1"/>
  <c r="J108" i="3"/>
  <c r="X108" i="3" s="1"/>
  <c r="Y108" i="3" s="1"/>
  <c r="V107" i="3"/>
  <c r="U107" i="3"/>
  <c r="T107" i="3"/>
  <c r="S107" i="3"/>
  <c r="Q107" i="3"/>
  <c r="W107" i="3" s="1"/>
  <c r="N107" i="3"/>
  <c r="O107" i="3" s="1"/>
  <c r="J107" i="3"/>
  <c r="X107" i="3" s="1"/>
  <c r="Y107" i="3" s="1"/>
  <c r="V106" i="3"/>
  <c r="U106" i="3"/>
  <c r="T106" i="3"/>
  <c r="S106" i="3"/>
  <c r="Q106" i="3"/>
  <c r="W106" i="3" s="1"/>
  <c r="N106" i="3"/>
  <c r="O106" i="3" s="1"/>
  <c r="J106" i="3"/>
  <c r="X106" i="3" s="1"/>
  <c r="Y106" i="3" s="1"/>
  <c r="V105" i="3"/>
  <c r="U105" i="3"/>
  <c r="T105" i="3"/>
  <c r="S105" i="3"/>
  <c r="Q105" i="3"/>
  <c r="W105" i="3" s="1"/>
  <c r="N105" i="3"/>
  <c r="O105" i="3" s="1"/>
  <c r="J105" i="3"/>
  <c r="X105" i="3" s="1"/>
  <c r="Y105" i="3" s="1"/>
  <c r="V104" i="3"/>
  <c r="U104" i="3"/>
  <c r="T104" i="3"/>
  <c r="S104" i="3"/>
  <c r="Q104" i="3"/>
  <c r="W104" i="3" s="1"/>
  <c r="N104" i="3"/>
  <c r="O104" i="3" s="1"/>
  <c r="J104" i="3"/>
  <c r="X104" i="3" s="1"/>
  <c r="Y104" i="3" s="1"/>
  <c r="V103" i="3"/>
  <c r="U103" i="3"/>
  <c r="T103" i="3"/>
  <c r="S103" i="3"/>
  <c r="Q103" i="3"/>
  <c r="W103" i="3" s="1"/>
  <c r="N103" i="3"/>
  <c r="O103" i="3" s="1"/>
  <c r="J103" i="3"/>
  <c r="X103" i="3" s="1"/>
  <c r="Y103" i="3" s="1"/>
  <c r="X102" i="3"/>
  <c r="V102" i="3"/>
  <c r="U102" i="3"/>
  <c r="T102" i="3"/>
  <c r="S102" i="3"/>
  <c r="Q102" i="3"/>
  <c r="W102" i="3" s="1"/>
  <c r="N102" i="3"/>
  <c r="O102" i="3" s="1"/>
  <c r="J102" i="3"/>
  <c r="V101" i="3"/>
  <c r="U101" i="3"/>
  <c r="T101" i="3"/>
  <c r="S101" i="3"/>
  <c r="Q101" i="3"/>
  <c r="W101" i="3" s="1"/>
  <c r="N101" i="3"/>
  <c r="O101" i="3" s="1"/>
  <c r="J101" i="3"/>
  <c r="X101" i="3" s="1"/>
  <c r="V100" i="3"/>
  <c r="U100" i="3"/>
  <c r="T100" i="3"/>
  <c r="S100" i="3"/>
  <c r="Q100" i="3"/>
  <c r="W100" i="3" s="1"/>
  <c r="N100" i="3"/>
  <c r="O100" i="3" s="1"/>
  <c r="J100" i="3"/>
  <c r="X100" i="3" s="1"/>
  <c r="Y100" i="3" s="1"/>
  <c r="V99" i="3"/>
  <c r="U99" i="3"/>
  <c r="T99" i="3"/>
  <c r="S99" i="3"/>
  <c r="Q99" i="3"/>
  <c r="W99" i="3" s="1"/>
  <c r="N99" i="3"/>
  <c r="O99" i="3" s="1"/>
  <c r="J99" i="3"/>
  <c r="X99" i="3" s="1"/>
  <c r="Y99" i="3" s="1"/>
  <c r="V98" i="3"/>
  <c r="U98" i="3"/>
  <c r="T98" i="3"/>
  <c r="S98" i="3"/>
  <c r="Q98" i="3"/>
  <c r="W98" i="3" s="1"/>
  <c r="N98" i="3"/>
  <c r="O98" i="3" s="1"/>
  <c r="J98" i="3"/>
  <c r="X98" i="3" s="1"/>
  <c r="Y98" i="3" s="1"/>
  <c r="V97" i="3"/>
  <c r="U97" i="3"/>
  <c r="T97" i="3"/>
  <c r="S97" i="3"/>
  <c r="Q97" i="3"/>
  <c r="W97" i="3" s="1"/>
  <c r="N97" i="3"/>
  <c r="O97" i="3" s="1"/>
  <c r="J97" i="3"/>
  <c r="X97" i="3" s="1"/>
  <c r="Y97" i="3" s="1"/>
  <c r="V96" i="3"/>
  <c r="U96" i="3"/>
  <c r="T96" i="3"/>
  <c r="S96" i="3"/>
  <c r="Q96" i="3"/>
  <c r="W96" i="3" s="1"/>
  <c r="N96" i="3"/>
  <c r="O96" i="3" s="1"/>
  <c r="J96" i="3"/>
  <c r="X96" i="3" s="1"/>
  <c r="Y96" i="3" s="1"/>
  <c r="V95" i="3"/>
  <c r="U95" i="3"/>
  <c r="T95" i="3"/>
  <c r="S95" i="3"/>
  <c r="Q95" i="3"/>
  <c r="W95" i="3" s="1"/>
  <c r="N95" i="3"/>
  <c r="O95" i="3" s="1"/>
  <c r="J95" i="3"/>
  <c r="X95" i="3" s="1"/>
  <c r="Y95" i="3" s="1"/>
  <c r="V94" i="3"/>
  <c r="U94" i="3"/>
  <c r="T94" i="3"/>
  <c r="S94" i="3"/>
  <c r="Q94" i="3"/>
  <c r="W94" i="3" s="1"/>
  <c r="N94" i="3"/>
  <c r="O94" i="3" s="1"/>
  <c r="J94" i="3"/>
  <c r="X94" i="3" s="1"/>
  <c r="Y94" i="3" s="1"/>
  <c r="V93" i="3"/>
  <c r="U93" i="3"/>
  <c r="T93" i="3"/>
  <c r="S93" i="3"/>
  <c r="Q93" i="3"/>
  <c r="W93" i="3" s="1"/>
  <c r="N93" i="3"/>
  <c r="O93" i="3" s="1"/>
  <c r="J93" i="3"/>
  <c r="X93" i="3" s="1"/>
  <c r="Y93" i="3" s="1"/>
  <c r="V92" i="3"/>
  <c r="U92" i="3"/>
  <c r="T92" i="3"/>
  <c r="S92" i="3"/>
  <c r="Q92" i="3"/>
  <c r="W92" i="3" s="1"/>
  <c r="N92" i="3"/>
  <c r="O92" i="3" s="1"/>
  <c r="J92" i="3"/>
  <c r="X92" i="3" s="1"/>
  <c r="Y92" i="3" s="1"/>
  <c r="V91" i="3"/>
  <c r="U91" i="3"/>
  <c r="T91" i="3"/>
  <c r="S91" i="3"/>
  <c r="Q91" i="3"/>
  <c r="W91" i="3" s="1"/>
  <c r="N91" i="3"/>
  <c r="O91" i="3" s="1"/>
  <c r="J91" i="3"/>
  <c r="X91" i="3" s="1"/>
  <c r="Y91" i="3" s="1"/>
  <c r="V90" i="3"/>
  <c r="U90" i="3"/>
  <c r="T90" i="3"/>
  <c r="S90" i="3"/>
  <c r="Q90" i="3"/>
  <c r="W90" i="3" s="1"/>
  <c r="N90" i="3"/>
  <c r="O90" i="3" s="1"/>
  <c r="J90" i="3"/>
  <c r="X90" i="3" s="1"/>
  <c r="Y90" i="3" s="1"/>
  <c r="V89" i="3"/>
  <c r="U89" i="3"/>
  <c r="T89" i="3"/>
  <c r="S89" i="3"/>
  <c r="Q89" i="3"/>
  <c r="W89" i="3" s="1"/>
  <c r="N89" i="3"/>
  <c r="O89" i="3" s="1"/>
  <c r="J89" i="3"/>
  <c r="X89" i="3" s="1"/>
  <c r="Y89" i="3" s="1"/>
  <c r="V88" i="3"/>
  <c r="U88" i="3"/>
  <c r="T88" i="3"/>
  <c r="S88" i="3"/>
  <c r="Q88" i="3"/>
  <c r="W88" i="3" s="1"/>
  <c r="N88" i="3"/>
  <c r="O88" i="3" s="1"/>
  <c r="J88" i="3"/>
  <c r="X88" i="3" s="1"/>
  <c r="Y88" i="3" s="1"/>
  <c r="V87" i="3"/>
  <c r="U87" i="3"/>
  <c r="T87" i="3"/>
  <c r="S87" i="3"/>
  <c r="Q87" i="3"/>
  <c r="W87" i="3" s="1"/>
  <c r="N87" i="3"/>
  <c r="O87" i="3" s="1"/>
  <c r="J87" i="3"/>
  <c r="X87" i="3" s="1"/>
  <c r="Y87" i="3" s="1"/>
  <c r="V86" i="3"/>
  <c r="U86" i="3"/>
  <c r="T86" i="3"/>
  <c r="S86" i="3"/>
  <c r="Q86" i="3"/>
  <c r="W86" i="3" s="1"/>
  <c r="N86" i="3"/>
  <c r="O86" i="3" s="1"/>
  <c r="J86" i="3"/>
  <c r="X86" i="3" s="1"/>
  <c r="Y86" i="3" s="1"/>
  <c r="V85" i="3"/>
  <c r="U85" i="3"/>
  <c r="T85" i="3"/>
  <c r="S85" i="3"/>
  <c r="Q85" i="3"/>
  <c r="W85" i="3" s="1"/>
  <c r="N85" i="3"/>
  <c r="O85" i="3" s="1"/>
  <c r="J85" i="3"/>
  <c r="X85" i="3" s="1"/>
  <c r="Y85" i="3" s="1"/>
  <c r="V84" i="3"/>
  <c r="U84" i="3"/>
  <c r="T84" i="3"/>
  <c r="S84" i="3"/>
  <c r="Q84" i="3"/>
  <c r="W84" i="3" s="1"/>
  <c r="N84" i="3"/>
  <c r="O84" i="3" s="1"/>
  <c r="J84" i="3"/>
  <c r="X84" i="3" s="1"/>
  <c r="Y84" i="3" s="1"/>
  <c r="V83" i="3"/>
  <c r="U83" i="3"/>
  <c r="T83" i="3"/>
  <c r="S83" i="3"/>
  <c r="Q83" i="3"/>
  <c r="W83" i="3" s="1"/>
  <c r="N83" i="3"/>
  <c r="O83" i="3" s="1"/>
  <c r="J83" i="3"/>
  <c r="X83" i="3" s="1"/>
  <c r="Y83" i="3" s="1"/>
  <c r="V82" i="3"/>
  <c r="U82" i="3"/>
  <c r="T82" i="3"/>
  <c r="S82" i="3"/>
  <c r="Q82" i="3"/>
  <c r="W82" i="3" s="1"/>
  <c r="N82" i="3"/>
  <c r="O82" i="3" s="1"/>
  <c r="J82" i="3"/>
  <c r="X82" i="3" s="1"/>
  <c r="Y82" i="3" s="1"/>
  <c r="V81" i="3"/>
  <c r="U81" i="3"/>
  <c r="T81" i="3"/>
  <c r="S81" i="3"/>
  <c r="Q81" i="3"/>
  <c r="W81" i="3" s="1"/>
  <c r="N81" i="3"/>
  <c r="O81" i="3" s="1"/>
  <c r="J81" i="3"/>
  <c r="X81" i="3" s="1"/>
  <c r="Y81" i="3" s="1"/>
  <c r="V80" i="3"/>
  <c r="U80" i="3"/>
  <c r="T80" i="3"/>
  <c r="S80" i="3"/>
  <c r="Q80" i="3"/>
  <c r="W80" i="3" s="1"/>
  <c r="N80" i="3"/>
  <c r="O80" i="3" s="1"/>
  <c r="J80" i="3"/>
  <c r="X80" i="3" s="1"/>
  <c r="Y80" i="3" s="1"/>
  <c r="V79" i="3"/>
  <c r="U79" i="3"/>
  <c r="T79" i="3"/>
  <c r="S79" i="3"/>
  <c r="Q79" i="3"/>
  <c r="W79" i="3" s="1"/>
  <c r="N79" i="3"/>
  <c r="O79" i="3" s="1"/>
  <c r="J79" i="3"/>
  <c r="X79" i="3" s="1"/>
  <c r="Y79" i="3" s="1"/>
  <c r="V78" i="3"/>
  <c r="U78" i="3"/>
  <c r="T78" i="3"/>
  <c r="S78" i="3"/>
  <c r="Q78" i="3"/>
  <c r="W78" i="3" s="1"/>
  <c r="N78" i="3"/>
  <c r="O78" i="3" s="1"/>
  <c r="J78" i="3"/>
  <c r="X78" i="3" s="1"/>
  <c r="Y78" i="3" s="1"/>
  <c r="V77" i="3"/>
  <c r="U77" i="3"/>
  <c r="T77" i="3"/>
  <c r="S77" i="3"/>
  <c r="Q77" i="3"/>
  <c r="W77" i="3" s="1"/>
  <c r="N77" i="3"/>
  <c r="O77" i="3" s="1"/>
  <c r="J77" i="3"/>
  <c r="X77" i="3" s="1"/>
  <c r="Y77" i="3" s="1"/>
  <c r="V76" i="3"/>
  <c r="U76" i="3"/>
  <c r="T76" i="3"/>
  <c r="S76" i="3"/>
  <c r="Q76" i="3"/>
  <c r="W76" i="3" s="1"/>
  <c r="N76" i="3"/>
  <c r="O76" i="3" s="1"/>
  <c r="J76" i="3"/>
  <c r="X76" i="3" s="1"/>
  <c r="Y76" i="3" s="1"/>
  <c r="V75" i="3"/>
  <c r="U75" i="3"/>
  <c r="T75" i="3"/>
  <c r="S75" i="3"/>
  <c r="Q75" i="3"/>
  <c r="W75" i="3" s="1"/>
  <c r="N75" i="3"/>
  <c r="O75" i="3" s="1"/>
  <c r="J75" i="3"/>
  <c r="X75" i="3" s="1"/>
  <c r="Y75" i="3" s="1"/>
  <c r="V74" i="3"/>
  <c r="U74" i="3"/>
  <c r="T74" i="3"/>
  <c r="S74" i="3"/>
  <c r="Q74" i="3"/>
  <c r="W74" i="3" s="1"/>
  <c r="N74" i="3"/>
  <c r="O74" i="3" s="1"/>
  <c r="J74" i="3"/>
  <c r="X74" i="3" s="1"/>
  <c r="Y74" i="3" s="1"/>
  <c r="V73" i="3"/>
  <c r="U73" i="3"/>
  <c r="T73" i="3"/>
  <c r="S73" i="3"/>
  <c r="Q73" i="3"/>
  <c r="W73" i="3" s="1"/>
  <c r="N73" i="3"/>
  <c r="O73" i="3" s="1"/>
  <c r="J73" i="3"/>
  <c r="X73" i="3" s="1"/>
  <c r="Y73" i="3" s="1"/>
  <c r="V72" i="3"/>
  <c r="U72" i="3"/>
  <c r="T72" i="3"/>
  <c r="S72" i="3"/>
  <c r="Q72" i="3"/>
  <c r="W72" i="3" s="1"/>
  <c r="N72" i="3"/>
  <c r="O72" i="3" s="1"/>
  <c r="J72" i="3"/>
  <c r="X72" i="3" s="1"/>
  <c r="Y72" i="3" s="1"/>
  <c r="V71" i="3"/>
  <c r="U71" i="3"/>
  <c r="T71" i="3"/>
  <c r="S71" i="3"/>
  <c r="Q71" i="3"/>
  <c r="W71" i="3" s="1"/>
  <c r="N71" i="3"/>
  <c r="O71" i="3" s="1"/>
  <c r="J71" i="3"/>
  <c r="X71" i="3" s="1"/>
  <c r="Y71" i="3" s="1"/>
  <c r="V70" i="3"/>
  <c r="U70" i="3"/>
  <c r="T70" i="3"/>
  <c r="S70" i="3"/>
  <c r="Q70" i="3"/>
  <c r="W70" i="3" s="1"/>
  <c r="N70" i="3"/>
  <c r="O70" i="3" s="1"/>
  <c r="J70" i="3"/>
  <c r="X70" i="3" s="1"/>
  <c r="Y70" i="3" s="1"/>
  <c r="V69" i="3"/>
  <c r="U69" i="3"/>
  <c r="T69" i="3"/>
  <c r="S69" i="3"/>
  <c r="Q69" i="3"/>
  <c r="W69" i="3" s="1"/>
  <c r="N69" i="3"/>
  <c r="O69" i="3" s="1"/>
  <c r="J69" i="3"/>
  <c r="X69" i="3" s="1"/>
  <c r="Y69" i="3" s="1"/>
  <c r="V68" i="3"/>
  <c r="U68" i="3"/>
  <c r="T68" i="3"/>
  <c r="S68" i="3"/>
  <c r="Q68" i="3"/>
  <c r="W68" i="3" s="1"/>
  <c r="N68" i="3"/>
  <c r="O68" i="3" s="1"/>
  <c r="J68" i="3"/>
  <c r="X68" i="3" s="1"/>
  <c r="Y68" i="3" s="1"/>
  <c r="V67" i="3"/>
  <c r="U67" i="3"/>
  <c r="T67" i="3"/>
  <c r="S67" i="3"/>
  <c r="Q67" i="3"/>
  <c r="W67" i="3" s="1"/>
  <c r="N67" i="3"/>
  <c r="O67" i="3" s="1"/>
  <c r="J67" i="3"/>
  <c r="X67" i="3" s="1"/>
  <c r="Y67" i="3" s="1"/>
  <c r="V66" i="3"/>
  <c r="U66" i="3"/>
  <c r="T66" i="3"/>
  <c r="S66" i="3"/>
  <c r="Q66" i="3"/>
  <c r="W66" i="3" s="1"/>
  <c r="N66" i="3"/>
  <c r="O66" i="3" s="1"/>
  <c r="J66" i="3"/>
  <c r="X66" i="3" s="1"/>
  <c r="Y66" i="3" s="1"/>
  <c r="V65" i="3"/>
  <c r="U65" i="3"/>
  <c r="T65" i="3"/>
  <c r="S65" i="3"/>
  <c r="Q65" i="3"/>
  <c r="W65" i="3" s="1"/>
  <c r="N65" i="3"/>
  <c r="O65" i="3" s="1"/>
  <c r="J65" i="3"/>
  <c r="X65" i="3" s="1"/>
  <c r="Y65" i="3" s="1"/>
  <c r="V64" i="3"/>
  <c r="U64" i="3"/>
  <c r="T64" i="3"/>
  <c r="S64" i="3"/>
  <c r="Q64" i="3"/>
  <c r="W64" i="3" s="1"/>
  <c r="N64" i="3"/>
  <c r="O64" i="3" s="1"/>
  <c r="J64" i="3"/>
  <c r="X64" i="3" s="1"/>
  <c r="Y64" i="3" s="1"/>
  <c r="V63" i="3"/>
  <c r="U63" i="3"/>
  <c r="T63" i="3"/>
  <c r="S63" i="3"/>
  <c r="Q63" i="3"/>
  <c r="W63" i="3" s="1"/>
  <c r="N63" i="3"/>
  <c r="O63" i="3" s="1"/>
  <c r="J63" i="3"/>
  <c r="X63" i="3" s="1"/>
  <c r="Y63" i="3" s="1"/>
  <c r="V62" i="3"/>
  <c r="U62" i="3"/>
  <c r="T62" i="3"/>
  <c r="S62" i="3"/>
  <c r="Q62" i="3"/>
  <c r="W62" i="3" s="1"/>
  <c r="N62" i="3"/>
  <c r="O62" i="3" s="1"/>
  <c r="J62" i="3"/>
  <c r="X62" i="3" s="1"/>
  <c r="Y62" i="3" s="1"/>
  <c r="V61" i="3"/>
  <c r="U61" i="3"/>
  <c r="T61" i="3"/>
  <c r="S61" i="3"/>
  <c r="Q61" i="3"/>
  <c r="W61" i="3" s="1"/>
  <c r="N61" i="3"/>
  <c r="O61" i="3" s="1"/>
  <c r="J61" i="3"/>
  <c r="X61" i="3" s="1"/>
  <c r="Y61" i="3" s="1"/>
  <c r="V60" i="3"/>
  <c r="U60" i="3"/>
  <c r="T60" i="3"/>
  <c r="S60" i="3"/>
  <c r="Q60" i="3"/>
  <c r="W60" i="3" s="1"/>
  <c r="N60" i="3"/>
  <c r="O60" i="3" s="1"/>
  <c r="J60" i="3"/>
  <c r="X60" i="3" s="1"/>
  <c r="Y60" i="3" s="1"/>
  <c r="V59" i="3"/>
  <c r="U59" i="3"/>
  <c r="T59" i="3"/>
  <c r="S59" i="3"/>
  <c r="Q59" i="3"/>
  <c r="W59" i="3" s="1"/>
  <c r="N59" i="3"/>
  <c r="O59" i="3" s="1"/>
  <c r="J59" i="3"/>
  <c r="X59" i="3" s="1"/>
  <c r="Y59" i="3" s="1"/>
  <c r="V58" i="3"/>
  <c r="U58" i="3"/>
  <c r="T58" i="3"/>
  <c r="S58" i="3"/>
  <c r="Q58" i="3"/>
  <c r="W58" i="3" s="1"/>
  <c r="N58" i="3"/>
  <c r="O58" i="3" s="1"/>
  <c r="J58" i="3"/>
  <c r="X58" i="3" s="1"/>
  <c r="Y58" i="3" s="1"/>
  <c r="V57" i="3"/>
  <c r="U57" i="3"/>
  <c r="T57" i="3"/>
  <c r="S57" i="3"/>
  <c r="Q57" i="3"/>
  <c r="W57" i="3" s="1"/>
  <c r="N57" i="3"/>
  <c r="O57" i="3" s="1"/>
  <c r="J57" i="3"/>
  <c r="X57" i="3" s="1"/>
  <c r="Y57" i="3" s="1"/>
  <c r="V56" i="3"/>
  <c r="U56" i="3"/>
  <c r="T56" i="3"/>
  <c r="S56" i="3"/>
  <c r="Q56" i="3"/>
  <c r="W56" i="3" s="1"/>
  <c r="N56" i="3"/>
  <c r="O56" i="3" s="1"/>
  <c r="J56" i="3"/>
  <c r="X56" i="3" s="1"/>
  <c r="Y56" i="3" s="1"/>
  <c r="V55" i="3"/>
  <c r="U55" i="3"/>
  <c r="T55" i="3"/>
  <c r="S55" i="3"/>
  <c r="Q55" i="3"/>
  <c r="W55" i="3" s="1"/>
  <c r="N55" i="3"/>
  <c r="O55" i="3" s="1"/>
  <c r="J55" i="3"/>
  <c r="X55" i="3" s="1"/>
  <c r="Y55" i="3" s="1"/>
  <c r="V54" i="3"/>
  <c r="U54" i="3"/>
  <c r="T54" i="3"/>
  <c r="S54" i="3"/>
  <c r="Q54" i="3"/>
  <c r="W54" i="3" s="1"/>
  <c r="N54" i="3"/>
  <c r="O54" i="3" s="1"/>
  <c r="J54" i="3"/>
  <c r="X54" i="3" s="1"/>
  <c r="Y54" i="3" s="1"/>
  <c r="V53" i="3"/>
  <c r="U53" i="3"/>
  <c r="T53" i="3"/>
  <c r="S53" i="3"/>
  <c r="Q53" i="3"/>
  <c r="W53" i="3" s="1"/>
  <c r="N53" i="3"/>
  <c r="O53" i="3" s="1"/>
  <c r="J53" i="3"/>
  <c r="X53" i="3" s="1"/>
  <c r="Y53" i="3" s="1"/>
  <c r="V52" i="3"/>
  <c r="U52" i="3"/>
  <c r="T52" i="3"/>
  <c r="S52" i="3"/>
  <c r="Q52" i="3"/>
  <c r="W52" i="3" s="1"/>
  <c r="N52" i="3"/>
  <c r="O52" i="3" s="1"/>
  <c r="J52" i="3"/>
  <c r="X52" i="3" s="1"/>
  <c r="Y52" i="3" s="1"/>
  <c r="V51" i="3"/>
  <c r="U51" i="3"/>
  <c r="T51" i="3"/>
  <c r="S51" i="3"/>
  <c r="Q51" i="3"/>
  <c r="W51" i="3" s="1"/>
  <c r="N51" i="3"/>
  <c r="O51" i="3" s="1"/>
  <c r="J51" i="3"/>
  <c r="X51" i="3" s="1"/>
  <c r="Y51" i="3" s="1"/>
  <c r="V50" i="3"/>
  <c r="U50" i="3"/>
  <c r="T50" i="3"/>
  <c r="S50" i="3"/>
  <c r="Q50" i="3"/>
  <c r="W50" i="3" s="1"/>
  <c r="N50" i="3"/>
  <c r="O50" i="3" s="1"/>
  <c r="J50" i="3"/>
  <c r="X50" i="3" s="1"/>
  <c r="Y50" i="3" s="1"/>
  <c r="V49" i="3"/>
  <c r="U49" i="3"/>
  <c r="T49" i="3"/>
  <c r="S49" i="3"/>
  <c r="Q49" i="3"/>
  <c r="W49" i="3" s="1"/>
  <c r="N49" i="3"/>
  <c r="O49" i="3" s="1"/>
  <c r="J49" i="3"/>
  <c r="X49" i="3" s="1"/>
  <c r="Y49" i="3" s="1"/>
  <c r="V48" i="3"/>
  <c r="U48" i="3"/>
  <c r="T48" i="3"/>
  <c r="S48" i="3"/>
  <c r="Q48" i="3"/>
  <c r="W48" i="3" s="1"/>
  <c r="N48" i="3"/>
  <c r="O48" i="3" s="1"/>
  <c r="J48" i="3"/>
  <c r="X48" i="3" s="1"/>
  <c r="Y48" i="3" s="1"/>
  <c r="V47" i="3"/>
  <c r="U47" i="3"/>
  <c r="T47" i="3"/>
  <c r="S47" i="3"/>
  <c r="Q47" i="3"/>
  <c r="W47" i="3" s="1"/>
  <c r="N47" i="3"/>
  <c r="O47" i="3" s="1"/>
  <c r="J47" i="3"/>
  <c r="X47" i="3" s="1"/>
  <c r="Y47" i="3" s="1"/>
  <c r="V46" i="3"/>
  <c r="U46" i="3"/>
  <c r="T46" i="3"/>
  <c r="S46" i="3"/>
  <c r="Q46" i="3"/>
  <c r="W46" i="3" s="1"/>
  <c r="N46" i="3"/>
  <c r="O46" i="3" s="1"/>
  <c r="J46" i="3"/>
  <c r="X46" i="3" s="1"/>
  <c r="Y46" i="3" s="1"/>
  <c r="V45" i="3"/>
  <c r="U45" i="3"/>
  <c r="T45" i="3"/>
  <c r="S45" i="3"/>
  <c r="Q45" i="3"/>
  <c r="W45" i="3" s="1"/>
  <c r="N45" i="3"/>
  <c r="O45" i="3" s="1"/>
  <c r="J45" i="3"/>
  <c r="X45" i="3" s="1"/>
  <c r="Y45" i="3" s="1"/>
  <c r="V44" i="3"/>
  <c r="U44" i="3"/>
  <c r="T44" i="3"/>
  <c r="S44" i="3"/>
  <c r="Q44" i="3"/>
  <c r="W44" i="3" s="1"/>
  <c r="N44" i="3"/>
  <c r="O44" i="3" s="1"/>
  <c r="J44" i="3"/>
  <c r="X44" i="3" s="1"/>
  <c r="Y44" i="3" s="1"/>
  <c r="V43" i="3"/>
  <c r="U43" i="3"/>
  <c r="T43" i="3"/>
  <c r="S43" i="3"/>
  <c r="Q43" i="3"/>
  <c r="W43" i="3" s="1"/>
  <c r="N43" i="3"/>
  <c r="O43" i="3" s="1"/>
  <c r="J43" i="3"/>
  <c r="X43" i="3" s="1"/>
  <c r="Y43" i="3" s="1"/>
  <c r="V42" i="3"/>
  <c r="U42" i="3"/>
  <c r="T42" i="3"/>
  <c r="S42" i="3"/>
  <c r="Q42" i="3"/>
  <c r="W42" i="3" s="1"/>
  <c r="N42" i="3"/>
  <c r="O42" i="3" s="1"/>
  <c r="J42" i="3"/>
  <c r="X42" i="3" s="1"/>
  <c r="Y42" i="3" s="1"/>
  <c r="V41" i="3"/>
  <c r="U41" i="3"/>
  <c r="T41" i="3"/>
  <c r="S41" i="3"/>
  <c r="Q41" i="3"/>
  <c r="W41" i="3" s="1"/>
  <c r="N41" i="3"/>
  <c r="O41" i="3" s="1"/>
  <c r="J41" i="3"/>
  <c r="X41" i="3" s="1"/>
  <c r="Y41" i="3" s="1"/>
  <c r="V40" i="3"/>
  <c r="U40" i="3"/>
  <c r="T40" i="3"/>
  <c r="S40" i="3"/>
  <c r="Q40" i="3"/>
  <c r="W40" i="3" s="1"/>
  <c r="N40" i="3"/>
  <c r="O40" i="3" s="1"/>
  <c r="J40" i="3"/>
  <c r="X40" i="3" s="1"/>
  <c r="Y40" i="3" s="1"/>
  <c r="V39" i="3"/>
  <c r="U39" i="3"/>
  <c r="T39" i="3"/>
  <c r="S39" i="3"/>
  <c r="Q39" i="3"/>
  <c r="W39" i="3" s="1"/>
  <c r="N39" i="3"/>
  <c r="O39" i="3" s="1"/>
  <c r="J39" i="3"/>
  <c r="X39" i="3" s="1"/>
  <c r="Y39" i="3" s="1"/>
  <c r="V38" i="3"/>
  <c r="U38" i="3"/>
  <c r="T38" i="3"/>
  <c r="S38" i="3"/>
  <c r="Q38" i="3"/>
  <c r="W38" i="3" s="1"/>
  <c r="N38" i="3"/>
  <c r="O38" i="3" s="1"/>
  <c r="J38" i="3"/>
  <c r="X38" i="3" s="1"/>
  <c r="Y38" i="3" s="1"/>
  <c r="V37" i="3"/>
  <c r="U37" i="3"/>
  <c r="T37" i="3"/>
  <c r="S37" i="3"/>
  <c r="Q37" i="3"/>
  <c r="W37" i="3" s="1"/>
  <c r="N37" i="3"/>
  <c r="O37" i="3" s="1"/>
  <c r="J37" i="3"/>
  <c r="X37" i="3" s="1"/>
  <c r="Y37" i="3" s="1"/>
  <c r="V36" i="3"/>
  <c r="U36" i="3"/>
  <c r="T36" i="3"/>
  <c r="S36" i="3"/>
  <c r="Q36" i="3"/>
  <c r="W36" i="3" s="1"/>
  <c r="N36" i="3"/>
  <c r="O36" i="3" s="1"/>
  <c r="J36" i="3"/>
  <c r="X36" i="3" s="1"/>
  <c r="Y36" i="3" s="1"/>
  <c r="V35" i="3"/>
  <c r="U35" i="3"/>
  <c r="T35" i="3"/>
  <c r="S35" i="3"/>
  <c r="Q35" i="3"/>
  <c r="W35" i="3" s="1"/>
  <c r="N35" i="3"/>
  <c r="O35" i="3" s="1"/>
  <c r="J35" i="3"/>
  <c r="X35" i="3" s="1"/>
  <c r="Y35" i="3" s="1"/>
  <c r="V34" i="3"/>
  <c r="U34" i="3"/>
  <c r="T34" i="3"/>
  <c r="S34" i="3"/>
  <c r="Q34" i="3"/>
  <c r="W34" i="3" s="1"/>
  <c r="N34" i="3"/>
  <c r="O34" i="3" s="1"/>
  <c r="J34" i="3"/>
  <c r="X34" i="3" s="1"/>
  <c r="Y34" i="3" s="1"/>
  <c r="V33" i="3"/>
  <c r="U33" i="3"/>
  <c r="T33" i="3"/>
  <c r="S33" i="3"/>
  <c r="Q33" i="3"/>
  <c r="W33" i="3" s="1"/>
  <c r="N33" i="3"/>
  <c r="O33" i="3" s="1"/>
  <c r="J33" i="3"/>
  <c r="X33" i="3" s="1"/>
  <c r="Y33" i="3" s="1"/>
  <c r="V32" i="3"/>
  <c r="U32" i="3"/>
  <c r="T32" i="3"/>
  <c r="S32" i="3"/>
  <c r="Q32" i="3"/>
  <c r="W32" i="3" s="1"/>
  <c r="N32" i="3"/>
  <c r="O32" i="3" s="1"/>
  <c r="J32" i="3"/>
  <c r="X32" i="3" s="1"/>
  <c r="Y32" i="3" s="1"/>
  <c r="V31" i="3"/>
  <c r="U31" i="3"/>
  <c r="T31" i="3"/>
  <c r="S31" i="3"/>
  <c r="Q31" i="3"/>
  <c r="W31" i="3" s="1"/>
  <c r="N31" i="3"/>
  <c r="O31" i="3" s="1"/>
  <c r="J31" i="3"/>
  <c r="X31" i="3" s="1"/>
  <c r="Y31" i="3" s="1"/>
  <c r="V30" i="3"/>
  <c r="U30" i="3"/>
  <c r="T30" i="3"/>
  <c r="S30" i="3"/>
  <c r="Q30" i="3"/>
  <c r="W30" i="3" s="1"/>
  <c r="N30" i="3"/>
  <c r="O30" i="3" s="1"/>
  <c r="J30" i="3"/>
  <c r="X30" i="3" s="1"/>
  <c r="Y30" i="3" s="1"/>
  <c r="V29" i="3"/>
  <c r="U29" i="3"/>
  <c r="T29" i="3"/>
  <c r="S29" i="3"/>
  <c r="Q29" i="3"/>
  <c r="W29" i="3" s="1"/>
  <c r="N29" i="3"/>
  <c r="O29" i="3" s="1"/>
  <c r="J29" i="3"/>
  <c r="X29" i="3" s="1"/>
  <c r="Y29" i="3" s="1"/>
  <c r="V28" i="3"/>
  <c r="U28" i="3"/>
  <c r="T28" i="3"/>
  <c r="S28" i="3"/>
  <c r="Q28" i="3"/>
  <c r="W28" i="3" s="1"/>
  <c r="N28" i="3"/>
  <c r="O28" i="3" s="1"/>
  <c r="J28" i="3"/>
  <c r="X28" i="3" s="1"/>
  <c r="Y28" i="3" s="1"/>
  <c r="V27" i="3"/>
  <c r="U27" i="3"/>
  <c r="T27" i="3"/>
  <c r="S27" i="3"/>
  <c r="Q27" i="3"/>
  <c r="W27" i="3" s="1"/>
  <c r="N27" i="3"/>
  <c r="O27" i="3" s="1"/>
  <c r="J27" i="3"/>
  <c r="X27" i="3" s="1"/>
  <c r="Y27" i="3" s="1"/>
  <c r="V26" i="3"/>
  <c r="U26" i="3"/>
  <c r="T26" i="3"/>
  <c r="S26" i="3"/>
  <c r="Q26" i="3"/>
  <c r="W26" i="3" s="1"/>
  <c r="N26" i="3"/>
  <c r="O26" i="3" s="1"/>
  <c r="J26" i="3"/>
  <c r="X26" i="3" s="1"/>
  <c r="Y26" i="3" s="1"/>
  <c r="V25" i="3"/>
  <c r="U25" i="3"/>
  <c r="T25" i="3"/>
  <c r="S25" i="3"/>
  <c r="Q25" i="3"/>
  <c r="W25" i="3" s="1"/>
  <c r="N25" i="3"/>
  <c r="O25" i="3" s="1"/>
  <c r="J25" i="3"/>
  <c r="X25" i="3" s="1"/>
  <c r="Y25" i="3" s="1"/>
  <c r="V24" i="3"/>
  <c r="U24" i="3"/>
  <c r="T24" i="3"/>
  <c r="S24" i="3"/>
  <c r="Q24" i="3"/>
  <c r="W24" i="3" s="1"/>
  <c r="N24" i="3"/>
  <c r="O24" i="3" s="1"/>
  <c r="J24" i="3"/>
  <c r="X24" i="3" s="1"/>
  <c r="Y24" i="3" s="1"/>
  <c r="V23" i="3"/>
  <c r="U23" i="3"/>
  <c r="T23" i="3"/>
  <c r="S23" i="3"/>
  <c r="Q23" i="3"/>
  <c r="W23" i="3" s="1"/>
  <c r="N23" i="3"/>
  <c r="O23" i="3" s="1"/>
  <c r="J23" i="3"/>
  <c r="X23" i="3" s="1"/>
  <c r="Y23" i="3" s="1"/>
  <c r="V22" i="3"/>
  <c r="U22" i="3"/>
  <c r="T22" i="3"/>
  <c r="S22" i="3"/>
  <c r="Q22" i="3"/>
  <c r="W22" i="3" s="1"/>
  <c r="N22" i="3"/>
  <c r="O22" i="3" s="1"/>
  <c r="J22" i="3"/>
  <c r="X22" i="3" s="1"/>
  <c r="Y22" i="3" s="1"/>
  <c r="V21" i="3"/>
  <c r="U21" i="3"/>
  <c r="T21" i="3"/>
  <c r="S21" i="3"/>
  <c r="Q21" i="3"/>
  <c r="W21" i="3" s="1"/>
  <c r="N21" i="3"/>
  <c r="O21" i="3" s="1"/>
  <c r="J21" i="3"/>
  <c r="X21" i="3" s="1"/>
  <c r="Y21" i="3" s="1"/>
  <c r="V20" i="3"/>
  <c r="U20" i="3"/>
  <c r="T20" i="3"/>
  <c r="S20" i="3"/>
  <c r="Q20" i="3"/>
  <c r="W20" i="3" s="1"/>
  <c r="N20" i="3"/>
  <c r="O20" i="3" s="1"/>
  <c r="J20" i="3"/>
  <c r="X20" i="3" s="1"/>
  <c r="Y20" i="3" s="1"/>
  <c r="V19" i="3"/>
  <c r="U19" i="3"/>
  <c r="T19" i="3"/>
  <c r="S19" i="3"/>
  <c r="Q19" i="3"/>
  <c r="W19" i="3" s="1"/>
  <c r="N19" i="3"/>
  <c r="O19" i="3" s="1"/>
  <c r="J19" i="3"/>
  <c r="X19" i="3" s="1"/>
  <c r="Y19" i="3" s="1"/>
  <c r="V18" i="3"/>
  <c r="U18" i="3"/>
  <c r="T18" i="3"/>
  <c r="S18" i="3"/>
  <c r="Q18" i="3"/>
  <c r="W18" i="3" s="1"/>
  <c r="N18" i="3"/>
  <c r="O18" i="3" s="1"/>
  <c r="J18" i="3"/>
  <c r="X18" i="3" s="1"/>
  <c r="Y18" i="3" s="1"/>
  <c r="V17" i="3"/>
  <c r="U17" i="3"/>
  <c r="T17" i="3"/>
  <c r="S17" i="3"/>
  <c r="Q17" i="3"/>
  <c r="W17" i="3" s="1"/>
  <c r="N17" i="3"/>
  <c r="O17" i="3" s="1"/>
  <c r="J17" i="3"/>
  <c r="X17" i="3" s="1"/>
  <c r="Y17" i="3" s="1"/>
  <c r="V16" i="3"/>
  <c r="U16" i="3"/>
  <c r="T16" i="3"/>
  <c r="S16" i="3"/>
  <c r="Q16" i="3"/>
  <c r="W16" i="3" s="1"/>
  <c r="N16" i="3"/>
  <c r="O16" i="3" s="1"/>
  <c r="J16" i="3"/>
  <c r="X16" i="3" s="1"/>
  <c r="Y16" i="3" s="1"/>
  <c r="V15" i="3"/>
  <c r="U15" i="3"/>
  <c r="T15" i="3"/>
  <c r="S15" i="3"/>
  <c r="Q15" i="3"/>
  <c r="W15" i="3" s="1"/>
  <c r="N15" i="3"/>
  <c r="O15" i="3" s="1"/>
  <c r="J15" i="3"/>
  <c r="X15" i="3" s="1"/>
  <c r="Y15" i="3" s="1"/>
  <c r="V14" i="3"/>
  <c r="U14" i="3"/>
  <c r="T14" i="3"/>
  <c r="S14" i="3"/>
  <c r="Q14" i="3"/>
  <c r="W14" i="3" s="1"/>
  <c r="N14" i="3"/>
  <c r="O14" i="3" s="1"/>
  <c r="J14" i="3"/>
  <c r="X14" i="3" s="1"/>
  <c r="Y14" i="3" s="1"/>
  <c r="V13" i="3"/>
  <c r="U13" i="3"/>
  <c r="T13" i="3"/>
  <c r="S13" i="3"/>
  <c r="Q13" i="3"/>
  <c r="W13" i="3" s="1"/>
  <c r="N13" i="3"/>
  <c r="O13" i="3" s="1"/>
  <c r="J13" i="3"/>
  <c r="X13" i="3" s="1"/>
  <c r="Y13" i="3" s="1"/>
  <c r="V12" i="3"/>
  <c r="U12" i="3"/>
  <c r="T12" i="3"/>
  <c r="S12" i="3"/>
  <c r="Q12" i="3"/>
  <c r="W12" i="3" s="1"/>
  <c r="N12" i="3"/>
  <c r="O12" i="3" s="1"/>
  <c r="J12" i="3"/>
  <c r="X12" i="3" s="1"/>
  <c r="Y12" i="3" s="1"/>
  <c r="V11" i="3"/>
  <c r="U11" i="3"/>
  <c r="T11" i="3"/>
  <c r="S11" i="3"/>
  <c r="Q11" i="3"/>
  <c r="W11" i="3" s="1"/>
  <c r="N11" i="3"/>
  <c r="O11" i="3" s="1"/>
  <c r="J11" i="3"/>
  <c r="X11" i="3" s="1"/>
  <c r="Y11" i="3" s="1"/>
  <c r="V10" i="3"/>
  <c r="U10" i="3"/>
  <c r="T10" i="3"/>
  <c r="S10" i="3"/>
  <c r="Q10" i="3"/>
  <c r="W10" i="3" s="1"/>
  <c r="N10" i="3"/>
  <c r="O10" i="3" s="1"/>
  <c r="J10" i="3"/>
  <c r="X10" i="3" s="1"/>
  <c r="Y10" i="3" s="1"/>
  <c r="V9" i="3"/>
  <c r="U9" i="3"/>
  <c r="T9" i="3"/>
  <c r="S9" i="3"/>
  <c r="Q9" i="3"/>
  <c r="W9" i="3" s="1"/>
  <c r="N9" i="3"/>
  <c r="O9" i="3" s="1"/>
  <c r="J9" i="3"/>
  <c r="X9" i="3" s="1"/>
  <c r="Y9" i="3" s="1"/>
  <c r="V8" i="3"/>
  <c r="U8" i="3"/>
  <c r="T8" i="3"/>
  <c r="S8" i="3"/>
  <c r="Q8" i="3"/>
  <c r="W8" i="3" s="1"/>
  <c r="N8" i="3"/>
  <c r="O8" i="3" s="1"/>
  <c r="J8" i="3"/>
  <c r="X8" i="3" s="1"/>
  <c r="Y8" i="3" s="1"/>
  <c r="V7" i="3"/>
  <c r="U7" i="3"/>
  <c r="T7" i="3"/>
  <c r="S7" i="3"/>
  <c r="Q7" i="3"/>
  <c r="W7" i="3" s="1"/>
  <c r="N7" i="3"/>
  <c r="O7" i="3" s="1"/>
  <c r="J7" i="3"/>
  <c r="X7" i="3" s="1"/>
  <c r="Y7" i="3" s="1"/>
  <c r="R305" i="2"/>
  <c r="M305" i="2"/>
  <c r="L305" i="2"/>
  <c r="K305" i="2"/>
  <c r="I305" i="2"/>
  <c r="H305" i="2"/>
  <c r="G305" i="2"/>
  <c r="F305" i="2"/>
  <c r="E305" i="2"/>
  <c r="V304" i="2"/>
  <c r="U304" i="2"/>
  <c r="T304" i="2"/>
  <c r="S304" i="2"/>
  <c r="Q304" i="2"/>
  <c r="W304" i="2" s="1"/>
  <c r="N304" i="2"/>
  <c r="O304" i="2" s="1"/>
  <c r="J304" i="2"/>
  <c r="X304" i="2" s="1"/>
  <c r="Y304" i="2" s="1"/>
  <c r="V303" i="2"/>
  <c r="U303" i="2"/>
  <c r="T303" i="2"/>
  <c r="S303" i="2"/>
  <c r="Q303" i="2"/>
  <c r="W303" i="2" s="1"/>
  <c r="N303" i="2"/>
  <c r="O303" i="2" s="1"/>
  <c r="J303" i="2"/>
  <c r="X303" i="2" s="1"/>
  <c r="Y303" i="2" s="1"/>
  <c r="V302" i="2"/>
  <c r="U302" i="2"/>
  <c r="T302" i="2"/>
  <c r="S302" i="2"/>
  <c r="Q302" i="2"/>
  <c r="W302" i="2" s="1"/>
  <c r="N302" i="2"/>
  <c r="O302" i="2" s="1"/>
  <c r="J302" i="2"/>
  <c r="X302" i="2" s="1"/>
  <c r="Y302" i="2" s="1"/>
  <c r="V301" i="2"/>
  <c r="U301" i="2"/>
  <c r="T301" i="2"/>
  <c r="S301" i="2"/>
  <c r="Q301" i="2"/>
  <c r="W301" i="2" s="1"/>
  <c r="N301" i="2"/>
  <c r="O301" i="2" s="1"/>
  <c r="J301" i="2"/>
  <c r="X301" i="2" s="1"/>
  <c r="Y301" i="2" s="1"/>
  <c r="V300" i="2"/>
  <c r="U300" i="2"/>
  <c r="T300" i="2"/>
  <c r="S300" i="2"/>
  <c r="Q300" i="2"/>
  <c r="W300" i="2" s="1"/>
  <c r="N300" i="2"/>
  <c r="O300" i="2" s="1"/>
  <c r="J300" i="2"/>
  <c r="X300" i="2" s="1"/>
  <c r="Y300" i="2" s="1"/>
  <c r="V299" i="2"/>
  <c r="U299" i="2"/>
  <c r="T299" i="2"/>
  <c r="S299" i="2"/>
  <c r="Q299" i="2"/>
  <c r="W299" i="2" s="1"/>
  <c r="N299" i="2"/>
  <c r="O299" i="2" s="1"/>
  <c r="J299" i="2"/>
  <c r="X299" i="2" s="1"/>
  <c r="Y299" i="2" s="1"/>
  <c r="V298" i="2"/>
  <c r="U298" i="2"/>
  <c r="T298" i="2"/>
  <c r="S298" i="2"/>
  <c r="Q298" i="2"/>
  <c r="W298" i="2" s="1"/>
  <c r="N298" i="2"/>
  <c r="O298" i="2" s="1"/>
  <c r="J298" i="2"/>
  <c r="X298" i="2" s="1"/>
  <c r="Y298" i="2" s="1"/>
  <c r="V297" i="2"/>
  <c r="U297" i="2"/>
  <c r="T297" i="2"/>
  <c r="S297" i="2"/>
  <c r="Q297" i="2"/>
  <c r="W297" i="2" s="1"/>
  <c r="N297" i="2"/>
  <c r="O297" i="2" s="1"/>
  <c r="J297" i="2"/>
  <c r="X297" i="2" s="1"/>
  <c r="Y297" i="2" s="1"/>
  <c r="V296" i="2"/>
  <c r="U296" i="2"/>
  <c r="T296" i="2"/>
  <c r="S296" i="2"/>
  <c r="Q296" i="2"/>
  <c r="W296" i="2" s="1"/>
  <c r="N296" i="2"/>
  <c r="O296" i="2" s="1"/>
  <c r="J296" i="2"/>
  <c r="X296" i="2" s="1"/>
  <c r="Y296" i="2" s="1"/>
  <c r="V295" i="2"/>
  <c r="U295" i="2"/>
  <c r="T295" i="2"/>
  <c r="S295" i="2"/>
  <c r="Q295" i="2"/>
  <c r="W295" i="2" s="1"/>
  <c r="N295" i="2"/>
  <c r="O295" i="2" s="1"/>
  <c r="J295" i="2"/>
  <c r="X295" i="2" s="1"/>
  <c r="Y295" i="2" s="1"/>
  <c r="V294" i="2"/>
  <c r="U294" i="2"/>
  <c r="T294" i="2"/>
  <c r="S294" i="2"/>
  <c r="Q294" i="2"/>
  <c r="W294" i="2" s="1"/>
  <c r="N294" i="2"/>
  <c r="O294" i="2" s="1"/>
  <c r="J294" i="2"/>
  <c r="X294" i="2" s="1"/>
  <c r="Y294" i="2" s="1"/>
  <c r="V293" i="2"/>
  <c r="U293" i="2"/>
  <c r="T293" i="2"/>
  <c r="S293" i="2"/>
  <c r="Q293" i="2"/>
  <c r="W293" i="2" s="1"/>
  <c r="N293" i="2"/>
  <c r="O293" i="2" s="1"/>
  <c r="J293" i="2"/>
  <c r="X293" i="2" s="1"/>
  <c r="Y293" i="2" s="1"/>
  <c r="V292" i="2"/>
  <c r="U292" i="2"/>
  <c r="T292" i="2"/>
  <c r="S292" i="2"/>
  <c r="Q292" i="2"/>
  <c r="W292" i="2" s="1"/>
  <c r="N292" i="2"/>
  <c r="O292" i="2" s="1"/>
  <c r="J292" i="2"/>
  <c r="X292" i="2" s="1"/>
  <c r="Y292" i="2" s="1"/>
  <c r="V291" i="2"/>
  <c r="U291" i="2"/>
  <c r="T291" i="2"/>
  <c r="S291" i="2"/>
  <c r="Q291" i="2"/>
  <c r="W291" i="2" s="1"/>
  <c r="N291" i="2"/>
  <c r="O291" i="2" s="1"/>
  <c r="J291" i="2"/>
  <c r="X291" i="2" s="1"/>
  <c r="Y291" i="2" s="1"/>
  <c r="V290" i="2"/>
  <c r="U290" i="2"/>
  <c r="T290" i="2"/>
  <c r="S290" i="2"/>
  <c r="Q290" i="2"/>
  <c r="W290" i="2" s="1"/>
  <c r="N290" i="2"/>
  <c r="O290" i="2" s="1"/>
  <c r="J290" i="2"/>
  <c r="X290" i="2" s="1"/>
  <c r="Y290" i="2" s="1"/>
  <c r="V289" i="2"/>
  <c r="U289" i="2"/>
  <c r="T289" i="2"/>
  <c r="S289" i="2"/>
  <c r="Q289" i="2"/>
  <c r="W289" i="2" s="1"/>
  <c r="N289" i="2"/>
  <c r="O289" i="2" s="1"/>
  <c r="J289" i="2"/>
  <c r="X289" i="2" s="1"/>
  <c r="Y289" i="2" s="1"/>
  <c r="V288" i="2"/>
  <c r="U288" i="2"/>
  <c r="T288" i="2"/>
  <c r="S288" i="2"/>
  <c r="Q288" i="2"/>
  <c r="W288" i="2" s="1"/>
  <c r="N288" i="2"/>
  <c r="O288" i="2" s="1"/>
  <c r="J288" i="2"/>
  <c r="X288" i="2" s="1"/>
  <c r="Y288" i="2" s="1"/>
  <c r="V287" i="2"/>
  <c r="U287" i="2"/>
  <c r="T287" i="2"/>
  <c r="S287" i="2"/>
  <c r="Q287" i="2"/>
  <c r="W287" i="2" s="1"/>
  <c r="N287" i="2"/>
  <c r="O287" i="2" s="1"/>
  <c r="J287" i="2"/>
  <c r="X287" i="2" s="1"/>
  <c r="Y287" i="2" s="1"/>
  <c r="V286" i="2"/>
  <c r="U286" i="2"/>
  <c r="T286" i="2"/>
  <c r="S286" i="2"/>
  <c r="Q286" i="2"/>
  <c r="W286" i="2" s="1"/>
  <c r="N286" i="2"/>
  <c r="O286" i="2" s="1"/>
  <c r="J286" i="2"/>
  <c r="X286" i="2" s="1"/>
  <c r="Y286" i="2" s="1"/>
  <c r="V285" i="2"/>
  <c r="U285" i="2"/>
  <c r="T285" i="2"/>
  <c r="S285" i="2"/>
  <c r="Q285" i="2"/>
  <c r="W285" i="2" s="1"/>
  <c r="N285" i="2"/>
  <c r="O285" i="2" s="1"/>
  <c r="J285" i="2"/>
  <c r="X285" i="2" s="1"/>
  <c r="Y285" i="2" s="1"/>
  <c r="V284" i="2"/>
  <c r="U284" i="2"/>
  <c r="T284" i="2"/>
  <c r="S284" i="2"/>
  <c r="Q284" i="2"/>
  <c r="W284" i="2" s="1"/>
  <c r="N284" i="2"/>
  <c r="O284" i="2" s="1"/>
  <c r="J284" i="2"/>
  <c r="X284" i="2" s="1"/>
  <c r="Y284" i="2" s="1"/>
  <c r="V283" i="2"/>
  <c r="U283" i="2"/>
  <c r="T283" i="2"/>
  <c r="S283" i="2"/>
  <c r="Q283" i="2"/>
  <c r="W283" i="2" s="1"/>
  <c r="N283" i="2"/>
  <c r="O283" i="2" s="1"/>
  <c r="J283" i="2"/>
  <c r="X283" i="2" s="1"/>
  <c r="Y283" i="2" s="1"/>
  <c r="V282" i="2"/>
  <c r="U282" i="2"/>
  <c r="T282" i="2"/>
  <c r="S282" i="2"/>
  <c r="Q282" i="2"/>
  <c r="W282" i="2" s="1"/>
  <c r="N282" i="2"/>
  <c r="O282" i="2" s="1"/>
  <c r="J282" i="2"/>
  <c r="X282" i="2" s="1"/>
  <c r="Y282" i="2" s="1"/>
  <c r="V281" i="2"/>
  <c r="U281" i="2"/>
  <c r="T281" i="2"/>
  <c r="S281" i="2"/>
  <c r="Q281" i="2"/>
  <c r="W281" i="2" s="1"/>
  <c r="N281" i="2"/>
  <c r="O281" i="2" s="1"/>
  <c r="J281" i="2"/>
  <c r="X281" i="2" s="1"/>
  <c r="Y281" i="2" s="1"/>
  <c r="V280" i="2"/>
  <c r="U280" i="2"/>
  <c r="T280" i="2"/>
  <c r="S280" i="2"/>
  <c r="Q280" i="2"/>
  <c r="W280" i="2" s="1"/>
  <c r="N280" i="2"/>
  <c r="O280" i="2" s="1"/>
  <c r="J280" i="2"/>
  <c r="X280" i="2" s="1"/>
  <c r="Y280" i="2" s="1"/>
  <c r="V279" i="2"/>
  <c r="U279" i="2"/>
  <c r="T279" i="2"/>
  <c r="S279" i="2"/>
  <c r="Q279" i="2"/>
  <c r="W279" i="2" s="1"/>
  <c r="N279" i="2"/>
  <c r="O279" i="2" s="1"/>
  <c r="J279" i="2"/>
  <c r="X279" i="2" s="1"/>
  <c r="Y279" i="2" s="1"/>
  <c r="V278" i="2"/>
  <c r="U278" i="2"/>
  <c r="T278" i="2"/>
  <c r="S278" i="2"/>
  <c r="Q278" i="2"/>
  <c r="W278" i="2" s="1"/>
  <c r="N278" i="2"/>
  <c r="O278" i="2" s="1"/>
  <c r="J278" i="2"/>
  <c r="X278" i="2" s="1"/>
  <c r="Y278" i="2" s="1"/>
  <c r="V277" i="2"/>
  <c r="U277" i="2"/>
  <c r="T277" i="2"/>
  <c r="S277" i="2"/>
  <c r="Q277" i="2"/>
  <c r="W277" i="2" s="1"/>
  <c r="N277" i="2"/>
  <c r="O277" i="2" s="1"/>
  <c r="J277" i="2"/>
  <c r="X277" i="2" s="1"/>
  <c r="Y277" i="2" s="1"/>
  <c r="V276" i="2"/>
  <c r="U276" i="2"/>
  <c r="T276" i="2"/>
  <c r="S276" i="2"/>
  <c r="Q276" i="2"/>
  <c r="W276" i="2" s="1"/>
  <c r="N276" i="2"/>
  <c r="O276" i="2" s="1"/>
  <c r="J276" i="2"/>
  <c r="X276" i="2" s="1"/>
  <c r="Y276" i="2" s="1"/>
  <c r="V275" i="2"/>
  <c r="U275" i="2"/>
  <c r="T275" i="2"/>
  <c r="S275" i="2"/>
  <c r="Q275" i="2"/>
  <c r="W275" i="2" s="1"/>
  <c r="N275" i="2"/>
  <c r="O275" i="2" s="1"/>
  <c r="J275" i="2"/>
  <c r="X275" i="2" s="1"/>
  <c r="Y275" i="2" s="1"/>
  <c r="V274" i="2"/>
  <c r="U274" i="2"/>
  <c r="T274" i="2"/>
  <c r="S274" i="2"/>
  <c r="Q274" i="2"/>
  <c r="W274" i="2" s="1"/>
  <c r="N274" i="2"/>
  <c r="O274" i="2" s="1"/>
  <c r="J274" i="2"/>
  <c r="X274" i="2" s="1"/>
  <c r="Y274" i="2" s="1"/>
  <c r="V273" i="2"/>
  <c r="U273" i="2"/>
  <c r="T273" i="2"/>
  <c r="S273" i="2"/>
  <c r="Q273" i="2"/>
  <c r="W273" i="2" s="1"/>
  <c r="N273" i="2"/>
  <c r="O273" i="2" s="1"/>
  <c r="J273" i="2"/>
  <c r="X273" i="2" s="1"/>
  <c r="Y273" i="2" s="1"/>
  <c r="V272" i="2"/>
  <c r="U272" i="2"/>
  <c r="T272" i="2"/>
  <c r="S272" i="2"/>
  <c r="Q272" i="2"/>
  <c r="W272" i="2" s="1"/>
  <c r="N272" i="2"/>
  <c r="O272" i="2" s="1"/>
  <c r="J272" i="2"/>
  <c r="X272" i="2" s="1"/>
  <c r="Y272" i="2" s="1"/>
  <c r="V271" i="2"/>
  <c r="U271" i="2"/>
  <c r="T271" i="2"/>
  <c r="S271" i="2"/>
  <c r="Q271" i="2"/>
  <c r="W271" i="2" s="1"/>
  <c r="N271" i="2"/>
  <c r="O271" i="2" s="1"/>
  <c r="J271" i="2"/>
  <c r="X271" i="2" s="1"/>
  <c r="Y271" i="2" s="1"/>
  <c r="V270" i="2"/>
  <c r="U270" i="2"/>
  <c r="T270" i="2"/>
  <c r="S270" i="2"/>
  <c r="Q270" i="2"/>
  <c r="W270" i="2" s="1"/>
  <c r="N270" i="2"/>
  <c r="O270" i="2" s="1"/>
  <c r="J270" i="2"/>
  <c r="X270" i="2" s="1"/>
  <c r="Y270" i="2" s="1"/>
  <c r="V269" i="2"/>
  <c r="U269" i="2"/>
  <c r="T269" i="2"/>
  <c r="S269" i="2"/>
  <c r="Q269" i="2"/>
  <c r="W269" i="2" s="1"/>
  <c r="N269" i="2"/>
  <c r="O269" i="2" s="1"/>
  <c r="J269" i="2"/>
  <c r="X269" i="2" s="1"/>
  <c r="Y269" i="2" s="1"/>
  <c r="V268" i="2"/>
  <c r="U268" i="2"/>
  <c r="T268" i="2"/>
  <c r="S268" i="2"/>
  <c r="Q268" i="2"/>
  <c r="W268" i="2" s="1"/>
  <c r="N268" i="2"/>
  <c r="O268" i="2" s="1"/>
  <c r="J268" i="2"/>
  <c r="X268" i="2" s="1"/>
  <c r="Y268" i="2" s="1"/>
  <c r="V267" i="2"/>
  <c r="U267" i="2"/>
  <c r="T267" i="2"/>
  <c r="S267" i="2"/>
  <c r="Q267" i="2"/>
  <c r="W267" i="2" s="1"/>
  <c r="N267" i="2"/>
  <c r="O267" i="2" s="1"/>
  <c r="J267" i="2"/>
  <c r="X267" i="2" s="1"/>
  <c r="Y267" i="2" s="1"/>
  <c r="V266" i="2"/>
  <c r="U266" i="2"/>
  <c r="T266" i="2"/>
  <c r="S266" i="2"/>
  <c r="Q266" i="2"/>
  <c r="W266" i="2" s="1"/>
  <c r="N266" i="2"/>
  <c r="O266" i="2" s="1"/>
  <c r="J266" i="2"/>
  <c r="X266" i="2" s="1"/>
  <c r="Y266" i="2" s="1"/>
  <c r="V265" i="2"/>
  <c r="U265" i="2"/>
  <c r="T265" i="2"/>
  <c r="S265" i="2"/>
  <c r="Q265" i="2"/>
  <c r="W265" i="2" s="1"/>
  <c r="N265" i="2"/>
  <c r="O265" i="2" s="1"/>
  <c r="J265" i="2"/>
  <c r="X265" i="2" s="1"/>
  <c r="Y265" i="2" s="1"/>
  <c r="V264" i="2"/>
  <c r="U264" i="2"/>
  <c r="T264" i="2"/>
  <c r="S264" i="2"/>
  <c r="Q264" i="2"/>
  <c r="W264" i="2" s="1"/>
  <c r="N264" i="2"/>
  <c r="O264" i="2" s="1"/>
  <c r="J264" i="2"/>
  <c r="X264" i="2" s="1"/>
  <c r="Y264" i="2" s="1"/>
  <c r="V263" i="2"/>
  <c r="U263" i="2"/>
  <c r="T263" i="2"/>
  <c r="S263" i="2"/>
  <c r="Q263" i="2"/>
  <c r="W263" i="2" s="1"/>
  <c r="N263" i="2"/>
  <c r="O263" i="2" s="1"/>
  <c r="J263" i="2"/>
  <c r="X263" i="2" s="1"/>
  <c r="Y263" i="2" s="1"/>
  <c r="V262" i="2"/>
  <c r="U262" i="2"/>
  <c r="T262" i="2"/>
  <c r="S262" i="2"/>
  <c r="Q262" i="2"/>
  <c r="W262" i="2" s="1"/>
  <c r="N262" i="2"/>
  <c r="O262" i="2" s="1"/>
  <c r="J262" i="2"/>
  <c r="X262" i="2" s="1"/>
  <c r="Y262" i="2" s="1"/>
  <c r="V261" i="2"/>
  <c r="U261" i="2"/>
  <c r="T261" i="2"/>
  <c r="S261" i="2"/>
  <c r="Q261" i="2"/>
  <c r="W261" i="2" s="1"/>
  <c r="N261" i="2"/>
  <c r="O261" i="2" s="1"/>
  <c r="J261" i="2"/>
  <c r="X261" i="2" s="1"/>
  <c r="Y261" i="2" s="1"/>
  <c r="V260" i="2"/>
  <c r="U260" i="2"/>
  <c r="T260" i="2"/>
  <c r="S260" i="2"/>
  <c r="Q260" i="2"/>
  <c r="W260" i="2" s="1"/>
  <c r="N260" i="2"/>
  <c r="O260" i="2" s="1"/>
  <c r="J260" i="2"/>
  <c r="X260" i="2" s="1"/>
  <c r="Y260" i="2" s="1"/>
  <c r="V259" i="2"/>
  <c r="U259" i="2"/>
  <c r="T259" i="2"/>
  <c r="S259" i="2"/>
  <c r="Q259" i="2"/>
  <c r="W259" i="2" s="1"/>
  <c r="N259" i="2"/>
  <c r="O259" i="2" s="1"/>
  <c r="J259" i="2"/>
  <c r="X259" i="2" s="1"/>
  <c r="Y259" i="2" s="1"/>
  <c r="V258" i="2"/>
  <c r="U258" i="2"/>
  <c r="T258" i="2"/>
  <c r="S258" i="2"/>
  <c r="Q258" i="2"/>
  <c r="W258" i="2" s="1"/>
  <c r="N258" i="2"/>
  <c r="O258" i="2" s="1"/>
  <c r="J258" i="2"/>
  <c r="X258" i="2" s="1"/>
  <c r="Y258" i="2" s="1"/>
  <c r="V257" i="2"/>
  <c r="U257" i="2"/>
  <c r="T257" i="2"/>
  <c r="S257" i="2"/>
  <c r="Q257" i="2"/>
  <c r="W257" i="2" s="1"/>
  <c r="N257" i="2"/>
  <c r="O257" i="2" s="1"/>
  <c r="J257" i="2"/>
  <c r="X257" i="2" s="1"/>
  <c r="Y257" i="2" s="1"/>
  <c r="V256" i="2"/>
  <c r="U256" i="2"/>
  <c r="T256" i="2"/>
  <c r="S256" i="2"/>
  <c r="Q256" i="2"/>
  <c r="W256" i="2" s="1"/>
  <c r="N256" i="2"/>
  <c r="O256" i="2" s="1"/>
  <c r="J256" i="2"/>
  <c r="X256" i="2" s="1"/>
  <c r="Y256" i="2" s="1"/>
  <c r="V255" i="2"/>
  <c r="U255" i="2"/>
  <c r="T255" i="2"/>
  <c r="S255" i="2"/>
  <c r="Q255" i="2"/>
  <c r="W255" i="2" s="1"/>
  <c r="N255" i="2"/>
  <c r="O255" i="2" s="1"/>
  <c r="J255" i="2"/>
  <c r="X255" i="2" s="1"/>
  <c r="Y255" i="2" s="1"/>
  <c r="V254" i="2"/>
  <c r="U254" i="2"/>
  <c r="T254" i="2"/>
  <c r="S254" i="2"/>
  <c r="Q254" i="2"/>
  <c r="W254" i="2" s="1"/>
  <c r="N254" i="2"/>
  <c r="O254" i="2" s="1"/>
  <c r="J254" i="2"/>
  <c r="X254" i="2" s="1"/>
  <c r="Y254" i="2" s="1"/>
  <c r="V253" i="2"/>
  <c r="U253" i="2"/>
  <c r="T253" i="2"/>
  <c r="S253" i="2"/>
  <c r="Q253" i="2"/>
  <c r="W253" i="2" s="1"/>
  <c r="N253" i="2"/>
  <c r="O253" i="2" s="1"/>
  <c r="J253" i="2"/>
  <c r="X253" i="2" s="1"/>
  <c r="Y253" i="2" s="1"/>
  <c r="V252" i="2"/>
  <c r="U252" i="2"/>
  <c r="T252" i="2"/>
  <c r="S252" i="2"/>
  <c r="Q252" i="2"/>
  <c r="W252" i="2" s="1"/>
  <c r="N252" i="2"/>
  <c r="O252" i="2" s="1"/>
  <c r="J252" i="2"/>
  <c r="X252" i="2" s="1"/>
  <c r="Y252" i="2" s="1"/>
  <c r="V251" i="2"/>
  <c r="U251" i="2"/>
  <c r="T251" i="2"/>
  <c r="S251" i="2"/>
  <c r="Q251" i="2"/>
  <c r="W251" i="2" s="1"/>
  <c r="N251" i="2"/>
  <c r="O251" i="2" s="1"/>
  <c r="J251" i="2"/>
  <c r="X251" i="2" s="1"/>
  <c r="Y251" i="2" s="1"/>
  <c r="V250" i="2"/>
  <c r="U250" i="2"/>
  <c r="T250" i="2"/>
  <c r="S250" i="2"/>
  <c r="Q250" i="2"/>
  <c r="W250" i="2" s="1"/>
  <c r="N250" i="2"/>
  <c r="O250" i="2" s="1"/>
  <c r="J250" i="2"/>
  <c r="X250" i="2" s="1"/>
  <c r="Y250" i="2" s="1"/>
  <c r="V249" i="2"/>
  <c r="U249" i="2"/>
  <c r="T249" i="2"/>
  <c r="S249" i="2"/>
  <c r="Q249" i="2"/>
  <c r="W249" i="2" s="1"/>
  <c r="N249" i="2"/>
  <c r="O249" i="2" s="1"/>
  <c r="J249" i="2"/>
  <c r="X249" i="2" s="1"/>
  <c r="Y249" i="2" s="1"/>
  <c r="V248" i="2"/>
  <c r="U248" i="2"/>
  <c r="T248" i="2"/>
  <c r="S248" i="2"/>
  <c r="Q248" i="2"/>
  <c r="W248" i="2" s="1"/>
  <c r="N248" i="2"/>
  <c r="O248" i="2" s="1"/>
  <c r="J248" i="2"/>
  <c r="X248" i="2" s="1"/>
  <c r="Y248" i="2" s="1"/>
  <c r="V247" i="2"/>
  <c r="U247" i="2"/>
  <c r="T247" i="2"/>
  <c r="S247" i="2"/>
  <c r="Q247" i="2"/>
  <c r="W247" i="2" s="1"/>
  <c r="N247" i="2"/>
  <c r="O247" i="2" s="1"/>
  <c r="J247" i="2"/>
  <c r="X247" i="2" s="1"/>
  <c r="Y247" i="2" s="1"/>
  <c r="V246" i="2"/>
  <c r="U246" i="2"/>
  <c r="T246" i="2"/>
  <c r="S246" i="2"/>
  <c r="Q246" i="2"/>
  <c r="W246" i="2" s="1"/>
  <c r="N246" i="2"/>
  <c r="O246" i="2" s="1"/>
  <c r="J246" i="2"/>
  <c r="X246" i="2" s="1"/>
  <c r="Y246" i="2" s="1"/>
  <c r="V245" i="2"/>
  <c r="U245" i="2"/>
  <c r="T245" i="2"/>
  <c r="S245" i="2"/>
  <c r="Q245" i="2"/>
  <c r="W245" i="2" s="1"/>
  <c r="N245" i="2"/>
  <c r="O245" i="2" s="1"/>
  <c r="J245" i="2"/>
  <c r="X245" i="2" s="1"/>
  <c r="Y245" i="2" s="1"/>
  <c r="V244" i="2"/>
  <c r="U244" i="2"/>
  <c r="T244" i="2"/>
  <c r="S244" i="2"/>
  <c r="Q244" i="2"/>
  <c r="W244" i="2" s="1"/>
  <c r="N244" i="2"/>
  <c r="O244" i="2" s="1"/>
  <c r="J244" i="2"/>
  <c r="X244" i="2" s="1"/>
  <c r="Y244" i="2" s="1"/>
  <c r="V243" i="2"/>
  <c r="U243" i="2"/>
  <c r="T243" i="2"/>
  <c r="S243" i="2"/>
  <c r="Q243" i="2"/>
  <c r="W243" i="2" s="1"/>
  <c r="N243" i="2"/>
  <c r="O243" i="2" s="1"/>
  <c r="J243" i="2"/>
  <c r="X243" i="2" s="1"/>
  <c r="Y243" i="2" s="1"/>
  <c r="V242" i="2"/>
  <c r="U242" i="2"/>
  <c r="T242" i="2"/>
  <c r="S242" i="2"/>
  <c r="Q242" i="2"/>
  <c r="W242" i="2" s="1"/>
  <c r="N242" i="2"/>
  <c r="O242" i="2" s="1"/>
  <c r="J242" i="2"/>
  <c r="X242" i="2" s="1"/>
  <c r="Y242" i="2" s="1"/>
  <c r="V241" i="2"/>
  <c r="U241" i="2"/>
  <c r="T241" i="2"/>
  <c r="S241" i="2"/>
  <c r="Q241" i="2"/>
  <c r="W241" i="2" s="1"/>
  <c r="N241" i="2"/>
  <c r="O241" i="2" s="1"/>
  <c r="J241" i="2"/>
  <c r="X241" i="2" s="1"/>
  <c r="Y241" i="2" s="1"/>
  <c r="V240" i="2"/>
  <c r="U240" i="2"/>
  <c r="T240" i="2"/>
  <c r="S240" i="2"/>
  <c r="Q240" i="2"/>
  <c r="W240" i="2" s="1"/>
  <c r="N240" i="2"/>
  <c r="O240" i="2" s="1"/>
  <c r="J240" i="2"/>
  <c r="X240" i="2" s="1"/>
  <c r="Y240" i="2" s="1"/>
  <c r="V239" i="2"/>
  <c r="U239" i="2"/>
  <c r="T239" i="2"/>
  <c r="S239" i="2"/>
  <c r="Q239" i="2"/>
  <c r="W239" i="2" s="1"/>
  <c r="N239" i="2"/>
  <c r="O239" i="2" s="1"/>
  <c r="J239" i="2"/>
  <c r="X239" i="2" s="1"/>
  <c r="Y239" i="2" s="1"/>
  <c r="V238" i="2"/>
  <c r="U238" i="2"/>
  <c r="T238" i="2"/>
  <c r="S238" i="2"/>
  <c r="Q238" i="2"/>
  <c r="W238" i="2" s="1"/>
  <c r="N238" i="2"/>
  <c r="O238" i="2" s="1"/>
  <c r="J238" i="2"/>
  <c r="X238" i="2" s="1"/>
  <c r="Y238" i="2" s="1"/>
  <c r="V237" i="2"/>
  <c r="U237" i="2"/>
  <c r="T237" i="2"/>
  <c r="S237" i="2"/>
  <c r="Q237" i="2"/>
  <c r="W237" i="2" s="1"/>
  <c r="N237" i="2"/>
  <c r="O237" i="2" s="1"/>
  <c r="J237" i="2"/>
  <c r="X237" i="2" s="1"/>
  <c r="Y237" i="2" s="1"/>
  <c r="V236" i="2"/>
  <c r="U236" i="2"/>
  <c r="T236" i="2"/>
  <c r="S236" i="2"/>
  <c r="Q236" i="2"/>
  <c r="W236" i="2" s="1"/>
  <c r="N236" i="2"/>
  <c r="O236" i="2" s="1"/>
  <c r="J236" i="2"/>
  <c r="X236" i="2" s="1"/>
  <c r="Y236" i="2" s="1"/>
  <c r="V235" i="2"/>
  <c r="U235" i="2"/>
  <c r="T235" i="2"/>
  <c r="S235" i="2"/>
  <c r="Q235" i="2"/>
  <c r="W235" i="2" s="1"/>
  <c r="N235" i="2"/>
  <c r="O235" i="2" s="1"/>
  <c r="J235" i="2"/>
  <c r="X235" i="2" s="1"/>
  <c r="Y235" i="2" s="1"/>
  <c r="V234" i="2"/>
  <c r="U234" i="2"/>
  <c r="T234" i="2"/>
  <c r="S234" i="2"/>
  <c r="Q234" i="2"/>
  <c r="W234" i="2" s="1"/>
  <c r="N234" i="2"/>
  <c r="O234" i="2" s="1"/>
  <c r="J234" i="2"/>
  <c r="X234" i="2" s="1"/>
  <c r="Y234" i="2" s="1"/>
  <c r="V233" i="2"/>
  <c r="U233" i="2"/>
  <c r="T233" i="2"/>
  <c r="S233" i="2"/>
  <c r="Q233" i="2"/>
  <c r="W233" i="2" s="1"/>
  <c r="N233" i="2"/>
  <c r="O233" i="2" s="1"/>
  <c r="J233" i="2"/>
  <c r="X233" i="2" s="1"/>
  <c r="Y233" i="2" s="1"/>
  <c r="V232" i="2"/>
  <c r="U232" i="2"/>
  <c r="T232" i="2"/>
  <c r="S232" i="2"/>
  <c r="Q232" i="2"/>
  <c r="W232" i="2" s="1"/>
  <c r="N232" i="2"/>
  <c r="O232" i="2" s="1"/>
  <c r="J232" i="2"/>
  <c r="X232" i="2" s="1"/>
  <c r="Y232" i="2" s="1"/>
  <c r="V231" i="2"/>
  <c r="U231" i="2"/>
  <c r="T231" i="2"/>
  <c r="S231" i="2"/>
  <c r="Q231" i="2"/>
  <c r="W231" i="2" s="1"/>
  <c r="N231" i="2"/>
  <c r="O231" i="2" s="1"/>
  <c r="J231" i="2"/>
  <c r="X231" i="2" s="1"/>
  <c r="Y231" i="2" s="1"/>
  <c r="V230" i="2"/>
  <c r="U230" i="2"/>
  <c r="T230" i="2"/>
  <c r="S230" i="2"/>
  <c r="Q230" i="2"/>
  <c r="W230" i="2" s="1"/>
  <c r="N230" i="2"/>
  <c r="O230" i="2" s="1"/>
  <c r="J230" i="2"/>
  <c r="X230" i="2" s="1"/>
  <c r="Y230" i="2" s="1"/>
  <c r="V229" i="2"/>
  <c r="U229" i="2"/>
  <c r="T229" i="2"/>
  <c r="S229" i="2"/>
  <c r="Q229" i="2"/>
  <c r="W229" i="2" s="1"/>
  <c r="N229" i="2"/>
  <c r="O229" i="2" s="1"/>
  <c r="J229" i="2"/>
  <c r="X229" i="2" s="1"/>
  <c r="Y229" i="2" s="1"/>
  <c r="V228" i="2"/>
  <c r="U228" i="2"/>
  <c r="T228" i="2"/>
  <c r="S228" i="2"/>
  <c r="Q228" i="2"/>
  <c r="W228" i="2" s="1"/>
  <c r="N228" i="2"/>
  <c r="O228" i="2" s="1"/>
  <c r="J228" i="2"/>
  <c r="X228" i="2" s="1"/>
  <c r="Y228" i="2" s="1"/>
  <c r="V227" i="2"/>
  <c r="U227" i="2"/>
  <c r="T227" i="2"/>
  <c r="S227" i="2"/>
  <c r="Q227" i="2"/>
  <c r="W227" i="2" s="1"/>
  <c r="N227" i="2"/>
  <c r="O227" i="2" s="1"/>
  <c r="J227" i="2"/>
  <c r="X227" i="2" s="1"/>
  <c r="Y227" i="2" s="1"/>
  <c r="V226" i="2"/>
  <c r="U226" i="2"/>
  <c r="T226" i="2"/>
  <c r="S226" i="2"/>
  <c r="Q226" i="2"/>
  <c r="W226" i="2" s="1"/>
  <c r="N226" i="2"/>
  <c r="O226" i="2" s="1"/>
  <c r="J226" i="2"/>
  <c r="X226" i="2" s="1"/>
  <c r="Y226" i="2" s="1"/>
  <c r="V225" i="2"/>
  <c r="U225" i="2"/>
  <c r="T225" i="2"/>
  <c r="S225" i="2"/>
  <c r="Q225" i="2"/>
  <c r="W225" i="2" s="1"/>
  <c r="N225" i="2"/>
  <c r="O225" i="2" s="1"/>
  <c r="J225" i="2"/>
  <c r="X225" i="2" s="1"/>
  <c r="Y225" i="2" s="1"/>
  <c r="V224" i="2"/>
  <c r="U224" i="2"/>
  <c r="T224" i="2"/>
  <c r="S224" i="2"/>
  <c r="Q224" i="2"/>
  <c r="W224" i="2" s="1"/>
  <c r="N224" i="2"/>
  <c r="O224" i="2" s="1"/>
  <c r="J224" i="2"/>
  <c r="X224" i="2" s="1"/>
  <c r="Y224" i="2" s="1"/>
  <c r="V223" i="2"/>
  <c r="U223" i="2"/>
  <c r="T223" i="2"/>
  <c r="S223" i="2"/>
  <c r="Q223" i="2"/>
  <c r="W223" i="2" s="1"/>
  <c r="N223" i="2"/>
  <c r="O223" i="2" s="1"/>
  <c r="J223" i="2"/>
  <c r="X223" i="2" s="1"/>
  <c r="Y223" i="2" s="1"/>
  <c r="V222" i="2"/>
  <c r="U222" i="2"/>
  <c r="T222" i="2"/>
  <c r="S222" i="2"/>
  <c r="Q222" i="2"/>
  <c r="W222" i="2" s="1"/>
  <c r="N222" i="2"/>
  <c r="O222" i="2" s="1"/>
  <c r="J222" i="2"/>
  <c r="X222" i="2" s="1"/>
  <c r="Y222" i="2" s="1"/>
  <c r="V221" i="2"/>
  <c r="U221" i="2"/>
  <c r="T221" i="2"/>
  <c r="S221" i="2"/>
  <c r="Q221" i="2"/>
  <c r="W221" i="2" s="1"/>
  <c r="N221" i="2"/>
  <c r="O221" i="2" s="1"/>
  <c r="J221" i="2"/>
  <c r="X221" i="2" s="1"/>
  <c r="Y221" i="2" s="1"/>
  <c r="V220" i="2"/>
  <c r="U220" i="2"/>
  <c r="T220" i="2"/>
  <c r="S220" i="2"/>
  <c r="Q220" i="2"/>
  <c r="W220" i="2" s="1"/>
  <c r="N220" i="2"/>
  <c r="O220" i="2" s="1"/>
  <c r="J220" i="2"/>
  <c r="X220" i="2" s="1"/>
  <c r="Y220" i="2" s="1"/>
  <c r="V219" i="2"/>
  <c r="U219" i="2"/>
  <c r="T219" i="2"/>
  <c r="S219" i="2"/>
  <c r="Q219" i="2"/>
  <c r="W219" i="2" s="1"/>
  <c r="N219" i="2"/>
  <c r="O219" i="2" s="1"/>
  <c r="J219" i="2"/>
  <c r="X219" i="2" s="1"/>
  <c r="Y219" i="2" s="1"/>
  <c r="V218" i="2"/>
  <c r="U218" i="2"/>
  <c r="T218" i="2"/>
  <c r="S218" i="2"/>
  <c r="Q218" i="2"/>
  <c r="W218" i="2" s="1"/>
  <c r="N218" i="2"/>
  <c r="O218" i="2" s="1"/>
  <c r="J218" i="2"/>
  <c r="X218" i="2" s="1"/>
  <c r="Y218" i="2" s="1"/>
  <c r="V217" i="2"/>
  <c r="U217" i="2"/>
  <c r="T217" i="2"/>
  <c r="S217" i="2"/>
  <c r="Q217" i="2"/>
  <c r="W217" i="2" s="1"/>
  <c r="N217" i="2"/>
  <c r="O217" i="2" s="1"/>
  <c r="J217" i="2"/>
  <c r="X217" i="2" s="1"/>
  <c r="Y217" i="2" s="1"/>
  <c r="V216" i="2"/>
  <c r="U216" i="2"/>
  <c r="T216" i="2"/>
  <c r="S216" i="2"/>
  <c r="Q216" i="2"/>
  <c r="W216" i="2" s="1"/>
  <c r="N216" i="2"/>
  <c r="O216" i="2" s="1"/>
  <c r="J216" i="2"/>
  <c r="X216" i="2" s="1"/>
  <c r="Y216" i="2" s="1"/>
  <c r="V215" i="2"/>
  <c r="U215" i="2"/>
  <c r="T215" i="2"/>
  <c r="S215" i="2"/>
  <c r="Q215" i="2"/>
  <c r="W215" i="2" s="1"/>
  <c r="N215" i="2"/>
  <c r="O215" i="2" s="1"/>
  <c r="J215" i="2"/>
  <c r="X215" i="2" s="1"/>
  <c r="Y215" i="2" s="1"/>
  <c r="V214" i="2"/>
  <c r="U214" i="2"/>
  <c r="T214" i="2"/>
  <c r="S214" i="2"/>
  <c r="Q214" i="2"/>
  <c r="W214" i="2" s="1"/>
  <c r="N214" i="2"/>
  <c r="O214" i="2" s="1"/>
  <c r="J214" i="2"/>
  <c r="X214" i="2" s="1"/>
  <c r="Y214" i="2" s="1"/>
  <c r="V213" i="2"/>
  <c r="U213" i="2"/>
  <c r="T213" i="2"/>
  <c r="S213" i="2"/>
  <c r="Q213" i="2"/>
  <c r="W213" i="2" s="1"/>
  <c r="N213" i="2"/>
  <c r="O213" i="2" s="1"/>
  <c r="J213" i="2"/>
  <c r="X213" i="2" s="1"/>
  <c r="Y213" i="2" s="1"/>
  <c r="V212" i="2"/>
  <c r="U212" i="2"/>
  <c r="T212" i="2"/>
  <c r="S212" i="2"/>
  <c r="Q212" i="2"/>
  <c r="W212" i="2" s="1"/>
  <c r="N212" i="2"/>
  <c r="O212" i="2" s="1"/>
  <c r="J212" i="2"/>
  <c r="X212" i="2" s="1"/>
  <c r="Y212" i="2" s="1"/>
  <c r="V211" i="2"/>
  <c r="U211" i="2"/>
  <c r="T211" i="2"/>
  <c r="S211" i="2"/>
  <c r="Q211" i="2"/>
  <c r="W211" i="2" s="1"/>
  <c r="N211" i="2"/>
  <c r="O211" i="2" s="1"/>
  <c r="J211" i="2"/>
  <c r="X211" i="2" s="1"/>
  <c r="Y211" i="2" s="1"/>
  <c r="V210" i="2"/>
  <c r="U210" i="2"/>
  <c r="T210" i="2"/>
  <c r="S210" i="2"/>
  <c r="Q210" i="2"/>
  <c r="W210" i="2" s="1"/>
  <c r="N210" i="2"/>
  <c r="O210" i="2" s="1"/>
  <c r="J210" i="2"/>
  <c r="X210" i="2" s="1"/>
  <c r="Y210" i="2" s="1"/>
  <c r="V209" i="2"/>
  <c r="U209" i="2"/>
  <c r="T209" i="2"/>
  <c r="S209" i="2"/>
  <c r="Q209" i="2"/>
  <c r="W209" i="2" s="1"/>
  <c r="N209" i="2"/>
  <c r="O209" i="2" s="1"/>
  <c r="J209" i="2"/>
  <c r="X209" i="2" s="1"/>
  <c r="Y209" i="2" s="1"/>
  <c r="V208" i="2"/>
  <c r="U208" i="2"/>
  <c r="T208" i="2"/>
  <c r="S208" i="2"/>
  <c r="Q208" i="2"/>
  <c r="W208" i="2" s="1"/>
  <c r="N208" i="2"/>
  <c r="O208" i="2" s="1"/>
  <c r="J208" i="2"/>
  <c r="X208" i="2" s="1"/>
  <c r="Y208" i="2" s="1"/>
  <c r="V207" i="2"/>
  <c r="U207" i="2"/>
  <c r="T207" i="2"/>
  <c r="S207" i="2"/>
  <c r="Q207" i="2"/>
  <c r="W207" i="2" s="1"/>
  <c r="N207" i="2"/>
  <c r="O207" i="2" s="1"/>
  <c r="J207" i="2"/>
  <c r="X207" i="2" s="1"/>
  <c r="Y207" i="2" s="1"/>
  <c r="V206" i="2"/>
  <c r="U206" i="2"/>
  <c r="T206" i="2"/>
  <c r="S206" i="2"/>
  <c r="Q206" i="2"/>
  <c r="W206" i="2" s="1"/>
  <c r="N206" i="2"/>
  <c r="O206" i="2" s="1"/>
  <c r="J206" i="2"/>
  <c r="X206" i="2" s="1"/>
  <c r="Y206" i="2" s="1"/>
  <c r="V205" i="2"/>
  <c r="U205" i="2"/>
  <c r="T205" i="2"/>
  <c r="S205" i="2"/>
  <c r="Q205" i="2"/>
  <c r="W205" i="2" s="1"/>
  <c r="N205" i="2"/>
  <c r="O205" i="2" s="1"/>
  <c r="J205" i="2"/>
  <c r="X205" i="2" s="1"/>
  <c r="Y205" i="2" s="1"/>
  <c r="V204" i="2"/>
  <c r="U204" i="2"/>
  <c r="T204" i="2"/>
  <c r="S204" i="2"/>
  <c r="Q204" i="2"/>
  <c r="W204" i="2" s="1"/>
  <c r="N204" i="2"/>
  <c r="O204" i="2" s="1"/>
  <c r="J204" i="2"/>
  <c r="X204" i="2" s="1"/>
  <c r="Y204" i="2" s="1"/>
  <c r="V203" i="2"/>
  <c r="U203" i="2"/>
  <c r="T203" i="2"/>
  <c r="S203" i="2"/>
  <c r="Q203" i="2"/>
  <c r="W203" i="2" s="1"/>
  <c r="N203" i="2"/>
  <c r="O203" i="2" s="1"/>
  <c r="J203" i="2"/>
  <c r="X203" i="2" s="1"/>
  <c r="Y203" i="2" s="1"/>
  <c r="V202" i="2"/>
  <c r="U202" i="2"/>
  <c r="T202" i="2"/>
  <c r="S202" i="2"/>
  <c r="Q202" i="2"/>
  <c r="W202" i="2" s="1"/>
  <c r="N202" i="2"/>
  <c r="O202" i="2" s="1"/>
  <c r="J202" i="2"/>
  <c r="X202" i="2" s="1"/>
  <c r="Y202" i="2" s="1"/>
  <c r="V201" i="2"/>
  <c r="U201" i="2"/>
  <c r="T201" i="2"/>
  <c r="S201" i="2"/>
  <c r="Q201" i="2"/>
  <c r="W201" i="2" s="1"/>
  <c r="N201" i="2"/>
  <c r="O201" i="2" s="1"/>
  <c r="J201" i="2"/>
  <c r="X201" i="2" s="1"/>
  <c r="Y201" i="2" s="1"/>
  <c r="X200" i="2"/>
  <c r="Y200" i="2" s="1"/>
  <c r="W200" i="2"/>
  <c r="V200" i="2"/>
  <c r="U200" i="2"/>
  <c r="T200" i="2"/>
  <c r="S200" i="2"/>
  <c r="Q200" i="2"/>
  <c r="N200" i="2"/>
  <c r="O200" i="2" s="1"/>
  <c r="J200" i="2"/>
  <c r="V199" i="2"/>
  <c r="U199" i="2"/>
  <c r="T199" i="2"/>
  <c r="S199" i="2"/>
  <c r="Q199" i="2"/>
  <c r="W199" i="2" s="1"/>
  <c r="N199" i="2"/>
  <c r="O199" i="2" s="1"/>
  <c r="J199" i="2"/>
  <c r="X199" i="2" s="1"/>
  <c r="Y199" i="2" s="1"/>
  <c r="V198" i="2"/>
  <c r="U198" i="2"/>
  <c r="T198" i="2"/>
  <c r="S198" i="2"/>
  <c r="Q198" i="2"/>
  <c r="W198" i="2" s="1"/>
  <c r="N198" i="2"/>
  <c r="O198" i="2" s="1"/>
  <c r="J198" i="2"/>
  <c r="X198" i="2" s="1"/>
  <c r="Y198" i="2" s="1"/>
  <c r="V197" i="2"/>
  <c r="U197" i="2"/>
  <c r="T197" i="2"/>
  <c r="S197" i="2"/>
  <c r="Q197" i="2"/>
  <c r="W197" i="2" s="1"/>
  <c r="N197" i="2"/>
  <c r="O197" i="2" s="1"/>
  <c r="J197" i="2"/>
  <c r="X197" i="2" s="1"/>
  <c r="Y197" i="2" s="1"/>
  <c r="V196" i="2"/>
  <c r="U196" i="2"/>
  <c r="T196" i="2"/>
  <c r="S196" i="2"/>
  <c r="Q196" i="2"/>
  <c r="W196" i="2" s="1"/>
  <c r="N196" i="2"/>
  <c r="O196" i="2" s="1"/>
  <c r="J196" i="2"/>
  <c r="X196" i="2" s="1"/>
  <c r="Y196" i="2" s="1"/>
  <c r="V195" i="2"/>
  <c r="U195" i="2"/>
  <c r="T195" i="2"/>
  <c r="S195" i="2"/>
  <c r="Q195" i="2"/>
  <c r="W195" i="2" s="1"/>
  <c r="N195" i="2"/>
  <c r="O195" i="2" s="1"/>
  <c r="J195" i="2"/>
  <c r="X195" i="2" s="1"/>
  <c r="Y195" i="2" s="1"/>
  <c r="V194" i="2"/>
  <c r="U194" i="2"/>
  <c r="T194" i="2"/>
  <c r="S194" i="2"/>
  <c r="Q194" i="2"/>
  <c r="W194" i="2" s="1"/>
  <c r="N194" i="2"/>
  <c r="O194" i="2" s="1"/>
  <c r="J194" i="2"/>
  <c r="X194" i="2" s="1"/>
  <c r="Y194" i="2" s="1"/>
  <c r="V193" i="2"/>
  <c r="U193" i="2"/>
  <c r="T193" i="2"/>
  <c r="S193" i="2"/>
  <c r="Q193" i="2"/>
  <c r="W193" i="2" s="1"/>
  <c r="N193" i="2"/>
  <c r="O193" i="2" s="1"/>
  <c r="J193" i="2"/>
  <c r="X193" i="2" s="1"/>
  <c r="Y193" i="2" s="1"/>
  <c r="V192" i="2"/>
  <c r="U192" i="2"/>
  <c r="T192" i="2"/>
  <c r="S192" i="2"/>
  <c r="Q192" i="2"/>
  <c r="W192" i="2" s="1"/>
  <c r="N192" i="2"/>
  <c r="O192" i="2" s="1"/>
  <c r="J192" i="2"/>
  <c r="X192" i="2" s="1"/>
  <c r="Y192" i="2" s="1"/>
  <c r="V191" i="2"/>
  <c r="U191" i="2"/>
  <c r="T191" i="2"/>
  <c r="S191" i="2"/>
  <c r="Q191" i="2"/>
  <c r="W191" i="2" s="1"/>
  <c r="N191" i="2"/>
  <c r="O191" i="2" s="1"/>
  <c r="J191" i="2"/>
  <c r="X191" i="2" s="1"/>
  <c r="Y191" i="2" s="1"/>
  <c r="V190" i="2"/>
  <c r="U190" i="2"/>
  <c r="T190" i="2"/>
  <c r="S190" i="2"/>
  <c r="Q190" i="2"/>
  <c r="W190" i="2" s="1"/>
  <c r="N190" i="2"/>
  <c r="O190" i="2" s="1"/>
  <c r="J190" i="2"/>
  <c r="X190" i="2" s="1"/>
  <c r="Y190" i="2" s="1"/>
  <c r="V189" i="2"/>
  <c r="U189" i="2"/>
  <c r="T189" i="2"/>
  <c r="S189" i="2"/>
  <c r="Q189" i="2"/>
  <c r="W189" i="2" s="1"/>
  <c r="N189" i="2"/>
  <c r="O189" i="2" s="1"/>
  <c r="J189" i="2"/>
  <c r="X189" i="2" s="1"/>
  <c r="Y189" i="2" s="1"/>
  <c r="V188" i="2"/>
  <c r="U188" i="2"/>
  <c r="T188" i="2"/>
  <c r="S188" i="2"/>
  <c r="Q188" i="2"/>
  <c r="W188" i="2" s="1"/>
  <c r="N188" i="2"/>
  <c r="O188" i="2" s="1"/>
  <c r="J188" i="2"/>
  <c r="X188" i="2" s="1"/>
  <c r="Y188" i="2" s="1"/>
  <c r="V187" i="2"/>
  <c r="U187" i="2"/>
  <c r="T187" i="2"/>
  <c r="S187" i="2"/>
  <c r="Q187" i="2"/>
  <c r="W187" i="2" s="1"/>
  <c r="N187" i="2"/>
  <c r="O187" i="2" s="1"/>
  <c r="J187" i="2"/>
  <c r="X187" i="2" s="1"/>
  <c r="Y187" i="2" s="1"/>
  <c r="V186" i="2"/>
  <c r="U186" i="2"/>
  <c r="T186" i="2"/>
  <c r="S186" i="2"/>
  <c r="Q186" i="2"/>
  <c r="W186" i="2" s="1"/>
  <c r="N186" i="2"/>
  <c r="O186" i="2" s="1"/>
  <c r="J186" i="2"/>
  <c r="X186" i="2" s="1"/>
  <c r="Y186" i="2" s="1"/>
  <c r="V185" i="2"/>
  <c r="U185" i="2"/>
  <c r="T185" i="2"/>
  <c r="S185" i="2"/>
  <c r="Q185" i="2"/>
  <c r="W185" i="2" s="1"/>
  <c r="N185" i="2"/>
  <c r="O185" i="2" s="1"/>
  <c r="J185" i="2"/>
  <c r="X185" i="2" s="1"/>
  <c r="Y185" i="2" s="1"/>
  <c r="V184" i="2"/>
  <c r="U184" i="2"/>
  <c r="T184" i="2"/>
  <c r="S184" i="2"/>
  <c r="Q184" i="2"/>
  <c r="W184" i="2" s="1"/>
  <c r="N184" i="2"/>
  <c r="O184" i="2" s="1"/>
  <c r="J184" i="2"/>
  <c r="X184" i="2" s="1"/>
  <c r="Y184" i="2" s="1"/>
  <c r="V183" i="2"/>
  <c r="U183" i="2"/>
  <c r="T183" i="2"/>
  <c r="S183" i="2"/>
  <c r="Q183" i="2"/>
  <c r="W183" i="2" s="1"/>
  <c r="N183" i="2"/>
  <c r="O183" i="2" s="1"/>
  <c r="J183" i="2"/>
  <c r="X183" i="2" s="1"/>
  <c r="Y183" i="2" s="1"/>
  <c r="V182" i="2"/>
  <c r="U182" i="2"/>
  <c r="T182" i="2"/>
  <c r="S182" i="2"/>
  <c r="Q182" i="2"/>
  <c r="W182" i="2" s="1"/>
  <c r="N182" i="2"/>
  <c r="O182" i="2" s="1"/>
  <c r="J182" i="2"/>
  <c r="X182" i="2" s="1"/>
  <c r="Y182" i="2" s="1"/>
  <c r="V181" i="2"/>
  <c r="U181" i="2"/>
  <c r="T181" i="2"/>
  <c r="S181" i="2"/>
  <c r="Q181" i="2"/>
  <c r="W181" i="2" s="1"/>
  <c r="N181" i="2"/>
  <c r="O181" i="2" s="1"/>
  <c r="J181" i="2"/>
  <c r="X181" i="2" s="1"/>
  <c r="Y181" i="2" s="1"/>
  <c r="V180" i="2"/>
  <c r="U180" i="2"/>
  <c r="T180" i="2"/>
  <c r="S180" i="2"/>
  <c r="Q180" i="2"/>
  <c r="W180" i="2" s="1"/>
  <c r="N180" i="2"/>
  <c r="O180" i="2" s="1"/>
  <c r="J180" i="2"/>
  <c r="X180" i="2" s="1"/>
  <c r="Y180" i="2" s="1"/>
  <c r="V179" i="2"/>
  <c r="U179" i="2"/>
  <c r="T179" i="2"/>
  <c r="S179" i="2"/>
  <c r="Q179" i="2"/>
  <c r="W179" i="2" s="1"/>
  <c r="N179" i="2"/>
  <c r="O179" i="2" s="1"/>
  <c r="J179" i="2"/>
  <c r="X179" i="2" s="1"/>
  <c r="Y179" i="2" s="1"/>
  <c r="V178" i="2"/>
  <c r="U178" i="2"/>
  <c r="T178" i="2"/>
  <c r="S178" i="2"/>
  <c r="Q178" i="2"/>
  <c r="W178" i="2" s="1"/>
  <c r="N178" i="2"/>
  <c r="O178" i="2" s="1"/>
  <c r="J178" i="2"/>
  <c r="X178" i="2" s="1"/>
  <c r="Y178" i="2" s="1"/>
  <c r="V177" i="2"/>
  <c r="U177" i="2"/>
  <c r="T177" i="2"/>
  <c r="S177" i="2"/>
  <c r="Q177" i="2"/>
  <c r="W177" i="2" s="1"/>
  <c r="N177" i="2"/>
  <c r="O177" i="2" s="1"/>
  <c r="J177" i="2"/>
  <c r="X177" i="2" s="1"/>
  <c r="Y177" i="2" s="1"/>
  <c r="V176" i="2"/>
  <c r="U176" i="2"/>
  <c r="T176" i="2"/>
  <c r="S176" i="2"/>
  <c r="Q176" i="2"/>
  <c r="W176" i="2" s="1"/>
  <c r="N176" i="2"/>
  <c r="O176" i="2" s="1"/>
  <c r="J176" i="2"/>
  <c r="X176" i="2" s="1"/>
  <c r="Y176" i="2" s="1"/>
  <c r="V175" i="2"/>
  <c r="U175" i="2"/>
  <c r="T175" i="2"/>
  <c r="S175" i="2"/>
  <c r="Q175" i="2"/>
  <c r="W175" i="2" s="1"/>
  <c r="N175" i="2"/>
  <c r="O175" i="2" s="1"/>
  <c r="J175" i="2"/>
  <c r="X175" i="2" s="1"/>
  <c r="Y175" i="2" s="1"/>
  <c r="V174" i="2"/>
  <c r="U174" i="2"/>
  <c r="T174" i="2"/>
  <c r="S174" i="2"/>
  <c r="Q174" i="2"/>
  <c r="W174" i="2" s="1"/>
  <c r="N174" i="2"/>
  <c r="O174" i="2" s="1"/>
  <c r="J174" i="2"/>
  <c r="X174" i="2" s="1"/>
  <c r="Y174" i="2" s="1"/>
  <c r="V173" i="2"/>
  <c r="U173" i="2"/>
  <c r="T173" i="2"/>
  <c r="S173" i="2"/>
  <c r="Q173" i="2"/>
  <c r="W173" i="2" s="1"/>
  <c r="N173" i="2"/>
  <c r="O173" i="2" s="1"/>
  <c r="J173" i="2"/>
  <c r="X173" i="2" s="1"/>
  <c r="Y173" i="2" s="1"/>
  <c r="V172" i="2"/>
  <c r="U172" i="2"/>
  <c r="T172" i="2"/>
  <c r="S172" i="2"/>
  <c r="Q172" i="2"/>
  <c r="W172" i="2" s="1"/>
  <c r="N172" i="2"/>
  <c r="O172" i="2" s="1"/>
  <c r="J172" i="2"/>
  <c r="X172" i="2" s="1"/>
  <c r="Y172" i="2" s="1"/>
  <c r="V171" i="2"/>
  <c r="U171" i="2"/>
  <c r="T171" i="2"/>
  <c r="S171" i="2"/>
  <c r="Q171" i="2"/>
  <c r="W171" i="2" s="1"/>
  <c r="N171" i="2"/>
  <c r="O171" i="2" s="1"/>
  <c r="J171" i="2"/>
  <c r="X171" i="2" s="1"/>
  <c r="Y171" i="2" s="1"/>
  <c r="V170" i="2"/>
  <c r="U170" i="2"/>
  <c r="T170" i="2"/>
  <c r="S170" i="2"/>
  <c r="Q170" i="2"/>
  <c r="W170" i="2" s="1"/>
  <c r="N170" i="2"/>
  <c r="O170" i="2" s="1"/>
  <c r="J170" i="2"/>
  <c r="X170" i="2" s="1"/>
  <c r="Y170" i="2" s="1"/>
  <c r="V169" i="2"/>
  <c r="U169" i="2"/>
  <c r="T169" i="2"/>
  <c r="S169" i="2"/>
  <c r="Q169" i="2"/>
  <c r="W169" i="2" s="1"/>
  <c r="N169" i="2"/>
  <c r="O169" i="2" s="1"/>
  <c r="J169" i="2"/>
  <c r="X169" i="2" s="1"/>
  <c r="Y169" i="2" s="1"/>
  <c r="V168" i="2"/>
  <c r="U168" i="2"/>
  <c r="T168" i="2"/>
  <c r="S168" i="2"/>
  <c r="Q168" i="2"/>
  <c r="W168" i="2" s="1"/>
  <c r="N168" i="2"/>
  <c r="O168" i="2" s="1"/>
  <c r="J168" i="2"/>
  <c r="X168" i="2" s="1"/>
  <c r="Y168" i="2" s="1"/>
  <c r="V167" i="2"/>
  <c r="U167" i="2"/>
  <c r="T167" i="2"/>
  <c r="S167" i="2"/>
  <c r="Q167" i="2"/>
  <c r="W167" i="2" s="1"/>
  <c r="N167" i="2"/>
  <c r="O167" i="2" s="1"/>
  <c r="J167" i="2"/>
  <c r="X167" i="2" s="1"/>
  <c r="Y167" i="2" s="1"/>
  <c r="V166" i="2"/>
  <c r="U166" i="2"/>
  <c r="T166" i="2"/>
  <c r="S166" i="2"/>
  <c r="Q166" i="2"/>
  <c r="W166" i="2" s="1"/>
  <c r="N166" i="2"/>
  <c r="O166" i="2" s="1"/>
  <c r="J166" i="2"/>
  <c r="X166" i="2" s="1"/>
  <c r="Y166" i="2" s="1"/>
  <c r="V165" i="2"/>
  <c r="U165" i="2"/>
  <c r="T165" i="2"/>
  <c r="S165" i="2"/>
  <c r="Q165" i="2"/>
  <c r="W165" i="2" s="1"/>
  <c r="N165" i="2"/>
  <c r="O165" i="2" s="1"/>
  <c r="J165" i="2"/>
  <c r="X165" i="2" s="1"/>
  <c r="Y165" i="2" s="1"/>
  <c r="V164" i="2"/>
  <c r="U164" i="2"/>
  <c r="T164" i="2"/>
  <c r="S164" i="2"/>
  <c r="Q164" i="2"/>
  <c r="W164" i="2" s="1"/>
  <c r="N164" i="2"/>
  <c r="O164" i="2" s="1"/>
  <c r="J164" i="2"/>
  <c r="X164" i="2" s="1"/>
  <c r="Y164" i="2" s="1"/>
  <c r="V163" i="2"/>
  <c r="U163" i="2"/>
  <c r="T163" i="2"/>
  <c r="S163" i="2"/>
  <c r="Q163" i="2"/>
  <c r="W163" i="2" s="1"/>
  <c r="N163" i="2"/>
  <c r="O163" i="2" s="1"/>
  <c r="J163" i="2"/>
  <c r="X163" i="2" s="1"/>
  <c r="Y163" i="2" s="1"/>
  <c r="V162" i="2"/>
  <c r="U162" i="2"/>
  <c r="T162" i="2"/>
  <c r="S162" i="2"/>
  <c r="Q162" i="2"/>
  <c r="W162" i="2" s="1"/>
  <c r="N162" i="2"/>
  <c r="O162" i="2" s="1"/>
  <c r="J162" i="2"/>
  <c r="X162" i="2" s="1"/>
  <c r="Y162" i="2" s="1"/>
  <c r="V161" i="2"/>
  <c r="U161" i="2"/>
  <c r="T161" i="2"/>
  <c r="S161" i="2"/>
  <c r="Q161" i="2"/>
  <c r="W161" i="2" s="1"/>
  <c r="N161" i="2"/>
  <c r="O161" i="2" s="1"/>
  <c r="J161" i="2"/>
  <c r="X161" i="2" s="1"/>
  <c r="Y161" i="2" s="1"/>
  <c r="V160" i="2"/>
  <c r="U160" i="2"/>
  <c r="T160" i="2"/>
  <c r="S160" i="2"/>
  <c r="Q160" i="2"/>
  <c r="W160" i="2" s="1"/>
  <c r="N160" i="2"/>
  <c r="O160" i="2" s="1"/>
  <c r="J160" i="2"/>
  <c r="X160" i="2" s="1"/>
  <c r="Y160" i="2" s="1"/>
  <c r="V159" i="2"/>
  <c r="U159" i="2"/>
  <c r="T159" i="2"/>
  <c r="S159" i="2"/>
  <c r="Q159" i="2"/>
  <c r="W159" i="2" s="1"/>
  <c r="N159" i="2"/>
  <c r="O159" i="2" s="1"/>
  <c r="J159" i="2"/>
  <c r="X159" i="2" s="1"/>
  <c r="Y159" i="2" s="1"/>
  <c r="V158" i="2"/>
  <c r="U158" i="2"/>
  <c r="T158" i="2"/>
  <c r="S158" i="2"/>
  <c r="Q158" i="2"/>
  <c r="W158" i="2" s="1"/>
  <c r="N158" i="2"/>
  <c r="O158" i="2" s="1"/>
  <c r="J158" i="2"/>
  <c r="X158" i="2" s="1"/>
  <c r="Y158" i="2" s="1"/>
  <c r="V157" i="2"/>
  <c r="U157" i="2"/>
  <c r="T157" i="2"/>
  <c r="S157" i="2"/>
  <c r="Q157" i="2"/>
  <c r="W157" i="2" s="1"/>
  <c r="N157" i="2"/>
  <c r="O157" i="2" s="1"/>
  <c r="J157" i="2"/>
  <c r="X157" i="2" s="1"/>
  <c r="Y157" i="2" s="1"/>
  <c r="V156" i="2"/>
  <c r="U156" i="2"/>
  <c r="T156" i="2"/>
  <c r="S156" i="2"/>
  <c r="Q156" i="2"/>
  <c r="W156" i="2" s="1"/>
  <c r="N156" i="2"/>
  <c r="O156" i="2" s="1"/>
  <c r="J156" i="2"/>
  <c r="X156" i="2" s="1"/>
  <c r="Y156" i="2" s="1"/>
  <c r="V155" i="2"/>
  <c r="U155" i="2"/>
  <c r="T155" i="2"/>
  <c r="S155" i="2"/>
  <c r="Q155" i="2"/>
  <c r="W155" i="2" s="1"/>
  <c r="N155" i="2"/>
  <c r="O155" i="2" s="1"/>
  <c r="J155" i="2"/>
  <c r="X155" i="2" s="1"/>
  <c r="Y155" i="2" s="1"/>
  <c r="V154" i="2"/>
  <c r="U154" i="2"/>
  <c r="T154" i="2"/>
  <c r="S154" i="2"/>
  <c r="Q154" i="2"/>
  <c r="W154" i="2" s="1"/>
  <c r="N154" i="2"/>
  <c r="O154" i="2" s="1"/>
  <c r="J154" i="2"/>
  <c r="X154" i="2" s="1"/>
  <c r="Y154" i="2" s="1"/>
  <c r="V153" i="2"/>
  <c r="U153" i="2"/>
  <c r="T153" i="2"/>
  <c r="S153" i="2"/>
  <c r="Q153" i="2"/>
  <c r="W153" i="2" s="1"/>
  <c r="N153" i="2"/>
  <c r="O153" i="2" s="1"/>
  <c r="J153" i="2"/>
  <c r="X153" i="2" s="1"/>
  <c r="Y153" i="2" s="1"/>
  <c r="V152" i="2"/>
  <c r="U152" i="2"/>
  <c r="T152" i="2"/>
  <c r="S152" i="2"/>
  <c r="Q152" i="2"/>
  <c r="W152" i="2" s="1"/>
  <c r="N152" i="2"/>
  <c r="O152" i="2" s="1"/>
  <c r="J152" i="2"/>
  <c r="X152" i="2" s="1"/>
  <c r="Y152" i="2" s="1"/>
  <c r="V151" i="2"/>
  <c r="U151" i="2"/>
  <c r="T151" i="2"/>
  <c r="S151" i="2"/>
  <c r="Q151" i="2"/>
  <c r="W151" i="2" s="1"/>
  <c r="N151" i="2"/>
  <c r="O151" i="2" s="1"/>
  <c r="J151" i="2"/>
  <c r="X151" i="2" s="1"/>
  <c r="Y151" i="2" s="1"/>
  <c r="V150" i="2"/>
  <c r="U150" i="2"/>
  <c r="T150" i="2"/>
  <c r="S150" i="2"/>
  <c r="Q150" i="2"/>
  <c r="W150" i="2" s="1"/>
  <c r="N150" i="2"/>
  <c r="O150" i="2" s="1"/>
  <c r="J150" i="2"/>
  <c r="X150" i="2" s="1"/>
  <c r="Y150" i="2" s="1"/>
  <c r="V149" i="2"/>
  <c r="U149" i="2"/>
  <c r="T149" i="2"/>
  <c r="S149" i="2"/>
  <c r="Q149" i="2"/>
  <c r="W149" i="2" s="1"/>
  <c r="N149" i="2"/>
  <c r="O149" i="2" s="1"/>
  <c r="J149" i="2"/>
  <c r="X149" i="2" s="1"/>
  <c r="Y149" i="2" s="1"/>
  <c r="V148" i="2"/>
  <c r="U148" i="2"/>
  <c r="T148" i="2"/>
  <c r="S148" i="2"/>
  <c r="Q148" i="2"/>
  <c r="W148" i="2" s="1"/>
  <c r="N148" i="2"/>
  <c r="O148" i="2" s="1"/>
  <c r="J148" i="2"/>
  <c r="X148" i="2" s="1"/>
  <c r="Y148" i="2" s="1"/>
  <c r="V147" i="2"/>
  <c r="U147" i="2"/>
  <c r="T147" i="2"/>
  <c r="S147" i="2"/>
  <c r="Q147" i="2"/>
  <c r="W147" i="2" s="1"/>
  <c r="N147" i="2"/>
  <c r="O147" i="2" s="1"/>
  <c r="J147" i="2"/>
  <c r="X147" i="2" s="1"/>
  <c r="Y147" i="2" s="1"/>
  <c r="V146" i="2"/>
  <c r="U146" i="2"/>
  <c r="T146" i="2"/>
  <c r="S146" i="2"/>
  <c r="Q146" i="2"/>
  <c r="W146" i="2" s="1"/>
  <c r="N146" i="2"/>
  <c r="O146" i="2" s="1"/>
  <c r="J146" i="2"/>
  <c r="X146" i="2" s="1"/>
  <c r="Y146" i="2" s="1"/>
  <c r="V145" i="2"/>
  <c r="U145" i="2"/>
  <c r="T145" i="2"/>
  <c r="S145" i="2"/>
  <c r="Q145" i="2"/>
  <c r="W145" i="2" s="1"/>
  <c r="N145" i="2"/>
  <c r="O145" i="2" s="1"/>
  <c r="J145" i="2"/>
  <c r="X145" i="2" s="1"/>
  <c r="Y145" i="2" s="1"/>
  <c r="V144" i="2"/>
  <c r="U144" i="2"/>
  <c r="T144" i="2"/>
  <c r="S144" i="2"/>
  <c r="Q144" i="2"/>
  <c r="W144" i="2" s="1"/>
  <c r="N144" i="2"/>
  <c r="O144" i="2" s="1"/>
  <c r="J144" i="2"/>
  <c r="X144" i="2" s="1"/>
  <c r="Y144" i="2" s="1"/>
  <c r="V143" i="2"/>
  <c r="U143" i="2"/>
  <c r="T143" i="2"/>
  <c r="S143" i="2"/>
  <c r="Q143" i="2"/>
  <c r="W143" i="2" s="1"/>
  <c r="N143" i="2"/>
  <c r="O143" i="2" s="1"/>
  <c r="J143" i="2"/>
  <c r="X143" i="2" s="1"/>
  <c r="Y143" i="2" s="1"/>
  <c r="V142" i="2"/>
  <c r="U142" i="2"/>
  <c r="T142" i="2"/>
  <c r="S142" i="2"/>
  <c r="Q142" i="2"/>
  <c r="W142" i="2" s="1"/>
  <c r="N142" i="2"/>
  <c r="O142" i="2" s="1"/>
  <c r="J142" i="2"/>
  <c r="X142" i="2" s="1"/>
  <c r="Y142" i="2" s="1"/>
  <c r="V141" i="2"/>
  <c r="U141" i="2"/>
  <c r="T141" i="2"/>
  <c r="S141" i="2"/>
  <c r="Q141" i="2"/>
  <c r="W141" i="2" s="1"/>
  <c r="N141" i="2"/>
  <c r="O141" i="2" s="1"/>
  <c r="J141" i="2"/>
  <c r="X141" i="2" s="1"/>
  <c r="Y141" i="2" s="1"/>
  <c r="V140" i="2"/>
  <c r="U140" i="2"/>
  <c r="T140" i="2"/>
  <c r="S140" i="2"/>
  <c r="Q140" i="2"/>
  <c r="W140" i="2" s="1"/>
  <c r="N140" i="2"/>
  <c r="O140" i="2" s="1"/>
  <c r="J140" i="2"/>
  <c r="X140" i="2" s="1"/>
  <c r="Y140" i="2" s="1"/>
  <c r="V139" i="2"/>
  <c r="U139" i="2"/>
  <c r="T139" i="2"/>
  <c r="S139" i="2"/>
  <c r="Q139" i="2"/>
  <c r="W139" i="2" s="1"/>
  <c r="N139" i="2"/>
  <c r="O139" i="2" s="1"/>
  <c r="J139" i="2"/>
  <c r="X139" i="2" s="1"/>
  <c r="Y139" i="2" s="1"/>
  <c r="V138" i="2"/>
  <c r="U138" i="2"/>
  <c r="T138" i="2"/>
  <c r="S138" i="2"/>
  <c r="Q138" i="2"/>
  <c r="W138" i="2" s="1"/>
  <c r="N138" i="2"/>
  <c r="O138" i="2" s="1"/>
  <c r="J138" i="2"/>
  <c r="X138" i="2" s="1"/>
  <c r="Y138" i="2" s="1"/>
  <c r="V137" i="2"/>
  <c r="U137" i="2"/>
  <c r="T137" i="2"/>
  <c r="S137" i="2"/>
  <c r="Q137" i="2"/>
  <c r="W137" i="2" s="1"/>
  <c r="N137" i="2"/>
  <c r="O137" i="2" s="1"/>
  <c r="J137" i="2"/>
  <c r="X137" i="2" s="1"/>
  <c r="Y137" i="2" s="1"/>
  <c r="V136" i="2"/>
  <c r="U136" i="2"/>
  <c r="T136" i="2"/>
  <c r="S136" i="2"/>
  <c r="Q136" i="2"/>
  <c r="W136" i="2" s="1"/>
  <c r="N136" i="2"/>
  <c r="O136" i="2" s="1"/>
  <c r="J136" i="2"/>
  <c r="X136" i="2" s="1"/>
  <c r="Y136" i="2" s="1"/>
  <c r="V135" i="2"/>
  <c r="U135" i="2"/>
  <c r="T135" i="2"/>
  <c r="S135" i="2"/>
  <c r="Q135" i="2"/>
  <c r="W135" i="2" s="1"/>
  <c r="N135" i="2"/>
  <c r="O135" i="2" s="1"/>
  <c r="J135" i="2"/>
  <c r="X135" i="2" s="1"/>
  <c r="Y135" i="2" s="1"/>
  <c r="V134" i="2"/>
  <c r="U134" i="2"/>
  <c r="T134" i="2"/>
  <c r="S134" i="2"/>
  <c r="Q134" i="2"/>
  <c r="W134" i="2" s="1"/>
  <c r="N134" i="2"/>
  <c r="O134" i="2" s="1"/>
  <c r="J134" i="2"/>
  <c r="X134" i="2" s="1"/>
  <c r="Y134" i="2" s="1"/>
  <c r="V133" i="2"/>
  <c r="U133" i="2"/>
  <c r="T133" i="2"/>
  <c r="S133" i="2"/>
  <c r="Q133" i="2"/>
  <c r="W133" i="2" s="1"/>
  <c r="N133" i="2"/>
  <c r="O133" i="2" s="1"/>
  <c r="J133" i="2"/>
  <c r="X133" i="2" s="1"/>
  <c r="Y133" i="2" s="1"/>
  <c r="V132" i="2"/>
  <c r="U132" i="2"/>
  <c r="T132" i="2"/>
  <c r="S132" i="2"/>
  <c r="Q132" i="2"/>
  <c r="W132" i="2" s="1"/>
  <c r="N132" i="2"/>
  <c r="O132" i="2" s="1"/>
  <c r="J132" i="2"/>
  <c r="X132" i="2" s="1"/>
  <c r="Y132" i="2" s="1"/>
  <c r="V131" i="2"/>
  <c r="U131" i="2"/>
  <c r="T131" i="2"/>
  <c r="S131" i="2"/>
  <c r="Q131" i="2"/>
  <c r="W131" i="2" s="1"/>
  <c r="N131" i="2"/>
  <c r="O131" i="2" s="1"/>
  <c r="J131" i="2"/>
  <c r="X131" i="2" s="1"/>
  <c r="Y131" i="2" s="1"/>
  <c r="V130" i="2"/>
  <c r="U130" i="2"/>
  <c r="T130" i="2"/>
  <c r="S130" i="2"/>
  <c r="Q130" i="2"/>
  <c r="W130" i="2" s="1"/>
  <c r="N130" i="2"/>
  <c r="O130" i="2" s="1"/>
  <c r="J130" i="2"/>
  <c r="X130" i="2" s="1"/>
  <c r="Y130" i="2" s="1"/>
  <c r="V129" i="2"/>
  <c r="U129" i="2"/>
  <c r="T129" i="2"/>
  <c r="S129" i="2"/>
  <c r="Q129" i="2"/>
  <c r="W129" i="2" s="1"/>
  <c r="N129" i="2"/>
  <c r="O129" i="2" s="1"/>
  <c r="J129" i="2"/>
  <c r="X129" i="2" s="1"/>
  <c r="Y129" i="2" s="1"/>
  <c r="V128" i="2"/>
  <c r="U128" i="2"/>
  <c r="T128" i="2"/>
  <c r="S128" i="2"/>
  <c r="Q128" i="2"/>
  <c r="W128" i="2" s="1"/>
  <c r="N128" i="2"/>
  <c r="O128" i="2" s="1"/>
  <c r="J128" i="2"/>
  <c r="X128" i="2" s="1"/>
  <c r="Y128" i="2" s="1"/>
  <c r="V127" i="2"/>
  <c r="U127" i="2"/>
  <c r="T127" i="2"/>
  <c r="S127" i="2"/>
  <c r="Q127" i="2"/>
  <c r="W127" i="2" s="1"/>
  <c r="N127" i="2"/>
  <c r="O127" i="2" s="1"/>
  <c r="J127" i="2"/>
  <c r="X127" i="2" s="1"/>
  <c r="Y127" i="2" s="1"/>
  <c r="V126" i="2"/>
  <c r="U126" i="2"/>
  <c r="T126" i="2"/>
  <c r="S126" i="2"/>
  <c r="Q126" i="2"/>
  <c r="W126" i="2" s="1"/>
  <c r="N126" i="2"/>
  <c r="O126" i="2" s="1"/>
  <c r="J126" i="2"/>
  <c r="X126" i="2" s="1"/>
  <c r="Y126" i="2" s="1"/>
  <c r="V125" i="2"/>
  <c r="U125" i="2"/>
  <c r="T125" i="2"/>
  <c r="S125" i="2"/>
  <c r="Q125" i="2"/>
  <c r="W125" i="2" s="1"/>
  <c r="N125" i="2"/>
  <c r="O125" i="2" s="1"/>
  <c r="J125" i="2"/>
  <c r="X125" i="2" s="1"/>
  <c r="Y125" i="2" s="1"/>
  <c r="V124" i="2"/>
  <c r="U124" i="2"/>
  <c r="T124" i="2"/>
  <c r="S124" i="2"/>
  <c r="Q124" i="2"/>
  <c r="W124" i="2" s="1"/>
  <c r="N124" i="2"/>
  <c r="O124" i="2" s="1"/>
  <c r="J124" i="2"/>
  <c r="X124" i="2" s="1"/>
  <c r="Y124" i="2" s="1"/>
  <c r="V123" i="2"/>
  <c r="U123" i="2"/>
  <c r="T123" i="2"/>
  <c r="S123" i="2"/>
  <c r="Q123" i="2"/>
  <c r="W123" i="2" s="1"/>
  <c r="N123" i="2"/>
  <c r="O123" i="2" s="1"/>
  <c r="J123" i="2"/>
  <c r="X123" i="2" s="1"/>
  <c r="Y123" i="2" s="1"/>
  <c r="V122" i="2"/>
  <c r="U122" i="2"/>
  <c r="T122" i="2"/>
  <c r="S122" i="2"/>
  <c r="Q122" i="2"/>
  <c r="W122" i="2" s="1"/>
  <c r="N122" i="2"/>
  <c r="O122" i="2" s="1"/>
  <c r="J122" i="2"/>
  <c r="X122" i="2" s="1"/>
  <c r="Y122" i="2" s="1"/>
  <c r="V121" i="2"/>
  <c r="U121" i="2"/>
  <c r="T121" i="2"/>
  <c r="S121" i="2"/>
  <c r="Q121" i="2"/>
  <c r="W121" i="2" s="1"/>
  <c r="N121" i="2"/>
  <c r="O121" i="2" s="1"/>
  <c r="J121" i="2"/>
  <c r="X121" i="2" s="1"/>
  <c r="Y121" i="2" s="1"/>
  <c r="V120" i="2"/>
  <c r="U120" i="2"/>
  <c r="T120" i="2"/>
  <c r="S120" i="2"/>
  <c r="Q120" i="2"/>
  <c r="W120" i="2" s="1"/>
  <c r="N120" i="2"/>
  <c r="O120" i="2" s="1"/>
  <c r="J120" i="2"/>
  <c r="X120" i="2" s="1"/>
  <c r="Y120" i="2" s="1"/>
  <c r="V119" i="2"/>
  <c r="U119" i="2"/>
  <c r="T119" i="2"/>
  <c r="S119" i="2"/>
  <c r="Q119" i="2"/>
  <c r="W119" i="2" s="1"/>
  <c r="N119" i="2"/>
  <c r="O119" i="2" s="1"/>
  <c r="J119" i="2"/>
  <c r="X119" i="2" s="1"/>
  <c r="Y119" i="2" s="1"/>
  <c r="V118" i="2"/>
  <c r="U118" i="2"/>
  <c r="T118" i="2"/>
  <c r="S118" i="2"/>
  <c r="Q118" i="2"/>
  <c r="W118" i="2" s="1"/>
  <c r="N118" i="2"/>
  <c r="O118" i="2" s="1"/>
  <c r="J118" i="2"/>
  <c r="X118" i="2" s="1"/>
  <c r="Y118" i="2" s="1"/>
  <c r="V117" i="2"/>
  <c r="U117" i="2"/>
  <c r="T117" i="2"/>
  <c r="S117" i="2"/>
  <c r="Q117" i="2"/>
  <c r="W117" i="2" s="1"/>
  <c r="N117" i="2"/>
  <c r="O117" i="2" s="1"/>
  <c r="J117" i="2"/>
  <c r="X117" i="2" s="1"/>
  <c r="Y117" i="2" s="1"/>
  <c r="V116" i="2"/>
  <c r="U116" i="2"/>
  <c r="T116" i="2"/>
  <c r="S116" i="2"/>
  <c r="Q116" i="2"/>
  <c r="W116" i="2" s="1"/>
  <c r="N116" i="2"/>
  <c r="O116" i="2" s="1"/>
  <c r="J116" i="2"/>
  <c r="X116" i="2" s="1"/>
  <c r="Y116" i="2" s="1"/>
  <c r="V115" i="2"/>
  <c r="U115" i="2"/>
  <c r="T115" i="2"/>
  <c r="S115" i="2"/>
  <c r="Q115" i="2"/>
  <c r="W115" i="2" s="1"/>
  <c r="N115" i="2"/>
  <c r="O115" i="2" s="1"/>
  <c r="J115" i="2"/>
  <c r="X115" i="2" s="1"/>
  <c r="Y115" i="2" s="1"/>
  <c r="V114" i="2"/>
  <c r="U114" i="2"/>
  <c r="T114" i="2"/>
  <c r="S114" i="2"/>
  <c r="Q114" i="2"/>
  <c r="W114" i="2" s="1"/>
  <c r="N114" i="2"/>
  <c r="O114" i="2" s="1"/>
  <c r="J114" i="2"/>
  <c r="X114" i="2" s="1"/>
  <c r="Y114" i="2" s="1"/>
  <c r="V113" i="2"/>
  <c r="U113" i="2"/>
  <c r="T113" i="2"/>
  <c r="S113" i="2"/>
  <c r="Q113" i="2"/>
  <c r="W113" i="2" s="1"/>
  <c r="N113" i="2"/>
  <c r="O113" i="2" s="1"/>
  <c r="J113" i="2"/>
  <c r="X113" i="2" s="1"/>
  <c r="Y113" i="2" s="1"/>
  <c r="V112" i="2"/>
  <c r="U112" i="2"/>
  <c r="T112" i="2"/>
  <c r="S112" i="2"/>
  <c r="Q112" i="2"/>
  <c r="W112" i="2" s="1"/>
  <c r="N112" i="2"/>
  <c r="O112" i="2" s="1"/>
  <c r="J112" i="2"/>
  <c r="X112" i="2" s="1"/>
  <c r="Y112" i="2" s="1"/>
  <c r="V111" i="2"/>
  <c r="U111" i="2"/>
  <c r="T111" i="2"/>
  <c r="S111" i="2"/>
  <c r="Q111" i="2"/>
  <c r="W111" i="2" s="1"/>
  <c r="N111" i="2"/>
  <c r="O111" i="2" s="1"/>
  <c r="J111" i="2"/>
  <c r="X111" i="2" s="1"/>
  <c r="Y111" i="2" s="1"/>
  <c r="V110" i="2"/>
  <c r="U110" i="2"/>
  <c r="T110" i="2"/>
  <c r="S110" i="2"/>
  <c r="Q110" i="2"/>
  <c r="W110" i="2" s="1"/>
  <c r="N110" i="2"/>
  <c r="O110" i="2" s="1"/>
  <c r="J110" i="2"/>
  <c r="X110" i="2" s="1"/>
  <c r="Y110" i="2" s="1"/>
  <c r="V109" i="2"/>
  <c r="U109" i="2"/>
  <c r="T109" i="2"/>
  <c r="S109" i="2"/>
  <c r="Q109" i="2"/>
  <c r="W109" i="2" s="1"/>
  <c r="N109" i="2"/>
  <c r="O109" i="2" s="1"/>
  <c r="J109" i="2"/>
  <c r="X109" i="2" s="1"/>
  <c r="Y109" i="2" s="1"/>
  <c r="V108" i="2"/>
  <c r="U108" i="2"/>
  <c r="T108" i="2"/>
  <c r="S108" i="2"/>
  <c r="Q108" i="2"/>
  <c r="W108" i="2" s="1"/>
  <c r="N108" i="2"/>
  <c r="O108" i="2" s="1"/>
  <c r="J108" i="2"/>
  <c r="X108" i="2" s="1"/>
  <c r="Y108" i="2" s="1"/>
  <c r="V107" i="2"/>
  <c r="U107" i="2"/>
  <c r="T107" i="2"/>
  <c r="S107" i="2"/>
  <c r="Q107" i="2"/>
  <c r="W107" i="2" s="1"/>
  <c r="N107" i="2"/>
  <c r="O107" i="2" s="1"/>
  <c r="J107" i="2"/>
  <c r="X107" i="2" s="1"/>
  <c r="Y107" i="2" s="1"/>
  <c r="V106" i="2"/>
  <c r="U106" i="2"/>
  <c r="T106" i="2"/>
  <c r="S106" i="2"/>
  <c r="Q106" i="2"/>
  <c r="W106" i="2" s="1"/>
  <c r="N106" i="2"/>
  <c r="O106" i="2" s="1"/>
  <c r="J106" i="2"/>
  <c r="X106" i="2" s="1"/>
  <c r="Y106" i="2" s="1"/>
  <c r="V105" i="2"/>
  <c r="U105" i="2"/>
  <c r="T105" i="2"/>
  <c r="S105" i="2"/>
  <c r="Q105" i="2"/>
  <c r="W105" i="2" s="1"/>
  <c r="N105" i="2"/>
  <c r="O105" i="2" s="1"/>
  <c r="J105" i="2"/>
  <c r="X105" i="2" s="1"/>
  <c r="Y105" i="2" s="1"/>
  <c r="V104" i="2"/>
  <c r="U104" i="2"/>
  <c r="T104" i="2"/>
  <c r="S104" i="2"/>
  <c r="Q104" i="2"/>
  <c r="W104" i="2" s="1"/>
  <c r="N104" i="2"/>
  <c r="O104" i="2" s="1"/>
  <c r="J104" i="2"/>
  <c r="X104" i="2" s="1"/>
  <c r="Y104" i="2" s="1"/>
  <c r="V103" i="2"/>
  <c r="U103" i="2"/>
  <c r="T103" i="2"/>
  <c r="S103" i="2"/>
  <c r="Q103" i="2"/>
  <c r="W103" i="2" s="1"/>
  <c r="N103" i="2"/>
  <c r="O103" i="2" s="1"/>
  <c r="J103" i="2"/>
  <c r="X103" i="2" s="1"/>
  <c r="Y103" i="2" s="1"/>
  <c r="V102" i="2"/>
  <c r="U102" i="2"/>
  <c r="T102" i="2"/>
  <c r="S102" i="2"/>
  <c r="Q102" i="2"/>
  <c r="W102" i="2" s="1"/>
  <c r="N102" i="2"/>
  <c r="O102" i="2" s="1"/>
  <c r="J102" i="2"/>
  <c r="X102" i="2" s="1"/>
  <c r="Y102" i="2" s="1"/>
  <c r="V101" i="2"/>
  <c r="U101" i="2"/>
  <c r="T101" i="2"/>
  <c r="S101" i="2"/>
  <c r="Q101" i="2"/>
  <c r="W101" i="2" s="1"/>
  <c r="N101" i="2"/>
  <c r="O101" i="2" s="1"/>
  <c r="J101" i="2"/>
  <c r="X101" i="2" s="1"/>
  <c r="Y101" i="2" s="1"/>
  <c r="V100" i="2"/>
  <c r="U100" i="2"/>
  <c r="T100" i="2"/>
  <c r="S100" i="2"/>
  <c r="Q100" i="2"/>
  <c r="W100" i="2" s="1"/>
  <c r="N100" i="2"/>
  <c r="O100" i="2" s="1"/>
  <c r="J100" i="2"/>
  <c r="X100" i="2" s="1"/>
  <c r="Y100" i="2" s="1"/>
  <c r="V99" i="2"/>
  <c r="U99" i="2"/>
  <c r="T99" i="2"/>
  <c r="S99" i="2"/>
  <c r="Q99" i="2"/>
  <c r="W99" i="2" s="1"/>
  <c r="N99" i="2"/>
  <c r="O99" i="2" s="1"/>
  <c r="J99" i="2"/>
  <c r="X99" i="2" s="1"/>
  <c r="Y99" i="2" s="1"/>
  <c r="V98" i="2"/>
  <c r="U98" i="2"/>
  <c r="T98" i="2"/>
  <c r="S98" i="2"/>
  <c r="Q98" i="2"/>
  <c r="W98" i="2" s="1"/>
  <c r="N98" i="2"/>
  <c r="O98" i="2" s="1"/>
  <c r="J98" i="2"/>
  <c r="X98" i="2" s="1"/>
  <c r="Y98" i="2" s="1"/>
  <c r="V97" i="2"/>
  <c r="U97" i="2"/>
  <c r="T97" i="2"/>
  <c r="S97" i="2"/>
  <c r="Q97" i="2"/>
  <c r="W97" i="2" s="1"/>
  <c r="N97" i="2"/>
  <c r="O97" i="2" s="1"/>
  <c r="J97" i="2"/>
  <c r="X97" i="2" s="1"/>
  <c r="Y97" i="2" s="1"/>
  <c r="V96" i="2"/>
  <c r="U96" i="2"/>
  <c r="T96" i="2"/>
  <c r="S96" i="2"/>
  <c r="Q96" i="2"/>
  <c r="W96" i="2" s="1"/>
  <c r="N96" i="2"/>
  <c r="O96" i="2" s="1"/>
  <c r="J96" i="2"/>
  <c r="X96" i="2" s="1"/>
  <c r="Y96" i="2" s="1"/>
  <c r="V95" i="2"/>
  <c r="U95" i="2"/>
  <c r="T95" i="2"/>
  <c r="S95" i="2"/>
  <c r="Q95" i="2"/>
  <c r="W95" i="2" s="1"/>
  <c r="N95" i="2"/>
  <c r="O95" i="2" s="1"/>
  <c r="J95" i="2"/>
  <c r="X95" i="2" s="1"/>
  <c r="Y95" i="2" s="1"/>
  <c r="V94" i="2"/>
  <c r="U94" i="2"/>
  <c r="T94" i="2"/>
  <c r="S94" i="2"/>
  <c r="Q94" i="2"/>
  <c r="W94" i="2" s="1"/>
  <c r="N94" i="2"/>
  <c r="O94" i="2" s="1"/>
  <c r="J94" i="2"/>
  <c r="X94" i="2" s="1"/>
  <c r="Y94" i="2" s="1"/>
  <c r="V93" i="2"/>
  <c r="U93" i="2"/>
  <c r="T93" i="2"/>
  <c r="S93" i="2"/>
  <c r="Q93" i="2"/>
  <c r="W93" i="2" s="1"/>
  <c r="N93" i="2"/>
  <c r="O93" i="2" s="1"/>
  <c r="J93" i="2"/>
  <c r="X93" i="2" s="1"/>
  <c r="Y93" i="2" s="1"/>
  <c r="V92" i="2"/>
  <c r="U92" i="2"/>
  <c r="T92" i="2"/>
  <c r="S92" i="2"/>
  <c r="Q92" i="2"/>
  <c r="W92" i="2" s="1"/>
  <c r="N92" i="2"/>
  <c r="O92" i="2" s="1"/>
  <c r="J92" i="2"/>
  <c r="X92" i="2" s="1"/>
  <c r="Y92" i="2" s="1"/>
  <c r="V91" i="2"/>
  <c r="U91" i="2"/>
  <c r="T91" i="2"/>
  <c r="S91" i="2"/>
  <c r="Q91" i="2"/>
  <c r="W91" i="2" s="1"/>
  <c r="N91" i="2"/>
  <c r="O91" i="2" s="1"/>
  <c r="J91" i="2"/>
  <c r="X91" i="2" s="1"/>
  <c r="Y91" i="2" s="1"/>
  <c r="V90" i="2"/>
  <c r="U90" i="2"/>
  <c r="T90" i="2"/>
  <c r="S90" i="2"/>
  <c r="Q90" i="2"/>
  <c r="W90" i="2" s="1"/>
  <c r="N90" i="2"/>
  <c r="O90" i="2" s="1"/>
  <c r="J90" i="2"/>
  <c r="X90" i="2" s="1"/>
  <c r="Y90" i="2" s="1"/>
  <c r="V89" i="2"/>
  <c r="U89" i="2"/>
  <c r="T89" i="2"/>
  <c r="S89" i="2"/>
  <c r="Q89" i="2"/>
  <c r="W89" i="2" s="1"/>
  <c r="N89" i="2"/>
  <c r="O89" i="2" s="1"/>
  <c r="J89" i="2"/>
  <c r="X89" i="2" s="1"/>
  <c r="Y89" i="2" s="1"/>
  <c r="V88" i="2"/>
  <c r="U88" i="2"/>
  <c r="T88" i="2"/>
  <c r="S88" i="2"/>
  <c r="Q88" i="2"/>
  <c r="W88" i="2" s="1"/>
  <c r="N88" i="2"/>
  <c r="O88" i="2" s="1"/>
  <c r="J88" i="2"/>
  <c r="X88" i="2" s="1"/>
  <c r="Y88" i="2" s="1"/>
  <c r="V87" i="2"/>
  <c r="U87" i="2"/>
  <c r="T87" i="2"/>
  <c r="S87" i="2"/>
  <c r="Q87" i="2"/>
  <c r="W87" i="2" s="1"/>
  <c r="N87" i="2"/>
  <c r="O87" i="2" s="1"/>
  <c r="J87" i="2"/>
  <c r="X87" i="2" s="1"/>
  <c r="Y87" i="2" s="1"/>
  <c r="V86" i="2"/>
  <c r="U86" i="2"/>
  <c r="T86" i="2"/>
  <c r="S86" i="2"/>
  <c r="Q86" i="2"/>
  <c r="W86" i="2" s="1"/>
  <c r="N86" i="2"/>
  <c r="O86" i="2" s="1"/>
  <c r="J86" i="2"/>
  <c r="X86" i="2" s="1"/>
  <c r="Y86" i="2" s="1"/>
  <c r="V85" i="2"/>
  <c r="U85" i="2"/>
  <c r="T85" i="2"/>
  <c r="S85" i="2"/>
  <c r="Q85" i="2"/>
  <c r="W85" i="2" s="1"/>
  <c r="N85" i="2"/>
  <c r="O85" i="2" s="1"/>
  <c r="J85" i="2"/>
  <c r="X85" i="2" s="1"/>
  <c r="Y85" i="2" s="1"/>
  <c r="V84" i="2"/>
  <c r="U84" i="2"/>
  <c r="T84" i="2"/>
  <c r="S84" i="2"/>
  <c r="Q84" i="2"/>
  <c r="W84" i="2" s="1"/>
  <c r="N84" i="2"/>
  <c r="O84" i="2" s="1"/>
  <c r="J84" i="2"/>
  <c r="X84" i="2" s="1"/>
  <c r="Y84" i="2" s="1"/>
  <c r="V83" i="2"/>
  <c r="U83" i="2"/>
  <c r="T83" i="2"/>
  <c r="S83" i="2"/>
  <c r="Q83" i="2"/>
  <c r="W83" i="2" s="1"/>
  <c r="N83" i="2"/>
  <c r="O83" i="2" s="1"/>
  <c r="J83" i="2"/>
  <c r="X83" i="2" s="1"/>
  <c r="Y83" i="2" s="1"/>
  <c r="V82" i="2"/>
  <c r="U82" i="2"/>
  <c r="T82" i="2"/>
  <c r="S82" i="2"/>
  <c r="Q82" i="2"/>
  <c r="W82" i="2" s="1"/>
  <c r="N82" i="2"/>
  <c r="O82" i="2" s="1"/>
  <c r="J82" i="2"/>
  <c r="X82" i="2" s="1"/>
  <c r="Y82" i="2" s="1"/>
  <c r="V81" i="2"/>
  <c r="U81" i="2"/>
  <c r="T81" i="2"/>
  <c r="S81" i="2"/>
  <c r="Q81" i="2"/>
  <c r="W81" i="2" s="1"/>
  <c r="N81" i="2"/>
  <c r="O81" i="2" s="1"/>
  <c r="J81" i="2"/>
  <c r="X81" i="2" s="1"/>
  <c r="Y81" i="2" s="1"/>
  <c r="V80" i="2"/>
  <c r="U80" i="2"/>
  <c r="T80" i="2"/>
  <c r="S80" i="2"/>
  <c r="Q80" i="2"/>
  <c r="W80" i="2" s="1"/>
  <c r="N80" i="2"/>
  <c r="O80" i="2" s="1"/>
  <c r="J80" i="2"/>
  <c r="X80" i="2" s="1"/>
  <c r="Y80" i="2" s="1"/>
  <c r="V79" i="2"/>
  <c r="U79" i="2"/>
  <c r="T79" i="2"/>
  <c r="S79" i="2"/>
  <c r="Q79" i="2"/>
  <c r="W79" i="2" s="1"/>
  <c r="N79" i="2"/>
  <c r="O79" i="2" s="1"/>
  <c r="J79" i="2"/>
  <c r="X79" i="2" s="1"/>
  <c r="Y79" i="2" s="1"/>
  <c r="V78" i="2"/>
  <c r="U78" i="2"/>
  <c r="T78" i="2"/>
  <c r="S78" i="2"/>
  <c r="Q78" i="2"/>
  <c r="W78" i="2" s="1"/>
  <c r="N78" i="2"/>
  <c r="O78" i="2" s="1"/>
  <c r="J78" i="2"/>
  <c r="X78" i="2" s="1"/>
  <c r="Y78" i="2" s="1"/>
  <c r="V77" i="2"/>
  <c r="U77" i="2"/>
  <c r="T77" i="2"/>
  <c r="S77" i="2"/>
  <c r="Q77" i="2"/>
  <c r="W77" i="2" s="1"/>
  <c r="N77" i="2"/>
  <c r="O77" i="2" s="1"/>
  <c r="J77" i="2"/>
  <c r="X77" i="2" s="1"/>
  <c r="Y77" i="2" s="1"/>
  <c r="V76" i="2"/>
  <c r="U76" i="2"/>
  <c r="T76" i="2"/>
  <c r="S76" i="2"/>
  <c r="Q76" i="2"/>
  <c r="W76" i="2" s="1"/>
  <c r="N76" i="2"/>
  <c r="O76" i="2" s="1"/>
  <c r="J76" i="2"/>
  <c r="X76" i="2" s="1"/>
  <c r="Y76" i="2" s="1"/>
  <c r="V75" i="2"/>
  <c r="U75" i="2"/>
  <c r="T75" i="2"/>
  <c r="S75" i="2"/>
  <c r="Q75" i="2"/>
  <c r="W75" i="2" s="1"/>
  <c r="N75" i="2"/>
  <c r="O75" i="2" s="1"/>
  <c r="J75" i="2"/>
  <c r="X75" i="2" s="1"/>
  <c r="Y75" i="2" s="1"/>
  <c r="V74" i="2"/>
  <c r="U74" i="2"/>
  <c r="T74" i="2"/>
  <c r="S74" i="2"/>
  <c r="Q74" i="2"/>
  <c r="W74" i="2" s="1"/>
  <c r="N74" i="2"/>
  <c r="O74" i="2" s="1"/>
  <c r="J74" i="2"/>
  <c r="X74" i="2" s="1"/>
  <c r="Y74" i="2" s="1"/>
  <c r="V73" i="2"/>
  <c r="U73" i="2"/>
  <c r="T73" i="2"/>
  <c r="S73" i="2"/>
  <c r="Q73" i="2"/>
  <c r="W73" i="2" s="1"/>
  <c r="N73" i="2"/>
  <c r="O73" i="2" s="1"/>
  <c r="J73" i="2"/>
  <c r="X73" i="2" s="1"/>
  <c r="Y73" i="2" s="1"/>
  <c r="V72" i="2"/>
  <c r="U72" i="2"/>
  <c r="T72" i="2"/>
  <c r="S72" i="2"/>
  <c r="Q72" i="2"/>
  <c r="W72" i="2" s="1"/>
  <c r="N72" i="2"/>
  <c r="O72" i="2" s="1"/>
  <c r="J72" i="2"/>
  <c r="X72" i="2" s="1"/>
  <c r="Y72" i="2" s="1"/>
  <c r="V71" i="2"/>
  <c r="U71" i="2"/>
  <c r="T71" i="2"/>
  <c r="S71" i="2"/>
  <c r="Q71" i="2"/>
  <c r="W71" i="2" s="1"/>
  <c r="N71" i="2"/>
  <c r="O71" i="2" s="1"/>
  <c r="J71" i="2"/>
  <c r="X71" i="2" s="1"/>
  <c r="Y71" i="2" s="1"/>
  <c r="V70" i="2"/>
  <c r="U70" i="2"/>
  <c r="T70" i="2"/>
  <c r="S70" i="2"/>
  <c r="Q70" i="2"/>
  <c r="W70" i="2" s="1"/>
  <c r="N70" i="2"/>
  <c r="O70" i="2" s="1"/>
  <c r="J70" i="2"/>
  <c r="X70" i="2" s="1"/>
  <c r="Y70" i="2" s="1"/>
  <c r="V69" i="2"/>
  <c r="U69" i="2"/>
  <c r="T69" i="2"/>
  <c r="S69" i="2"/>
  <c r="Q69" i="2"/>
  <c r="W69" i="2" s="1"/>
  <c r="N69" i="2"/>
  <c r="O69" i="2" s="1"/>
  <c r="J69" i="2"/>
  <c r="X69" i="2" s="1"/>
  <c r="Y69" i="2" s="1"/>
  <c r="V68" i="2"/>
  <c r="U68" i="2"/>
  <c r="T68" i="2"/>
  <c r="S68" i="2"/>
  <c r="Q68" i="2"/>
  <c r="W68" i="2" s="1"/>
  <c r="N68" i="2"/>
  <c r="O68" i="2" s="1"/>
  <c r="J68" i="2"/>
  <c r="X68" i="2" s="1"/>
  <c r="Y68" i="2" s="1"/>
  <c r="V67" i="2"/>
  <c r="U67" i="2"/>
  <c r="T67" i="2"/>
  <c r="S67" i="2"/>
  <c r="Q67" i="2"/>
  <c r="W67" i="2" s="1"/>
  <c r="N67" i="2"/>
  <c r="O67" i="2" s="1"/>
  <c r="J67" i="2"/>
  <c r="X67" i="2" s="1"/>
  <c r="Y67" i="2" s="1"/>
  <c r="V66" i="2"/>
  <c r="U66" i="2"/>
  <c r="T66" i="2"/>
  <c r="S66" i="2"/>
  <c r="Q66" i="2"/>
  <c r="W66" i="2" s="1"/>
  <c r="N66" i="2"/>
  <c r="O66" i="2" s="1"/>
  <c r="J66" i="2"/>
  <c r="X66" i="2" s="1"/>
  <c r="Y66" i="2" s="1"/>
  <c r="V65" i="2"/>
  <c r="U65" i="2"/>
  <c r="T65" i="2"/>
  <c r="S65" i="2"/>
  <c r="Q65" i="2"/>
  <c r="W65" i="2" s="1"/>
  <c r="N65" i="2"/>
  <c r="O65" i="2" s="1"/>
  <c r="J65" i="2"/>
  <c r="X65" i="2" s="1"/>
  <c r="Y65" i="2" s="1"/>
  <c r="V64" i="2"/>
  <c r="U64" i="2"/>
  <c r="T64" i="2"/>
  <c r="S64" i="2"/>
  <c r="Q64" i="2"/>
  <c r="W64" i="2" s="1"/>
  <c r="N64" i="2"/>
  <c r="O64" i="2" s="1"/>
  <c r="J64" i="2"/>
  <c r="X64" i="2" s="1"/>
  <c r="Y64" i="2" s="1"/>
  <c r="V63" i="2"/>
  <c r="U63" i="2"/>
  <c r="T63" i="2"/>
  <c r="S63" i="2"/>
  <c r="Q63" i="2"/>
  <c r="W63" i="2" s="1"/>
  <c r="N63" i="2"/>
  <c r="O63" i="2" s="1"/>
  <c r="J63" i="2"/>
  <c r="X63" i="2" s="1"/>
  <c r="Y63" i="2" s="1"/>
  <c r="V62" i="2"/>
  <c r="U62" i="2"/>
  <c r="T62" i="2"/>
  <c r="S62" i="2"/>
  <c r="Q62" i="2"/>
  <c r="W62" i="2" s="1"/>
  <c r="N62" i="2"/>
  <c r="O62" i="2" s="1"/>
  <c r="J62" i="2"/>
  <c r="X62" i="2" s="1"/>
  <c r="Y62" i="2" s="1"/>
  <c r="V61" i="2"/>
  <c r="U61" i="2"/>
  <c r="T61" i="2"/>
  <c r="S61" i="2"/>
  <c r="Q61" i="2"/>
  <c r="W61" i="2" s="1"/>
  <c r="N61" i="2"/>
  <c r="O61" i="2" s="1"/>
  <c r="J61" i="2"/>
  <c r="X61" i="2" s="1"/>
  <c r="Y61" i="2" s="1"/>
  <c r="V60" i="2"/>
  <c r="U60" i="2"/>
  <c r="T60" i="2"/>
  <c r="S60" i="2"/>
  <c r="Q60" i="2"/>
  <c r="W60" i="2" s="1"/>
  <c r="N60" i="2"/>
  <c r="O60" i="2" s="1"/>
  <c r="J60" i="2"/>
  <c r="X60" i="2" s="1"/>
  <c r="Y60" i="2" s="1"/>
  <c r="V59" i="2"/>
  <c r="U59" i="2"/>
  <c r="T59" i="2"/>
  <c r="S59" i="2"/>
  <c r="Q59" i="2"/>
  <c r="W59" i="2" s="1"/>
  <c r="N59" i="2"/>
  <c r="O59" i="2" s="1"/>
  <c r="J59" i="2"/>
  <c r="X59" i="2" s="1"/>
  <c r="Y59" i="2" s="1"/>
  <c r="V58" i="2"/>
  <c r="U58" i="2"/>
  <c r="T58" i="2"/>
  <c r="S58" i="2"/>
  <c r="Q58" i="2"/>
  <c r="W58" i="2" s="1"/>
  <c r="N58" i="2"/>
  <c r="O58" i="2" s="1"/>
  <c r="J58" i="2"/>
  <c r="X58" i="2" s="1"/>
  <c r="Y58" i="2" s="1"/>
  <c r="V57" i="2"/>
  <c r="U57" i="2"/>
  <c r="T57" i="2"/>
  <c r="S57" i="2"/>
  <c r="Q57" i="2"/>
  <c r="W57" i="2" s="1"/>
  <c r="N57" i="2"/>
  <c r="O57" i="2" s="1"/>
  <c r="J57" i="2"/>
  <c r="X57" i="2" s="1"/>
  <c r="Y57" i="2" s="1"/>
  <c r="V56" i="2"/>
  <c r="U56" i="2"/>
  <c r="T56" i="2"/>
  <c r="S56" i="2"/>
  <c r="Q56" i="2"/>
  <c r="W56" i="2" s="1"/>
  <c r="N56" i="2"/>
  <c r="O56" i="2" s="1"/>
  <c r="J56" i="2"/>
  <c r="X56" i="2" s="1"/>
  <c r="Y56" i="2" s="1"/>
  <c r="V55" i="2"/>
  <c r="U55" i="2"/>
  <c r="T55" i="2"/>
  <c r="S55" i="2"/>
  <c r="Q55" i="2"/>
  <c r="W55" i="2" s="1"/>
  <c r="N55" i="2"/>
  <c r="O55" i="2" s="1"/>
  <c r="J55" i="2"/>
  <c r="X55" i="2" s="1"/>
  <c r="Y55" i="2" s="1"/>
  <c r="V54" i="2"/>
  <c r="U54" i="2"/>
  <c r="T54" i="2"/>
  <c r="S54" i="2"/>
  <c r="Q54" i="2"/>
  <c r="W54" i="2" s="1"/>
  <c r="N54" i="2"/>
  <c r="O54" i="2" s="1"/>
  <c r="J54" i="2"/>
  <c r="X54" i="2" s="1"/>
  <c r="Y54" i="2" s="1"/>
  <c r="V53" i="2"/>
  <c r="U53" i="2"/>
  <c r="T53" i="2"/>
  <c r="S53" i="2"/>
  <c r="Q53" i="2"/>
  <c r="W53" i="2" s="1"/>
  <c r="N53" i="2"/>
  <c r="O53" i="2" s="1"/>
  <c r="J53" i="2"/>
  <c r="X53" i="2" s="1"/>
  <c r="Y53" i="2" s="1"/>
  <c r="V52" i="2"/>
  <c r="U52" i="2"/>
  <c r="T52" i="2"/>
  <c r="S52" i="2"/>
  <c r="Q52" i="2"/>
  <c r="W52" i="2" s="1"/>
  <c r="N52" i="2"/>
  <c r="O52" i="2" s="1"/>
  <c r="J52" i="2"/>
  <c r="X52" i="2" s="1"/>
  <c r="Y52" i="2" s="1"/>
  <c r="V51" i="2"/>
  <c r="U51" i="2"/>
  <c r="T51" i="2"/>
  <c r="S51" i="2"/>
  <c r="Q51" i="2"/>
  <c r="W51" i="2" s="1"/>
  <c r="N51" i="2"/>
  <c r="O51" i="2" s="1"/>
  <c r="J51" i="2"/>
  <c r="X51" i="2" s="1"/>
  <c r="Y51" i="2" s="1"/>
  <c r="V50" i="2"/>
  <c r="U50" i="2"/>
  <c r="T50" i="2"/>
  <c r="S50" i="2"/>
  <c r="Q50" i="2"/>
  <c r="W50" i="2" s="1"/>
  <c r="N50" i="2"/>
  <c r="O50" i="2" s="1"/>
  <c r="J50" i="2"/>
  <c r="X50" i="2" s="1"/>
  <c r="Y50" i="2" s="1"/>
  <c r="V49" i="2"/>
  <c r="U49" i="2"/>
  <c r="T49" i="2"/>
  <c r="S49" i="2"/>
  <c r="Q49" i="2"/>
  <c r="W49" i="2" s="1"/>
  <c r="N49" i="2"/>
  <c r="O49" i="2" s="1"/>
  <c r="J49" i="2"/>
  <c r="X49" i="2" s="1"/>
  <c r="Y49" i="2" s="1"/>
  <c r="V48" i="2"/>
  <c r="U48" i="2"/>
  <c r="T48" i="2"/>
  <c r="S48" i="2"/>
  <c r="Q48" i="2"/>
  <c r="W48" i="2" s="1"/>
  <c r="N48" i="2"/>
  <c r="O48" i="2" s="1"/>
  <c r="J48" i="2"/>
  <c r="X48" i="2" s="1"/>
  <c r="Y48" i="2" s="1"/>
  <c r="V47" i="2"/>
  <c r="U47" i="2"/>
  <c r="T47" i="2"/>
  <c r="S47" i="2"/>
  <c r="Q47" i="2"/>
  <c r="W47" i="2" s="1"/>
  <c r="N47" i="2"/>
  <c r="O47" i="2" s="1"/>
  <c r="J47" i="2"/>
  <c r="X47" i="2" s="1"/>
  <c r="Y47" i="2" s="1"/>
  <c r="V46" i="2"/>
  <c r="U46" i="2"/>
  <c r="T46" i="2"/>
  <c r="S46" i="2"/>
  <c r="Q46" i="2"/>
  <c r="W46" i="2" s="1"/>
  <c r="N46" i="2"/>
  <c r="O46" i="2" s="1"/>
  <c r="J46" i="2"/>
  <c r="X46" i="2" s="1"/>
  <c r="Y46" i="2" s="1"/>
  <c r="V45" i="2"/>
  <c r="U45" i="2"/>
  <c r="T45" i="2"/>
  <c r="S45" i="2"/>
  <c r="Q45" i="2"/>
  <c r="W45" i="2" s="1"/>
  <c r="N45" i="2"/>
  <c r="O45" i="2" s="1"/>
  <c r="J45" i="2"/>
  <c r="X45" i="2" s="1"/>
  <c r="Y45" i="2" s="1"/>
  <c r="V44" i="2"/>
  <c r="U44" i="2"/>
  <c r="T44" i="2"/>
  <c r="S44" i="2"/>
  <c r="Q44" i="2"/>
  <c r="W44" i="2" s="1"/>
  <c r="N44" i="2"/>
  <c r="O44" i="2" s="1"/>
  <c r="J44" i="2"/>
  <c r="X44" i="2" s="1"/>
  <c r="Y44" i="2" s="1"/>
  <c r="V43" i="2"/>
  <c r="U43" i="2"/>
  <c r="T43" i="2"/>
  <c r="S43" i="2"/>
  <c r="Q43" i="2"/>
  <c r="W43" i="2" s="1"/>
  <c r="N43" i="2"/>
  <c r="O43" i="2" s="1"/>
  <c r="J43" i="2"/>
  <c r="X43" i="2" s="1"/>
  <c r="Y43" i="2" s="1"/>
  <c r="V42" i="2"/>
  <c r="U42" i="2"/>
  <c r="T42" i="2"/>
  <c r="S42" i="2"/>
  <c r="Q42" i="2"/>
  <c r="W42" i="2" s="1"/>
  <c r="N42" i="2"/>
  <c r="O42" i="2" s="1"/>
  <c r="J42" i="2"/>
  <c r="X42" i="2" s="1"/>
  <c r="Y42" i="2" s="1"/>
  <c r="V41" i="2"/>
  <c r="U41" i="2"/>
  <c r="T41" i="2"/>
  <c r="S41" i="2"/>
  <c r="Q41" i="2"/>
  <c r="W41" i="2" s="1"/>
  <c r="N41" i="2"/>
  <c r="O41" i="2" s="1"/>
  <c r="J41" i="2"/>
  <c r="X41" i="2" s="1"/>
  <c r="Y41" i="2" s="1"/>
  <c r="V40" i="2"/>
  <c r="U40" i="2"/>
  <c r="T40" i="2"/>
  <c r="S40" i="2"/>
  <c r="Q40" i="2"/>
  <c r="W40" i="2" s="1"/>
  <c r="N40" i="2"/>
  <c r="O40" i="2" s="1"/>
  <c r="J40" i="2"/>
  <c r="X40" i="2" s="1"/>
  <c r="Y40" i="2" s="1"/>
  <c r="V39" i="2"/>
  <c r="U39" i="2"/>
  <c r="T39" i="2"/>
  <c r="S39" i="2"/>
  <c r="Q39" i="2"/>
  <c r="W39" i="2" s="1"/>
  <c r="N39" i="2"/>
  <c r="O39" i="2" s="1"/>
  <c r="J39" i="2"/>
  <c r="X39" i="2" s="1"/>
  <c r="Y39" i="2" s="1"/>
  <c r="V38" i="2"/>
  <c r="U38" i="2"/>
  <c r="T38" i="2"/>
  <c r="S38" i="2"/>
  <c r="Q38" i="2"/>
  <c r="W38" i="2" s="1"/>
  <c r="N38" i="2"/>
  <c r="O38" i="2" s="1"/>
  <c r="J38" i="2"/>
  <c r="X38" i="2" s="1"/>
  <c r="Y38" i="2" s="1"/>
  <c r="V37" i="2"/>
  <c r="U37" i="2"/>
  <c r="T37" i="2"/>
  <c r="S37" i="2"/>
  <c r="Q37" i="2"/>
  <c r="W37" i="2" s="1"/>
  <c r="N37" i="2"/>
  <c r="O37" i="2" s="1"/>
  <c r="J37" i="2"/>
  <c r="X37" i="2" s="1"/>
  <c r="Y37" i="2" s="1"/>
  <c r="V36" i="2"/>
  <c r="U36" i="2"/>
  <c r="T36" i="2"/>
  <c r="S36" i="2"/>
  <c r="Q36" i="2"/>
  <c r="W36" i="2" s="1"/>
  <c r="N36" i="2"/>
  <c r="O36" i="2" s="1"/>
  <c r="J36" i="2"/>
  <c r="X36" i="2" s="1"/>
  <c r="Y36" i="2" s="1"/>
  <c r="V35" i="2"/>
  <c r="U35" i="2"/>
  <c r="T35" i="2"/>
  <c r="S35" i="2"/>
  <c r="Q35" i="2"/>
  <c r="W35" i="2" s="1"/>
  <c r="N35" i="2"/>
  <c r="O35" i="2" s="1"/>
  <c r="J35" i="2"/>
  <c r="X35" i="2" s="1"/>
  <c r="Y35" i="2" s="1"/>
  <c r="V34" i="2"/>
  <c r="U34" i="2"/>
  <c r="T34" i="2"/>
  <c r="S34" i="2"/>
  <c r="Q34" i="2"/>
  <c r="W34" i="2" s="1"/>
  <c r="N34" i="2"/>
  <c r="O34" i="2" s="1"/>
  <c r="J34" i="2"/>
  <c r="X34" i="2" s="1"/>
  <c r="Y34" i="2" s="1"/>
  <c r="V33" i="2"/>
  <c r="U33" i="2"/>
  <c r="T33" i="2"/>
  <c r="S33" i="2"/>
  <c r="Q33" i="2"/>
  <c r="W33" i="2" s="1"/>
  <c r="N33" i="2"/>
  <c r="O33" i="2" s="1"/>
  <c r="J33" i="2"/>
  <c r="X33" i="2" s="1"/>
  <c r="Y33" i="2" s="1"/>
  <c r="V32" i="2"/>
  <c r="U32" i="2"/>
  <c r="T32" i="2"/>
  <c r="S32" i="2"/>
  <c r="Q32" i="2"/>
  <c r="W32" i="2" s="1"/>
  <c r="N32" i="2"/>
  <c r="O32" i="2" s="1"/>
  <c r="J32" i="2"/>
  <c r="X32" i="2" s="1"/>
  <c r="Y32" i="2" s="1"/>
  <c r="V31" i="2"/>
  <c r="U31" i="2"/>
  <c r="T31" i="2"/>
  <c r="S31" i="2"/>
  <c r="Q31" i="2"/>
  <c r="W31" i="2" s="1"/>
  <c r="N31" i="2"/>
  <c r="O31" i="2" s="1"/>
  <c r="J31" i="2"/>
  <c r="X31" i="2" s="1"/>
  <c r="Y31" i="2" s="1"/>
  <c r="V30" i="2"/>
  <c r="U30" i="2"/>
  <c r="T30" i="2"/>
  <c r="S30" i="2"/>
  <c r="Q30" i="2"/>
  <c r="W30" i="2" s="1"/>
  <c r="N30" i="2"/>
  <c r="O30" i="2" s="1"/>
  <c r="J30" i="2"/>
  <c r="X30" i="2" s="1"/>
  <c r="Y30" i="2" s="1"/>
  <c r="V29" i="2"/>
  <c r="U29" i="2"/>
  <c r="T29" i="2"/>
  <c r="S29" i="2"/>
  <c r="Q29" i="2"/>
  <c r="W29" i="2" s="1"/>
  <c r="N29" i="2"/>
  <c r="O29" i="2" s="1"/>
  <c r="J29" i="2"/>
  <c r="X29" i="2" s="1"/>
  <c r="Y29" i="2" s="1"/>
  <c r="V28" i="2"/>
  <c r="U28" i="2"/>
  <c r="T28" i="2"/>
  <c r="S28" i="2"/>
  <c r="Q28" i="2"/>
  <c r="W28" i="2" s="1"/>
  <c r="N28" i="2"/>
  <c r="O28" i="2" s="1"/>
  <c r="J28" i="2"/>
  <c r="X28" i="2" s="1"/>
  <c r="Y28" i="2" s="1"/>
  <c r="V27" i="2"/>
  <c r="U27" i="2"/>
  <c r="T27" i="2"/>
  <c r="S27" i="2"/>
  <c r="Q27" i="2"/>
  <c r="W27" i="2" s="1"/>
  <c r="N27" i="2"/>
  <c r="O27" i="2" s="1"/>
  <c r="J27" i="2"/>
  <c r="X27" i="2" s="1"/>
  <c r="Y27" i="2" s="1"/>
  <c r="V26" i="2"/>
  <c r="U26" i="2"/>
  <c r="T26" i="2"/>
  <c r="S26" i="2"/>
  <c r="Q26" i="2"/>
  <c r="W26" i="2" s="1"/>
  <c r="N26" i="2"/>
  <c r="O26" i="2" s="1"/>
  <c r="J26" i="2"/>
  <c r="X26" i="2" s="1"/>
  <c r="Y26" i="2" s="1"/>
  <c r="V25" i="2"/>
  <c r="U25" i="2"/>
  <c r="T25" i="2"/>
  <c r="S25" i="2"/>
  <c r="Q25" i="2"/>
  <c r="W25" i="2" s="1"/>
  <c r="N25" i="2"/>
  <c r="O25" i="2" s="1"/>
  <c r="J25" i="2"/>
  <c r="X25" i="2" s="1"/>
  <c r="Y25" i="2" s="1"/>
  <c r="V24" i="2"/>
  <c r="U24" i="2"/>
  <c r="T24" i="2"/>
  <c r="S24" i="2"/>
  <c r="Q24" i="2"/>
  <c r="W24" i="2" s="1"/>
  <c r="N24" i="2"/>
  <c r="O24" i="2" s="1"/>
  <c r="J24" i="2"/>
  <c r="X24" i="2" s="1"/>
  <c r="Y24" i="2" s="1"/>
  <c r="V23" i="2"/>
  <c r="U23" i="2"/>
  <c r="T23" i="2"/>
  <c r="S23" i="2"/>
  <c r="Q23" i="2"/>
  <c r="W23" i="2" s="1"/>
  <c r="N23" i="2"/>
  <c r="O23" i="2" s="1"/>
  <c r="J23" i="2"/>
  <c r="X23" i="2" s="1"/>
  <c r="Y23" i="2" s="1"/>
  <c r="V22" i="2"/>
  <c r="U22" i="2"/>
  <c r="T22" i="2"/>
  <c r="S22" i="2"/>
  <c r="Q22" i="2"/>
  <c r="W22" i="2" s="1"/>
  <c r="N22" i="2"/>
  <c r="O22" i="2" s="1"/>
  <c r="J22" i="2"/>
  <c r="X22" i="2" s="1"/>
  <c r="Y22" i="2" s="1"/>
  <c r="V21" i="2"/>
  <c r="U21" i="2"/>
  <c r="T21" i="2"/>
  <c r="S21" i="2"/>
  <c r="Q21" i="2"/>
  <c r="W21" i="2" s="1"/>
  <c r="N21" i="2"/>
  <c r="O21" i="2" s="1"/>
  <c r="J21" i="2"/>
  <c r="X21" i="2" s="1"/>
  <c r="Y21" i="2" s="1"/>
  <c r="V20" i="2"/>
  <c r="U20" i="2"/>
  <c r="T20" i="2"/>
  <c r="S20" i="2"/>
  <c r="Q20" i="2"/>
  <c r="W20" i="2" s="1"/>
  <c r="N20" i="2"/>
  <c r="O20" i="2" s="1"/>
  <c r="J20" i="2"/>
  <c r="X20" i="2" s="1"/>
  <c r="Y20" i="2" s="1"/>
  <c r="V19" i="2"/>
  <c r="U19" i="2"/>
  <c r="T19" i="2"/>
  <c r="S19" i="2"/>
  <c r="Q19" i="2"/>
  <c r="W19" i="2" s="1"/>
  <c r="N19" i="2"/>
  <c r="O19" i="2" s="1"/>
  <c r="J19" i="2"/>
  <c r="X19" i="2" s="1"/>
  <c r="Y19" i="2" s="1"/>
  <c r="V18" i="2"/>
  <c r="U18" i="2"/>
  <c r="T18" i="2"/>
  <c r="S18" i="2"/>
  <c r="Q18" i="2"/>
  <c r="W18" i="2" s="1"/>
  <c r="N18" i="2"/>
  <c r="O18" i="2" s="1"/>
  <c r="J18" i="2"/>
  <c r="X18" i="2" s="1"/>
  <c r="Y18" i="2" s="1"/>
  <c r="V17" i="2"/>
  <c r="U17" i="2"/>
  <c r="T17" i="2"/>
  <c r="S17" i="2"/>
  <c r="Q17" i="2"/>
  <c r="W17" i="2" s="1"/>
  <c r="N17" i="2"/>
  <c r="O17" i="2" s="1"/>
  <c r="J17" i="2"/>
  <c r="X17" i="2" s="1"/>
  <c r="Y17" i="2" s="1"/>
  <c r="V16" i="2"/>
  <c r="U16" i="2"/>
  <c r="T16" i="2"/>
  <c r="S16" i="2"/>
  <c r="Q16" i="2"/>
  <c r="W16" i="2" s="1"/>
  <c r="N16" i="2"/>
  <c r="O16" i="2" s="1"/>
  <c r="J16" i="2"/>
  <c r="X16" i="2" s="1"/>
  <c r="Y16" i="2" s="1"/>
  <c r="V15" i="2"/>
  <c r="U15" i="2"/>
  <c r="T15" i="2"/>
  <c r="S15" i="2"/>
  <c r="Q15" i="2"/>
  <c r="W15" i="2" s="1"/>
  <c r="N15" i="2"/>
  <c r="O15" i="2" s="1"/>
  <c r="J15" i="2"/>
  <c r="X15" i="2" s="1"/>
  <c r="Y15" i="2" s="1"/>
  <c r="V14" i="2"/>
  <c r="U14" i="2"/>
  <c r="T14" i="2"/>
  <c r="S14" i="2"/>
  <c r="Q14" i="2"/>
  <c r="W14" i="2" s="1"/>
  <c r="N14" i="2"/>
  <c r="O14" i="2" s="1"/>
  <c r="J14" i="2"/>
  <c r="X14" i="2" s="1"/>
  <c r="Y14" i="2" s="1"/>
  <c r="V13" i="2"/>
  <c r="U13" i="2"/>
  <c r="T13" i="2"/>
  <c r="S13" i="2"/>
  <c r="Q13" i="2"/>
  <c r="W13" i="2" s="1"/>
  <c r="N13" i="2"/>
  <c r="O13" i="2" s="1"/>
  <c r="J13" i="2"/>
  <c r="X13" i="2" s="1"/>
  <c r="Y13" i="2" s="1"/>
  <c r="V12" i="2"/>
  <c r="U12" i="2"/>
  <c r="T12" i="2"/>
  <c r="S12" i="2"/>
  <c r="Q12" i="2"/>
  <c r="W12" i="2" s="1"/>
  <c r="N12" i="2"/>
  <c r="O12" i="2" s="1"/>
  <c r="J12" i="2"/>
  <c r="X12" i="2" s="1"/>
  <c r="Y12" i="2" s="1"/>
  <c r="V11" i="2"/>
  <c r="U11" i="2"/>
  <c r="T11" i="2"/>
  <c r="S11" i="2"/>
  <c r="Q11" i="2"/>
  <c r="W11" i="2" s="1"/>
  <c r="N11" i="2"/>
  <c r="O11" i="2" s="1"/>
  <c r="J11" i="2"/>
  <c r="X11" i="2" s="1"/>
  <c r="Y11" i="2" s="1"/>
  <c r="V10" i="2"/>
  <c r="U10" i="2"/>
  <c r="T10" i="2"/>
  <c r="S10" i="2"/>
  <c r="Q10" i="2"/>
  <c r="W10" i="2" s="1"/>
  <c r="N10" i="2"/>
  <c r="O10" i="2" s="1"/>
  <c r="J10" i="2"/>
  <c r="X10" i="2" s="1"/>
  <c r="Y10" i="2" s="1"/>
  <c r="V9" i="2"/>
  <c r="U9" i="2"/>
  <c r="T9" i="2"/>
  <c r="S9" i="2"/>
  <c r="Q9" i="2"/>
  <c r="W9" i="2" s="1"/>
  <c r="N9" i="2"/>
  <c r="O9" i="2" s="1"/>
  <c r="J9" i="2"/>
  <c r="X9" i="2" s="1"/>
  <c r="Y9" i="2" s="1"/>
  <c r="V8" i="2"/>
  <c r="U8" i="2"/>
  <c r="T8" i="2"/>
  <c r="S8" i="2"/>
  <c r="Q8" i="2"/>
  <c r="W8" i="2" s="1"/>
  <c r="N8" i="2"/>
  <c r="O8" i="2" s="1"/>
  <c r="J8" i="2"/>
  <c r="X8" i="2" s="1"/>
  <c r="Y8" i="2" s="1"/>
  <c r="V7" i="2"/>
  <c r="V305" i="2" s="1"/>
  <c r="U7" i="2"/>
  <c r="U305" i="2" s="1"/>
  <c r="T7" i="2"/>
  <c r="T305" i="2" s="1"/>
  <c r="S7" i="2"/>
  <c r="S305" i="2" s="1"/>
  <c r="Q7" i="2"/>
  <c r="N7" i="2"/>
  <c r="J7" i="2"/>
  <c r="T305" i="1"/>
  <c r="O305" i="1"/>
  <c r="N305" i="1"/>
  <c r="K305" i="1"/>
  <c r="I305" i="1"/>
  <c r="H305" i="1"/>
  <c r="G305" i="1"/>
  <c r="F305" i="1"/>
  <c r="X304" i="1"/>
  <c r="W304" i="1"/>
  <c r="V304" i="1"/>
  <c r="U304" i="1"/>
  <c r="S304" i="1"/>
  <c r="Y304" i="1" s="1"/>
  <c r="P304" i="1"/>
  <c r="J304" i="1"/>
  <c r="Z304" i="1" s="1"/>
  <c r="X303" i="1"/>
  <c r="W303" i="1"/>
  <c r="V303" i="1"/>
  <c r="U303" i="1"/>
  <c r="S303" i="1"/>
  <c r="P303" i="1"/>
  <c r="J303" i="1"/>
  <c r="Z303" i="1" s="1"/>
  <c r="X302" i="1"/>
  <c r="W302" i="1"/>
  <c r="V302" i="1"/>
  <c r="U302" i="1"/>
  <c r="S302" i="1"/>
  <c r="Y302" i="1" s="1"/>
  <c r="P302" i="1"/>
  <c r="J302" i="1"/>
  <c r="Z302" i="1" s="1"/>
  <c r="X301" i="1"/>
  <c r="W301" i="1"/>
  <c r="V301" i="1"/>
  <c r="U301" i="1"/>
  <c r="S301" i="1"/>
  <c r="Y301" i="1" s="1"/>
  <c r="P301" i="1"/>
  <c r="J301" i="1"/>
  <c r="Z301" i="1" s="1"/>
  <c r="X300" i="1"/>
  <c r="W300" i="1"/>
  <c r="V300" i="1"/>
  <c r="U300" i="1"/>
  <c r="S300" i="1"/>
  <c r="P300" i="1"/>
  <c r="J300" i="1"/>
  <c r="Z300" i="1" s="1"/>
  <c r="X299" i="1"/>
  <c r="W299" i="1"/>
  <c r="V299" i="1"/>
  <c r="U299" i="1"/>
  <c r="S299" i="1"/>
  <c r="P299" i="1"/>
  <c r="J299" i="1"/>
  <c r="Z299" i="1" s="1"/>
  <c r="X298" i="1"/>
  <c r="W298" i="1"/>
  <c r="V298" i="1"/>
  <c r="U298" i="1"/>
  <c r="S298" i="1"/>
  <c r="Y298" i="1" s="1"/>
  <c r="P298" i="1"/>
  <c r="J298" i="1"/>
  <c r="Z298" i="1" s="1"/>
  <c r="X297" i="1"/>
  <c r="W297" i="1"/>
  <c r="V297" i="1"/>
  <c r="U297" i="1"/>
  <c r="S297" i="1"/>
  <c r="Y297" i="1" s="1"/>
  <c r="P297" i="1"/>
  <c r="J297" i="1"/>
  <c r="Z297" i="1" s="1"/>
  <c r="X296" i="1"/>
  <c r="W296" i="1"/>
  <c r="V296" i="1"/>
  <c r="U296" i="1"/>
  <c r="S296" i="1"/>
  <c r="Y296" i="1" s="1"/>
  <c r="P296" i="1"/>
  <c r="J296" i="1"/>
  <c r="Z296" i="1" s="1"/>
  <c r="X295" i="1"/>
  <c r="W295" i="1"/>
  <c r="V295" i="1"/>
  <c r="U295" i="1"/>
  <c r="S295" i="1"/>
  <c r="P295" i="1"/>
  <c r="J295" i="1"/>
  <c r="Z295" i="1" s="1"/>
  <c r="X294" i="1"/>
  <c r="W294" i="1"/>
  <c r="V294" i="1"/>
  <c r="U294" i="1"/>
  <c r="S294" i="1"/>
  <c r="P294" i="1"/>
  <c r="J294" i="1"/>
  <c r="Z294" i="1" s="1"/>
  <c r="X293" i="1"/>
  <c r="W293" i="1"/>
  <c r="V293" i="1"/>
  <c r="U293" i="1"/>
  <c r="S293" i="1"/>
  <c r="Y293" i="1" s="1"/>
  <c r="P293" i="1"/>
  <c r="J293" i="1"/>
  <c r="Z293" i="1" s="1"/>
  <c r="X292" i="1"/>
  <c r="W292" i="1"/>
  <c r="V292" i="1"/>
  <c r="U292" i="1"/>
  <c r="S292" i="1"/>
  <c r="Y292" i="1" s="1"/>
  <c r="P292" i="1"/>
  <c r="J292" i="1"/>
  <c r="Z292" i="1" s="1"/>
  <c r="AA292" i="1" s="1"/>
  <c r="X291" i="1"/>
  <c r="W291" i="1"/>
  <c r="V291" i="1"/>
  <c r="U291" i="1"/>
  <c r="S291" i="1"/>
  <c r="Y291" i="1" s="1"/>
  <c r="P291" i="1"/>
  <c r="J291" i="1"/>
  <c r="Z291" i="1" s="1"/>
  <c r="X290" i="1"/>
  <c r="W290" i="1"/>
  <c r="V290" i="1"/>
  <c r="U290" i="1"/>
  <c r="S290" i="1"/>
  <c r="P290" i="1"/>
  <c r="J290" i="1"/>
  <c r="Z290" i="1" s="1"/>
  <c r="X289" i="1"/>
  <c r="W289" i="1"/>
  <c r="V289" i="1"/>
  <c r="U289" i="1"/>
  <c r="S289" i="1"/>
  <c r="Y289" i="1" s="1"/>
  <c r="P289" i="1"/>
  <c r="J289" i="1"/>
  <c r="Z289" i="1" s="1"/>
  <c r="X288" i="1"/>
  <c r="W288" i="1"/>
  <c r="V288" i="1"/>
  <c r="U288" i="1"/>
  <c r="S288" i="1"/>
  <c r="Y288" i="1" s="1"/>
  <c r="P288" i="1"/>
  <c r="J288" i="1"/>
  <c r="Z288" i="1" s="1"/>
  <c r="X287" i="1"/>
  <c r="W287" i="1"/>
  <c r="V287" i="1"/>
  <c r="U287" i="1"/>
  <c r="S287" i="1"/>
  <c r="P287" i="1"/>
  <c r="J287" i="1"/>
  <c r="Z287" i="1" s="1"/>
  <c r="X286" i="1"/>
  <c r="W286" i="1"/>
  <c r="V286" i="1"/>
  <c r="U286" i="1"/>
  <c r="S286" i="1"/>
  <c r="Y286" i="1" s="1"/>
  <c r="P286" i="1"/>
  <c r="J286" i="1"/>
  <c r="Z286" i="1" s="1"/>
  <c r="X285" i="1"/>
  <c r="W285" i="1"/>
  <c r="V285" i="1"/>
  <c r="U285" i="1"/>
  <c r="S285" i="1"/>
  <c r="Y285" i="1" s="1"/>
  <c r="P285" i="1"/>
  <c r="J285" i="1"/>
  <c r="Z285" i="1" s="1"/>
  <c r="X284" i="1"/>
  <c r="W284" i="1"/>
  <c r="V284" i="1"/>
  <c r="U284" i="1"/>
  <c r="S284" i="1"/>
  <c r="Y284" i="1" s="1"/>
  <c r="P284" i="1"/>
  <c r="J284" i="1"/>
  <c r="Z284" i="1" s="1"/>
  <c r="X283" i="1"/>
  <c r="W283" i="1"/>
  <c r="V283" i="1"/>
  <c r="U283" i="1"/>
  <c r="S283" i="1"/>
  <c r="Y283" i="1" s="1"/>
  <c r="P283" i="1"/>
  <c r="J283" i="1"/>
  <c r="Z283" i="1" s="1"/>
  <c r="AA283" i="1" s="1"/>
  <c r="X282" i="1"/>
  <c r="W282" i="1"/>
  <c r="V282" i="1"/>
  <c r="U282" i="1"/>
  <c r="S282" i="1"/>
  <c r="Y282" i="1" s="1"/>
  <c r="P282" i="1"/>
  <c r="J282" i="1"/>
  <c r="Z282" i="1" s="1"/>
  <c r="AA282" i="1" s="1"/>
  <c r="X281" i="1"/>
  <c r="W281" i="1"/>
  <c r="V281" i="1"/>
  <c r="U281" i="1"/>
  <c r="S281" i="1"/>
  <c r="Y281" i="1" s="1"/>
  <c r="P281" i="1"/>
  <c r="J281" i="1"/>
  <c r="Z281" i="1" s="1"/>
  <c r="X280" i="1"/>
  <c r="W280" i="1"/>
  <c r="V280" i="1"/>
  <c r="U280" i="1"/>
  <c r="S280" i="1"/>
  <c r="Y280" i="1" s="1"/>
  <c r="P280" i="1"/>
  <c r="J280" i="1"/>
  <c r="Z280" i="1" s="1"/>
  <c r="AA280" i="1" s="1"/>
  <c r="X279" i="1"/>
  <c r="W279" i="1"/>
  <c r="V279" i="1"/>
  <c r="U279" i="1"/>
  <c r="S279" i="1"/>
  <c r="P279" i="1"/>
  <c r="J279" i="1"/>
  <c r="Z279" i="1" s="1"/>
  <c r="X278" i="1"/>
  <c r="W278" i="1"/>
  <c r="V278" i="1"/>
  <c r="U278" i="1"/>
  <c r="S278" i="1"/>
  <c r="Y278" i="1" s="1"/>
  <c r="P278" i="1"/>
  <c r="J278" i="1"/>
  <c r="Z278" i="1" s="1"/>
  <c r="X277" i="1"/>
  <c r="W277" i="1"/>
  <c r="V277" i="1"/>
  <c r="U277" i="1"/>
  <c r="S277" i="1"/>
  <c r="Y277" i="1" s="1"/>
  <c r="P277" i="1"/>
  <c r="J277" i="1"/>
  <c r="Z277" i="1" s="1"/>
  <c r="X276" i="1"/>
  <c r="W276" i="1"/>
  <c r="V276" i="1"/>
  <c r="U276" i="1"/>
  <c r="S276" i="1"/>
  <c r="Y276" i="1" s="1"/>
  <c r="P276" i="1"/>
  <c r="J276" i="1"/>
  <c r="Z276" i="1" s="1"/>
  <c r="X275" i="1"/>
  <c r="W275" i="1"/>
  <c r="V275" i="1"/>
  <c r="U275" i="1"/>
  <c r="S275" i="1"/>
  <c r="Y275" i="1" s="1"/>
  <c r="P275" i="1"/>
  <c r="J275" i="1"/>
  <c r="Z275" i="1" s="1"/>
  <c r="X274" i="1"/>
  <c r="W274" i="1"/>
  <c r="V274" i="1"/>
  <c r="U274" i="1"/>
  <c r="S274" i="1"/>
  <c r="Y274" i="1" s="1"/>
  <c r="P274" i="1"/>
  <c r="J274" i="1"/>
  <c r="Z274" i="1" s="1"/>
  <c r="X273" i="1"/>
  <c r="W273" i="1"/>
  <c r="V273" i="1"/>
  <c r="U273" i="1"/>
  <c r="S273" i="1"/>
  <c r="Y273" i="1" s="1"/>
  <c r="P273" i="1"/>
  <c r="J273" i="1"/>
  <c r="Z273" i="1" s="1"/>
  <c r="X272" i="1"/>
  <c r="W272" i="1"/>
  <c r="V272" i="1"/>
  <c r="U272" i="1"/>
  <c r="S272" i="1"/>
  <c r="P272" i="1"/>
  <c r="J272" i="1"/>
  <c r="Z272" i="1" s="1"/>
  <c r="X271" i="1"/>
  <c r="W271" i="1"/>
  <c r="V271" i="1"/>
  <c r="U271" i="1"/>
  <c r="S271" i="1"/>
  <c r="Y271" i="1" s="1"/>
  <c r="P271" i="1"/>
  <c r="J271" i="1"/>
  <c r="Z271" i="1" s="1"/>
  <c r="X270" i="1"/>
  <c r="W270" i="1"/>
  <c r="V270" i="1"/>
  <c r="U270" i="1"/>
  <c r="S270" i="1"/>
  <c r="Y270" i="1" s="1"/>
  <c r="P270" i="1"/>
  <c r="J270" i="1"/>
  <c r="Z270" i="1" s="1"/>
  <c r="X269" i="1"/>
  <c r="W269" i="1"/>
  <c r="V269" i="1"/>
  <c r="U269" i="1"/>
  <c r="S269" i="1"/>
  <c r="Y269" i="1" s="1"/>
  <c r="P269" i="1"/>
  <c r="J269" i="1"/>
  <c r="Z269" i="1" s="1"/>
  <c r="X268" i="1"/>
  <c r="W268" i="1"/>
  <c r="V268" i="1"/>
  <c r="U268" i="1"/>
  <c r="S268" i="1"/>
  <c r="Y268" i="1" s="1"/>
  <c r="P268" i="1"/>
  <c r="J268" i="1"/>
  <c r="Z268" i="1" s="1"/>
  <c r="X267" i="1"/>
  <c r="W267" i="1"/>
  <c r="V267" i="1"/>
  <c r="U267" i="1"/>
  <c r="S267" i="1"/>
  <c r="P267" i="1"/>
  <c r="J267" i="1"/>
  <c r="Z267" i="1" s="1"/>
  <c r="X266" i="1"/>
  <c r="W266" i="1"/>
  <c r="V266" i="1"/>
  <c r="U266" i="1"/>
  <c r="S266" i="1"/>
  <c r="Y266" i="1" s="1"/>
  <c r="P266" i="1"/>
  <c r="J266" i="1"/>
  <c r="Z266" i="1" s="1"/>
  <c r="X265" i="1"/>
  <c r="W265" i="1"/>
  <c r="V265" i="1"/>
  <c r="U265" i="1"/>
  <c r="S265" i="1"/>
  <c r="Y265" i="1" s="1"/>
  <c r="P265" i="1"/>
  <c r="J265" i="1"/>
  <c r="Z265" i="1" s="1"/>
  <c r="AA265" i="1" s="1"/>
  <c r="X264" i="1"/>
  <c r="W264" i="1"/>
  <c r="V264" i="1"/>
  <c r="U264" i="1"/>
  <c r="S264" i="1"/>
  <c r="Y264" i="1" s="1"/>
  <c r="P264" i="1"/>
  <c r="J264" i="1"/>
  <c r="Z264" i="1" s="1"/>
  <c r="X263" i="1"/>
  <c r="W263" i="1"/>
  <c r="V263" i="1"/>
  <c r="U263" i="1"/>
  <c r="S263" i="1"/>
  <c r="P263" i="1"/>
  <c r="J263" i="1"/>
  <c r="Z263" i="1" s="1"/>
  <c r="X262" i="1"/>
  <c r="W262" i="1"/>
  <c r="V262" i="1"/>
  <c r="U262" i="1"/>
  <c r="S262" i="1"/>
  <c r="Y262" i="1" s="1"/>
  <c r="P262" i="1"/>
  <c r="J262" i="1"/>
  <c r="Z262" i="1" s="1"/>
  <c r="X261" i="1"/>
  <c r="W261" i="1"/>
  <c r="V261" i="1"/>
  <c r="U261" i="1"/>
  <c r="S261" i="1"/>
  <c r="Y261" i="1" s="1"/>
  <c r="P261" i="1"/>
  <c r="J261" i="1"/>
  <c r="Z261" i="1" s="1"/>
  <c r="X260" i="1"/>
  <c r="W260" i="1"/>
  <c r="V260" i="1"/>
  <c r="U260" i="1"/>
  <c r="S260" i="1"/>
  <c r="Y260" i="1" s="1"/>
  <c r="P260" i="1"/>
  <c r="J260" i="1"/>
  <c r="Z260" i="1" s="1"/>
  <c r="AA260" i="1" s="1"/>
  <c r="X259" i="1"/>
  <c r="W259" i="1"/>
  <c r="V259" i="1"/>
  <c r="U259" i="1"/>
  <c r="S259" i="1"/>
  <c r="Y259" i="1" s="1"/>
  <c r="P259" i="1"/>
  <c r="J259" i="1"/>
  <c r="Z259" i="1" s="1"/>
  <c r="X258" i="1"/>
  <c r="W258" i="1"/>
  <c r="V258" i="1"/>
  <c r="U258" i="1"/>
  <c r="S258" i="1"/>
  <c r="Y258" i="1" s="1"/>
  <c r="P258" i="1"/>
  <c r="J258" i="1"/>
  <c r="Z258" i="1" s="1"/>
  <c r="X257" i="1"/>
  <c r="W257" i="1"/>
  <c r="V257" i="1"/>
  <c r="U257" i="1"/>
  <c r="S257" i="1"/>
  <c r="Y257" i="1" s="1"/>
  <c r="P257" i="1"/>
  <c r="J257" i="1"/>
  <c r="Z257" i="1" s="1"/>
  <c r="X256" i="1"/>
  <c r="W256" i="1"/>
  <c r="V256" i="1"/>
  <c r="U256" i="1"/>
  <c r="S256" i="1"/>
  <c r="Y256" i="1" s="1"/>
  <c r="P256" i="1"/>
  <c r="J256" i="1"/>
  <c r="Z256" i="1" s="1"/>
  <c r="X255" i="1"/>
  <c r="W255" i="1"/>
  <c r="V255" i="1"/>
  <c r="U255" i="1"/>
  <c r="S255" i="1"/>
  <c r="P255" i="1"/>
  <c r="J255" i="1"/>
  <c r="Z255" i="1" s="1"/>
  <c r="X254" i="1"/>
  <c r="W254" i="1"/>
  <c r="V254" i="1"/>
  <c r="U254" i="1"/>
  <c r="S254" i="1"/>
  <c r="Y254" i="1" s="1"/>
  <c r="P254" i="1"/>
  <c r="J254" i="1"/>
  <c r="Z254" i="1" s="1"/>
  <c r="AA254" i="1" s="1"/>
  <c r="X253" i="1"/>
  <c r="W253" i="1"/>
  <c r="V253" i="1"/>
  <c r="U253" i="1"/>
  <c r="S253" i="1"/>
  <c r="Y253" i="1" s="1"/>
  <c r="P253" i="1"/>
  <c r="J253" i="1"/>
  <c r="Z253" i="1" s="1"/>
  <c r="X252" i="1"/>
  <c r="W252" i="1"/>
  <c r="V252" i="1"/>
  <c r="U252" i="1"/>
  <c r="S252" i="1"/>
  <c r="P252" i="1"/>
  <c r="J252" i="1"/>
  <c r="Z252" i="1" s="1"/>
  <c r="X251" i="1"/>
  <c r="W251" i="1"/>
  <c r="V251" i="1"/>
  <c r="U251" i="1"/>
  <c r="S251" i="1"/>
  <c r="P251" i="1"/>
  <c r="J251" i="1"/>
  <c r="Z251" i="1" s="1"/>
  <c r="X250" i="1"/>
  <c r="W250" i="1"/>
  <c r="V250" i="1"/>
  <c r="U250" i="1"/>
  <c r="S250" i="1"/>
  <c r="Y250" i="1" s="1"/>
  <c r="P250" i="1"/>
  <c r="J250" i="1"/>
  <c r="Z250" i="1" s="1"/>
  <c r="AA250" i="1" s="1"/>
  <c r="X249" i="1"/>
  <c r="W249" i="1"/>
  <c r="V249" i="1"/>
  <c r="U249" i="1"/>
  <c r="S249" i="1"/>
  <c r="Y249" i="1" s="1"/>
  <c r="P249" i="1"/>
  <c r="J249" i="1"/>
  <c r="Z249" i="1" s="1"/>
  <c r="X248" i="1"/>
  <c r="W248" i="1"/>
  <c r="V248" i="1"/>
  <c r="U248" i="1"/>
  <c r="S248" i="1"/>
  <c r="Y248" i="1" s="1"/>
  <c r="P248" i="1"/>
  <c r="J248" i="1"/>
  <c r="Z248" i="1" s="1"/>
  <c r="X247" i="1"/>
  <c r="W247" i="1"/>
  <c r="V247" i="1"/>
  <c r="U247" i="1"/>
  <c r="S247" i="1"/>
  <c r="Y247" i="1" s="1"/>
  <c r="P247" i="1"/>
  <c r="J247" i="1"/>
  <c r="Z247" i="1" s="1"/>
  <c r="X246" i="1"/>
  <c r="W246" i="1"/>
  <c r="V246" i="1"/>
  <c r="U246" i="1"/>
  <c r="S246" i="1"/>
  <c r="Y246" i="1" s="1"/>
  <c r="P246" i="1"/>
  <c r="J246" i="1"/>
  <c r="Z246" i="1" s="1"/>
  <c r="X245" i="1"/>
  <c r="W245" i="1"/>
  <c r="V245" i="1"/>
  <c r="U245" i="1"/>
  <c r="S245" i="1"/>
  <c r="Y245" i="1" s="1"/>
  <c r="P245" i="1"/>
  <c r="J245" i="1"/>
  <c r="Z245" i="1" s="1"/>
  <c r="AA245" i="1" s="1"/>
  <c r="X244" i="1"/>
  <c r="W244" i="1"/>
  <c r="V244" i="1"/>
  <c r="U244" i="1"/>
  <c r="S244" i="1"/>
  <c r="P244" i="1"/>
  <c r="J244" i="1"/>
  <c r="Z244" i="1" s="1"/>
  <c r="X243" i="1"/>
  <c r="W243" i="1"/>
  <c r="V243" i="1"/>
  <c r="U243" i="1"/>
  <c r="S243" i="1"/>
  <c r="Y243" i="1" s="1"/>
  <c r="P243" i="1"/>
  <c r="J243" i="1"/>
  <c r="Z243" i="1" s="1"/>
  <c r="X242" i="1"/>
  <c r="W242" i="1"/>
  <c r="V242" i="1"/>
  <c r="U242" i="1"/>
  <c r="S242" i="1"/>
  <c r="Y242" i="1" s="1"/>
  <c r="P242" i="1"/>
  <c r="J242" i="1"/>
  <c r="Z242" i="1" s="1"/>
  <c r="X241" i="1"/>
  <c r="W241" i="1"/>
  <c r="V241" i="1"/>
  <c r="U241" i="1"/>
  <c r="S241" i="1"/>
  <c r="P241" i="1"/>
  <c r="J241" i="1"/>
  <c r="Z241" i="1" s="1"/>
  <c r="X240" i="1"/>
  <c r="W240" i="1"/>
  <c r="V240" i="1"/>
  <c r="U240" i="1"/>
  <c r="S240" i="1"/>
  <c r="Y240" i="1" s="1"/>
  <c r="P240" i="1"/>
  <c r="J240" i="1"/>
  <c r="Z240" i="1" s="1"/>
  <c r="X239" i="1"/>
  <c r="W239" i="1"/>
  <c r="V239" i="1"/>
  <c r="U239" i="1"/>
  <c r="S239" i="1"/>
  <c r="Y239" i="1" s="1"/>
  <c r="P239" i="1"/>
  <c r="J239" i="1"/>
  <c r="Z239" i="1" s="1"/>
  <c r="X238" i="1"/>
  <c r="W238" i="1"/>
  <c r="V238" i="1"/>
  <c r="U238" i="1"/>
  <c r="S238" i="1"/>
  <c r="Y238" i="1" s="1"/>
  <c r="P238" i="1"/>
  <c r="J238" i="1"/>
  <c r="Z238" i="1" s="1"/>
  <c r="X237" i="1"/>
  <c r="W237" i="1"/>
  <c r="V237" i="1"/>
  <c r="U237" i="1"/>
  <c r="S237" i="1"/>
  <c r="Y237" i="1" s="1"/>
  <c r="P237" i="1"/>
  <c r="J237" i="1"/>
  <c r="Z237" i="1" s="1"/>
  <c r="X236" i="1"/>
  <c r="W236" i="1"/>
  <c r="V236" i="1"/>
  <c r="U236" i="1"/>
  <c r="S236" i="1"/>
  <c r="Y236" i="1" s="1"/>
  <c r="P236" i="1"/>
  <c r="J236" i="1"/>
  <c r="Z236" i="1" s="1"/>
  <c r="X235" i="1"/>
  <c r="W235" i="1"/>
  <c r="V235" i="1"/>
  <c r="U235" i="1"/>
  <c r="S235" i="1"/>
  <c r="Y235" i="1" s="1"/>
  <c r="P235" i="1"/>
  <c r="J235" i="1"/>
  <c r="Z235" i="1" s="1"/>
  <c r="AA235" i="1" s="1"/>
  <c r="X234" i="1"/>
  <c r="W234" i="1"/>
  <c r="V234" i="1"/>
  <c r="U234" i="1"/>
  <c r="S234" i="1"/>
  <c r="Y234" i="1" s="1"/>
  <c r="P234" i="1"/>
  <c r="J234" i="1"/>
  <c r="Z234" i="1" s="1"/>
  <c r="AA234" i="1" s="1"/>
  <c r="X233" i="1"/>
  <c r="W233" i="1"/>
  <c r="V233" i="1"/>
  <c r="U233" i="1"/>
  <c r="S233" i="1"/>
  <c r="Y233" i="1" s="1"/>
  <c r="P233" i="1"/>
  <c r="J233" i="1"/>
  <c r="Z233" i="1" s="1"/>
  <c r="X232" i="1"/>
  <c r="W232" i="1"/>
  <c r="V232" i="1"/>
  <c r="U232" i="1"/>
  <c r="S232" i="1"/>
  <c r="P232" i="1"/>
  <c r="J232" i="1"/>
  <c r="Z232" i="1" s="1"/>
  <c r="X231" i="1"/>
  <c r="W231" i="1"/>
  <c r="V231" i="1"/>
  <c r="U231" i="1"/>
  <c r="S231" i="1"/>
  <c r="Y231" i="1" s="1"/>
  <c r="P231" i="1"/>
  <c r="J231" i="1"/>
  <c r="Z231" i="1" s="1"/>
  <c r="X230" i="1"/>
  <c r="W230" i="1"/>
  <c r="V230" i="1"/>
  <c r="U230" i="1"/>
  <c r="S230" i="1"/>
  <c r="Y230" i="1" s="1"/>
  <c r="P230" i="1"/>
  <c r="J230" i="1"/>
  <c r="Z230" i="1" s="1"/>
  <c r="X229" i="1"/>
  <c r="W229" i="1"/>
  <c r="V229" i="1"/>
  <c r="U229" i="1"/>
  <c r="S229" i="1"/>
  <c r="Y229" i="1" s="1"/>
  <c r="P229" i="1"/>
  <c r="J229" i="1"/>
  <c r="Z229" i="1" s="1"/>
  <c r="AA229" i="1" s="1"/>
  <c r="X228" i="1"/>
  <c r="W228" i="1"/>
  <c r="V228" i="1"/>
  <c r="U228" i="1"/>
  <c r="S228" i="1"/>
  <c r="Y228" i="1" s="1"/>
  <c r="P228" i="1"/>
  <c r="J228" i="1"/>
  <c r="Z228" i="1" s="1"/>
  <c r="X227" i="1"/>
  <c r="W227" i="1"/>
  <c r="V227" i="1"/>
  <c r="U227" i="1"/>
  <c r="S227" i="1"/>
  <c r="Y227" i="1" s="1"/>
  <c r="P227" i="1"/>
  <c r="J227" i="1"/>
  <c r="Z227" i="1" s="1"/>
  <c r="AA227" i="1" s="1"/>
  <c r="X226" i="1"/>
  <c r="W226" i="1"/>
  <c r="V226" i="1"/>
  <c r="U226" i="1"/>
  <c r="S226" i="1"/>
  <c r="Y226" i="1" s="1"/>
  <c r="P226" i="1"/>
  <c r="J226" i="1"/>
  <c r="Z226" i="1" s="1"/>
  <c r="X225" i="1"/>
  <c r="W225" i="1"/>
  <c r="V225" i="1"/>
  <c r="U225" i="1"/>
  <c r="S225" i="1"/>
  <c r="Y225" i="1" s="1"/>
  <c r="P225" i="1"/>
  <c r="J225" i="1"/>
  <c r="Z225" i="1" s="1"/>
  <c r="X224" i="1"/>
  <c r="W224" i="1"/>
  <c r="V224" i="1"/>
  <c r="U224" i="1"/>
  <c r="S224" i="1"/>
  <c r="Y224" i="1" s="1"/>
  <c r="P224" i="1"/>
  <c r="J224" i="1"/>
  <c r="Z224" i="1" s="1"/>
  <c r="AA224" i="1" s="1"/>
  <c r="X223" i="1"/>
  <c r="W223" i="1"/>
  <c r="V223" i="1"/>
  <c r="U223" i="1"/>
  <c r="S223" i="1"/>
  <c r="Y223" i="1" s="1"/>
  <c r="P223" i="1"/>
  <c r="J223" i="1"/>
  <c r="Z223" i="1" s="1"/>
  <c r="AA223" i="1" s="1"/>
  <c r="X222" i="1"/>
  <c r="W222" i="1"/>
  <c r="V222" i="1"/>
  <c r="U222" i="1"/>
  <c r="S222" i="1"/>
  <c r="Y222" i="1" s="1"/>
  <c r="P222" i="1"/>
  <c r="J222" i="1"/>
  <c r="Z222" i="1" s="1"/>
  <c r="X221" i="1"/>
  <c r="W221" i="1"/>
  <c r="V221" i="1"/>
  <c r="U221" i="1"/>
  <c r="S221" i="1"/>
  <c r="Y221" i="1" s="1"/>
  <c r="P221" i="1"/>
  <c r="J221" i="1"/>
  <c r="Z221" i="1" s="1"/>
  <c r="X220" i="1"/>
  <c r="W220" i="1"/>
  <c r="V220" i="1"/>
  <c r="U220" i="1"/>
  <c r="S220" i="1"/>
  <c r="Y220" i="1" s="1"/>
  <c r="P220" i="1"/>
  <c r="J220" i="1"/>
  <c r="Z220" i="1" s="1"/>
  <c r="AA220" i="1" s="1"/>
  <c r="X219" i="1"/>
  <c r="W219" i="1"/>
  <c r="V219" i="1"/>
  <c r="U219" i="1"/>
  <c r="S219" i="1"/>
  <c r="Y219" i="1" s="1"/>
  <c r="P219" i="1"/>
  <c r="J219" i="1"/>
  <c r="Z219" i="1" s="1"/>
  <c r="X218" i="1"/>
  <c r="W218" i="1"/>
  <c r="V218" i="1"/>
  <c r="U218" i="1"/>
  <c r="S218" i="1"/>
  <c r="Y218" i="1" s="1"/>
  <c r="P218" i="1"/>
  <c r="J218" i="1"/>
  <c r="Z218" i="1" s="1"/>
  <c r="AA218" i="1" s="1"/>
  <c r="X217" i="1"/>
  <c r="W217" i="1"/>
  <c r="V217" i="1"/>
  <c r="U217" i="1"/>
  <c r="S217" i="1"/>
  <c r="Y217" i="1" s="1"/>
  <c r="P217" i="1"/>
  <c r="J217" i="1"/>
  <c r="Z217" i="1" s="1"/>
  <c r="X216" i="1"/>
  <c r="W216" i="1"/>
  <c r="V216" i="1"/>
  <c r="U216" i="1"/>
  <c r="S216" i="1"/>
  <c r="Y216" i="1" s="1"/>
  <c r="P216" i="1"/>
  <c r="J216" i="1"/>
  <c r="Z216" i="1" s="1"/>
  <c r="X215" i="1"/>
  <c r="W215" i="1"/>
  <c r="V215" i="1"/>
  <c r="U215" i="1"/>
  <c r="S215" i="1"/>
  <c r="Y215" i="1" s="1"/>
  <c r="P215" i="1"/>
  <c r="J215" i="1"/>
  <c r="Z215" i="1" s="1"/>
  <c r="X214" i="1"/>
  <c r="W214" i="1"/>
  <c r="V214" i="1"/>
  <c r="U214" i="1"/>
  <c r="S214" i="1"/>
  <c r="Y214" i="1" s="1"/>
  <c r="P214" i="1"/>
  <c r="J214" i="1"/>
  <c r="Z214" i="1" s="1"/>
  <c r="X213" i="1"/>
  <c r="W213" i="1"/>
  <c r="V213" i="1"/>
  <c r="U213" i="1"/>
  <c r="S213" i="1"/>
  <c r="Y213" i="1" s="1"/>
  <c r="P213" i="1"/>
  <c r="J213" i="1"/>
  <c r="Z213" i="1" s="1"/>
  <c r="X212" i="1"/>
  <c r="W212" i="1"/>
  <c r="V212" i="1"/>
  <c r="U212" i="1"/>
  <c r="S212" i="1"/>
  <c r="Y212" i="1" s="1"/>
  <c r="P212" i="1"/>
  <c r="J212" i="1"/>
  <c r="Z212" i="1" s="1"/>
  <c r="AA212" i="1" s="1"/>
  <c r="X211" i="1"/>
  <c r="W211" i="1"/>
  <c r="V211" i="1"/>
  <c r="U211" i="1"/>
  <c r="S211" i="1"/>
  <c r="Y211" i="1" s="1"/>
  <c r="P211" i="1"/>
  <c r="J211" i="1"/>
  <c r="Z211" i="1" s="1"/>
  <c r="AA211" i="1" s="1"/>
  <c r="X210" i="1"/>
  <c r="W210" i="1"/>
  <c r="V210" i="1"/>
  <c r="U210" i="1"/>
  <c r="S210" i="1"/>
  <c r="P210" i="1"/>
  <c r="J210" i="1"/>
  <c r="Z210" i="1" s="1"/>
  <c r="X209" i="1"/>
  <c r="W209" i="1"/>
  <c r="V209" i="1"/>
  <c r="U209" i="1"/>
  <c r="S209" i="1"/>
  <c r="Y209" i="1" s="1"/>
  <c r="P209" i="1"/>
  <c r="J209" i="1"/>
  <c r="Z209" i="1" s="1"/>
  <c r="AA209" i="1" s="1"/>
  <c r="X208" i="1"/>
  <c r="W208" i="1"/>
  <c r="V208" i="1"/>
  <c r="U208" i="1"/>
  <c r="S208" i="1"/>
  <c r="Y208" i="1" s="1"/>
  <c r="P208" i="1"/>
  <c r="J208" i="1"/>
  <c r="Z208" i="1" s="1"/>
  <c r="AA208" i="1" s="1"/>
  <c r="X207" i="1"/>
  <c r="W207" i="1"/>
  <c r="V207" i="1"/>
  <c r="U207" i="1"/>
  <c r="S207" i="1"/>
  <c r="Y207" i="1" s="1"/>
  <c r="P207" i="1"/>
  <c r="J207" i="1"/>
  <c r="Z207" i="1" s="1"/>
  <c r="AA207" i="1" s="1"/>
  <c r="X206" i="1"/>
  <c r="W206" i="1"/>
  <c r="V206" i="1"/>
  <c r="U206" i="1"/>
  <c r="S206" i="1"/>
  <c r="Y206" i="1" s="1"/>
  <c r="P206" i="1"/>
  <c r="J206" i="1"/>
  <c r="Z206" i="1" s="1"/>
  <c r="AA206" i="1" s="1"/>
  <c r="X205" i="1"/>
  <c r="W205" i="1"/>
  <c r="V205" i="1"/>
  <c r="U205" i="1"/>
  <c r="S205" i="1"/>
  <c r="Y205" i="1" s="1"/>
  <c r="P205" i="1"/>
  <c r="J205" i="1"/>
  <c r="Z205" i="1" s="1"/>
  <c r="AA205" i="1" s="1"/>
  <c r="X204" i="1"/>
  <c r="W204" i="1"/>
  <c r="V204" i="1"/>
  <c r="U204" i="1"/>
  <c r="S204" i="1"/>
  <c r="Y204" i="1" s="1"/>
  <c r="P204" i="1"/>
  <c r="J204" i="1"/>
  <c r="Z204" i="1" s="1"/>
  <c r="AA204" i="1" s="1"/>
  <c r="X203" i="1"/>
  <c r="W203" i="1"/>
  <c r="V203" i="1"/>
  <c r="U203" i="1"/>
  <c r="S203" i="1"/>
  <c r="Y203" i="1" s="1"/>
  <c r="P203" i="1"/>
  <c r="J203" i="1"/>
  <c r="Z203" i="1" s="1"/>
  <c r="X202" i="1"/>
  <c r="W202" i="1"/>
  <c r="V202" i="1"/>
  <c r="U202" i="1"/>
  <c r="S202" i="1"/>
  <c r="Y202" i="1" s="1"/>
  <c r="P202" i="1"/>
  <c r="J202" i="1"/>
  <c r="Z202" i="1" s="1"/>
  <c r="AA202" i="1" s="1"/>
  <c r="X201" i="1"/>
  <c r="W201" i="1"/>
  <c r="V201" i="1"/>
  <c r="U201" i="1"/>
  <c r="S201" i="1"/>
  <c r="Y201" i="1" s="1"/>
  <c r="P201" i="1"/>
  <c r="J201" i="1"/>
  <c r="Z201" i="1" s="1"/>
  <c r="X200" i="1"/>
  <c r="W200" i="1"/>
  <c r="V200" i="1"/>
  <c r="U200" i="1"/>
  <c r="S200" i="1"/>
  <c r="Y200" i="1" s="1"/>
  <c r="P200" i="1"/>
  <c r="J200" i="1"/>
  <c r="Z200" i="1" s="1"/>
  <c r="AA200" i="1" s="1"/>
  <c r="X199" i="1"/>
  <c r="W199" i="1"/>
  <c r="V199" i="1"/>
  <c r="U199" i="1"/>
  <c r="S199" i="1"/>
  <c r="Y199" i="1" s="1"/>
  <c r="P199" i="1"/>
  <c r="J199" i="1"/>
  <c r="Z199" i="1" s="1"/>
  <c r="X198" i="1"/>
  <c r="W198" i="1"/>
  <c r="V198" i="1"/>
  <c r="U198" i="1"/>
  <c r="S198" i="1"/>
  <c r="Y198" i="1" s="1"/>
  <c r="P198" i="1"/>
  <c r="J198" i="1"/>
  <c r="Z198" i="1" s="1"/>
  <c r="AA198" i="1" s="1"/>
  <c r="X197" i="1"/>
  <c r="W197" i="1"/>
  <c r="V197" i="1"/>
  <c r="U197" i="1"/>
  <c r="S197" i="1"/>
  <c r="Y197" i="1" s="1"/>
  <c r="P197" i="1"/>
  <c r="J197" i="1"/>
  <c r="Z197" i="1" s="1"/>
  <c r="X196" i="1"/>
  <c r="W196" i="1"/>
  <c r="V196" i="1"/>
  <c r="U196" i="1"/>
  <c r="S196" i="1"/>
  <c r="Y196" i="1" s="1"/>
  <c r="P196" i="1"/>
  <c r="J196" i="1"/>
  <c r="Z196" i="1" s="1"/>
  <c r="AA196" i="1" s="1"/>
  <c r="X195" i="1"/>
  <c r="W195" i="1"/>
  <c r="V195" i="1"/>
  <c r="U195" i="1"/>
  <c r="S195" i="1"/>
  <c r="Y195" i="1" s="1"/>
  <c r="P195" i="1"/>
  <c r="J195" i="1"/>
  <c r="Z195" i="1" s="1"/>
  <c r="AA195" i="1" s="1"/>
  <c r="X194" i="1"/>
  <c r="W194" i="1"/>
  <c r="V194" i="1"/>
  <c r="U194" i="1"/>
  <c r="S194" i="1"/>
  <c r="Y194" i="1" s="1"/>
  <c r="P194" i="1"/>
  <c r="J194" i="1"/>
  <c r="Z194" i="1" s="1"/>
  <c r="X193" i="1"/>
  <c r="W193" i="1"/>
  <c r="V193" i="1"/>
  <c r="U193" i="1"/>
  <c r="S193" i="1"/>
  <c r="Y193" i="1" s="1"/>
  <c r="P193" i="1"/>
  <c r="J193" i="1"/>
  <c r="Z193" i="1" s="1"/>
  <c r="X192" i="1"/>
  <c r="W192" i="1"/>
  <c r="V192" i="1"/>
  <c r="U192" i="1"/>
  <c r="S192" i="1"/>
  <c r="Y192" i="1" s="1"/>
  <c r="P192" i="1"/>
  <c r="J192" i="1"/>
  <c r="Z192" i="1" s="1"/>
  <c r="X191" i="1"/>
  <c r="W191" i="1"/>
  <c r="V191" i="1"/>
  <c r="U191" i="1"/>
  <c r="S191" i="1"/>
  <c r="Y191" i="1" s="1"/>
  <c r="P191" i="1"/>
  <c r="J191" i="1"/>
  <c r="Z191" i="1" s="1"/>
  <c r="X190" i="1"/>
  <c r="W190" i="1"/>
  <c r="V190" i="1"/>
  <c r="U190" i="1"/>
  <c r="S190" i="1"/>
  <c r="Y190" i="1" s="1"/>
  <c r="P190" i="1"/>
  <c r="J190" i="1"/>
  <c r="Z190" i="1" s="1"/>
  <c r="X189" i="1"/>
  <c r="W189" i="1"/>
  <c r="V189" i="1"/>
  <c r="U189" i="1"/>
  <c r="S189" i="1"/>
  <c r="Y189" i="1" s="1"/>
  <c r="P189" i="1"/>
  <c r="J189" i="1"/>
  <c r="Z189" i="1" s="1"/>
  <c r="X188" i="1"/>
  <c r="W188" i="1"/>
  <c r="V188" i="1"/>
  <c r="U188" i="1"/>
  <c r="S188" i="1"/>
  <c r="Y188" i="1" s="1"/>
  <c r="P188" i="1"/>
  <c r="J188" i="1"/>
  <c r="Z188" i="1" s="1"/>
  <c r="X187" i="1"/>
  <c r="W187" i="1"/>
  <c r="V187" i="1"/>
  <c r="U187" i="1"/>
  <c r="S187" i="1"/>
  <c r="Y187" i="1" s="1"/>
  <c r="P187" i="1"/>
  <c r="J187" i="1"/>
  <c r="Z187" i="1" s="1"/>
  <c r="X186" i="1"/>
  <c r="W186" i="1"/>
  <c r="V186" i="1"/>
  <c r="U186" i="1"/>
  <c r="S186" i="1"/>
  <c r="Y186" i="1" s="1"/>
  <c r="P186" i="1"/>
  <c r="J186" i="1"/>
  <c r="Z186" i="1" s="1"/>
  <c r="X185" i="1"/>
  <c r="W185" i="1"/>
  <c r="V185" i="1"/>
  <c r="U185" i="1"/>
  <c r="S185" i="1"/>
  <c r="Y185" i="1" s="1"/>
  <c r="P185" i="1"/>
  <c r="J185" i="1"/>
  <c r="Z185" i="1" s="1"/>
  <c r="X184" i="1"/>
  <c r="W184" i="1"/>
  <c r="V184" i="1"/>
  <c r="U184" i="1"/>
  <c r="S184" i="1"/>
  <c r="Y184" i="1" s="1"/>
  <c r="P184" i="1"/>
  <c r="J184" i="1"/>
  <c r="Z184" i="1" s="1"/>
  <c r="X183" i="1"/>
  <c r="W183" i="1"/>
  <c r="V183" i="1"/>
  <c r="U183" i="1"/>
  <c r="S183" i="1"/>
  <c r="Y183" i="1" s="1"/>
  <c r="P183" i="1"/>
  <c r="J183" i="1"/>
  <c r="Z183" i="1" s="1"/>
  <c r="X182" i="1"/>
  <c r="W182" i="1"/>
  <c r="V182" i="1"/>
  <c r="U182" i="1"/>
  <c r="S182" i="1"/>
  <c r="Y182" i="1" s="1"/>
  <c r="P182" i="1"/>
  <c r="J182" i="1"/>
  <c r="Z182" i="1" s="1"/>
  <c r="X181" i="1"/>
  <c r="W181" i="1"/>
  <c r="V181" i="1"/>
  <c r="U181" i="1"/>
  <c r="S181" i="1"/>
  <c r="Y181" i="1" s="1"/>
  <c r="P181" i="1"/>
  <c r="J181" i="1"/>
  <c r="Z181" i="1" s="1"/>
  <c r="X180" i="1"/>
  <c r="W180" i="1"/>
  <c r="V180" i="1"/>
  <c r="U180" i="1"/>
  <c r="S180" i="1"/>
  <c r="P180" i="1"/>
  <c r="J180" i="1"/>
  <c r="Z180" i="1" s="1"/>
  <c r="X179" i="1"/>
  <c r="W179" i="1"/>
  <c r="V179" i="1"/>
  <c r="U179" i="1"/>
  <c r="S179" i="1"/>
  <c r="Y179" i="1" s="1"/>
  <c r="P179" i="1"/>
  <c r="J179" i="1"/>
  <c r="Z179" i="1" s="1"/>
  <c r="X178" i="1"/>
  <c r="W178" i="1"/>
  <c r="V178" i="1"/>
  <c r="U178" i="1"/>
  <c r="S178" i="1"/>
  <c r="Y178" i="1" s="1"/>
  <c r="P178" i="1"/>
  <c r="J178" i="1"/>
  <c r="Z178" i="1" s="1"/>
  <c r="X177" i="1"/>
  <c r="W177" i="1"/>
  <c r="V177" i="1"/>
  <c r="U177" i="1"/>
  <c r="S177" i="1"/>
  <c r="Y177" i="1" s="1"/>
  <c r="P177" i="1"/>
  <c r="J177" i="1"/>
  <c r="Z177" i="1" s="1"/>
  <c r="AA177" i="1" s="1"/>
  <c r="X176" i="1"/>
  <c r="W176" i="1"/>
  <c r="V176" i="1"/>
  <c r="U176" i="1"/>
  <c r="S176" i="1"/>
  <c r="Y176" i="1" s="1"/>
  <c r="P176" i="1"/>
  <c r="J176" i="1"/>
  <c r="Z176" i="1" s="1"/>
  <c r="X175" i="1"/>
  <c r="W175" i="1"/>
  <c r="V175" i="1"/>
  <c r="U175" i="1"/>
  <c r="S175" i="1"/>
  <c r="Y175" i="1" s="1"/>
  <c r="P175" i="1"/>
  <c r="J175" i="1"/>
  <c r="Z175" i="1" s="1"/>
  <c r="X174" i="1"/>
  <c r="W174" i="1"/>
  <c r="V174" i="1"/>
  <c r="U174" i="1"/>
  <c r="S174" i="1"/>
  <c r="Y174" i="1" s="1"/>
  <c r="P174" i="1"/>
  <c r="J174" i="1"/>
  <c r="Z174" i="1" s="1"/>
  <c r="X173" i="1"/>
  <c r="W173" i="1"/>
  <c r="V173" i="1"/>
  <c r="U173" i="1"/>
  <c r="S173" i="1"/>
  <c r="Y173" i="1" s="1"/>
  <c r="P173" i="1"/>
  <c r="J173" i="1"/>
  <c r="Z173" i="1" s="1"/>
  <c r="X172" i="1"/>
  <c r="W172" i="1"/>
  <c r="V172" i="1"/>
  <c r="U172" i="1"/>
  <c r="S172" i="1"/>
  <c r="Y172" i="1" s="1"/>
  <c r="P172" i="1"/>
  <c r="J172" i="1"/>
  <c r="Z172" i="1" s="1"/>
  <c r="AA172" i="1" s="1"/>
  <c r="X171" i="1"/>
  <c r="W171" i="1"/>
  <c r="V171" i="1"/>
  <c r="U171" i="1"/>
  <c r="S171" i="1"/>
  <c r="Y171" i="1" s="1"/>
  <c r="P171" i="1"/>
  <c r="J171" i="1"/>
  <c r="Z171" i="1" s="1"/>
  <c r="AA171" i="1" s="1"/>
  <c r="X170" i="1"/>
  <c r="W170" i="1"/>
  <c r="V170" i="1"/>
  <c r="U170" i="1"/>
  <c r="S170" i="1"/>
  <c r="Y170" i="1" s="1"/>
  <c r="P170" i="1"/>
  <c r="J170" i="1"/>
  <c r="Z170" i="1" s="1"/>
  <c r="X169" i="1"/>
  <c r="W169" i="1"/>
  <c r="V169" i="1"/>
  <c r="U169" i="1"/>
  <c r="S169" i="1"/>
  <c r="Y169" i="1" s="1"/>
  <c r="P169" i="1"/>
  <c r="J169" i="1"/>
  <c r="Z169" i="1" s="1"/>
  <c r="AA169" i="1" s="1"/>
  <c r="X168" i="1"/>
  <c r="W168" i="1"/>
  <c r="V168" i="1"/>
  <c r="U168" i="1"/>
  <c r="S168" i="1"/>
  <c r="Y168" i="1" s="1"/>
  <c r="P168" i="1"/>
  <c r="J168" i="1"/>
  <c r="Z168" i="1" s="1"/>
  <c r="X167" i="1"/>
  <c r="W167" i="1"/>
  <c r="V167" i="1"/>
  <c r="U167" i="1"/>
  <c r="S167" i="1"/>
  <c r="Y167" i="1" s="1"/>
  <c r="P167" i="1"/>
  <c r="J167" i="1"/>
  <c r="Z167" i="1" s="1"/>
  <c r="AA167" i="1" s="1"/>
  <c r="X166" i="1"/>
  <c r="W166" i="1"/>
  <c r="V166" i="1"/>
  <c r="U166" i="1"/>
  <c r="S166" i="1"/>
  <c r="Y166" i="1" s="1"/>
  <c r="P166" i="1"/>
  <c r="J166" i="1"/>
  <c r="Z166" i="1" s="1"/>
  <c r="X165" i="1"/>
  <c r="W165" i="1"/>
  <c r="V165" i="1"/>
  <c r="U165" i="1"/>
  <c r="S165" i="1"/>
  <c r="Y165" i="1" s="1"/>
  <c r="P165" i="1"/>
  <c r="J165" i="1"/>
  <c r="Z165" i="1" s="1"/>
  <c r="X164" i="1"/>
  <c r="W164" i="1"/>
  <c r="V164" i="1"/>
  <c r="U164" i="1"/>
  <c r="S164" i="1"/>
  <c r="Y164" i="1" s="1"/>
  <c r="P164" i="1"/>
  <c r="J164" i="1"/>
  <c r="Z164" i="1" s="1"/>
  <c r="AA164" i="1" s="1"/>
  <c r="X163" i="1"/>
  <c r="W163" i="1"/>
  <c r="V163" i="1"/>
  <c r="U163" i="1"/>
  <c r="S163" i="1"/>
  <c r="Y163" i="1" s="1"/>
  <c r="P163" i="1"/>
  <c r="J163" i="1"/>
  <c r="Z163" i="1" s="1"/>
  <c r="X162" i="1"/>
  <c r="W162" i="1"/>
  <c r="V162" i="1"/>
  <c r="U162" i="1"/>
  <c r="S162" i="1"/>
  <c r="Y162" i="1" s="1"/>
  <c r="P162" i="1"/>
  <c r="J162" i="1"/>
  <c r="Z162" i="1" s="1"/>
  <c r="AA162" i="1" s="1"/>
  <c r="X161" i="1"/>
  <c r="W161" i="1"/>
  <c r="V161" i="1"/>
  <c r="U161" i="1"/>
  <c r="S161" i="1"/>
  <c r="Y161" i="1" s="1"/>
  <c r="P161" i="1"/>
  <c r="J161" i="1"/>
  <c r="Z161" i="1" s="1"/>
  <c r="X160" i="1"/>
  <c r="W160" i="1"/>
  <c r="V160" i="1"/>
  <c r="U160" i="1"/>
  <c r="S160" i="1"/>
  <c r="Y160" i="1" s="1"/>
  <c r="P160" i="1"/>
  <c r="J160" i="1"/>
  <c r="Z160" i="1" s="1"/>
  <c r="X159" i="1"/>
  <c r="W159" i="1"/>
  <c r="V159" i="1"/>
  <c r="U159" i="1"/>
  <c r="S159" i="1"/>
  <c r="Y159" i="1" s="1"/>
  <c r="P159" i="1"/>
  <c r="J159" i="1"/>
  <c r="Z159" i="1" s="1"/>
  <c r="X158" i="1"/>
  <c r="W158" i="1"/>
  <c r="V158" i="1"/>
  <c r="U158" i="1"/>
  <c r="S158" i="1"/>
  <c r="Y158" i="1" s="1"/>
  <c r="P158" i="1"/>
  <c r="J158" i="1"/>
  <c r="Z158" i="1" s="1"/>
  <c r="X157" i="1"/>
  <c r="W157" i="1"/>
  <c r="V157" i="1"/>
  <c r="U157" i="1"/>
  <c r="S157" i="1"/>
  <c r="Y157" i="1" s="1"/>
  <c r="P157" i="1"/>
  <c r="J157" i="1"/>
  <c r="Z157" i="1" s="1"/>
  <c r="X156" i="1"/>
  <c r="W156" i="1"/>
  <c r="V156" i="1"/>
  <c r="U156" i="1"/>
  <c r="S156" i="1"/>
  <c r="Y156" i="1" s="1"/>
  <c r="P156" i="1"/>
  <c r="J156" i="1"/>
  <c r="Z156" i="1" s="1"/>
  <c r="X155" i="1"/>
  <c r="W155" i="1"/>
  <c r="V155" i="1"/>
  <c r="U155" i="1"/>
  <c r="S155" i="1"/>
  <c r="Y155" i="1" s="1"/>
  <c r="P155" i="1"/>
  <c r="J155" i="1"/>
  <c r="Z155" i="1" s="1"/>
  <c r="AA155" i="1" s="1"/>
  <c r="X154" i="1"/>
  <c r="W154" i="1"/>
  <c r="V154" i="1"/>
  <c r="U154" i="1"/>
  <c r="S154" i="1"/>
  <c r="Y154" i="1" s="1"/>
  <c r="P154" i="1"/>
  <c r="J154" i="1"/>
  <c r="Z154" i="1" s="1"/>
  <c r="AA154" i="1" s="1"/>
  <c r="X153" i="1"/>
  <c r="W153" i="1"/>
  <c r="V153" i="1"/>
  <c r="U153" i="1"/>
  <c r="S153" i="1"/>
  <c r="Y153" i="1" s="1"/>
  <c r="P153" i="1"/>
  <c r="J153" i="1"/>
  <c r="Z153" i="1" s="1"/>
  <c r="X152" i="1"/>
  <c r="W152" i="1"/>
  <c r="V152" i="1"/>
  <c r="U152" i="1"/>
  <c r="S152" i="1"/>
  <c r="P152" i="1"/>
  <c r="J152" i="1"/>
  <c r="Z152" i="1" s="1"/>
  <c r="X151" i="1"/>
  <c r="W151" i="1"/>
  <c r="V151" i="1"/>
  <c r="U151" i="1"/>
  <c r="S151" i="1"/>
  <c r="Y151" i="1" s="1"/>
  <c r="P151" i="1"/>
  <c r="J151" i="1"/>
  <c r="Z151" i="1" s="1"/>
  <c r="X150" i="1"/>
  <c r="W150" i="1"/>
  <c r="V150" i="1"/>
  <c r="U150" i="1"/>
  <c r="S150" i="1"/>
  <c r="Y150" i="1" s="1"/>
  <c r="P150" i="1"/>
  <c r="J150" i="1"/>
  <c r="Z150" i="1" s="1"/>
  <c r="X149" i="1"/>
  <c r="W149" i="1"/>
  <c r="V149" i="1"/>
  <c r="U149" i="1"/>
  <c r="S149" i="1"/>
  <c r="Y149" i="1" s="1"/>
  <c r="P149" i="1"/>
  <c r="J149" i="1"/>
  <c r="Z149" i="1" s="1"/>
  <c r="X148" i="1"/>
  <c r="W148" i="1"/>
  <c r="V148" i="1"/>
  <c r="U148" i="1"/>
  <c r="S148" i="1"/>
  <c r="Y148" i="1" s="1"/>
  <c r="P148" i="1"/>
  <c r="J148" i="1"/>
  <c r="Z148" i="1" s="1"/>
  <c r="X147" i="1"/>
  <c r="W147" i="1"/>
  <c r="V147" i="1"/>
  <c r="U147" i="1"/>
  <c r="S147" i="1"/>
  <c r="Y147" i="1" s="1"/>
  <c r="P147" i="1"/>
  <c r="J147" i="1"/>
  <c r="Z147" i="1" s="1"/>
  <c r="X146" i="1"/>
  <c r="W146" i="1"/>
  <c r="V146" i="1"/>
  <c r="U146" i="1"/>
  <c r="S146" i="1"/>
  <c r="Y146" i="1" s="1"/>
  <c r="P146" i="1"/>
  <c r="J146" i="1"/>
  <c r="Z146" i="1" s="1"/>
  <c r="X145" i="1"/>
  <c r="W145" i="1"/>
  <c r="V145" i="1"/>
  <c r="U145" i="1"/>
  <c r="S145" i="1"/>
  <c r="Y145" i="1" s="1"/>
  <c r="P145" i="1"/>
  <c r="J145" i="1"/>
  <c r="Z145" i="1" s="1"/>
  <c r="X144" i="1"/>
  <c r="W144" i="1"/>
  <c r="V144" i="1"/>
  <c r="U144" i="1"/>
  <c r="S144" i="1"/>
  <c r="Y144" i="1" s="1"/>
  <c r="P144" i="1"/>
  <c r="J144" i="1"/>
  <c r="Z144" i="1" s="1"/>
  <c r="X143" i="1"/>
  <c r="W143" i="1"/>
  <c r="V143" i="1"/>
  <c r="U143" i="1"/>
  <c r="S143" i="1"/>
  <c r="Y143" i="1" s="1"/>
  <c r="P143" i="1"/>
  <c r="J143" i="1"/>
  <c r="Z143" i="1" s="1"/>
  <c r="X142" i="1"/>
  <c r="W142" i="1"/>
  <c r="V142" i="1"/>
  <c r="U142" i="1"/>
  <c r="S142" i="1"/>
  <c r="Y142" i="1" s="1"/>
  <c r="P142" i="1"/>
  <c r="J142" i="1"/>
  <c r="Z142" i="1" s="1"/>
  <c r="AA142" i="1" s="1"/>
  <c r="X141" i="1"/>
  <c r="W141" i="1"/>
  <c r="V141" i="1"/>
  <c r="U141" i="1"/>
  <c r="S141" i="1"/>
  <c r="Y141" i="1" s="1"/>
  <c r="P141" i="1"/>
  <c r="J141" i="1"/>
  <c r="Z141" i="1" s="1"/>
  <c r="X140" i="1"/>
  <c r="W140" i="1"/>
  <c r="V140" i="1"/>
  <c r="U140" i="1"/>
  <c r="S140" i="1"/>
  <c r="Y140" i="1" s="1"/>
  <c r="P140" i="1"/>
  <c r="J140" i="1"/>
  <c r="Z140" i="1" s="1"/>
  <c r="AA140" i="1" s="1"/>
  <c r="X139" i="1"/>
  <c r="W139" i="1"/>
  <c r="V139" i="1"/>
  <c r="U139" i="1"/>
  <c r="S139" i="1"/>
  <c r="Y139" i="1" s="1"/>
  <c r="P139" i="1"/>
  <c r="J139" i="1"/>
  <c r="Z139" i="1" s="1"/>
  <c r="X138" i="1"/>
  <c r="W138" i="1"/>
  <c r="V138" i="1"/>
  <c r="U138" i="1"/>
  <c r="S138" i="1"/>
  <c r="Y138" i="1" s="1"/>
  <c r="P138" i="1"/>
  <c r="J138" i="1"/>
  <c r="Z138" i="1" s="1"/>
  <c r="AA138" i="1" s="1"/>
  <c r="X137" i="1"/>
  <c r="W137" i="1"/>
  <c r="V137" i="1"/>
  <c r="U137" i="1"/>
  <c r="S137" i="1"/>
  <c r="Y137" i="1" s="1"/>
  <c r="P137" i="1"/>
  <c r="J137" i="1"/>
  <c r="Z137" i="1" s="1"/>
  <c r="AA137" i="1" s="1"/>
  <c r="X136" i="1"/>
  <c r="W136" i="1"/>
  <c r="V136" i="1"/>
  <c r="U136" i="1"/>
  <c r="S136" i="1"/>
  <c r="Y136" i="1" s="1"/>
  <c r="P136" i="1"/>
  <c r="J136" i="1"/>
  <c r="Z136" i="1" s="1"/>
  <c r="AA136" i="1" s="1"/>
  <c r="X135" i="1"/>
  <c r="W135" i="1"/>
  <c r="V135" i="1"/>
  <c r="U135" i="1"/>
  <c r="S135" i="1"/>
  <c r="Y135" i="1" s="1"/>
  <c r="P135" i="1"/>
  <c r="J135" i="1"/>
  <c r="Z135" i="1" s="1"/>
  <c r="X134" i="1"/>
  <c r="W134" i="1"/>
  <c r="V134" i="1"/>
  <c r="U134" i="1"/>
  <c r="S134" i="1"/>
  <c r="Y134" i="1" s="1"/>
  <c r="P134" i="1"/>
  <c r="J134" i="1"/>
  <c r="Z134" i="1" s="1"/>
  <c r="X133" i="1"/>
  <c r="W133" i="1"/>
  <c r="V133" i="1"/>
  <c r="U133" i="1"/>
  <c r="S133" i="1"/>
  <c r="Y133" i="1" s="1"/>
  <c r="P133" i="1"/>
  <c r="J133" i="1"/>
  <c r="Z133" i="1" s="1"/>
  <c r="X132" i="1"/>
  <c r="W132" i="1"/>
  <c r="V132" i="1"/>
  <c r="U132" i="1"/>
  <c r="S132" i="1"/>
  <c r="P132" i="1"/>
  <c r="J132" i="1"/>
  <c r="Z132" i="1" s="1"/>
  <c r="X131" i="1"/>
  <c r="W131" i="1"/>
  <c r="V131" i="1"/>
  <c r="U131" i="1"/>
  <c r="S131" i="1"/>
  <c r="Y131" i="1" s="1"/>
  <c r="P131" i="1"/>
  <c r="J131" i="1"/>
  <c r="Z131" i="1" s="1"/>
  <c r="AA131" i="1" s="1"/>
  <c r="X130" i="1"/>
  <c r="W130" i="1"/>
  <c r="V130" i="1"/>
  <c r="U130" i="1"/>
  <c r="S130" i="1"/>
  <c r="P130" i="1"/>
  <c r="J130" i="1"/>
  <c r="Z130" i="1" s="1"/>
  <c r="X129" i="1"/>
  <c r="W129" i="1"/>
  <c r="V129" i="1"/>
  <c r="U129" i="1"/>
  <c r="S129" i="1"/>
  <c r="Y129" i="1" s="1"/>
  <c r="P129" i="1"/>
  <c r="J129" i="1"/>
  <c r="Z129" i="1" s="1"/>
  <c r="X128" i="1"/>
  <c r="W128" i="1"/>
  <c r="V128" i="1"/>
  <c r="U128" i="1"/>
  <c r="S128" i="1"/>
  <c r="Y128" i="1" s="1"/>
  <c r="P128" i="1"/>
  <c r="J128" i="1"/>
  <c r="Z128" i="1" s="1"/>
  <c r="X127" i="1"/>
  <c r="W127" i="1"/>
  <c r="V127" i="1"/>
  <c r="U127" i="1"/>
  <c r="S127" i="1"/>
  <c r="Y127" i="1" s="1"/>
  <c r="P127" i="1"/>
  <c r="J127" i="1"/>
  <c r="Z127" i="1" s="1"/>
  <c r="X126" i="1"/>
  <c r="W126" i="1"/>
  <c r="V126" i="1"/>
  <c r="U126" i="1"/>
  <c r="S126" i="1"/>
  <c r="P126" i="1"/>
  <c r="J126" i="1"/>
  <c r="Z126" i="1" s="1"/>
  <c r="X125" i="1"/>
  <c r="W125" i="1"/>
  <c r="V125" i="1"/>
  <c r="U125" i="1"/>
  <c r="S125" i="1"/>
  <c r="Y125" i="1" s="1"/>
  <c r="P125" i="1"/>
  <c r="J125" i="1"/>
  <c r="Z125" i="1" s="1"/>
  <c r="X124" i="1"/>
  <c r="W124" i="1"/>
  <c r="V124" i="1"/>
  <c r="U124" i="1"/>
  <c r="S124" i="1"/>
  <c r="P124" i="1"/>
  <c r="J124" i="1"/>
  <c r="Z124" i="1" s="1"/>
  <c r="X123" i="1"/>
  <c r="W123" i="1"/>
  <c r="V123" i="1"/>
  <c r="U123" i="1"/>
  <c r="S123" i="1"/>
  <c r="Y123" i="1" s="1"/>
  <c r="P123" i="1"/>
  <c r="J123" i="1"/>
  <c r="Z123" i="1" s="1"/>
  <c r="X122" i="1"/>
  <c r="W122" i="1"/>
  <c r="V122" i="1"/>
  <c r="U122" i="1"/>
  <c r="S122" i="1"/>
  <c r="Y122" i="1" s="1"/>
  <c r="P122" i="1"/>
  <c r="J122" i="1"/>
  <c r="Z122" i="1" s="1"/>
  <c r="X121" i="1"/>
  <c r="W121" i="1"/>
  <c r="V121" i="1"/>
  <c r="U121" i="1"/>
  <c r="S121" i="1"/>
  <c r="Y121" i="1" s="1"/>
  <c r="P121" i="1"/>
  <c r="J121" i="1"/>
  <c r="Z121" i="1" s="1"/>
  <c r="X120" i="1"/>
  <c r="W120" i="1"/>
  <c r="V120" i="1"/>
  <c r="U120" i="1"/>
  <c r="S120" i="1"/>
  <c r="P120" i="1"/>
  <c r="J120" i="1"/>
  <c r="Z120" i="1" s="1"/>
  <c r="X119" i="1"/>
  <c r="W119" i="1"/>
  <c r="V119" i="1"/>
  <c r="U119" i="1"/>
  <c r="S119" i="1"/>
  <c r="Y119" i="1" s="1"/>
  <c r="P119" i="1"/>
  <c r="J119" i="1"/>
  <c r="Z119" i="1" s="1"/>
  <c r="X118" i="1"/>
  <c r="W118" i="1"/>
  <c r="V118" i="1"/>
  <c r="U118" i="1"/>
  <c r="S118" i="1"/>
  <c r="P118" i="1"/>
  <c r="J118" i="1"/>
  <c r="Z118" i="1" s="1"/>
  <c r="X117" i="1"/>
  <c r="W117" i="1"/>
  <c r="V117" i="1"/>
  <c r="U117" i="1"/>
  <c r="S117" i="1"/>
  <c r="Y117" i="1" s="1"/>
  <c r="P117" i="1"/>
  <c r="J117" i="1"/>
  <c r="Z117" i="1" s="1"/>
  <c r="X116" i="1"/>
  <c r="W116" i="1"/>
  <c r="V116" i="1"/>
  <c r="U116" i="1"/>
  <c r="S116" i="1"/>
  <c r="Y116" i="1" s="1"/>
  <c r="P116" i="1"/>
  <c r="J116" i="1"/>
  <c r="Z116" i="1" s="1"/>
  <c r="X115" i="1"/>
  <c r="W115" i="1"/>
  <c r="V115" i="1"/>
  <c r="U115" i="1"/>
  <c r="S115" i="1"/>
  <c r="Y115" i="1" s="1"/>
  <c r="P115" i="1"/>
  <c r="J115" i="1"/>
  <c r="Z115" i="1" s="1"/>
  <c r="AA115" i="1" s="1"/>
  <c r="X114" i="1"/>
  <c r="W114" i="1"/>
  <c r="V114" i="1"/>
  <c r="U114" i="1"/>
  <c r="S114" i="1"/>
  <c r="Y114" i="1" s="1"/>
  <c r="P114" i="1"/>
  <c r="J114" i="1"/>
  <c r="Z114" i="1" s="1"/>
  <c r="X113" i="1"/>
  <c r="W113" i="1"/>
  <c r="V113" i="1"/>
  <c r="U113" i="1"/>
  <c r="S113" i="1"/>
  <c r="Y113" i="1" s="1"/>
  <c r="P113" i="1"/>
  <c r="J113" i="1"/>
  <c r="Z113" i="1" s="1"/>
  <c r="AA113" i="1" s="1"/>
  <c r="X112" i="1"/>
  <c r="W112" i="1"/>
  <c r="V112" i="1"/>
  <c r="U112" i="1"/>
  <c r="S112" i="1"/>
  <c r="Y112" i="1" s="1"/>
  <c r="P112" i="1"/>
  <c r="J112" i="1"/>
  <c r="Z112" i="1" s="1"/>
  <c r="X111" i="1"/>
  <c r="W111" i="1"/>
  <c r="V111" i="1"/>
  <c r="U111" i="1"/>
  <c r="S111" i="1"/>
  <c r="Y111" i="1" s="1"/>
  <c r="P111" i="1"/>
  <c r="J111" i="1"/>
  <c r="Z111" i="1" s="1"/>
  <c r="X110" i="1"/>
  <c r="W110" i="1"/>
  <c r="V110" i="1"/>
  <c r="U110" i="1"/>
  <c r="S110" i="1"/>
  <c r="Y110" i="1" s="1"/>
  <c r="P110" i="1"/>
  <c r="J110" i="1"/>
  <c r="Z110" i="1" s="1"/>
  <c r="AA110" i="1" s="1"/>
  <c r="X109" i="1"/>
  <c r="W109" i="1"/>
  <c r="V109" i="1"/>
  <c r="U109" i="1"/>
  <c r="S109" i="1"/>
  <c r="Y109" i="1" s="1"/>
  <c r="P109" i="1"/>
  <c r="J109" i="1"/>
  <c r="Z109" i="1" s="1"/>
  <c r="X108" i="1"/>
  <c r="W108" i="1"/>
  <c r="V108" i="1"/>
  <c r="U108" i="1"/>
  <c r="S108" i="1"/>
  <c r="Y108" i="1" s="1"/>
  <c r="P108" i="1"/>
  <c r="J108" i="1"/>
  <c r="Z108" i="1" s="1"/>
  <c r="X107" i="1"/>
  <c r="W107" i="1"/>
  <c r="V107" i="1"/>
  <c r="U107" i="1"/>
  <c r="S107" i="1"/>
  <c r="Y107" i="1" s="1"/>
  <c r="P107" i="1"/>
  <c r="J107" i="1"/>
  <c r="Z107" i="1" s="1"/>
  <c r="AA107" i="1" s="1"/>
  <c r="X106" i="1"/>
  <c r="W106" i="1"/>
  <c r="V106" i="1"/>
  <c r="U106" i="1"/>
  <c r="S106" i="1"/>
  <c r="Y106" i="1" s="1"/>
  <c r="P106" i="1"/>
  <c r="J106" i="1"/>
  <c r="Z106" i="1" s="1"/>
  <c r="X105" i="1"/>
  <c r="W105" i="1"/>
  <c r="V105" i="1"/>
  <c r="U105" i="1"/>
  <c r="S105" i="1"/>
  <c r="P105" i="1"/>
  <c r="J105" i="1"/>
  <c r="Z105" i="1" s="1"/>
  <c r="X104" i="1"/>
  <c r="W104" i="1"/>
  <c r="V104" i="1"/>
  <c r="U104" i="1"/>
  <c r="S104" i="1"/>
  <c r="Y104" i="1" s="1"/>
  <c r="P104" i="1"/>
  <c r="J104" i="1"/>
  <c r="Z104" i="1" s="1"/>
  <c r="X103" i="1"/>
  <c r="W103" i="1"/>
  <c r="V103" i="1"/>
  <c r="U103" i="1"/>
  <c r="S103" i="1"/>
  <c r="Y103" i="1" s="1"/>
  <c r="P103" i="1"/>
  <c r="J103" i="1"/>
  <c r="Z103" i="1" s="1"/>
  <c r="X102" i="1"/>
  <c r="W102" i="1"/>
  <c r="V102" i="1"/>
  <c r="U102" i="1"/>
  <c r="S102" i="1"/>
  <c r="P102" i="1"/>
  <c r="J102" i="1"/>
  <c r="Z102" i="1" s="1"/>
  <c r="X101" i="1"/>
  <c r="W101" i="1"/>
  <c r="V101" i="1"/>
  <c r="U101" i="1"/>
  <c r="S101" i="1"/>
  <c r="Y101" i="1" s="1"/>
  <c r="P101" i="1"/>
  <c r="J101" i="1"/>
  <c r="Z101" i="1" s="1"/>
  <c r="X100" i="1"/>
  <c r="W100" i="1"/>
  <c r="V100" i="1"/>
  <c r="U100" i="1"/>
  <c r="S100" i="1"/>
  <c r="Y100" i="1" s="1"/>
  <c r="P100" i="1"/>
  <c r="J100" i="1"/>
  <c r="Z100" i="1" s="1"/>
  <c r="X99" i="1"/>
  <c r="W99" i="1"/>
  <c r="V99" i="1"/>
  <c r="U99" i="1"/>
  <c r="S99" i="1"/>
  <c r="Y99" i="1" s="1"/>
  <c r="P99" i="1"/>
  <c r="J99" i="1"/>
  <c r="Z99" i="1" s="1"/>
  <c r="X98" i="1"/>
  <c r="W98" i="1"/>
  <c r="V98" i="1"/>
  <c r="U98" i="1"/>
  <c r="S98" i="1"/>
  <c r="P98" i="1"/>
  <c r="J98" i="1"/>
  <c r="Z98" i="1" s="1"/>
  <c r="X97" i="1"/>
  <c r="W97" i="1"/>
  <c r="V97" i="1"/>
  <c r="U97" i="1"/>
  <c r="S97" i="1"/>
  <c r="Y97" i="1" s="1"/>
  <c r="P97" i="1"/>
  <c r="J97" i="1"/>
  <c r="Z97" i="1" s="1"/>
  <c r="X96" i="1"/>
  <c r="W96" i="1"/>
  <c r="V96" i="1"/>
  <c r="U96" i="1"/>
  <c r="S96" i="1"/>
  <c r="Y96" i="1" s="1"/>
  <c r="P96" i="1"/>
  <c r="J96" i="1"/>
  <c r="Z96" i="1" s="1"/>
  <c r="X95" i="1"/>
  <c r="W95" i="1"/>
  <c r="V95" i="1"/>
  <c r="U95" i="1"/>
  <c r="S95" i="1"/>
  <c r="Y95" i="1" s="1"/>
  <c r="P95" i="1"/>
  <c r="J95" i="1"/>
  <c r="Z95" i="1" s="1"/>
  <c r="AA95" i="1" s="1"/>
  <c r="X94" i="1"/>
  <c r="W94" i="1"/>
  <c r="V94" i="1"/>
  <c r="U94" i="1"/>
  <c r="S94" i="1"/>
  <c r="Y94" i="1" s="1"/>
  <c r="P94" i="1"/>
  <c r="J94" i="1"/>
  <c r="Z94" i="1" s="1"/>
  <c r="AA94" i="1" s="1"/>
  <c r="X93" i="1"/>
  <c r="W93" i="1"/>
  <c r="V93" i="1"/>
  <c r="U93" i="1"/>
  <c r="S93" i="1"/>
  <c r="Y93" i="1" s="1"/>
  <c r="P93" i="1"/>
  <c r="J93" i="1"/>
  <c r="Z93" i="1" s="1"/>
  <c r="X92" i="1"/>
  <c r="W92" i="1"/>
  <c r="V92" i="1"/>
  <c r="U92" i="1"/>
  <c r="S92" i="1"/>
  <c r="Y92" i="1" s="1"/>
  <c r="P92" i="1"/>
  <c r="J92" i="1"/>
  <c r="Z92" i="1" s="1"/>
  <c r="AA92" i="1" s="1"/>
  <c r="X91" i="1"/>
  <c r="W91" i="1"/>
  <c r="V91" i="1"/>
  <c r="U91" i="1"/>
  <c r="S91" i="1"/>
  <c r="Y91" i="1" s="1"/>
  <c r="P91" i="1"/>
  <c r="J91" i="1"/>
  <c r="Z91" i="1" s="1"/>
  <c r="X90" i="1"/>
  <c r="W90" i="1"/>
  <c r="V90" i="1"/>
  <c r="U90" i="1"/>
  <c r="S90" i="1"/>
  <c r="Y90" i="1" s="1"/>
  <c r="P90" i="1"/>
  <c r="J90" i="1"/>
  <c r="Z90" i="1" s="1"/>
  <c r="X89" i="1"/>
  <c r="W89" i="1"/>
  <c r="V89" i="1"/>
  <c r="U89" i="1"/>
  <c r="S89" i="1"/>
  <c r="Y89" i="1" s="1"/>
  <c r="P89" i="1"/>
  <c r="J89" i="1"/>
  <c r="Z89" i="1" s="1"/>
  <c r="AA89" i="1" s="1"/>
  <c r="X88" i="1"/>
  <c r="W88" i="1"/>
  <c r="V88" i="1"/>
  <c r="U88" i="1"/>
  <c r="S88" i="1"/>
  <c r="Y88" i="1" s="1"/>
  <c r="P88" i="1"/>
  <c r="J88" i="1"/>
  <c r="Z88" i="1" s="1"/>
  <c r="X87" i="1"/>
  <c r="W87" i="1"/>
  <c r="V87" i="1"/>
  <c r="U87" i="1"/>
  <c r="S87" i="1"/>
  <c r="Y87" i="1" s="1"/>
  <c r="P87" i="1"/>
  <c r="J87" i="1"/>
  <c r="Z87" i="1" s="1"/>
  <c r="AA87" i="1" s="1"/>
  <c r="X86" i="1"/>
  <c r="W86" i="1"/>
  <c r="V86" i="1"/>
  <c r="U86" i="1"/>
  <c r="S86" i="1"/>
  <c r="Y86" i="1" s="1"/>
  <c r="P86" i="1"/>
  <c r="J86" i="1"/>
  <c r="Z86" i="1" s="1"/>
  <c r="X85" i="1"/>
  <c r="W85" i="1"/>
  <c r="V85" i="1"/>
  <c r="U85" i="1"/>
  <c r="S85" i="1"/>
  <c r="Y85" i="1" s="1"/>
  <c r="P85" i="1"/>
  <c r="J85" i="1"/>
  <c r="Z85" i="1" s="1"/>
  <c r="X84" i="1"/>
  <c r="W84" i="1"/>
  <c r="V84" i="1"/>
  <c r="U84" i="1"/>
  <c r="S84" i="1"/>
  <c r="Y84" i="1" s="1"/>
  <c r="P84" i="1"/>
  <c r="J84" i="1"/>
  <c r="Z84" i="1" s="1"/>
  <c r="X83" i="1"/>
  <c r="W83" i="1"/>
  <c r="V83" i="1"/>
  <c r="U83" i="1"/>
  <c r="S83" i="1"/>
  <c r="Y83" i="1" s="1"/>
  <c r="P83" i="1"/>
  <c r="J83" i="1"/>
  <c r="Z83" i="1" s="1"/>
  <c r="AA83" i="1" s="1"/>
  <c r="X82" i="1"/>
  <c r="W82" i="1"/>
  <c r="V82" i="1"/>
  <c r="U82" i="1"/>
  <c r="S82" i="1"/>
  <c r="Y82" i="1" s="1"/>
  <c r="P82" i="1"/>
  <c r="J82" i="1"/>
  <c r="Z82" i="1" s="1"/>
  <c r="X81" i="1"/>
  <c r="W81" i="1"/>
  <c r="V81" i="1"/>
  <c r="U81" i="1"/>
  <c r="S81" i="1"/>
  <c r="P81" i="1"/>
  <c r="J81" i="1"/>
  <c r="Z81" i="1" s="1"/>
  <c r="X80" i="1"/>
  <c r="W80" i="1"/>
  <c r="V80" i="1"/>
  <c r="U80" i="1"/>
  <c r="S80" i="1"/>
  <c r="P80" i="1"/>
  <c r="J80" i="1"/>
  <c r="Z80" i="1" s="1"/>
  <c r="X79" i="1"/>
  <c r="W79" i="1"/>
  <c r="V79" i="1"/>
  <c r="U79" i="1"/>
  <c r="S79" i="1"/>
  <c r="Y79" i="1" s="1"/>
  <c r="P79" i="1"/>
  <c r="J79" i="1"/>
  <c r="Z79" i="1" s="1"/>
  <c r="X78" i="1"/>
  <c r="W78" i="1"/>
  <c r="V78" i="1"/>
  <c r="U78" i="1"/>
  <c r="S78" i="1"/>
  <c r="Y78" i="1" s="1"/>
  <c r="P78" i="1"/>
  <c r="J78" i="1"/>
  <c r="Z78" i="1" s="1"/>
  <c r="X77" i="1"/>
  <c r="W77" i="1"/>
  <c r="V77" i="1"/>
  <c r="U77" i="1"/>
  <c r="S77" i="1"/>
  <c r="Y77" i="1" s="1"/>
  <c r="P77" i="1"/>
  <c r="J77" i="1"/>
  <c r="Z77" i="1" s="1"/>
  <c r="X76" i="1"/>
  <c r="W76" i="1"/>
  <c r="V76" i="1"/>
  <c r="U76" i="1"/>
  <c r="S76" i="1"/>
  <c r="Y76" i="1" s="1"/>
  <c r="P76" i="1"/>
  <c r="J76" i="1"/>
  <c r="Z76" i="1" s="1"/>
  <c r="X75" i="1"/>
  <c r="W75" i="1"/>
  <c r="V75" i="1"/>
  <c r="U75" i="1"/>
  <c r="S75" i="1"/>
  <c r="Y75" i="1" s="1"/>
  <c r="P75" i="1"/>
  <c r="J75" i="1"/>
  <c r="Z75" i="1" s="1"/>
  <c r="X74" i="1"/>
  <c r="W74" i="1"/>
  <c r="V74" i="1"/>
  <c r="U74" i="1"/>
  <c r="S74" i="1"/>
  <c r="Y74" i="1" s="1"/>
  <c r="P74" i="1"/>
  <c r="J74" i="1"/>
  <c r="Z74" i="1" s="1"/>
  <c r="X73" i="1"/>
  <c r="W73" i="1"/>
  <c r="V73" i="1"/>
  <c r="U73" i="1"/>
  <c r="S73" i="1"/>
  <c r="P73" i="1"/>
  <c r="J73" i="1"/>
  <c r="Z73" i="1" s="1"/>
  <c r="X72" i="1"/>
  <c r="W72" i="1"/>
  <c r="V72" i="1"/>
  <c r="U72" i="1"/>
  <c r="S72" i="1"/>
  <c r="Y72" i="1" s="1"/>
  <c r="P72" i="1"/>
  <c r="J72" i="1"/>
  <c r="Z72" i="1" s="1"/>
  <c r="X71" i="1"/>
  <c r="W71" i="1"/>
  <c r="V71" i="1"/>
  <c r="U71" i="1"/>
  <c r="S71" i="1"/>
  <c r="Y71" i="1" s="1"/>
  <c r="P71" i="1"/>
  <c r="J71" i="1"/>
  <c r="Z71" i="1" s="1"/>
  <c r="X70" i="1"/>
  <c r="W70" i="1"/>
  <c r="V70" i="1"/>
  <c r="U70" i="1"/>
  <c r="S70" i="1"/>
  <c r="Y70" i="1" s="1"/>
  <c r="P70" i="1"/>
  <c r="J70" i="1"/>
  <c r="Z70" i="1" s="1"/>
  <c r="X69" i="1"/>
  <c r="W69" i="1"/>
  <c r="V69" i="1"/>
  <c r="U69" i="1"/>
  <c r="S69" i="1"/>
  <c r="Y69" i="1" s="1"/>
  <c r="P69" i="1"/>
  <c r="J69" i="1"/>
  <c r="Z69" i="1" s="1"/>
  <c r="AA69" i="1" s="1"/>
  <c r="X68" i="1"/>
  <c r="W68" i="1"/>
  <c r="V68" i="1"/>
  <c r="U68" i="1"/>
  <c r="S68" i="1"/>
  <c r="Y68" i="1" s="1"/>
  <c r="P68" i="1"/>
  <c r="J68" i="1"/>
  <c r="Z68" i="1" s="1"/>
  <c r="X67" i="1"/>
  <c r="W67" i="1"/>
  <c r="V67" i="1"/>
  <c r="U67" i="1"/>
  <c r="S67" i="1"/>
  <c r="Y67" i="1" s="1"/>
  <c r="P67" i="1"/>
  <c r="J67" i="1"/>
  <c r="Z67" i="1" s="1"/>
  <c r="X66" i="1"/>
  <c r="W66" i="1"/>
  <c r="V66" i="1"/>
  <c r="U66" i="1"/>
  <c r="S66" i="1"/>
  <c r="Y66" i="1" s="1"/>
  <c r="P66" i="1"/>
  <c r="J66" i="1"/>
  <c r="Z66" i="1" s="1"/>
  <c r="AA66" i="1" s="1"/>
  <c r="X65" i="1"/>
  <c r="W65" i="1"/>
  <c r="V65" i="1"/>
  <c r="U65" i="1"/>
  <c r="S65" i="1"/>
  <c r="Y65" i="1" s="1"/>
  <c r="P65" i="1"/>
  <c r="J65" i="1"/>
  <c r="Z65" i="1" s="1"/>
  <c r="X64" i="1"/>
  <c r="W64" i="1"/>
  <c r="V64" i="1"/>
  <c r="U64" i="1"/>
  <c r="S64" i="1"/>
  <c r="Y64" i="1" s="1"/>
  <c r="P64" i="1"/>
  <c r="J64" i="1"/>
  <c r="Z64" i="1" s="1"/>
  <c r="AA64" i="1" s="1"/>
  <c r="X63" i="1"/>
  <c r="W63" i="1"/>
  <c r="V63" i="1"/>
  <c r="U63" i="1"/>
  <c r="S63" i="1"/>
  <c r="Y63" i="1" s="1"/>
  <c r="P63" i="1"/>
  <c r="J63" i="1"/>
  <c r="Z63" i="1" s="1"/>
  <c r="AA63" i="1" s="1"/>
  <c r="X62" i="1"/>
  <c r="W62" i="1"/>
  <c r="V62" i="1"/>
  <c r="U62" i="1"/>
  <c r="S62" i="1"/>
  <c r="P62" i="1"/>
  <c r="J62" i="1"/>
  <c r="Z62" i="1" s="1"/>
  <c r="X61" i="1"/>
  <c r="W61" i="1"/>
  <c r="V61" i="1"/>
  <c r="U61" i="1"/>
  <c r="S61" i="1"/>
  <c r="P61" i="1"/>
  <c r="J61" i="1"/>
  <c r="Z61" i="1" s="1"/>
  <c r="X60" i="1"/>
  <c r="W60" i="1"/>
  <c r="V60" i="1"/>
  <c r="U60" i="1"/>
  <c r="S60" i="1"/>
  <c r="P60" i="1"/>
  <c r="J60" i="1"/>
  <c r="Z60" i="1" s="1"/>
  <c r="X59" i="1"/>
  <c r="W59" i="1"/>
  <c r="V59" i="1"/>
  <c r="U59" i="1"/>
  <c r="S59" i="1"/>
  <c r="P59" i="1"/>
  <c r="J59" i="1"/>
  <c r="Z59" i="1" s="1"/>
  <c r="X58" i="1"/>
  <c r="W58" i="1"/>
  <c r="V58" i="1"/>
  <c r="U58" i="1"/>
  <c r="S58" i="1"/>
  <c r="Y58" i="1" s="1"/>
  <c r="P58" i="1"/>
  <c r="J58" i="1"/>
  <c r="Z58" i="1" s="1"/>
  <c r="X57" i="1"/>
  <c r="W57" i="1"/>
  <c r="V57" i="1"/>
  <c r="U57" i="1"/>
  <c r="S57" i="1"/>
  <c r="Y57" i="1" s="1"/>
  <c r="P57" i="1"/>
  <c r="J57" i="1"/>
  <c r="Z57" i="1" s="1"/>
  <c r="AA57" i="1" s="1"/>
  <c r="X56" i="1"/>
  <c r="W56" i="1"/>
  <c r="V56" i="1"/>
  <c r="U56" i="1"/>
  <c r="S56" i="1"/>
  <c r="Y56" i="1" s="1"/>
  <c r="P56" i="1"/>
  <c r="J56" i="1"/>
  <c r="Z56" i="1" s="1"/>
  <c r="X55" i="1"/>
  <c r="W55" i="1"/>
  <c r="V55" i="1"/>
  <c r="U55" i="1"/>
  <c r="S55" i="1"/>
  <c r="Y55" i="1" s="1"/>
  <c r="P55" i="1"/>
  <c r="J55" i="1"/>
  <c r="Z55" i="1" s="1"/>
  <c r="X54" i="1"/>
  <c r="W54" i="1"/>
  <c r="V54" i="1"/>
  <c r="U54" i="1"/>
  <c r="S54" i="1"/>
  <c r="Y54" i="1" s="1"/>
  <c r="P54" i="1"/>
  <c r="J54" i="1"/>
  <c r="Z54" i="1" s="1"/>
  <c r="X53" i="1"/>
  <c r="W53" i="1"/>
  <c r="V53" i="1"/>
  <c r="U53" i="1"/>
  <c r="S53" i="1"/>
  <c r="P53" i="1"/>
  <c r="J53" i="1"/>
  <c r="Z53" i="1" s="1"/>
  <c r="X52" i="1"/>
  <c r="W52" i="1"/>
  <c r="V52" i="1"/>
  <c r="U52" i="1"/>
  <c r="S52" i="1"/>
  <c r="Y52" i="1" s="1"/>
  <c r="P52" i="1"/>
  <c r="J52" i="1"/>
  <c r="Z52" i="1" s="1"/>
  <c r="X51" i="1"/>
  <c r="W51" i="1"/>
  <c r="V51" i="1"/>
  <c r="U51" i="1"/>
  <c r="S51" i="1"/>
  <c r="Y51" i="1" s="1"/>
  <c r="P51" i="1"/>
  <c r="J51" i="1"/>
  <c r="Z51" i="1" s="1"/>
  <c r="X50" i="1"/>
  <c r="W50" i="1"/>
  <c r="V50" i="1"/>
  <c r="U50" i="1"/>
  <c r="S50" i="1"/>
  <c r="Y50" i="1" s="1"/>
  <c r="P50" i="1"/>
  <c r="J50" i="1"/>
  <c r="Z50" i="1" s="1"/>
  <c r="X49" i="1"/>
  <c r="W49" i="1"/>
  <c r="V49" i="1"/>
  <c r="U49" i="1"/>
  <c r="S49" i="1"/>
  <c r="Y49" i="1" s="1"/>
  <c r="P49" i="1"/>
  <c r="J49" i="1"/>
  <c r="Z49" i="1" s="1"/>
  <c r="X48" i="1"/>
  <c r="W48" i="1"/>
  <c r="V48" i="1"/>
  <c r="U48" i="1"/>
  <c r="S48" i="1"/>
  <c r="Y48" i="1" s="1"/>
  <c r="P48" i="1"/>
  <c r="J48" i="1"/>
  <c r="Z48" i="1" s="1"/>
  <c r="X47" i="1"/>
  <c r="W47" i="1"/>
  <c r="V47" i="1"/>
  <c r="U47" i="1"/>
  <c r="S47" i="1"/>
  <c r="Y47" i="1" s="1"/>
  <c r="P47" i="1"/>
  <c r="J47" i="1"/>
  <c r="Z47" i="1" s="1"/>
  <c r="X46" i="1"/>
  <c r="W46" i="1"/>
  <c r="V46" i="1"/>
  <c r="U46" i="1"/>
  <c r="S46" i="1"/>
  <c r="P46" i="1"/>
  <c r="J46" i="1"/>
  <c r="Z46" i="1" s="1"/>
  <c r="X45" i="1"/>
  <c r="W45" i="1"/>
  <c r="V45" i="1"/>
  <c r="U45" i="1"/>
  <c r="S45" i="1"/>
  <c r="Y45" i="1" s="1"/>
  <c r="P45" i="1"/>
  <c r="J45" i="1"/>
  <c r="Z45" i="1" s="1"/>
  <c r="X44" i="1"/>
  <c r="W44" i="1"/>
  <c r="V44" i="1"/>
  <c r="U44" i="1"/>
  <c r="S44" i="1"/>
  <c r="P44" i="1"/>
  <c r="J44" i="1"/>
  <c r="Z44" i="1" s="1"/>
  <c r="X43" i="1"/>
  <c r="W43" i="1"/>
  <c r="V43" i="1"/>
  <c r="U43" i="1"/>
  <c r="S43" i="1"/>
  <c r="P43" i="1"/>
  <c r="J43" i="1"/>
  <c r="Z43" i="1" s="1"/>
  <c r="X42" i="1"/>
  <c r="W42" i="1"/>
  <c r="V42" i="1"/>
  <c r="U42" i="1"/>
  <c r="S42" i="1"/>
  <c r="Y42" i="1" s="1"/>
  <c r="P42" i="1"/>
  <c r="J42" i="1"/>
  <c r="Z42" i="1" s="1"/>
  <c r="X41" i="1"/>
  <c r="W41" i="1"/>
  <c r="V41" i="1"/>
  <c r="U41" i="1"/>
  <c r="S41" i="1"/>
  <c r="Y41" i="1" s="1"/>
  <c r="P41" i="1"/>
  <c r="J41" i="1"/>
  <c r="Z41" i="1" s="1"/>
  <c r="X40" i="1"/>
  <c r="W40" i="1"/>
  <c r="V40" i="1"/>
  <c r="U40" i="1"/>
  <c r="S40" i="1"/>
  <c r="Y40" i="1" s="1"/>
  <c r="P40" i="1"/>
  <c r="J40" i="1"/>
  <c r="Z40" i="1" s="1"/>
  <c r="AA40" i="1" s="1"/>
  <c r="X39" i="1"/>
  <c r="W39" i="1"/>
  <c r="V39" i="1"/>
  <c r="U39" i="1"/>
  <c r="S39" i="1"/>
  <c r="Y39" i="1" s="1"/>
  <c r="P39" i="1"/>
  <c r="J39" i="1"/>
  <c r="Z39" i="1" s="1"/>
  <c r="AA39" i="1" s="1"/>
  <c r="X38" i="1"/>
  <c r="W38" i="1"/>
  <c r="V38" i="1"/>
  <c r="U38" i="1"/>
  <c r="S38" i="1"/>
  <c r="Y38" i="1" s="1"/>
  <c r="P38" i="1"/>
  <c r="J38" i="1"/>
  <c r="Z38" i="1" s="1"/>
  <c r="X37" i="1"/>
  <c r="W37" i="1"/>
  <c r="V37" i="1"/>
  <c r="U37" i="1"/>
  <c r="S37" i="1"/>
  <c r="P37" i="1"/>
  <c r="J37" i="1"/>
  <c r="Z37" i="1" s="1"/>
  <c r="X36" i="1"/>
  <c r="W36" i="1"/>
  <c r="V36" i="1"/>
  <c r="U36" i="1"/>
  <c r="S36" i="1"/>
  <c r="Y36" i="1" s="1"/>
  <c r="P36" i="1"/>
  <c r="J36" i="1"/>
  <c r="Z36" i="1" s="1"/>
  <c r="X35" i="1"/>
  <c r="W35" i="1"/>
  <c r="V35" i="1"/>
  <c r="U35" i="1"/>
  <c r="S35" i="1"/>
  <c r="Y35" i="1" s="1"/>
  <c r="P35" i="1"/>
  <c r="J35" i="1"/>
  <c r="Z35" i="1" s="1"/>
  <c r="X34" i="1"/>
  <c r="W34" i="1"/>
  <c r="V34" i="1"/>
  <c r="U34" i="1"/>
  <c r="S34" i="1"/>
  <c r="Y34" i="1" s="1"/>
  <c r="P34" i="1"/>
  <c r="J34" i="1"/>
  <c r="Z34" i="1" s="1"/>
  <c r="X33" i="1"/>
  <c r="W33" i="1"/>
  <c r="V33" i="1"/>
  <c r="U33" i="1"/>
  <c r="S33" i="1"/>
  <c r="Y33" i="1" s="1"/>
  <c r="P33" i="1"/>
  <c r="J33" i="1"/>
  <c r="Z33" i="1" s="1"/>
  <c r="X32" i="1"/>
  <c r="W32" i="1"/>
  <c r="V32" i="1"/>
  <c r="U32" i="1"/>
  <c r="S32" i="1"/>
  <c r="Y32" i="1" s="1"/>
  <c r="P32" i="1"/>
  <c r="J32" i="1"/>
  <c r="Z32" i="1" s="1"/>
  <c r="X31" i="1"/>
  <c r="W31" i="1"/>
  <c r="V31" i="1"/>
  <c r="U31" i="1"/>
  <c r="S31" i="1"/>
  <c r="Y31" i="1" s="1"/>
  <c r="P31" i="1"/>
  <c r="J31" i="1"/>
  <c r="Z31" i="1" s="1"/>
  <c r="X30" i="1"/>
  <c r="W30" i="1"/>
  <c r="V30" i="1"/>
  <c r="U30" i="1"/>
  <c r="S30" i="1"/>
  <c r="Y30" i="1" s="1"/>
  <c r="P30" i="1"/>
  <c r="J30" i="1"/>
  <c r="Z30" i="1" s="1"/>
  <c r="X29" i="1"/>
  <c r="W29" i="1"/>
  <c r="V29" i="1"/>
  <c r="U29" i="1"/>
  <c r="S29" i="1"/>
  <c r="Y29" i="1" s="1"/>
  <c r="P29" i="1"/>
  <c r="J29" i="1"/>
  <c r="Z29" i="1" s="1"/>
  <c r="AA29" i="1" s="1"/>
  <c r="X28" i="1"/>
  <c r="W28" i="1"/>
  <c r="V28" i="1"/>
  <c r="U28" i="1"/>
  <c r="S28" i="1"/>
  <c r="P28" i="1"/>
  <c r="J28" i="1"/>
  <c r="Z28" i="1" s="1"/>
  <c r="X27" i="1"/>
  <c r="W27" i="1"/>
  <c r="V27" i="1"/>
  <c r="U27" i="1"/>
  <c r="S27" i="1"/>
  <c r="P27" i="1"/>
  <c r="J27" i="1"/>
  <c r="Z27" i="1" s="1"/>
  <c r="X26" i="1"/>
  <c r="W26" i="1"/>
  <c r="V26" i="1"/>
  <c r="U26" i="1"/>
  <c r="S26" i="1"/>
  <c r="Y26" i="1" s="1"/>
  <c r="P26" i="1"/>
  <c r="J26" i="1"/>
  <c r="Z26" i="1" s="1"/>
  <c r="X25" i="1"/>
  <c r="W25" i="1"/>
  <c r="V25" i="1"/>
  <c r="U25" i="1"/>
  <c r="S25" i="1"/>
  <c r="Y25" i="1" s="1"/>
  <c r="P25" i="1"/>
  <c r="J25" i="1"/>
  <c r="Z25" i="1" s="1"/>
  <c r="X24" i="1"/>
  <c r="W24" i="1"/>
  <c r="V24" i="1"/>
  <c r="U24" i="1"/>
  <c r="S24" i="1"/>
  <c r="Y24" i="1" s="1"/>
  <c r="P24" i="1"/>
  <c r="J24" i="1"/>
  <c r="Z24" i="1" s="1"/>
  <c r="AA24" i="1" s="1"/>
  <c r="X23" i="1"/>
  <c r="W23" i="1"/>
  <c r="V23" i="1"/>
  <c r="U23" i="1"/>
  <c r="S23" i="1"/>
  <c r="Y23" i="1" s="1"/>
  <c r="P23" i="1"/>
  <c r="J23" i="1"/>
  <c r="Z23" i="1" s="1"/>
  <c r="X22" i="1"/>
  <c r="W22" i="1"/>
  <c r="V22" i="1"/>
  <c r="U22" i="1"/>
  <c r="S22" i="1"/>
  <c r="P22" i="1"/>
  <c r="J22" i="1"/>
  <c r="Z22" i="1" s="1"/>
  <c r="X21" i="1"/>
  <c r="W21" i="1"/>
  <c r="V21" i="1"/>
  <c r="U21" i="1"/>
  <c r="S21" i="1"/>
  <c r="Y21" i="1" s="1"/>
  <c r="P21" i="1"/>
  <c r="J21" i="1"/>
  <c r="Z21" i="1" s="1"/>
  <c r="X20" i="1"/>
  <c r="W20" i="1"/>
  <c r="V20" i="1"/>
  <c r="U20" i="1"/>
  <c r="S20" i="1"/>
  <c r="Y20" i="1" s="1"/>
  <c r="P20" i="1"/>
  <c r="J20" i="1"/>
  <c r="Z20" i="1" s="1"/>
  <c r="X19" i="1"/>
  <c r="W19" i="1"/>
  <c r="V19" i="1"/>
  <c r="U19" i="1"/>
  <c r="S19" i="1"/>
  <c r="Y19" i="1" s="1"/>
  <c r="P19" i="1"/>
  <c r="J19" i="1"/>
  <c r="Z19" i="1" s="1"/>
  <c r="X18" i="1"/>
  <c r="W18" i="1"/>
  <c r="V18" i="1"/>
  <c r="U18" i="1"/>
  <c r="S18" i="1"/>
  <c r="P18" i="1"/>
  <c r="J18" i="1"/>
  <c r="Z18" i="1" s="1"/>
  <c r="X17" i="1"/>
  <c r="W17" i="1"/>
  <c r="V17" i="1"/>
  <c r="U17" i="1"/>
  <c r="S17" i="1"/>
  <c r="Y17" i="1" s="1"/>
  <c r="P17" i="1"/>
  <c r="J17" i="1"/>
  <c r="Z17" i="1" s="1"/>
  <c r="AA17" i="1" s="1"/>
  <c r="X16" i="1"/>
  <c r="W16" i="1"/>
  <c r="V16" i="1"/>
  <c r="U16" i="1"/>
  <c r="S16" i="1"/>
  <c r="P16" i="1"/>
  <c r="J16" i="1"/>
  <c r="Z16" i="1" s="1"/>
  <c r="X15" i="1"/>
  <c r="W15" i="1"/>
  <c r="V15" i="1"/>
  <c r="U15" i="1"/>
  <c r="S15" i="1"/>
  <c r="Y15" i="1" s="1"/>
  <c r="P15" i="1"/>
  <c r="J15" i="1"/>
  <c r="Z15" i="1" s="1"/>
  <c r="AA15" i="1" s="1"/>
  <c r="X14" i="1"/>
  <c r="W14" i="1"/>
  <c r="V14" i="1"/>
  <c r="U14" i="1"/>
  <c r="S14" i="1"/>
  <c r="Y14" i="1" s="1"/>
  <c r="P14" i="1"/>
  <c r="Q14" i="1" s="1"/>
  <c r="J14" i="1"/>
  <c r="Z14" i="1" s="1"/>
  <c r="X13" i="1"/>
  <c r="W13" i="1"/>
  <c r="V13" i="1"/>
  <c r="U13" i="1"/>
  <c r="S13" i="1"/>
  <c r="Y13" i="1" s="1"/>
  <c r="P13" i="1"/>
  <c r="J13" i="1"/>
  <c r="Z13" i="1" s="1"/>
  <c r="X12" i="1"/>
  <c r="W12" i="1"/>
  <c r="V12" i="1"/>
  <c r="U12" i="1"/>
  <c r="S12" i="1"/>
  <c r="Y12" i="1" s="1"/>
  <c r="P12" i="1"/>
  <c r="J12" i="1"/>
  <c r="Z12" i="1" s="1"/>
  <c r="X11" i="1"/>
  <c r="W11" i="1"/>
  <c r="V11" i="1"/>
  <c r="U11" i="1"/>
  <c r="S11" i="1"/>
  <c r="P11" i="1"/>
  <c r="J11" i="1"/>
  <c r="Z11" i="1" s="1"/>
  <c r="X10" i="1"/>
  <c r="W10" i="1"/>
  <c r="V10" i="1"/>
  <c r="U10" i="1"/>
  <c r="S10" i="1"/>
  <c r="Y10" i="1" s="1"/>
  <c r="P10" i="1"/>
  <c r="J10" i="1"/>
  <c r="Z10" i="1" s="1"/>
  <c r="AA10" i="1" s="1"/>
  <c r="X9" i="1"/>
  <c r="W9" i="1"/>
  <c r="V9" i="1"/>
  <c r="U9" i="1"/>
  <c r="S9" i="1"/>
  <c r="Y9" i="1" s="1"/>
  <c r="P9" i="1"/>
  <c r="J9" i="1"/>
  <c r="Z9" i="1" s="1"/>
  <c r="X8" i="1"/>
  <c r="W8" i="1"/>
  <c r="V8" i="1"/>
  <c r="U8" i="1"/>
  <c r="S8" i="1"/>
  <c r="P8" i="1"/>
  <c r="J8" i="1"/>
  <c r="Z8" i="1" s="1"/>
  <c r="X7" i="1"/>
  <c r="X305" i="1" s="1"/>
  <c r="W7" i="1"/>
  <c r="W305" i="1" s="1"/>
  <c r="V7" i="1"/>
  <c r="U7" i="1"/>
  <c r="U305" i="1" s="1"/>
  <c r="S7" i="1"/>
  <c r="P7" i="1"/>
  <c r="J7" i="1"/>
  <c r="Q98" i="7" l="1"/>
  <c r="Z273" i="7"/>
  <c r="Z11" i="7"/>
  <c r="Z217" i="7"/>
  <c r="Z233" i="7"/>
  <c r="AB233" i="7" s="1"/>
  <c r="Z308" i="7"/>
  <c r="Z316" i="7"/>
  <c r="Z291" i="7"/>
  <c r="Z194" i="7"/>
  <c r="Z127" i="7"/>
  <c r="Z264" i="7"/>
  <c r="Z261" i="7"/>
  <c r="Z289" i="7"/>
  <c r="AA95" i="7"/>
  <c r="Q95" i="7"/>
  <c r="AA223" i="7"/>
  <c r="Q223" i="7"/>
  <c r="Z66" i="7"/>
  <c r="Z183" i="7"/>
  <c r="Z254" i="7"/>
  <c r="Z301" i="7"/>
  <c r="Z122" i="7"/>
  <c r="Z204" i="7"/>
  <c r="Y98" i="7"/>
  <c r="X98" i="7"/>
  <c r="V98" i="7"/>
  <c r="V318" i="7" s="1"/>
  <c r="W98" i="7"/>
  <c r="Z142" i="7"/>
  <c r="Z210" i="7"/>
  <c r="Z108" i="7"/>
  <c r="Z260" i="7"/>
  <c r="Z312" i="7"/>
  <c r="Z206" i="7"/>
  <c r="Z193" i="7"/>
  <c r="AB193" i="7" s="1"/>
  <c r="Z237" i="7"/>
  <c r="AB237" i="7" s="1"/>
  <c r="Z277" i="7"/>
  <c r="Z72" i="7"/>
  <c r="Z102" i="7"/>
  <c r="AB102" i="7" s="1"/>
  <c r="Z71" i="7"/>
  <c r="Z90" i="7"/>
  <c r="Z230" i="7"/>
  <c r="Z107" i="7"/>
  <c r="Z203" i="7"/>
  <c r="Z226" i="7"/>
  <c r="AB226" i="7" s="1"/>
  <c r="Z253" i="7"/>
  <c r="Z302" i="7"/>
  <c r="Z16" i="7"/>
  <c r="AB16" i="7" s="1"/>
  <c r="Z54" i="7"/>
  <c r="AB54" i="7" s="1"/>
  <c r="Z58" i="7"/>
  <c r="AB58" i="7" s="1"/>
  <c r="Z61" i="7"/>
  <c r="Z62" i="7"/>
  <c r="Z82" i="7"/>
  <c r="Z93" i="7"/>
  <c r="AB93" i="7" s="1"/>
  <c r="Z113" i="7"/>
  <c r="AB113" i="7" s="1"/>
  <c r="Z140" i="7"/>
  <c r="AB140" i="7" s="1"/>
  <c r="Z243" i="7"/>
  <c r="Z224" i="7"/>
  <c r="AB224" i="7" s="1"/>
  <c r="Z274" i="7"/>
  <c r="AB274" i="7" s="1"/>
  <c r="Z201" i="7"/>
  <c r="AB201" i="7" s="1"/>
  <c r="Z255" i="7"/>
  <c r="Z288" i="7"/>
  <c r="AB288" i="7" s="1"/>
  <c r="Z292" i="7"/>
  <c r="AB292" i="7" s="1"/>
  <c r="Z200" i="7"/>
  <c r="Z240" i="7"/>
  <c r="Z263" i="7"/>
  <c r="AB263" i="7" s="1"/>
  <c r="Z305" i="7"/>
  <c r="AB305" i="7" s="1"/>
  <c r="Z75" i="7"/>
  <c r="AB75" i="7" s="1"/>
  <c r="Z176" i="7"/>
  <c r="Z79" i="7"/>
  <c r="AB79" i="7" s="1"/>
  <c r="Z165" i="7"/>
  <c r="AB165" i="7" s="1"/>
  <c r="Z223" i="7"/>
  <c r="Z283" i="7"/>
  <c r="Z296" i="7"/>
  <c r="AB296" i="7" s="1"/>
  <c r="Z76" i="7"/>
  <c r="AB76" i="7" s="1"/>
  <c r="Z92" i="7"/>
  <c r="AB92" i="7" s="1"/>
  <c r="Z265" i="7"/>
  <c r="AB265" i="7" s="1"/>
  <c r="Z244" i="7"/>
  <c r="Z259" i="7"/>
  <c r="Z63" i="7"/>
  <c r="AB63" i="7" s="1"/>
  <c r="Z19" i="7"/>
  <c r="AB19" i="7" s="1"/>
  <c r="Z65" i="7"/>
  <c r="AB65" i="7" s="1"/>
  <c r="Z84" i="7"/>
  <c r="AB84" i="7" s="1"/>
  <c r="Z132" i="7"/>
  <c r="AB132" i="7" s="1"/>
  <c r="Z173" i="7"/>
  <c r="Z178" i="7"/>
  <c r="AB178" i="7" s="1"/>
  <c r="Z208" i="7"/>
  <c r="AB208" i="7" s="1"/>
  <c r="Z212" i="7"/>
  <c r="AB212" i="7" s="1"/>
  <c r="Z214" i="7"/>
  <c r="AB214" i="7" s="1"/>
  <c r="AB308" i="7"/>
  <c r="AB312" i="7"/>
  <c r="AB313" i="7"/>
  <c r="Z257" i="7"/>
  <c r="AB257" i="7" s="1"/>
  <c r="Z123" i="7"/>
  <c r="Z315" i="7"/>
  <c r="AB315" i="7" s="1"/>
  <c r="Z248" i="7"/>
  <c r="AB248" i="7" s="1"/>
  <c r="Z251" i="7"/>
  <c r="Z311" i="7"/>
  <c r="AB311" i="7" s="1"/>
  <c r="AB316" i="7"/>
  <c r="Z81" i="7"/>
  <c r="AB81" i="7" s="1"/>
  <c r="Z12" i="7"/>
  <c r="Z21" i="7"/>
  <c r="AB21" i="7" s="1"/>
  <c r="Z109" i="7"/>
  <c r="Z314" i="7"/>
  <c r="AB314" i="7" s="1"/>
  <c r="Z67" i="7"/>
  <c r="AB67" i="7" s="1"/>
  <c r="Z191" i="7"/>
  <c r="Z249" i="7"/>
  <c r="AB249" i="7" s="1"/>
  <c r="Z74" i="7"/>
  <c r="AB74" i="7" s="1"/>
  <c r="Z24" i="7"/>
  <c r="AB24" i="7" s="1"/>
  <c r="Z105" i="7"/>
  <c r="AB105" i="7" s="1"/>
  <c r="Z309" i="7"/>
  <c r="AB309" i="7" s="1"/>
  <c r="Z317" i="7"/>
  <c r="AB317" i="7" s="1"/>
  <c r="Z31" i="7"/>
  <c r="Z49" i="7"/>
  <c r="AB49" i="7" s="1"/>
  <c r="Z50" i="7"/>
  <c r="AB50" i="7" s="1"/>
  <c r="Z121" i="7"/>
  <c r="AB121" i="7" s="1"/>
  <c r="Z125" i="7"/>
  <c r="AB125" i="7" s="1"/>
  <c r="Z299" i="7"/>
  <c r="AB299" i="7" s="1"/>
  <c r="Z80" i="7"/>
  <c r="Z100" i="7"/>
  <c r="Z42" i="7"/>
  <c r="Z8" i="7"/>
  <c r="Z26" i="7"/>
  <c r="AB26" i="7" s="1"/>
  <c r="Z33" i="7"/>
  <c r="AB33" i="7" s="1"/>
  <c r="Z48" i="7"/>
  <c r="AB48" i="7" s="1"/>
  <c r="Z25" i="7"/>
  <c r="AB25" i="7" s="1"/>
  <c r="Z60" i="7"/>
  <c r="AB60" i="7" s="1"/>
  <c r="Z78" i="7"/>
  <c r="AB78" i="7" s="1"/>
  <c r="Z15" i="7"/>
  <c r="AB15" i="7" s="1"/>
  <c r="Z38" i="7"/>
  <c r="AB38" i="7" s="1"/>
  <c r="Z53" i="7"/>
  <c r="AB53" i="7" s="1"/>
  <c r="Z136" i="7"/>
  <c r="AB136" i="7" s="1"/>
  <c r="Z137" i="7"/>
  <c r="Z138" i="7"/>
  <c r="AB138" i="7" s="1"/>
  <c r="Z139" i="7"/>
  <c r="Z143" i="7"/>
  <c r="Z144" i="7"/>
  <c r="AB144" i="7" s="1"/>
  <c r="Z146" i="7"/>
  <c r="AB146" i="7" s="1"/>
  <c r="Z149" i="7"/>
  <c r="AB149" i="7" s="1"/>
  <c r="Z151" i="7"/>
  <c r="AB151" i="7" s="1"/>
  <c r="Z153" i="7"/>
  <c r="Z154" i="7"/>
  <c r="Z155" i="7"/>
  <c r="AB155" i="7" s="1"/>
  <c r="Z156" i="7"/>
  <c r="AB156" i="7" s="1"/>
  <c r="Z157" i="7"/>
  <c r="AB157" i="7" s="1"/>
  <c r="Z160" i="7"/>
  <c r="Z162" i="7"/>
  <c r="AB162" i="7" s="1"/>
  <c r="Z163" i="7"/>
  <c r="AB163" i="7" s="1"/>
  <c r="Z166" i="7"/>
  <c r="AB166" i="7" s="1"/>
  <c r="Z167" i="7"/>
  <c r="AB167" i="7" s="1"/>
  <c r="Z168" i="7"/>
  <c r="Z169" i="7"/>
  <c r="AB169" i="7" s="1"/>
  <c r="Z170" i="7"/>
  <c r="AB170" i="7" s="1"/>
  <c r="Z175" i="7"/>
  <c r="AB175" i="7" s="1"/>
  <c r="Z177" i="7"/>
  <c r="AB177" i="7" s="1"/>
  <c r="Z185" i="7"/>
  <c r="Z188" i="7"/>
  <c r="AB188" i="7" s="1"/>
  <c r="Z195" i="7"/>
  <c r="AB195" i="7" s="1"/>
  <c r="Z198" i="7"/>
  <c r="AB198" i="7" s="1"/>
  <c r="Z199" i="7"/>
  <c r="AB199" i="7" s="1"/>
  <c r="Z202" i="7"/>
  <c r="AB202" i="7" s="1"/>
  <c r="Z205" i="7"/>
  <c r="AB205" i="7" s="1"/>
  <c r="Z209" i="7"/>
  <c r="AB209" i="7" s="1"/>
  <c r="Z213" i="7"/>
  <c r="AB213" i="7" s="1"/>
  <c r="Z216" i="7"/>
  <c r="AB216" i="7" s="1"/>
  <c r="Z221" i="7"/>
  <c r="AB221" i="7" s="1"/>
  <c r="Z222" i="7"/>
  <c r="AB222" i="7" s="1"/>
  <c r="Z225" i="7"/>
  <c r="AB225" i="7" s="1"/>
  <c r="Z236" i="7"/>
  <c r="AB236" i="7" s="1"/>
  <c r="Z238" i="7"/>
  <c r="Z239" i="7"/>
  <c r="AB239" i="7" s="1"/>
  <c r="Z242" i="7"/>
  <c r="AB242" i="7" s="1"/>
  <c r="Z245" i="7"/>
  <c r="Z250" i="7"/>
  <c r="Z252" i="7"/>
  <c r="Z256" i="7"/>
  <c r="AB256" i="7" s="1"/>
  <c r="Z258" i="7"/>
  <c r="Z266" i="7"/>
  <c r="Z267" i="7"/>
  <c r="Z268" i="7"/>
  <c r="AB268" i="7" s="1"/>
  <c r="Z271" i="7"/>
  <c r="AB271" i="7" s="1"/>
  <c r="Z276" i="7"/>
  <c r="AB276" i="7" s="1"/>
  <c r="Z278" i="7"/>
  <c r="AB278" i="7" s="1"/>
  <c r="Z284" i="7"/>
  <c r="AB284" i="7" s="1"/>
  <c r="Z287" i="7"/>
  <c r="Z290" i="7"/>
  <c r="AB290" i="7" s="1"/>
  <c r="Z294" i="7"/>
  <c r="AB294" i="7" s="1"/>
  <c r="Z77" i="7"/>
  <c r="AB77" i="7" s="1"/>
  <c r="Z56" i="7"/>
  <c r="AB56" i="7" s="1"/>
  <c r="Z297" i="7"/>
  <c r="AB297" i="7" s="1"/>
  <c r="Z310" i="7"/>
  <c r="AB310" i="7" s="1"/>
  <c r="Z9" i="7"/>
  <c r="Z73" i="7"/>
  <c r="AB73" i="7" s="1"/>
  <c r="Z116" i="7"/>
  <c r="Z174" i="7"/>
  <c r="Z28" i="7"/>
  <c r="AB28" i="7" s="1"/>
  <c r="Z43" i="7"/>
  <c r="AB43" i="7" s="1"/>
  <c r="Z134" i="7"/>
  <c r="AB134" i="7" s="1"/>
  <c r="Z171" i="7"/>
  <c r="AB171" i="7" s="1"/>
  <c r="Z120" i="7"/>
  <c r="AB120" i="7" s="1"/>
  <c r="Z128" i="7"/>
  <c r="AB128" i="7" s="1"/>
  <c r="Z131" i="7"/>
  <c r="Z103" i="7"/>
  <c r="AB103" i="7" s="1"/>
  <c r="Z145" i="7"/>
  <c r="Z189" i="7"/>
  <c r="AB189" i="7" s="1"/>
  <c r="Z95" i="7"/>
  <c r="AB95" i="7" s="1"/>
  <c r="Z94" i="7"/>
  <c r="Z27" i="7"/>
  <c r="AB27" i="7" s="1"/>
  <c r="Z68" i="7"/>
  <c r="AB68" i="7" s="1"/>
  <c r="Z7" i="7"/>
  <c r="Z124" i="7"/>
  <c r="AB124" i="7" s="1"/>
  <c r="Z135" i="7"/>
  <c r="AB135" i="7" s="1"/>
  <c r="Z181" i="7"/>
  <c r="Z130" i="7"/>
  <c r="AB130" i="7" s="1"/>
  <c r="Z152" i="7"/>
  <c r="AB152" i="7" s="1"/>
  <c r="Z97" i="7"/>
  <c r="AB97" i="7" s="1"/>
  <c r="Z99" i="7"/>
  <c r="Z180" i="7"/>
  <c r="AB180" i="7" s="1"/>
  <c r="Z119" i="7"/>
  <c r="Z126" i="7"/>
  <c r="Z172" i="7"/>
  <c r="AB172" i="7" s="1"/>
  <c r="Z10" i="7"/>
  <c r="AB10" i="7" s="1"/>
  <c r="Z13" i="7"/>
  <c r="AB13" i="7" s="1"/>
  <c r="Z14" i="7"/>
  <c r="AB14" i="7" s="1"/>
  <c r="Z17" i="7"/>
  <c r="Z23" i="7"/>
  <c r="AB23" i="7" s="1"/>
  <c r="Z29" i="7"/>
  <c r="Z35" i="7"/>
  <c r="AB35" i="7" s="1"/>
  <c r="Z37" i="7"/>
  <c r="AB37" i="7" s="1"/>
  <c r="Z39" i="7"/>
  <c r="Z44" i="7"/>
  <c r="Z46" i="7"/>
  <c r="Z55" i="7"/>
  <c r="AB55" i="7" s="1"/>
  <c r="Z59" i="7"/>
  <c r="Z64" i="7"/>
  <c r="AB64" i="7" s="1"/>
  <c r="Z69" i="7"/>
  <c r="AB69" i="7" s="1"/>
  <c r="Z70" i="7"/>
  <c r="AB70" i="7" s="1"/>
  <c r="Z85" i="7"/>
  <c r="Z87" i="7"/>
  <c r="AB87" i="7" s="1"/>
  <c r="Z96" i="7"/>
  <c r="AB96" i="7" s="1"/>
  <c r="Z186" i="7"/>
  <c r="AB186" i="7" s="1"/>
  <c r="Z106" i="7"/>
  <c r="AB106" i="7" s="1"/>
  <c r="Z111" i="7"/>
  <c r="AB111" i="7" s="1"/>
  <c r="Z117" i="7"/>
  <c r="AB117" i="7" s="1"/>
  <c r="Z150" i="7"/>
  <c r="AB150" i="7" s="1"/>
  <c r="Z147" i="7"/>
  <c r="AB147" i="7" s="1"/>
  <c r="Z158" i="7"/>
  <c r="Y318" i="7"/>
  <c r="W318" i="7"/>
  <c r="X318" i="7"/>
  <c r="AB29" i="7"/>
  <c r="AB52" i="7"/>
  <c r="AB22" i="7"/>
  <c r="AB164" i="7"/>
  <c r="AB196" i="7"/>
  <c r="AB192" i="7"/>
  <c r="AB293" i="7"/>
  <c r="AB286" i="7"/>
  <c r="AB295" i="7"/>
  <c r="AB261" i="7"/>
  <c r="AB187" i="7"/>
  <c r="AB179" i="7"/>
  <c r="AB220" i="7"/>
  <c r="AB89" i="7"/>
  <c r="AB47" i="7"/>
  <c r="AB218" i="7"/>
  <c r="AB289" i="7"/>
  <c r="AB219" i="7"/>
  <c r="AB114" i="7"/>
  <c r="O272" i="5"/>
  <c r="W194" i="5"/>
  <c r="Y194" i="5" s="1"/>
  <c r="Y175" i="5"/>
  <c r="Y147" i="5"/>
  <c r="W145" i="5"/>
  <c r="Y145" i="5" s="1"/>
  <c r="O51" i="5"/>
  <c r="Y48" i="5"/>
  <c r="Y43" i="5"/>
  <c r="Y28" i="5"/>
  <c r="W24" i="5"/>
  <c r="Y24" i="5" s="1"/>
  <c r="W267" i="5"/>
  <c r="Y267" i="5" s="1"/>
  <c r="W130" i="5"/>
  <c r="Y130" i="5" s="1"/>
  <c r="O63" i="5"/>
  <c r="O59" i="5"/>
  <c r="O57" i="5"/>
  <c r="O54" i="5"/>
  <c r="O14" i="5"/>
  <c r="W276" i="5"/>
  <c r="Y223" i="5"/>
  <c r="Y215" i="5"/>
  <c r="W204" i="5"/>
  <c r="Y204" i="5" s="1"/>
  <c r="Y200" i="5"/>
  <c r="W176" i="5"/>
  <c r="Y176" i="5" s="1"/>
  <c r="W170" i="5"/>
  <c r="Y170" i="5" s="1"/>
  <c r="O167" i="5"/>
  <c r="Y50" i="5"/>
  <c r="O47" i="5"/>
  <c r="W45" i="5"/>
  <c r="O35" i="5"/>
  <c r="W23" i="5"/>
  <c r="O277" i="5"/>
  <c r="Y279" i="5"/>
  <c r="Y303" i="5"/>
  <c r="W234" i="5"/>
  <c r="Y234" i="5" s="1"/>
  <c r="Y231" i="5"/>
  <c r="Y227" i="5"/>
  <c r="Y225" i="5"/>
  <c r="Y222" i="5"/>
  <c r="Y221" i="5"/>
  <c r="W211" i="5"/>
  <c r="Y211" i="5" s="1"/>
  <c r="Y208" i="5"/>
  <c r="Y181" i="5"/>
  <c r="W159" i="5"/>
  <c r="Y159" i="5" s="1"/>
  <c r="Y154" i="5"/>
  <c r="W153" i="5"/>
  <c r="Y153" i="5" s="1"/>
  <c r="W149" i="5"/>
  <c r="Y149" i="5" s="1"/>
  <c r="Y142" i="5"/>
  <c r="Y131" i="5"/>
  <c r="O53" i="5"/>
  <c r="Y52" i="5"/>
  <c r="O48" i="5"/>
  <c r="O21" i="5"/>
  <c r="O13" i="5"/>
  <c r="O9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81" i="5"/>
  <c r="O179" i="5"/>
  <c r="O177" i="5"/>
  <c r="O176" i="5"/>
  <c r="O172" i="5"/>
  <c r="O169" i="5"/>
  <c r="O168" i="5"/>
  <c r="O166" i="5"/>
  <c r="O165" i="5"/>
  <c r="O164" i="5"/>
  <c r="O163" i="5"/>
  <c r="O155" i="5"/>
  <c r="O153" i="5"/>
  <c r="O151" i="5"/>
  <c r="O150" i="5"/>
  <c r="O149" i="5"/>
  <c r="W146" i="5"/>
  <c r="Y146" i="5" s="1"/>
  <c r="O146" i="5"/>
  <c r="O145" i="5"/>
  <c r="O142" i="5"/>
  <c r="O64" i="5"/>
  <c r="W62" i="5"/>
  <c r="Y62" i="5" s="1"/>
  <c r="O61" i="5"/>
  <c r="W60" i="5"/>
  <c r="Y60" i="5" s="1"/>
  <c r="O55" i="5"/>
  <c r="O42" i="5"/>
  <c r="O41" i="5"/>
  <c r="O40" i="5"/>
  <c r="Y30" i="5"/>
  <c r="O28" i="5"/>
  <c r="Y26" i="5"/>
  <c r="Y25" i="5"/>
  <c r="Y23" i="5"/>
  <c r="O22" i="5"/>
  <c r="Y21" i="5"/>
  <c r="O17" i="5"/>
  <c r="Y15" i="5"/>
  <c r="O12" i="5"/>
  <c r="W141" i="5"/>
  <c r="Y141" i="5" s="1"/>
  <c r="O141" i="5"/>
  <c r="O140" i="5"/>
  <c r="O139" i="5"/>
  <c r="O138" i="5"/>
  <c r="O137" i="5"/>
  <c r="X136" i="5"/>
  <c r="O136" i="5"/>
  <c r="O135" i="5"/>
  <c r="O134" i="5"/>
  <c r="O133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X105" i="5"/>
  <c r="W105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0" i="5"/>
  <c r="O52" i="5"/>
  <c r="O49" i="5"/>
  <c r="Y14" i="5"/>
  <c r="W304" i="5"/>
  <c r="Y304" i="5" s="1"/>
  <c r="O303" i="5"/>
  <c r="O302" i="5"/>
  <c r="O301" i="5"/>
  <c r="O300" i="5"/>
  <c r="O299" i="5"/>
  <c r="O298" i="5"/>
  <c r="O297" i="5"/>
  <c r="O295" i="5"/>
  <c r="O294" i="5"/>
  <c r="W293" i="5"/>
  <c r="Y293" i="5" s="1"/>
  <c r="O293" i="5"/>
  <c r="O292" i="5"/>
  <c r="O291" i="5"/>
  <c r="W290" i="5"/>
  <c r="Y290" i="5" s="1"/>
  <c r="O290" i="5"/>
  <c r="O287" i="5"/>
  <c r="O286" i="5"/>
  <c r="O285" i="5"/>
  <c r="O284" i="5"/>
  <c r="O283" i="5"/>
  <c r="W281" i="5"/>
  <c r="Y281" i="5" s="1"/>
  <c r="O281" i="5"/>
  <c r="O276" i="5"/>
  <c r="O275" i="5"/>
  <c r="O274" i="5"/>
  <c r="O273" i="5"/>
  <c r="Y273" i="5"/>
  <c r="O271" i="5"/>
  <c r="Y271" i="5"/>
  <c r="O267" i="5"/>
  <c r="O266" i="5"/>
  <c r="O263" i="5"/>
  <c r="Y263" i="5"/>
  <c r="O261" i="5"/>
  <c r="O45" i="5"/>
  <c r="W44" i="5"/>
  <c r="Y44" i="5" s="1"/>
  <c r="O44" i="5"/>
  <c r="O43" i="5"/>
  <c r="W40" i="5"/>
  <c r="Y40" i="5" s="1"/>
  <c r="W39" i="5"/>
  <c r="Y39" i="5" s="1"/>
  <c r="O39" i="5"/>
  <c r="O38" i="5"/>
  <c r="O37" i="5"/>
  <c r="O36" i="5"/>
  <c r="O34" i="5"/>
  <c r="Y33" i="5"/>
  <c r="O32" i="5"/>
  <c r="O30" i="5"/>
  <c r="O20" i="5"/>
  <c r="O16" i="5"/>
  <c r="O10" i="5"/>
  <c r="O304" i="5"/>
  <c r="O296" i="5"/>
  <c r="O289" i="5"/>
  <c r="O288" i="5"/>
  <c r="O282" i="5"/>
  <c r="O280" i="5"/>
  <c r="O279" i="5"/>
  <c r="O278" i="5"/>
  <c r="O270" i="5"/>
  <c r="O269" i="5"/>
  <c r="O268" i="5"/>
  <c r="Y268" i="5"/>
  <c r="O265" i="5"/>
  <c r="O264" i="5"/>
  <c r="O262" i="5"/>
  <c r="O260" i="5"/>
  <c r="Y260" i="5"/>
  <c r="O259" i="5"/>
  <c r="O258" i="5"/>
  <c r="O257" i="5"/>
  <c r="O256" i="5"/>
  <c r="O255" i="5"/>
  <c r="O254" i="5"/>
  <c r="O253" i="5"/>
  <c r="W198" i="5"/>
  <c r="Y198" i="5" s="1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0" i="5"/>
  <c r="W178" i="5"/>
  <c r="Y178" i="5" s="1"/>
  <c r="O178" i="5"/>
  <c r="O175" i="5"/>
  <c r="O174" i="5"/>
  <c r="O173" i="5"/>
  <c r="O171" i="5"/>
  <c r="O170" i="5"/>
  <c r="O162" i="5"/>
  <c r="O161" i="5"/>
  <c r="O160" i="5"/>
  <c r="O159" i="5"/>
  <c r="O158" i="5"/>
  <c r="O157" i="5"/>
  <c r="W155" i="5"/>
  <c r="Y155" i="5" s="1"/>
  <c r="O154" i="5"/>
  <c r="O152" i="5"/>
  <c r="W148" i="5"/>
  <c r="Y148" i="5" s="1"/>
  <c r="O148" i="5"/>
  <c r="O147" i="5"/>
  <c r="O144" i="5"/>
  <c r="O143" i="5"/>
  <c r="O62" i="5"/>
  <c r="O58" i="5"/>
  <c r="O56" i="5"/>
  <c r="Y47" i="5"/>
  <c r="W46" i="5"/>
  <c r="Y46" i="5" s="1"/>
  <c r="O46" i="5"/>
  <c r="Y45" i="5"/>
  <c r="Y34" i="5"/>
  <c r="O29" i="5"/>
  <c r="O24" i="5"/>
  <c r="O23" i="5"/>
  <c r="O19" i="5"/>
  <c r="L318" i="7"/>
  <c r="AB34" i="7"/>
  <c r="AB30" i="7"/>
  <c r="AB133" i="7"/>
  <c r="AB51" i="7"/>
  <c r="AB115" i="7"/>
  <c r="AB184" i="7"/>
  <c r="AB88" i="7"/>
  <c r="AB291" i="7"/>
  <c r="AB101" i="7"/>
  <c r="AB190" i="7"/>
  <c r="AB281" i="7"/>
  <c r="AB40" i="7"/>
  <c r="AB285" i="7"/>
  <c r="AB270" i="7"/>
  <c r="AB122" i="7"/>
  <c r="AB41" i="7"/>
  <c r="AB231" i="7"/>
  <c r="AB272" i="7"/>
  <c r="AB129" i="7"/>
  <c r="AB110" i="7"/>
  <c r="AB108" i="7"/>
  <c r="AB206" i="7"/>
  <c r="AB32" i="7"/>
  <c r="AB20" i="7"/>
  <c r="AB11" i="7"/>
  <c r="AB279" i="7"/>
  <c r="AB217" i="7"/>
  <c r="AB18" i="7"/>
  <c r="AB194" i="7"/>
  <c r="AB235" i="7"/>
  <c r="AB232" i="7"/>
  <c r="AB61" i="7"/>
  <c r="AB36" i="7"/>
  <c r="AB303" i="7"/>
  <c r="AB159" i="7"/>
  <c r="AB82" i="7"/>
  <c r="AB62" i="7"/>
  <c r="Q258" i="7"/>
  <c r="AB277" i="7"/>
  <c r="AB90" i="7"/>
  <c r="AB45" i="7"/>
  <c r="AB183" i="7"/>
  <c r="AB161" i="7"/>
  <c r="AB127" i="7"/>
  <c r="AB71" i="7"/>
  <c r="AB104" i="7"/>
  <c r="AB72" i="7"/>
  <c r="AB197" i="7"/>
  <c r="AB148" i="7"/>
  <c r="Q77" i="7"/>
  <c r="Q304" i="7"/>
  <c r="AB269" i="7"/>
  <c r="AB234" i="7"/>
  <c r="AB229" i="7"/>
  <c r="Q234" i="7"/>
  <c r="AB210" i="7"/>
  <c r="Q187" i="7"/>
  <c r="AB300" i="7"/>
  <c r="AB262" i="7"/>
  <c r="AB118" i="7"/>
  <c r="Q209" i="7"/>
  <c r="Q204" i="7"/>
  <c r="Q195" i="7"/>
  <c r="Q142" i="7"/>
  <c r="Q130" i="7"/>
  <c r="Q128" i="7"/>
  <c r="Q123" i="7"/>
  <c r="Q122" i="7"/>
  <c r="Q121" i="7"/>
  <c r="Q112" i="7"/>
  <c r="Q110" i="7"/>
  <c r="Q102" i="7"/>
  <c r="Q87" i="7"/>
  <c r="Q75" i="7"/>
  <c r="Q19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17" i="7"/>
  <c r="Q15" i="7"/>
  <c r="Q254" i="7"/>
  <c r="Q244" i="7"/>
  <c r="AB243" i="7"/>
  <c r="Q240" i="7"/>
  <c r="Q239" i="7"/>
  <c r="Q237" i="7"/>
  <c r="Q217" i="7"/>
  <c r="Q213" i="7"/>
  <c r="Q194" i="7"/>
  <c r="Q190" i="7"/>
  <c r="Q186" i="7"/>
  <c r="Q185" i="7"/>
  <c r="Q167" i="7"/>
  <c r="Q160" i="7"/>
  <c r="Q145" i="7"/>
  <c r="Q144" i="7"/>
  <c r="Q117" i="7"/>
  <c r="Q116" i="7"/>
  <c r="Q109" i="7"/>
  <c r="Q108" i="7"/>
  <c r="Q101" i="7"/>
  <c r="Q91" i="7"/>
  <c r="Q89" i="7"/>
  <c r="Q88" i="7"/>
  <c r="Q228" i="7"/>
  <c r="Q222" i="7"/>
  <c r="Q212" i="7"/>
  <c r="Q210" i="7"/>
  <c r="Q208" i="7"/>
  <c r="Q200" i="7"/>
  <c r="Q198" i="7"/>
  <c r="Q193" i="7"/>
  <c r="Q188" i="7"/>
  <c r="Q184" i="7"/>
  <c r="Q183" i="7"/>
  <c r="Q181" i="7"/>
  <c r="Q153" i="7"/>
  <c r="Q129" i="7"/>
  <c r="Q124" i="7"/>
  <c r="Q115" i="7"/>
  <c r="Q111" i="7"/>
  <c r="Q97" i="7"/>
  <c r="Q82" i="7"/>
  <c r="Q80" i="7"/>
  <c r="Q76" i="7"/>
  <c r="Q72" i="7"/>
  <c r="Q18" i="7"/>
  <c r="Q16" i="7"/>
  <c r="Q14" i="7"/>
  <c r="Q287" i="7"/>
  <c r="Q283" i="7"/>
  <c r="Q275" i="7"/>
  <c r="Q268" i="7"/>
  <c r="Q262" i="7"/>
  <c r="Q261" i="7"/>
  <c r="Q259" i="7"/>
  <c r="Q255" i="7"/>
  <c r="AB251" i="7"/>
  <c r="Q249" i="7"/>
  <c r="Q248" i="7"/>
  <c r="Q236" i="7"/>
  <c r="Q235" i="7"/>
  <c r="Q230" i="7"/>
  <c r="Q218" i="7"/>
  <c r="Q214" i="7"/>
  <c r="Q202" i="7"/>
  <c r="Q201" i="7"/>
  <c r="Q197" i="7"/>
  <c r="Q196" i="7"/>
  <c r="Q179" i="7"/>
  <c r="Q178" i="7"/>
  <c r="Q177" i="7"/>
  <c r="Q176" i="7"/>
  <c r="Q175" i="7"/>
  <c r="Q168" i="7"/>
  <c r="Q149" i="7"/>
  <c r="Q148" i="7"/>
  <c r="Q147" i="7"/>
  <c r="Q146" i="7"/>
  <c r="Q140" i="7"/>
  <c r="Q139" i="7"/>
  <c r="Q138" i="7"/>
  <c r="Q135" i="7"/>
  <c r="Q134" i="7"/>
  <c r="Q118" i="7"/>
  <c r="Q114" i="7"/>
  <c r="Q107" i="7"/>
  <c r="Q94" i="7"/>
  <c r="Q90" i="7"/>
  <c r="Q83" i="7"/>
  <c r="Q79" i="7"/>
  <c r="Q23" i="7"/>
  <c r="Q22" i="7"/>
  <c r="Q21" i="7"/>
  <c r="Q13" i="7"/>
  <c r="Q12" i="7"/>
  <c r="Q11" i="7"/>
  <c r="Q298" i="7"/>
  <c r="Q296" i="7"/>
  <c r="Q294" i="7"/>
  <c r="Q292" i="7"/>
  <c r="Q289" i="7"/>
  <c r="Q286" i="7"/>
  <c r="Q285" i="7"/>
  <c r="Q282" i="7"/>
  <c r="Q279" i="7"/>
  <c r="Q277" i="7"/>
  <c r="Q273" i="7"/>
  <c r="Q264" i="7"/>
  <c r="Q260" i="7"/>
  <c r="Q257" i="7"/>
  <c r="Q243" i="7"/>
  <c r="Q241" i="7"/>
  <c r="Q238" i="7"/>
  <c r="Q229" i="7"/>
  <c r="AB228" i="7"/>
  <c r="Q203" i="7"/>
  <c r="Q191" i="7"/>
  <c r="Q182" i="7"/>
  <c r="Q165" i="7"/>
  <c r="Q164" i="7"/>
  <c r="Q159" i="7"/>
  <c r="Q158" i="7"/>
  <c r="Q157" i="7"/>
  <c r="Q156" i="7"/>
  <c r="Q152" i="7"/>
  <c r="Q106" i="7"/>
  <c r="Q84" i="7"/>
  <c r="Q307" i="7"/>
  <c r="Q306" i="7"/>
  <c r="Q305" i="7"/>
  <c r="Q301" i="7"/>
  <c r="Q299" i="7"/>
  <c r="Q297" i="7"/>
  <c r="Q295" i="7"/>
  <c r="Q291" i="7"/>
  <c r="Q290" i="7"/>
  <c r="Q288" i="7"/>
  <c r="Q284" i="7"/>
  <c r="Q280" i="7"/>
  <c r="Q278" i="7"/>
  <c r="Q276" i="7"/>
  <c r="Q274" i="7"/>
  <c r="Q269" i="7"/>
  <c r="Q267" i="7"/>
  <c r="AB267" i="7"/>
  <c r="AB266" i="7"/>
  <c r="Q263" i="7"/>
  <c r="Q253" i="7"/>
  <c r="Q252" i="7"/>
  <c r="Q251" i="7"/>
  <c r="Q250" i="7"/>
  <c r="Q247" i="7"/>
  <c r="Q245" i="7"/>
  <c r="Q242" i="7"/>
  <c r="Q224" i="7"/>
  <c r="Q219" i="7"/>
  <c r="Q207" i="7"/>
  <c r="Q206" i="7"/>
  <c r="Q205" i="7"/>
  <c r="Q180" i="7"/>
  <c r="Q174" i="7"/>
  <c r="Q173" i="7"/>
  <c r="Q172" i="7"/>
  <c r="Q171" i="7"/>
  <c r="Q170" i="7"/>
  <c r="Q169" i="7"/>
  <c r="Q166" i="7"/>
  <c r="Q163" i="7"/>
  <c r="Q162" i="7"/>
  <c r="Q161" i="7"/>
  <c r="Q155" i="7"/>
  <c r="Q154" i="7"/>
  <c r="Q151" i="7"/>
  <c r="Q143" i="7"/>
  <c r="Q136" i="7"/>
  <c r="Q133" i="7"/>
  <c r="Q132" i="7"/>
  <c r="Q131" i="7"/>
  <c r="Q125" i="7"/>
  <c r="Q120" i="7"/>
  <c r="Q113" i="7"/>
  <c r="Q105" i="7"/>
  <c r="Q104" i="7"/>
  <c r="Q103" i="7"/>
  <c r="Q100" i="7"/>
  <c r="Q99" i="7"/>
  <c r="Q93" i="7"/>
  <c r="Q92" i="7"/>
  <c r="Q86" i="7"/>
  <c r="Q85" i="7"/>
  <c r="Q78" i="7"/>
  <c r="Q71" i="7"/>
  <c r="Q68" i="7"/>
  <c r="Q20" i="7"/>
  <c r="Q10" i="7"/>
  <c r="Q9" i="7"/>
  <c r="Q8" i="7"/>
  <c r="Q303" i="7"/>
  <c r="Q302" i="7"/>
  <c r="Q300" i="7"/>
  <c r="Q293" i="7"/>
  <c r="Q281" i="7"/>
  <c r="Q272" i="7"/>
  <c r="Q271" i="7"/>
  <c r="Q270" i="7"/>
  <c r="Q266" i="7"/>
  <c r="Q265" i="7"/>
  <c r="Q256" i="7"/>
  <c r="Q246" i="7"/>
  <c r="Q233" i="7"/>
  <c r="Q232" i="7"/>
  <c r="Q231" i="7"/>
  <c r="Q227" i="7"/>
  <c r="Q226" i="7"/>
  <c r="Q225" i="7"/>
  <c r="Q221" i="7"/>
  <c r="Q220" i="7"/>
  <c r="Q216" i="7"/>
  <c r="Q215" i="7"/>
  <c r="Q211" i="7"/>
  <c r="Q199" i="7"/>
  <c r="Q192" i="7"/>
  <c r="AB191" i="7"/>
  <c r="Q189" i="7"/>
  <c r="Q150" i="7"/>
  <c r="Q141" i="7"/>
  <c r="Q137" i="7"/>
  <c r="Q127" i="7"/>
  <c r="Q126" i="7"/>
  <c r="Q119" i="7"/>
  <c r="Q96" i="7"/>
  <c r="AB86" i="7"/>
  <c r="Q81" i="7"/>
  <c r="Q74" i="7"/>
  <c r="Q73" i="7"/>
  <c r="Q70" i="7"/>
  <c r="Q69" i="7"/>
  <c r="Y295" i="1"/>
  <c r="AA295" i="1" s="1"/>
  <c r="AA285" i="1"/>
  <c r="AA228" i="1"/>
  <c r="AA185" i="1"/>
  <c r="AA88" i="1"/>
  <c r="Q45" i="1"/>
  <c r="AA9" i="1"/>
  <c r="AA168" i="1"/>
  <c r="Y132" i="1"/>
  <c r="AA50" i="1"/>
  <c r="Q7" i="7"/>
  <c r="P318" i="7"/>
  <c r="AA7" i="7"/>
  <c r="AA262" i="1"/>
  <c r="AA183" i="1"/>
  <c r="AA203" i="1"/>
  <c r="AA199" i="1"/>
  <c r="AA178" i="1"/>
  <c r="AA157" i="1"/>
  <c r="AA145" i="1"/>
  <c r="AA117" i="1"/>
  <c r="Y102" i="1"/>
  <c r="AA72" i="1"/>
  <c r="AA35" i="1"/>
  <c r="AA247" i="1"/>
  <c r="Y232" i="1"/>
  <c r="AA182" i="1"/>
  <c r="Y53" i="1"/>
  <c r="Y300" i="1"/>
  <c r="AA74" i="1"/>
  <c r="AA286" i="1"/>
  <c r="Y62" i="1"/>
  <c r="AA62" i="1" s="1"/>
  <c r="AA225" i="1"/>
  <c r="AA275" i="1"/>
  <c r="AA261" i="1"/>
  <c r="AA179" i="1"/>
  <c r="AA173" i="1"/>
  <c r="AA161" i="1"/>
  <c r="AA108" i="1"/>
  <c r="Y80" i="1"/>
  <c r="AA76" i="1"/>
  <c r="AA32" i="1"/>
  <c r="AA25" i="1"/>
  <c r="AA19" i="1"/>
  <c r="Y37" i="1"/>
  <c r="AA37" i="1" s="1"/>
  <c r="V305" i="1"/>
  <c r="Y43" i="1"/>
  <c r="AA43" i="1" s="1"/>
  <c r="AA253" i="1"/>
  <c r="AA144" i="1"/>
  <c r="AA45" i="1"/>
  <c r="Y11" i="1"/>
  <c r="AA11" i="1" s="1"/>
  <c r="AA276" i="1"/>
  <c r="AA219" i="1"/>
  <c r="AA215" i="1"/>
  <c r="AA273" i="1"/>
  <c r="AA256" i="1"/>
  <c r="AA192" i="1"/>
  <c r="AA175" i="1"/>
  <c r="Q75" i="1"/>
  <c r="AA296" i="1"/>
  <c r="AA293" i="1"/>
  <c r="AA257" i="1"/>
  <c r="Q237" i="1"/>
  <c r="AA226" i="1"/>
  <c r="AA222" i="1"/>
  <c r="AA188" i="1"/>
  <c r="AA100" i="1"/>
  <c r="AA36" i="1"/>
  <c r="AA34" i="1"/>
  <c r="AA31" i="1"/>
  <c r="AA304" i="1"/>
  <c r="Q280" i="1"/>
  <c r="AA193" i="1"/>
  <c r="AA176" i="1"/>
  <c r="AA103" i="1"/>
  <c r="AA53" i="1"/>
  <c r="Y272" i="1"/>
  <c r="AA272" i="1" s="1"/>
  <c r="Q281" i="1"/>
  <c r="AA264" i="1"/>
  <c r="Y263" i="1"/>
  <c r="AA263" i="1" s="1"/>
  <c r="AA213" i="1"/>
  <c r="AA201" i="1"/>
  <c r="AA170" i="1"/>
  <c r="AA127" i="1"/>
  <c r="AA109" i="1"/>
  <c r="AA101" i="1"/>
  <c r="AA48" i="1"/>
  <c r="AA13" i="1"/>
  <c r="Q11" i="1"/>
  <c r="AA165" i="1"/>
  <c r="Q142" i="1"/>
  <c r="AA134" i="1"/>
  <c r="AA132" i="1"/>
  <c r="Y126" i="1"/>
  <c r="AA126" i="1" s="1"/>
  <c r="AA93" i="1"/>
  <c r="Q85" i="1"/>
  <c r="Q78" i="1"/>
  <c r="AA52" i="1"/>
  <c r="AA41" i="1"/>
  <c r="Y180" i="1"/>
  <c r="AA180" i="1" s="1"/>
  <c r="AA163" i="1"/>
  <c r="AA150" i="1"/>
  <c r="Q303" i="1"/>
  <c r="Q269" i="1"/>
  <c r="Y303" i="1"/>
  <c r="AA303" i="1" s="1"/>
  <c r="AA302" i="1"/>
  <c r="AA270" i="1"/>
  <c r="Q259" i="1"/>
  <c r="AA249" i="1"/>
  <c r="AA243" i="1"/>
  <c r="AA240" i="1"/>
  <c r="AA197" i="1"/>
  <c r="AA190" i="1"/>
  <c r="AA189" i="1"/>
  <c r="AA186" i="1"/>
  <c r="AA174" i="1"/>
  <c r="AA160" i="1"/>
  <c r="AA156" i="1"/>
  <c r="AA146" i="1"/>
  <c r="AA135" i="1"/>
  <c r="AA128" i="1"/>
  <c r="AA125" i="1"/>
  <c r="AA114" i="1"/>
  <c r="AA106" i="1"/>
  <c r="AA96" i="1"/>
  <c r="AA86" i="1"/>
  <c r="Q59" i="1"/>
  <c r="Q51" i="1"/>
  <c r="AA47" i="1"/>
  <c r="AA26" i="1"/>
  <c r="Q139" i="1"/>
  <c r="Q282" i="1"/>
  <c r="Q279" i="1"/>
  <c r="AA277" i="1"/>
  <c r="AA274" i="1"/>
  <c r="Q272" i="1"/>
  <c r="Y267" i="1"/>
  <c r="AA267" i="1" s="1"/>
  <c r="Q247" i="1"/>
  <c r="AA237" i="1"/>
  <c r="AA191" i="1"/>
  <c r="AA149" i="1"/>
  <c r="Q138" i="1"/>
  <c r="AA133" i="1"/>
  <c r="Y130" i="1"/>
  <c r="AA130" i="1" s="1"/>
  <c r="Q124" i="1"/>
  <c r="AA122" i="1"/>
  <c r="Y120" i="1"/>
  <c r="AA120" i="1" s="1"/>
  <c r="AA116" i="1"/>
  <c r="AA111" i="1"/>
  <c r="Q107" i="1"/>
  <c r="AA104" i="1"/>
  <c r="AA102" i="1"/>
  <c r="Q98" i="1"/>
  <c r="AA97" i="1"/>
  <c r="AA91" i="1"/>
  <c r="AA82" i="1"/>
  <c r="AA77" i="1"/>
  <c r="AA75" i="1"/>
  <c r="AA68" i="1"/>
  <c r="AA65" i="1"/>
  <c r="Y59" i="1"/>
  <c r="AA59" i="1" s="1"/>
  <c r="AA58" i="1"/>
  <c r="AA38" i="1"/>
  <c r="Q32" i="1"/>
  <c r="Y18" i="1"/>
  <c r="AA18" i="1" s="1"/>
  <c r="Y16" i="1"/>
  <c r="AA16" i="1" s="1"/>
  <c r="AA14" i="1"/>
  <c r="Q276" i="1"/>
  <c r="AA232" i="1"/>
  <c r="Q231" i="1"/>
  <c r="Q99" i="1"/>
  <c r="AA300" i="1"/>
  <c r="Y294" i="1"/>
  <c r="AA294" i="1" s="1"/>
  <c r="Y287" i="1"/>
  <c r="AA287" i="1" s="1"/>
  <c r="AA269" i="1"/>
  <c r="AA242" i="1"/>
  <c r="AA238" i="1"/>
  <c r="Q134" i="1"/>
  <c r="Q125" i="1"/>
  <c r="Q116" i="1"/>
  <c r="AA289" i="1"/>
  <c r="Q86" i="1"/>
  <c r="Q55" i="1"/>
  <c r="AA291" i="1"/>
  <c r="AA288" i="1"/>
  <c r="Q273" i="1"/>
  <c r="Q260" i="1"/>
  <c r="AA230" i="1"/>
  <c r="AA166" i="1"/>
  <c r="Q136" i="1"/>
  <c r="AA99" i="1"/>
  <c r="AA84" i="1"/>
  <c r="Q76" i="1"/>
  <c r="Y73" i="1"/>
  <c r="AA73" i="1" s="1"/>
  <c r="Q79" i="1"/>
  <c r="AA67" i="1"/>
  <c r="Q65" i="1"/>
  <c r="Y60" i="1"/>
  <c r="AA60" i="1" s="1"/>
  <c r="Q56" i="1"/>
  <c r="Q29" i="1"/>
  <c r="Y27" i="1"/>
  <c r="AA27" i="1" s="1"/>
  <c r="AA148" i="1"/>
  <c r="AA141" i="1"/>
  <c r="Q119" i="1"/>
  <c r="Q114" i="1"/>
  <c r="Q93" i="1"/>
  <c r="Q48" i="1"/>
  <c r="AA21" i="1"/>
  <c r="AA284" i="1"/>
  <c r="AA271" i="1"/>
  <c r="AA266" i="1"/>
  <c r="AA187" i="1"/>
  <c r="Q110" i="1"/>
  <c r="Q108" i="1"/>
  <c r="Q82" i="1"/>
  <c r="Y81" i="1"/>
  <c r="AA81" i="1" s="1"/>
  <c r="Q67" i="1"/>
  <c r="Q66" i="1"/>
  <c r="Y44" i="1"/>
  <c r="AA44" i="1" s="1"/>
  <c r="Q224" i="1"/>
  <c r="Q223" i="1"/>
  <c r="Q221" i="1"/>
  <c r="Q217" i="1"/>
  <c r="Q127" i="1"/>
  <c r="Y105" i="1"/>
  <c r="AA105" i="1" s="1"/>
  <c r="Q60" i="1"/>
  <c r="Q44" i="1"/>
  <c r="Q38" i="1"/>
  <c r="Y8" i="1"/>
  <c r="AA8" i="1" s="1"/>
  <c r="Q302" i="1"/>
  <c r="Q251" i="1"/>
  <c r="Q245" i="1"/>
  <c r="Q241" i="1"/>
  <c r="AA216" i="1"/>
  <c r="Q158" i="1"/>
  <c r="Q117" i="1"/>
  <c r="Q73" i="1"/>
  <c r="Q69" i="1"/>
  <c r="Q61" i="1"/>
  <c r="Q40" i="1"/>
  <c r="Q26" i="1"/>
  <c r="Q104" i="1"/>
  <c r="Q92" i="1"/>
  <c r="Q37" i="1"/>
  <c r="Q21" i="1"/>
  <c r="AA248" i="1"/>
  <c r="Y241" i="1"/>
  <c r="AA241" i="1" s="1"/>
  <c r="Q235" i="1"/>
  <c r="Q135" i="1"/>
  <c r="Q296" i="1"/>
  <c r="Q266" i="1"/>
  <c r="Q249" i="1"/>
  <c r="Q236" i="1"/>
  <c r="Q214" i="1"/>
  <c r="Q159" i="1"/>
  <c r="Q157" i="1"/>
  <c r="Q132" i="1"/>
  <c r="Q113" i="1"/>
  <c r="Q109" i="1"/>
  <c r="Q101" i="1"/>
  <c r="Q94" i="1"/>
  <c r="Q83" i="1"/>
  <c r="Q20" i="1"/>
  <c r="Q13" i="1"/>
  <c r="Q10" i="1"/>
  <c r="Q287" i="1"/>
  <c r="Q285" i="1"/>
  <c r="AA281" i="1"/>
  <c r="Q264" i="1"/>
  <c r="Q263" i="1"/>
  <c r="Q262" i="1"/>
  <c r="Q254" i="1"/>
  <c r="AA246" i="1"/>
  <c r="AA239" i="1"/>
  <c r="Q233" i="1"/>
  <c r="AA194" i="1"/>
  <c r="AA184" i="1"/>
  <c r="AA151" i="1"/>
  <c r="AA147" i="1"/>
  <c r="Q146" i="1"/>
  <c r="Q145" i="1"/>
  <c r="Q137" i="1"/>
  <c r="Q131" i="1"/>
  <c r="Q128" i="1"/>
  <c r="Y124" i="1"/>
  <c r="AA124" i="1" s="1"/>
  <c r="AA90" i="1"/>
  <c r="AA80" i="1"/>
  <c r="AA78" i="1"/>
  <c r="Q68" i="1"/>
  <c r="AA55" i="1"/>
  <c r="AA54" i="1"/>
  <c r="Q50" i="1"/>
  <c r="Q49" i="1"/>
  <c r="Q35" i="1"/>
  <c r="Q34" i="1"/>
  <c r="Q33" i="1"/>
  <c r="Q31" i="1"/>
  <c r="Q27" i="1"/>
  <c r="Q15" i="1"/>
  <c r="Q12" i="1"/>
  <c r="Q9" i="1"/>
  <c r="Q297" i="1"/>
  <c r="Q294" i="1"/>
  <c r="Q292" i="1"/>
  <c r="Q271" i="1"/>
  <c r="Q265" i="1"/>
  <c r="AA259" i="1"/>
  <c r="Q255" i="1"/>
  <c r="Q228" i="1"/>
  <c r="Q152" i="1"/>
  <c r="Q150" i="1"/>
  <c r="AA143" i="1"/>
  <c r="AA129" i="1"/>
  <c r="Q123" i="1"/>
  <c r="Q121" i="1"/>
  <c r="Q106" i="1"/>
  <c r="Q95" i="1"/>
  <c r="Q81" i="1"/>
  <c r="Q71" i="1"/>
  <c r="Q57" i="1"/>
  <c r="Q36" i="1"/>
  <c r="Q30" i="1"/>
  <c r="Q18" i="1"/>
  <c r="Q252" i="1"/>
  <c r="AA181" i="1"/>
  <c r="Q74" i="1"/>
  <c r="Q41" i="1"/>
  <c r="Q23" i="1"/>
  <c r="AA301" i="1"/>
  <c r="Q299" i="1"/>
  <c r="Q234" i="1"/>
  <c r="Q213" i="1"/>
  <c r="Q72" i="1"/>
  <c r="AA33" i="1"/>
  <c r="Q19" i="1"/>
  <c r="Y299" i="1"/>
  <c r="AA299" i="1" s="1"/>
  <c r="Y290" i="1"/>
  <c r="AA290" i="1" s="1"/>
  <c r="Q288" i="1"/>
  <c r="Y279" i="1"/>
  <c r="AA279" i="1" s="1"/>
  <c r="Q277" i="1"/>
  <c r="Q275" i="1"/>
  <c r="Q270" i="1"/>
  <c r="Q267" i="1"/>
  <c r="AA258" i="1"/>
  <c r="Q248" i="1"/>
  <c r="Q244" i="1"/>
  <c r="Q239" i="1"/>
  <c r="AA236" i="1"/>
  <c r="AA233" i="1"/>
  <c r="Q229" i="1"/>
  <c r="AA221" i="1"/>
  <c r="Q219" i="1"/>
  <c r="Q212" i="1"/>
  <c r="Q151" i="1"/>
  <c r="Q141" i="1"/>
  <c r="AA139" i="1"/>
  <c r="Q118" i="1"/>
  <c r="AA112" i="1"/>
  <c r="Q103" i="1"/>
  <c r="Q102" i="1"/>
  <c r="AA70" i="1"/>
  <c r="Q42" i="1"/>
  <c r="Q28" i="1"/>
  <c r="Q301" i="1"/>
  <c r="Q300" i="1"/>
  <c r="Q295" i="1"/>
  <c r="Q283" i="1"/>
  <c r="AA278" i="1"/>
  <c r="Q256" i="1"/>
  <c r="Y255" i="1"/>
  <c r="AA255" i="1" s="1"/>
  <c r="Q226" i="1"/>
  <c r="Q220" i="1"/>
  <c r="AA217" i="1"/>
  <c r="AA214" i="1"/>
  <c r="AA158" i="1"/>
  <c r="Q130" i="1"/>
  <c r="Q91" i="1"/>
  <c r="Q89" i="1"/>
  <c r="Q88" i="1"/>
  <c r="Q87" i="1"/>
  <c r="Q80" i="1"/>
  <c r="AA79" i="1"/>
  <c r="Q70" i="1"/>
  <c r="Q62" i="1"/>
  <c r="Q54" i="1"/>
  <c r="Q53" i="1"/>
  <c r="Y28" i="1"/>
  <c r="AA28" i="1" s="1"/>
  <c r="Q24" i="1"/>
  <c r="AA23" i="1"/>
  <c r="Q22" i="1"/>
  <c r="AA268" i="1"/>
  <c r="Y252" i="1"/>
  <c r="AA252" i="1" s="1"/>
  <c r="Q216" i="1"/>
  <c r="Q215" i="1"/>
  <c r="Q97" i="1"/>
  <c r="Q58" i="1"/>
  <c r="Q46" i="1"/>
  <c r="Q298" i="1"/>
  <c r="AA297" i="1"/>
  <c r="Q293" i="1"/>
  <c r="Q289" i="1"/>
  <c r="Q284" i="1"/>
  <c r="Q278" i="1"/>
  <c r="Q274" i="1"/>
  <c r="Q258" i="1"/>
  <c r="Q257" i="1"/>
  <c r="Q253" i="1"/>
  <c r="Q250" i="1"/>
  <c r="Q246" i="1"/>
  <c r="Y244" i="1"/>
  <c r="AA244" i="1" s="1"/>
  <c r="Q243" i="1"/>
  <c r="Q242" i="1"/>
  <c r="Q240" i="1"/>
  <c r="Q232" i="1"/>
  <c r="AA231" i="1"/>
  <c r="Q230" i="1"/>
  <c r="Q227" i="1"/>
  <c r="Q225" i="1"/>
  <c r="Q218" i="1"/>
  <c r="AA159" i="1"/>
  <c r="Q156" i="1"/>
  <c r="Q155" i="1"/>
  <c r="Q144" i="1"/>
  <c r="Q133" i="1"/>
  <c r="Q126" i="1"/>
  <c r="AA123" i="1"/>
  <c r="Q122" i="1"/>
  <c r="Q120" i="1"/>
  <c r="Y118" i="1"/>
  <c r="AA118" i="1" s="1"/>
  <c r="Q115" i="1"/>
  <c r="Q112" i="1"/>
  <c r="Q111" i="1"/>
  <c r="Q105" i="1"/>
  <c r="AA85" i="1"/>
  <c r="AA71" i="1"/>
  <c r="Q63" i="1"/>
  <c r="AA42" i="1"/>
  <c r="Q25" i="1"/>
  <c r="AA20" i="1"/>
  <c r="Q17" i="1"/>
  <c r="Q304" i="1"/>
  <c r="Q291" i="1"/>
  <c r="Q290" i="1"/>
  <c r="Q286" i="1"/>
  <c r="Q268" i="1"/>
  <c r="Q261" i="1"/>
  <c r="Y251" i="1"/>
  <c r="AA251" i="1" s="1"/>
  <c r="Q238" i="1"/>
  <c r="Q222" i="1"/>
  <c r="Q211" i="1"/>
  <c r="Q154" i="1"/>
  <c r="Q147" i="1"/>
  <c r="Q96" i="1"/>
  <c r="Q90" i="1"/>
  <c r="Q77" i="1"/>
  <c r="Y61" i="1"/>
  <c r="AA61" i="1" s="1"/>
  <c r="Y46" i="1"/>
  <c r="AA46" i="1" s="1"/>
  <c r="Q43" i="1"/>
  <c r="AA30" i="1"/>
  <c r="Y210" i="1"/>
  <c r="AA210" i="1" s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3" i="1"/>
  <c r="Y152" i="1"/>
  <c r="AA152" i="1" s="1"/>
  <c r="Q149" i="1"/>
  <c r="Q148" i="1"/>
  <c r="Q143" i="1"/>
  <c r="Q140" i="1"/>
  <c r="Q129" i="1"/>
  <c r="AA121" i="1"/>
  <c r="AA119" i="1"/>
  <c r="Q100" i="1"/>
  <c r="Y98" i="1"/>
  <c r="AA98" i="1" s="1"/>
  <c r="Q84" i="1"/>
  <c r="Q64" i="1"/>
  <c r="Q52" i="1"/>
  <c r="AA49" i="1"/>
  <c r="Q47" i="1"/>
  <c r="Q39" i="1"/>
  <c r="Y22" i="1"/>
  <c r="AA22" i="1" s="1"/>
  <c r="Q16" i="1"/>
  <c r="AA12" i="1"/>
  <c r="Q8" i="1"/>
  <c r="O132" i="5"/>
  <c r="X132" i="5"/>
  <c r="Y132" i="5" s="1"/>
  <c r="Q305" i="5"/>
  <c r="W7" i="5"/>
  <c r="N305" i="5"/>
  <c r="O7" i="5"/>
  <c r="J305" i="5"/>
  <c r="X7" i="5"/>
  <c r="Y7" i="5" s="1"/>
  <c r="Q305" i="4"/>
  <c r="W7" i="4"/>
  <c r="W305" i="4" s="1"/>
  <c r="O7" i="4"/>
  <c r="O305" i="4" s="1"/>
  <c r="N305" i="4"/>
  <c r="J305" i="4"/>
  <c r="X7" i="4"/>
  <c r="Y7" i="4" s="1"/>
  <c r="J305" i="3"/>
  <c r="X304" i="3"/>
  <c r="Y304" i="3" s="1"/>
  <c r="Q305" i="3"/>
  <c r="W303" i="3"/>
  <c r="Y303" i="3" s="1"/>
  <c r="N305" i="3"/>
  <c r="O303" i="3"/>
  <c r="Q305" i="2"/>
  <c r="W7" i="2"/>
  <c r="W305" i="2" s="1"/>
  <c r="O7" i="2"/>
  <c r="O305" i="2" s="1"/>
  <c r="N305" i="2"/>
  <c r="J305" i="2"/>
  <c r="X7" i="2"/>
  <c r="Y7" i="2" s="1"/>
  <c r="Y7" i="1"/>
  <c r="S305" i="1"/>
  <c r="Q7" i="1"/>
  <c r="P305" i="1"/>
  <c r="Z7" i="1"/>
  <c r="AA7" i="1" s="1"/>
  <c r="J305" i="1"/>
  <c r="Y102" i="3"/>
  <c r="Y204" i="4"/>
  <c r="Y204" i="3"/>
  <c r="Y203" i="4"/>
  <c r="Y263" i="3"/>
  <c r="Y227" i="3"/>
  <c r="Y226" i="3"/>
  <c r="Y219" i="3"/>
  <c r="Y186" i="3"/>
  <c r="Y129" i="3"/>
  <c r="Y116" i="3"/>
  <c r="Y101" i="3"/>
  <c r="W305" i="3"/>
  <c r="O305" i="3"/>
  <c r="AA56" i="1"/>
  <c r="Y194" i="3"/>
  <c r="Y167" i="3"/>
  <c r="Y145" i="3"/>
  <c r="Y130" i="3"/>
  <c r="Y123" i="3"/>
  <c r="AA298" i="1"/>
  <c r="AA153" i="1"/>
  <c r="AA51" i="1"/>
  <c r="Y168" i="3"/>
  <c r="Y162" i="3"/>
  <c r="Y110" i="3"/>
  <c r="AB7" i="7" l="1"/>
  <c r="Z98" i="7"/>
  <c r="Z318" i="7"/>
  <c r="AB94" i="7"/>
  <c r="AB109" i="7"/>
  <c r="AB83" i="7"/>
  <c r="AB39" i="7"/>
  <c r="AB307" i="7"/>
  <c r="AB66" i="7"/>
  <c r="AB203" i="7"/>
  <c r="AB44" i="7"/>
  <c r="AB59" i="7"/>
  <c r="AB17" i="7"/>
  <c r="AB46" i="7"/>
  <c r="Y276" i="5"/>
  <c r="Y105" i="5"/>
  <c r="W305" i="5"/>
  <c r="O305" i="5"/>
  <c r="Y136" i="5"/>
  <c r="AB91" i="7"/>
  <c r="AB123" i="7"/>
  <c r="AB253" i="7"/>
  <c r="AB238" i="7"/>
  <c r="AB31" i="7"/>
  <c r="AB176" i="7"/>
  <c r="AB230" i="7"/>
  <c r="AB241" i="7"/>
  <c r="AB182" i="7"/>
  <c r="AB119" i="7"/>
  <c r="AB301" i="7"/>
  <c r="AB207" i="7"/>
  <c r="AB273" i="7"/>
  <c r="AB173" i="7"/>
  <c r="AB99" i="7"/>
  <c r="AB304" i="7"/>
  <c r="AB204" i="7"/>
  <c r="AB160" i="7"/>
  <c r="AB112" i="7"/>
  <c r="AB116" i="7"/>
  <c r="AB283" i="7"/>
  <c r="AB244" i="7"/>
  <c r="AB255" i="7"/>
  <c r="AB154" i="7"/>
  <c r="AB240" i="7"/>
  <c r="AB211" i="7"/>
  <c r="AB247" i="7"/>
  <c r="AB181" i="7"/>
  <c r="AB141" i="7"/>
  <c r="AB42" i="7"/>
  <c r="AB185" i="7"/>
  <c r="AB306" i="7"/>
  <c r="AB302" i="7"/>
  <c r="AB126" i="7"/>
  <c r="AB259" i="7"/>
  <c r="AB252" i="7"/>
  <c r="AB260" i="7"/>
  <c r="AB275" i="7"/>
  <c r="AB57" i="7"/>
  <c r="AB12" i="7"/>
  <c r="AB158" i="7"/>
  <c r="AB200" i="7"/>
  <c r="AB250" i="7"/>
  <c r="AB298" i="7"/>
  <c r="AB174" i="7"/>
  <c r="AB153" i="7"/>
  <c r="AB139" i="7"/>
  <c r="AB258" i="7"/>
  <c r="AB254" i="7"/>
  <c r="AB100" i="7"/>
  <c r="AB215" i="7"/>
  <c r="AB80" i="7"/>
  <c r="AB145" i="7"/>
  <c r="AB8" i="7"/>
  <c r="AB287" i="7"/>
  <c r="AB131" i="7"/>
  <c r="AB245" i="7"/>
  <c r="AB282" i="7"/>
  <c r="AB107" i="7"/>
  <c r="AB227" i="7"/>
  <c r="AB142" i="7"/>
  <c r="AB280" i="7"/>
  <c r="AB143" i="7"/>
  <c r="AB168" i="7"/>
  <c r="AB264" i="7"/>
  <c r="AB85" i="7"/>
  <c r="AB9" i="7"/>
  <c r="AB137" i="7"/>
  <c r="AB246" i="7"/>
  <c r="Q318" i="7"/>
  <c r="Y305" i="1"/>
  <c r="Q3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Saul Meza</author>
    <author>tc={FBF4FCFA-257F-4FA4-A30B-5F90DF51F28E}</author>
  </authors>
  <commentList>
    <comment ref="N99" authorId="0" shapeId="0" xr:uid="{F117D840-3B6E-485B-889C-8A7778695BF2}">
      <text>
        <r>
          <rPr>
            <b/>
            <sz val="9"/>
            <color indexed="81"/>
            <rFont val="Tahoma"/>
            <family val="2"/>
          </rPr>
          <t xml:space="preserve">en piso 16 hay 3, investigar desde cuando se les dio entrada para hacer ajuste (preguntar a miriam)
</t>
        </r>
      </text>
    </comment>
    <comment ref="M204" authorId="1" shapeId="0" xr:uid="{FBF4FCFA-257F-4FA4-A30B-5F90DF51F28E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REVISION SI HUBO SALIDAS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Saul Meza</author>
    <author>tc={6C247F3B-F7FD-4D88-9D93-7DE54983378B}</author>
  </authors>
  <commentList>
    <comment ref="N88" authorId="0" shapeId="0" xr:uid="{A3D7CB43-1378-4473-A967-B115684AE586}">
      <text>
        <r>
          <rPr>
            <b/>
            <sz val="9"/>
            <color indexed="81"/>
            <rFont val="Tahoma"/>
            <family val="2"/>
          </rPr>
          <t xml:space="preserve">en piso 16 hay 3, investigar desde cuando se les dio entrada para hacer ajuste (preguntar a miriam)
</t>
        </r>
      </text>
    </comment>
    <comment ref="M200" authorId="1" shapeId="0" xr:uid="{6C247F3B-F7FD-4D88-9D93-7DE54983378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REVISION SI HUBO SALIDAS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8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ID#AAAB3xziHsk
Saul Meza    (2026-04-20 14:16:29)
en piso 16 hay 3, investigar desde cuando se les dio entrada para hacer ajuste (preguntar a miriam)</t>
        </r>
      </text>
    </comment>
  </commentList>
</comments>
</file>

<file path=xl/sharedStrings.xml><?xml version="1.0" encoding="utf-8"?>
<sst xmlns="http://schemas.openxmlformats.org/spreadsheetml/2006/main" count="5774" uniqueCount="841">
  <si>
    <t>ZOOLÓGICO Y PARQUE RECREATIVO TAMATAN</t>
  </si>
  <si>
    <t>ALMACEN DE FARMACIA DEL MES DE ABRIL 2026</t>
  </si>
  <si>
    <t>CI-4</t>
  </si>
  <si>
    <t>CODIGO</t>
  </si>
  <si>
    <t>DESCRIPCION</t>
  </si>
  <si>
    <t>COSTO PROMEDIO      28-03-2026</t>
  </si>
  <si>
    <t xml:space="preserve">COSTO PROMEDIO     </t>
  </si>
  <si>
    <t>INVENTARIO INICIAL</t>
  </si>
  <si>
    <t>ENTRADAS</t>
  </si>
  <si>
    <t>AJUSTE ENTRADA</t>
  </si>
  <si>
    <t>SALIDAS</t>
  </si>
  <si>
    <t>AJUSTE SALIDA</t>
  </si>
  <si>
    <t>INVENTARIO FINAL</t>
  </si>
  <si>
    <t xml:space="preserve">FISICO TAMATAN </t>
  </si>
  <si>
    <t>FISICO PISO 16</t>
  </si>
  <si>
    <t>VALE FINAL</t>
  </si>
  <si>
    <t>TOTAL</t>
  </si>
  <si>
    <t>DIFERENCIAS</t>
  </si>
  <si>
    <t>INVENTARIO
INICIAL</t>
  </si>
  <si>
    <t>AJUSTE COSTO PROMEDIO</t>
  </si>
  <si>
    <t>COSTO ENTRADAS</t>
  </si>
  <si>
    <t>AJUSTE COSTO ENTRADA</t>
  </si>
  <si>
    <t>COSTO SALIDA</t>
  </si>
  <si>
    <t>COSTO AJUSTE DE SALIDA</t>
  </si>
  <si>
    <t>F-2540010</t>
  </si>
  <si>
    <t>AGUA OXIGENADA SOL. 500ML</t>
  </si>
  <si>
    <t>F-2540008</t>
  </si>
  <si>
    <t>AGUJA 18*1 TERUMO</t>
  </si>
  <si>
    <t>F-2540098</t>
  </si>
  <si>
    <t>AGUJA 18G X 32 C/100</t>
  </si>
  <si>
    <t>F-2540099</t>
  </si>
  <si>
    <t>AGUJA 21 G X 32 C/100</t>
  </si>
  <si>
    <t>F-2540012</t>
  </si>
  <si>
    <t>AGUJA 21*1 TERUMO</t>
  </si>
  <si>
    <t>F-2540011</t>
  </si>
  <si>
    <t>AGUJA PARA DARDO</t>
  </si>
  <si>
    <t>F-2530010</t>
  </si>
  <si>
    <t>ALBAN</t>
  </si>
  <si>
    <t>F-2530095</t>
  </si>
  <si>
    <t>ALBENDAGORT 1 LITRO</t>
  </si>
  <si>
    <t>F-2540013</t>
  </si>
  <si>
    <t xml:space="preserve">ALCOHOL ETILICO GALON </t>
  </si>
  <si>
    <t>F-2540101</t>
  </si>
  <si>
    <t xml:space="preserve">ALCOHOL ETILICO LITRO </t>
  </si>
  <si>
    <t>F-2540014</t>
  </si>
  <si>
    <t>ALGODON ABSORBENTE 100GR</t>
  </si>
  <si>
    <t>F-2530006</t>
  </si>
  <si>
    <t>ALIN-DEPOT 50ML</t>
  </si>
  <si>
    <t>F-2530001</t>
  </si>
  <si>
    <t>ALUSPRAY</t>
  </si>
  <si>
    <t>F-2530008</t>
  </si>
  <si>
    <t>AMINO LITE 500ML SOL INY.</t>
  </si>
  <si>
    <t>F-2530127</t>
  </si>
  <si>
    <t>AMOBAY 75ML</t>
  </si>
  <si>
    <t>F-2530119</t>
  </si>
  <si>
    <t>AMOXIPET PLUS 500</t>
  </si>
  <si>
    <t>F-2530007</t>
  </si>
  <si>
    <t>ANESKET (KETAMINA-PET)</t>
  </si>
  <si>
    <t>F-2530009</t>
  </si>
  <si>
    <t>ARGENTAFIL 1% TUBO CREMA 30G</t>
  </si>
  <si>
    <t>F-2530133</t>
  </si>
  <si>
    <t>ARGENTAFIL 160GR</t>
  </si>
  <si>
    <t>F-2550003</t>
  </si>
  <si>
    <t>ASA BACTERIOLOGICA BANDA NEGRA 1/100</t>
  </si>
  <si>
    <t>F-2550004</t>
  </si>
  <si>
    <t>ASA BACTERIOLOGICA BANDA ROJA 1/100</t>
  </si>
  <si>
    <t>F-2520001</t>
  </si>
  <si>
    <t xml:space="preserve">ASUNTOL LIQUIDO </t>
  </si>
  <si>
    <t>F-2530013</t>
  </si>
  <si>
    <t>ATIPAMEDOL DE 5 ML (ATIMIL)</t>
  </si>
  <si>
    <t>F-2530096</t>
  </si>
  <si>
    <t>ATROPISA 10 ML.</t>
  </si>
  <si>
    <t>F-2530082</t>
  </si>
  <si>
    <t>AVAPENA /CLOROPIRAMINA 5 AMP</t>
  </si>
  <si>
    <t>F-2540019</t>
  </si>
  <si>
    <t>AZUFRE JABON</t>
  </si>
  <si>
    <t>F-2520002</t>
  </si>
  <si>
    <t>BAITICOL DIP 3%</t>
  </si>
  <si>
    <t>F-2540120</t>
  </si>
  <si>
    <t>BALMEN 456ML</t>
  </si>
  <si>
    <t>F-2540009</t>
  </si>
  <si>
    <t>BATA CIRUJANO ESTERIL</t>
  </si>
  <si>
    <t>F-2540020</t>
  </si>
  <si>
    <t>BATA PARA CIRUJANO NO ESTERIL</t>
  </si>
  <si>
    <t>F-2540088</t>
  </si>
  <si>
    <t>BATA QX</t>
  </si>
  <si>
    <t>F-2530108</t>
  </si>
  <si>
    <t>BAYTRIL 10 % ORAL 1 LT</t>
  </si>
  <si>
    <t>F-2530011</t>
  </si>
  <si>
    <t>BAYTRIL 10%</t>
  </si>
  <si>
    <t>F-2530099</t>
  </si>
  <si>
    <t>BAYTRIL 5%</t>
  </si>
  <si>
    <t>F-2530094</t>
  </si>
  <si>
    <t xml:space="preserve">BAYTRIL 50 MG CAJA C/30 PZA </t>
  </si>
  <si>
    <t>F-2530056</t>
  </si>
  <si>
    <t>BAYTRIL MAX 250ML</t>
  </si>
  <si>
    <t>F-2530060</t>
  </si>
  <si>
    <t>BAYTRIL TAB. 150 MG</t>
  </si>
  <si>
    <t>F-2530120</t>
  </si>
  <si>
    <t>BAYTRIL TABS C/10 TAB. 150 MG.</t>
  </si>
  <si>
    <t>F-2530121</t>
  </si>
  <si>
    <t>BAYTRIL TABS C/10 TAB. 50 MG.</t>
  </si>
  <si>
    <t>F-2530012</t>
  </si>
  <si>
    <t>BICARNAT</t>
  </si>
  <si>
    <t>F-2530015</t>
  </si>
  <si>
    <t>BIOPAR 10ML</t>
  </si>
  <si>
    <t>F-2520003</t>
  </si>
  <si>
    <t>BIOTHRINE FLOW</t>
  </si>
  <si>
    <t>F-2530014</t>
  </si>
  <si>
    <t>BIOTRINE C.E.</t>
  </si>
  <si>
    <t>F-2540021</t>
  </si>
  <si>
    <t>BOLFO SHAMPOO</t>
  </si>
  <si>
    <t>F-2540022</t>
  </si>
  <si>
    <t>BOLFO TALCO</t>
  </si>
  <si>
    <t>F-2540001</t>
  </si>
  <si>
    <t>BOLSA AUTOSELLABLE</t>
  </si>
  <si>
    <t>F-2540103</t>
  </si>
  <si>
    <t xml:space="preserve">BOLSA DE RESPIRACION 0.5 LTS </t>
  </si>
  <si>
    <t>F-2540104</t>
  </si>
  <si>
    <t xml:space="preserve">BOLSA DE RESPIRACION 1 LTS </t>
  </si>
  <si>
    <t>F-2540105</t>
  </si>
  <si>
    <t xml:space="preserve">BOLSA DE RESPIRACION 2.0 LTS </t>
  </si>
  <si>
    <t>F-2540106</t>
  </si>
  <si>
    <t xml:space="preserve">BOLSA DE RESPIRACION 3.0 LTS </t>
  </si>
  <si>
    <t>F-2530002</t>
  </si>
  <si>
    <t>BOVITRAZ LITRO</t>
  </si>
  <si>
    <t>F-2530118</t>
  </si>
  <si>
    <t>BRAVECTO 400 MG 20-40 KG.</t>
  </si>
  <si>
    <t>F-2530105</t>
  </si>
  <si>
    <t>BUTAFENIL INY. 100 ML</t>
  </si>
  <si>
    <t>F-2540137</t>
  </si>
  <si>
    <t>BUTAFENIL SOBRES 3GR.</t>
  </si>
  <si>
    <t>F-2530155</t>
  </si>
  <si>
    <t>BUTONIL X10 DE 5ML</t>
  </si>
  <si>
    <t>F-2530016</t>
  </si>
  <si>
    <t>BUTONIL X30 5ML</t>
  </si>
  <si>
    <t>F-2530148</t>
  </si>
  <si>
    <t>CALECTAMIN 250ML</t>
  </si>
  <si>
    <t>F-2530150</t>
  </si>
  <si>
    <t>CALMIVET FRASCO 50ML</t>
  </si>
  <si>
    <t>F-2540085</t>
  </si>
  <si>
    <t>CAMISA TIPO VACUTAINER</t>
  </si>
  <si>
    <t>F-2530154</t>
  </si>
  <si>
    <t>CAPTIVON FRASCO 5ML</t>
  </si>
  <si>
    <t>F-2530123</t>
  </si>
  <si>
    <t>CEFTIOFUR 100ML</t>
  </si>
  <si>
    <t>F-2540084</t>
  </si>
  <si>
    <t>CEPILLO CIRUJANO</t>
  </si>
  <si>
    <t>F-2530097</t>
  </si>
  <si>
    <t>CERVICINE 10 ML</t>
  </si>
  <si>
    <t>F-2540002</t>
  </si>
  <si>
    <t>CINTA TESTIGO TUK</t>
  </si>
  <si>
    <t>F-2530018</t>
  </si>
  <si>
    <t>CLORAN OFTALMICO</t>
  </si>
  <si>
    <t>F-2530084</t>
  </si>
  <si>
    <t>CLORANFENICOL OFTALMICO GOTAS 15 ML</t>
  </si>
  <si>
    <t>F-2530017</t>
  </si>
  <si>
    <t>CLORKETAM 1000 ML SOL.INY.</t>
  </si>
  <si>
    <t>F-2530080</t>
  </si>
  <si>
    <t>COLLAR PREVENTEF, P/PERRO CHICO</t>
  </si>
  <si>
    <t>F-2530076</t>
  </si>
  <si>
    <t>COLLAR PREVENTEF, P/PERRO GRANDE</t>
  </si>
  <si>
    <t>F-2530087</t>
  </si>
  <si>
    <t>COMBANTRIM FRASCO 30 ML</t>
  </si>
  <si>
    <t>F-2540114</t>
  </si>
  <si>
    <t>COMBANTRIM FRASCO 50 ML</t>
  </si>
  <si>
    <t>F-2530019</t>
  </si>
  <si>
    <t>COMPOL ADE 100 ML</t>
  </si>
  <si>
    <t>F-2530020</t>
  </si>
  <si>
    <t>COMPOL B 100 ML SOL INYECTABLEC (VITAMINA B12)</t>
  </si>
  <si>
    <t>F-2540113</t>
  </si>
  <si>
    <t xml:space="preserve">CONVENIA </t>
  </si>
  <si>
    <t>F-2540072</t>
  </si>
  <si>
    <t>CUBREBOCAS</t>
  </si>
  <si>
    <t>F-2540078</t>
  </si>
  <si>
    <t>CUBREOBJETOS</t>
  </si>
  <si>
    <t>F-2530021</t>
  </si>
  <si>
    <t>DAMAX INY 100ML (CLINDAMICINA)</t>
  </si>
  <si>
    <t>F-2530022</t>
  </si>
  <si>
    <t>DANEZONA POLVO</t>
  </si>
  <si>
    <t>F-2530085</t>
  </si>
  <si>
    <t xml:space="preserve">DARAPRIME 25 MG 30 COMPRIMIDOS </t>
  </si>
  <si>
    <t>F-2540091</t>
  </si>
  <si>
    <t>DARDO 2CC 3/4</t>
  </si>
  <si>
    <t>F-2540023</t>
  </si>
  <si>
    <t>DARDO 3CC 1</t>
  </si>
  <si>
    <t>F-2540024</t>
  </si>
  <si>
    <t>DARDO 3CC 3/4</t>
  </si>
  <si>
    <t>F-2540089</t>
  </si>
  <si>
    <t>DARDO 5cc 3/4</t>
  </si>
  <si>
    <t>F-2540090</t>
  </si>
  <si>
    <t>DARDO 8CC 3/4</t>
  </si>
  <si>
    <t>F-2540025</t>
  </si>
  <si>
    <t>DARDO TELINJECT 5ML</t>
  </si>
  <si>
    <t>F-2530024</t>
  </si>
  <si>
    <t>DEBRISAN 60GR</t>
  </si>
  <si>
    <t>F-2530100</t>
  </si>
  <si>
    <t>DECTIVER 50 INY 500 ML</t>
  </si>
  <si>
    <t>F-2530061</t>
  </si>
  <si>
    <t>DECTIVER PASTA ORAL</t>
  </si>
  <si>
    <t>F-2530122</t>
  </si>
  <si>
    <t>DELTAMICIN 500MG</t>
  </si>
  <si>
    <t>F-2530138</t>
  </si>
  <si>
    <t>DEPOMEDROL 2ML</t>
  </si>
  <si>
    <t>F-2540026</t>
  </si>
  <si>
    <t>DERMO CLEAN</t>
  </si>
  <si>
    <t>F-2530134</t>
  </si>
  <si>
    <t>DERMOCLEAN 4 LITROS</t>
  </si>
  <si>
    <t>F-2540027</t>
  </si>
  <si>
    <t>DERMOCLEAN CBD JABON</t>
  </si>
  <si>
    <t>F-2530135</t>
  </si>
  <si>
    <t>DERMOCLEAN CBD JABON DE 4 LITROS</t>
  </si>
  <si>
    <t>F-2530093</t>
  </si>
  <si>
    <t>DEXAMETASONA FRASCO 6 ML (ALIN-DEPOT 6ML)</t>
  </si>
  <si>
    <t>F-2530106</t>
  </si>
  <si>
    <t>DIRAMOX 100 ML.</t>
  </si>
  <si>
    <t>F-2530027</t>
  </si>
  <si>
    <t>DIRAMOX L.A</t>
  </si>
  <si>
    <t>F-2530139</t>
  </si>
  <si>
    <t>DIRONIL INY. 50ML</t>
  </si>
  <si>
    <t>F-2530128</t>
  </si>
  <si>
    <t>DIXIN ORAL</t>
  </si>
  <si>
    <t>F-2530028</t>
  </si>
  <si>
    <t>DMSO GEL</t>
  </si>
  <si>
    <t>F-2530156</t>
  </si>
  <si>
    <t>DOXAPRAM FRASCO DE 20 ML (DOXOPRAM 20 ML)</t>
  </si>
  <si>
    <t>F-2530071</t>
  </si>
  <si>
    <t>ENDOGARD TAB 10</t>
  </si>
  <si>
    <t>F-2530072</t>
  </si>
  <si>
    <t xml:space="preserve">ENDOGARD TAB 30 </t>
  </si>
  <si>
    <t>F-2530141</t>
  </si>
  <si>
    <t>EPINEFRINA 50ML</t>
  </si>
  <si>
    <t>F-2540121</t>
  </si>
  <si>
    <t>EPI-OTIC 120ML</t>
  </si>
  <si>
    <t>F-2530023</t>
  </si>
  <si>
    <t>ERITROMICINA SOBRE DE 10 G (ERICLOR AVICOLA 10 GRS)</t>
  </si>
  <si>
    <t>F-2540119</t>
  </si>
  <si>
    <t>ESPONJA GASA 10 X 10 C/200 PROTEC</t>
  </si>
  <si>
    <t>F-2540004</t>
  </si>
  <si>
    <t>ESTETOSCOPIO</t>
  </si>
  <si>
    <t>F-2530029</t>
  </si>
  <si>
    <t>FELIGEN C.R.P. VACUNA</t>
  </si>
  <si>
    <t>F-2530088</t>
  </si>
  <si>
    <t>FENILBUTAZONA (BUTAFENIL POLVO ORAL)</t>
  </si>
  <si>
    <t>F-2530026</t>
  </si>
  <si>
    <t>FERRANINA</t>
  </si>
  <si>
    <t>F-2530086</t>
  </si>
  <si>
    <t>FHRESHMIN MICONAZOL 2% CREMA TUBO 20 G</t>
  </si>
  <si>
    <t>F-2540005</t>
  </si>
  <si>
    <t>FIBRA DE VIDRIO</t>
  </si>
  <si>
    <t>F-2530030</t>
  </si>
  <si>
    <t>FINADYNE</t>
  </si>
  <si>
    <t>F-2530062</t>
  </si>
  <si>
    <t>FLAGYL SUSP.</t>
  </si>
  <si>
    <t>F-2540028</t>
  </si>
  <si>
    <t>FORMOL 37%</t>
  </si>
  <si>
    <t>F-2530063</t>
  </si>
  <si>
    <t>FRONT LINE PIPETA</t>
  </si>
  <si>
    <t>F-2530081</t>
  </si>
  <si>
    <t>FRONT LINE SPRAY 250 ML</t>
  </si>
  <si>
    <t>F-2530034</t>
  </si>
  <si>
    <t>FRONT LINE, SPRAY 500ML</t>
  </si>
  <si>
    <t>F-2530031</t>
  </si>
  <si>
    <t>FURACIN</t>
  </si>
  <si>
    <t>F-2530129</t>
  </si>
  <si>
    <t>GARAMICINA 10ML</t>
  </si>
  <si>
    <t>F-2540029</t>
  </si>
  <si>
    <t>GASA ABS. NO ESTERIL</t>
  </si>
  <si>
    <t>F-2540030</t>
  </si>
  <si>
    <t>GASA NO EST. 10X10</t>
  </si>
  <si>
    <t>F-2540126</t>
  </si>
  <si>
    <t>GEL PARA ULTRASONIDO 4KG</t>
  </si>
  <si>
    <t>F-2540031</t>
  </si>
  <si>
    <t>GEL ULTRASONIDO</t>
  </si>
  <si>
    <t>F-2540032</t>
  </si>
  <si>
    <t>GERMICIN ESPUMA 3.5 LTS</t>
  </si>
  <si>
    <t>F-2530109</t>
  </si>
  <si>
    <t>GERMICIN SOLUCION 3.5 LTS</t>
  </si>
  <si>
    <t>F-2530083</t>
  </si>
  <si>
    <t>GLUCOSAMINA FRASCO C/60ML</t>
  </si>
  <si>
    <t>F-2540127</t>
  </si>
  <si>
    <t>GUANTE DE NITRILO MEDIANO PIEZA</t>
  </si>
  <si>
    <t>F-2540092</t>
  </si>
  <si>
    <t>GUANTE DE NITRILO NO ESTERIL MEDIANO.</t>
  </si>
  <si>
    <t>F-2540033</t>
  </si>
  <si>
    <t>GUANTE EXP. EST. MED</t>
  </si>
  <si>
    <t>F-2540034</t>
  </si>
  <si>
    <t xml:space="preserve">GUANTE EXP. NO EST. M </t>
  </si>
  <si>
    <t>F-2530140</t>
  </si>
  <si>
    <t>HAESMACCEL</t>
  </si>
  <si>
    <t>F-2530149</t>
  </si>
  <si>
    <t>HEPACOM 100ML</t>
  </si>
  <si>
    <t>F-2530142</t>
  </si>
  <si>
    <t>HEPACOM B12 100ML</t>
  </si>
  <si>
    <t>F-2530032</t>
  </si>
  <si>
    <t>HIDROCORTISONA</t>
  </si>
  <si>
    <t>F-2540036</t>
  </si>
  <si>
    <t>HISOPO ESTERIL</t>
  </si>
  <si>
    <t>F-2540037</t>
  </si>
  <si>
    <t>HISOPO NO ESTERIL</t>
  </si>
  <si>
    <t>F-2540035</t>
  </si>
  <si>
    <t>HOJA P/BISTURI NO. 24</t>
  </si>
  <si>
    <t>F-2530143</t>
  </si>
  <si>
    <t>INHEPAR AMPULA 10ML</t>
  </si>
  <si>
    <t>F-2530078</t>
  </si>
  <si>
    <t>INSECTICIDA QUICK BAYT</t>
  </si>
  <si>
    <t>F-2530033</t>
  </si>
  <si>
    <t>ISOFLORANE FRASCO C/100ML</t>
  </si>
  <si>
    <t>F-2530131</t>
  </si>
  <si>
    <t xml:space="preserve">ITRACONAZOL </t>
  </si>
  <si>
    <t>F-2540095</t>
  </si>
  <si>
    <t xml:space="preserve">JABON AZUFRE GRISI 100 G </t>
  </si>
  <si>
    <t>F-2540038</t>
  </si>
  <si>
    <t>JERINGA 10ML VERDE</t>
  </si>
  <si>
    <t>F-2540128</t>
  </si>
  <si>
    <t>JERINGA 1ML C/AGUJA INT. PIEZA</t>
  </si>
  <si>
    <t>F-2540040</t>
  </si>
  <si>
    <t>JERINGA 20ML</t>
  </si>
  <si>
    <t>F-2540129</t>
  </si>
  <si>
    <t>JERINGA 20ML VERDE S/AGUJA PIEZA</t>
  </si>
  <si>
    <t>F-2540117</t>
  </si>
  <si>
    <t>JERINGA 3ML 22 X 32 NIPRO PIEZA</t>
  </si>
  <si>
    <t>F-2540041</t>
  </si>
  <si>
    <t>JERINGA 3ML VERDE</t>
  </si>
  <si>
    <t>F-2540042</t>
  </si>
  <si>
    <t>JERINGA 50ML</t>
  </si>
  <si>
    <t>F-2540130</t>
  </si>
  <si>
    <t>JERINGA 50ML VERDE S/AGUJA PIEZA</t>
  </si>
  <si>
    <t>F-2540039</t>
  </si>
  <si>
    <t>JERINGA 5ML VERDE</t>
  </si>
  <si>
    <t>F-2540097</t>
  </si>
  <si>
    <t>JERINGA DE 10 ML CON AGUJA DE 21 G</t>
  </si>
  <si>
    <t>F-2540096</t>
  </si>
  <si>
    <t>JERINGA DE 3 ML CON AGUJA DE 21 G</t>
  </si>
  <si>
    <t>F-2540093</t>
  </si>
  <si>
    <t>JERINGA PERA DE HULE LE ROY #2</t>
  </si>
  <si>
    <t>F-2540094</t>
  </si>
  <si>
    <t>JERINGA PERA DE HULE LE ROY #3</t>
  </si>
  <si>
    <t>F-2540043</t>
  </si>
  <si>
    <t>JERINGA TUBERCULINA AGUJA CAMB.</t>
  </si>
  <si>
    <t>F-2530090</t>
  </si>
  <si>
    <t xml:space="preserve">KENTANIL </t>
  </si>
  <si>
    <t>F-2540102</t>
  </si>
  <si>
    <t xml:space="preserve">KIT DE MASCARILLA PARA ANESTESIA </t>
  </si>
  <si>
    <t>F-2530111</t>
  </si>
  <si>
    <t xml:space="preserve">KOAGUSAN 100 ML. VITAMINA K </t>
  </si>
  <si>
    <t>F-2530035</t>
  </si>
  <si>
    <t>KORTEBA LIPICOR 50 ML dexametazona)</t>
  </si>
  <si>
    <t>F-2530036</t>
  </si>
  <si>
    <t>KORYTEBA</t>
  </si>
  <si>
    <t>F-2530132</t>
  </si>
  <si>
    <t>LAMISIL 30ML</t>
  </si>
  <si>
    <t>F-2530115</t>
  </si>
  <si>
    <t>LAPICMICINA (100ML)</t>
  </si>
  <si>
    <t>F-2530064</t>
  </si>
  <si>
    <t>LAPIGEN 100</t>
  </si>
  <si>
    <t>F-2530065</t>
  </si>
  <si>
    <t>LAPIMICINA (250 ML)</t>
  </si>
  <si>
    <t>F-2530079</t>
  </si>
  <si>
    <t>LIDOCAINA CON EPINEFRINA</t>
  </si>
  <si>
    <t>F-2540086</t>
  </si>
  <si>
    <t>LIGADURA</t>
  </si>
  <si>
    <t>F-2540116</t>
  </si>
  <si>
    <t>LLAVE 4 VIAS GIRATEK C/TUBO EXT 80</t>
  </si>
  <si>
    <t>F-2540007</t>
  </si>
  <si>
    <t>MARIPOSA 23G</t>
  </si>
  <si>
    <t>F-2540131</t>
  </si>
  <si>
    <t>MARIPOSA P/EXTRACCION SANGRE 18G.</t>
  </si>
  <si>
    <t>F-2540132</t>
  </si>
  <si>
    <t>MARIPOSA P/EXTRACCION SANGRE 20G.</t>
  </si>
  <si>
    <t>F-2540133</t>
  </si>
  <si>
    <t>MARIPOSA P/EXTRACCION SANGRE 22G.</t>
  </si>
  <si>
    <t>F-2520004</t>
  </si>
  <si>
    <t>MAXFORCE GEL 30gr</t>
  </si>
  <si>
    <t>F-2540044</t>
  </si>
  <si>
    <t>MEDIO DE CULTIVO STUARTT</t>
  </si>
  <si>
    <t>F-2530112</t>
  </si>
  <si>
    <t>MEDISED</t>
  </si>
  <si>
    <t>F-2530037</t>
  </si>
  <si>
    <t>METACAM SOL.INYEC. 10 ML</t>
  </si>
  <si>
    <t>F-2530040</t>
  </si>
  <si>
    <t>METICEL OFTENO GOTERO 10ML</t>
  </si>
  <si>
    <t>F-2530075</t>
  </si>
  <si>
    <t xml:space="preserve">METIL PREDNISOLONA (DEPOMEDROL) ACETATO DE METILPREDNISOLONA </t>
  </si>
  <si>
    <t>F-2530130</t>
  </si>
  <si>
    <t xml:space="preserve">MICONAZOL CREMA </t>
  </si>
  <si>
    <t>F-2540115</t>
  </si>
  <si>
    <t>MICROCHIPS AVID CON APLICADOR Y NUMERO UNICO DE IDENTIFICACION DE 15 DIGITOS</t>
  </si>
  <si>
    <t>F-2530144</t>
  </si>
  <si>
    <t>MICROLAX CAJA</t>
  </si>
  <si>
    <t>F-2540077</t>
  </si>
  <si>
    <t>MICROPORE 5CM</t>
  </si>
  <si>
    <t>F-2530124</t>
  </si>
  <si>
    <t>MINOXEL PLUS 100ML</t>
  </si>
  <si>
    <t>F-2350038</t>
  </si>
  <si>
    <t>MONIXEL PLUS 250ML</t>
  </si>
  <si>
    <t>F-2530069</t>
  </si>
  <si>
    <t>MUTIVITAMINICO A,D,B12 SOBRE DE 10 GR (VITAFORT A)</t>
  </si>
  <si>
    <t>F-2530041</t>
  </si>
  <si>
    <t>NEGASUT POLVO</t>
  </si>
  <si>
    <t>F-2530137</t>
  </si>
  <si>
    <t>NEXGARD 100MG</t>
  </si>
  <si>
    <t>F-2530110</t>
  </si>
  <si>
    <t>NEXTGARD 15-30 KG.</t>
  </si>
  <si>
    <t>F-2530066</t>
  </si>
  <si>
    <t>NIC-TON SOL.</t>
  </si>
  <si>
    <t>F-2530039</t>
  </si>
  <si>
    <t xml:space="preserve">NOBIVAC PUPPY DP </t>
  </si>
  <si>
    <t>F-2540045</t>
  </si>
  <si>
    <t>NOLVASAN SOL.</t>
  </si>
  <si>
    <t>F-2540112</t>
  </si>
  <si>
    <t xml:space="preserve">OXIMENTRO DE PULSO </t>
  </si>
  <si>
    <t>F-2530067</t>
  </si>
  <si>
    <t xml:space="preserve">PANACUR GRANULADO 22% </t>
  </si>
  <si>
    <t>F-2530042</t>
  </si>
  <si>
    <t>PANACUR GRANULADO 22% PZAS</t>
  </si>
  <si>
    <t>F-2530068</t>
  </si>
  <si>
    <t>PANACUR POLVO 4%</t>
  </si>
  <si>
    <t>F-2530101</t>
  </si>
  <si>
    <t>PANCUR SUSP. 10% 1 LTRO</t>
  </si>
  <si>
    <t>F-2540076</t>
  </si>
  <si>
    <t>PELICULA RX 18X24 MAMOGR</t>
  </si>
  <si>
    <t>F-2540073</t>
  </si>
  <si>
    <t>PELICULA RX 20X25</t>
  </si>
  <si>
    <t>F-2540074</t>
  </si>
  <si>
    <t>PELICULA RX 24X30</t>
  </si>
  <si>
    <t>F-2540075</t>
  </si>
  <si>
    <t>PELICULA RX 30X35</t>
  </si>
  <si>
    <t>F-2540046</t>
  </si>
  <si>
    <t>PELICULA RX 35X35CM</t>
  </si>
  <si>
    <t>F-2540047</t>
  </si>
  <si>
    <t>PELICULA RX 35X43CM</t>
  </si>
  <si>
    <t>F-2530043</t>
  </si>
  <si>
    <t>PENTOBARBITAL INY. 100ML</t>
  </si>
  <si>
    <t>F-2530147</t>
  </si>
  <si>
    <t>PET TAB</t>
  </si>
  <si>
    <t>F-2530102</t>
  </si>
  <si>
    <t>PHARMOTIL SOL INY 50 ML. (METOCLOPRAMIDA)</t>
  </si>
  <si>
    <t>F-2530136</t>
  </si>
  <si>
    <t>PIPERAZINA 1KG</t>
  </si>
  <si>
    <t>F-2530057</t>
  </si>
  <si>
    <t>PLANTAGO</t>
  </si>
  <si>
    <t>F-2540079</t>
  </si>
  <si>
    <t>PORTA OBJETOS</t>
  </si>
  <si>
    <t>F-2530126</t>
  </si>
  <si>
    <t>PRIMECIN INY. DE 20ML</t>
  </si>
  <si>
    <t>F-2530125</t>
  </si>
  <si>
    <t xml:space="preserve">PRIMECIN SOLUBLE 1L </t>
  </si>
  <si>
    <t>F-2530047</t>
  </si>
  <si>
    <t>PROCIN EQUUS</t>
  </si>
  <si>
    <t>F-2530153</t>
  </si>
  <si>
    <t>PROCINA 40MG/ML FRASCO 50ML</t>
  </si>
  <si>
    <t>F-2540048</t>
  </si>
  <si>
    <t>PUNZOCAT 14</t>
  </si>
  <si>
    <t>F-2540049</t>
  </si>
  <si>
    <t>PUNZOCAT 16</t>
  </si>
  <si>
    <t>F-2540050</t>
  </si>
  <si>
    <t>PUNZOCAT 18</t>
  </si>
  <si>
    <t>F-2540051</t>
  </si>
  <si>
    <t>PUNZOCAT 20</t>
  </si>
  <si>
    <t>F-2540052</t>
  </si>
  <si>
    <t>PUNZOCAT 22</t>
  </si>
  <si>
    <t>F-2540053</t>
  </si>
  <si>
    <t>PUNZOCAT 24</t>
  </si>
  <si>
    <t>F-2530044</t>
  </si>
  <si>
    <t>RANULIN VET FCO 50ML SOL.INYECTABLE</t>
  </si>
  <si>
    <t>F-2530151</t>
  </si>
  <si>
    <t>RELAZEPAM VET FRASCO 10ML</t>
  </si>
  <si>
    <t>F-2530116</t>
  </si>
  <si>
    <t>REPELENTE MOSCAS</t>
  </si>
  <si>
    <t>F-2530045</t>
  </si>
  <si>
    <t>REVECTUR 5%</t>
  </si>
  <si>
    <t>F-2540080</t>
  </si>
  <si>
    <t>REVELADOR AUTOMATICO</t>
  </si>
  <si>
    <t>F-2530152</t>
  </si>
  <si>
    <t>REVERZE FRASCO 10ML</t>
  </si>
  <si>
    <t>F-2530049</t>
  </si>
  <si>
    <t>RHEOMACRODEX CS LTO</t>
  </si>
  <si>
    <t>F-2530050</t>
  </si>
  <si>
    <t>RHEOMACRODEX DX LTO</t>
  </si>
  <si>
    <t>F-2540134</t>
  </si>
  <si>
    <t>ROLLO GASA ABSORBENTE NO EST. 90X90</t>
  </si>
  <si>
    <t>F-2530046</t>
  </si>
  <si>
    <t>RYMADIL MASTICABLE 100MG</t>
  </si>
  <si>
    <t>F-2530052</t>
  </si>
  <si>
    <t>RYMADIL TAB 10MG</t>
  </si>
  <si>
    <t>F-2540057</t>
  </si>
  <si>
    <t>SEDASIVA 5CM</t>
  </si>
  <si>
    <t>F-2540058</t>
  </si>
  <si>
    <t>SEDASIVA 7.5CM</t>
  </si>
  <si>
    <t>F-2530053</t>
  </si>
  <si>
    <t>SE-VE</t>
  </si>
  <si>
    <t>F-2540083</t>
  </si>
  <si>
    <t>SHAMPOO ALPHA WHITE 1GAL</t>
  </si>
  <si>
    <t>F-2540059</t>
  </si>
  <si>
    <t>SILICON P/AGUJA NO.30</t>
  </si>
  <si>
    <t>F-2540060</t>
  </si>
  <si>
    <t>SILICON P/AGUJA NO.34</t>
  </si>
  <si>
    <t>F-2530005</t>
  </si>
  <si>
    <t>SNAP TRIPLE FELINO</t>
  </si>
  <si>
    <t>F-2540062</t>
  </si>
  <si>
    <t>SOLUCION CS 1LT</t>
  </si>
  <si>
    <t>F-2540063</t>
  </si>
  <si>
    <t>SOLUCION CS 500ML</t>
  </si>
  <si>
    <t>F-2540061</t>
  </si>
  <si>
    <t>SOLUCION DX 500ML</t>
  </si>
  <si>
    <t>F-2540064</t>
  </si>
  <si>
    <t>SOLUCION HT 500ML</t>
  </si>
  <si>
    <t>F-2530145</t>
  </si>
  <si>
    <t>SOLUTINA OFTALMICA 15ML</t>
  </si>
  <si>
    <t>F-2540111</t>
  </si>
  <si>
    <t xml:space="preserve">SONDA ENDOTRAQUEAL CON GLOBO 30 FR </t>
  </si>
  <si>
    <t>F-2540107</t>
  </si>
  <si>
    <t>SONDA ENDOTRAQUEAL SIN GLOBO 16 FR</t>
  </si>
  <si>
    <t>F-2540108</t>
  </si>
  <si>
    <t>SONDA ENDOTRAQUEAL SIN GLOBO 18 FR</t>
  </si>
  <si>
    <t>F-2540109</t>
  </si>
  <si>
    <t>SONDA ENDOTRAQUEAL SIN GLOBO 20 FR</t>
  </si>
  <si>
    <t>F-2540110</t>
  </si>
  <si>
    <t>SONDA ENDOTRAQUEAL SIN GLOBO 26 FR</t>
  </si>
  <si>
    <t>F-2530054</t>
  </si>
  <si>
    <t>SUFREXAL</t>
  </si>
  <si>
    <t>F-2530089</t>
  </si>
  <si>
    <t xml:space="preserve">SULFATO ATROPINA 60 ML </t>
  </si>
  <si>
    <t>F-2520005</t>
  </si>
  <si>
    <t>SULFATO DE COBRE</t>
  </si>
  <si>
    <t>F-2530074</t>
  </si>
  <si>
    <t>SULFATO FERROSO</t>
  </si>
  <si>
    <t>F-2530103</t>
  </si>
  <si>
    <t>SULFATOPRIM 50 INY 250 ML</t>
  </si>
  <si>
    <t>F-2530098</t>
  </si>
  <si>
    <t>SULFATOPRIM PLUS 5 KG.(LAPIGEN) CUBETA</t>
  </si>
  <si>
    <t>F-2540122</t>
  </si>
  <si>
    <t>SUTURA ABSORBIBLE ATRAMAT 0</t>
  </si>
  <si>
    <t>F-2540123</t>
  </si>
  <si>
    <t>SUTURA ABSORBIBLE ATRAMAT 1</t>
  </si>
  <si>
    <t>F-2540124</t>
  </si>
  <si>
    <t>SUTURA ABSORBIBLE ATRAMAT 2</t>
  </si>
  <si>
    <t>F-2540125</t>
  </si>
  <si>
    <t>SUTURA ABSORBIBLE ATRAMAT 2-0</t>
  </si>
  <si>
    <t>F-2540015</t>
  </si>
  <si>
    <t>SUTURA POLIGLIACTINA 910 AG TIPO AHUSADA GRUESA DE 70 CM C/12 #0</t>
  </si>
  <si>
    <t>F-2540016</t>
  </si>
  <si>
    <t>SUTURA POLIGLIACTINA 910 AG TIPO AHUSADA GRUESA DE 70 CM C/12 #1</t>
  </si>
  <si>
    <t>F-2540017</t>
  </si>
  <si>
    <t>SUTURA POLIGLIACTINA 910 AG TIPO AHUSADA GRUESA DE 70 CM C/12 #2</t>
  </si>
  <si>
    <t>F-2540018</t>
  </si>
  <si>
    <t>SUTURA POLIGLIACTINA 910 AG TIPO AHUSADA GRUESA DE 70 CM C/12 #3</t>
  </si>
  <si>
    <t>F-2530055</t>
  </si>
  <si>
    <t>SYNALAR OFTALMICO 0,015% SOLUCION 15 ML</t>
  </si>
  <si>
    <t>F-2540065</t>
  </si>
  <si>
    <t>TANQUE CO2</t>
  </si>
  <si>
    <t>TF-2540054</t>
  </si>
  <si>
    <t>TERMOMETRO AMBIENTAL</t>
  </si>
  <si>
    <t>TF-2540055</t>
  </si>
  <si>
    <t>TERMOMETRO FLEXIBLE</t>
  </si>
  <si>
    <t>TF-2540056</t>
  </si>
  <si>
    <t>TERMOMETRO ORAL</t>
  </si>
  <si>
    <t>F-2540003</t>
  </si>
  <si>
    <t>TERMOMETRO RECTAL</t>
  </si>
  <si>
    <t>F-2530004</t>
  </si>
  <si>
    <t>TICOFF 1LT</t>
  </si>
  <si>
    <t>F-2530073</t>
  </si>
  <si>
    <t>TIMPAKAPS</t>
  </si>
  <si>
    <t>F-2540066</t>
  </si>
  <si>
    <t>TINCION DIFFQUICK</t>
  </si>
  <si>
    <t>F-2530092</t>
  </si>
  <si>
    <t xml:space="preserve">TOLAZONIL </t>
  </si>
  <si>
    <t>F-2540118</t>
  </si>
  <si>
    <t>TORUNDA 500G PROTEC PAQ.</t>
  </si>
  <si>
    <t>F-2530048</t>
  </si>
  <si>
    <t>TREXONIL</t>
  </si>
  <si>
    <t>F-2540081</t>
  </si>
  <si>
    <t>TUBO RECOLECTOR LILA</t>
  </si>
  <si>
    <t>F-2540082</t>
  </si>
  <si>
    <t>TUBO RECOLECTOR ROJO</t>
  </si>
  <si>
    <t>F-2530058</t>
  </si>
  <si>
    <t>ULCODERMA</t>
  </si>
  <si>
    <t>F-2540087</t>
  </si>
  <si>
    <t>UNIFORME QX</t>
  </si>
  <si>
    <t>F-2530077</t>
  </si>
  <si>
    <t>VACUNA CANIGEN MHA2 ppi /LR VIRBAC</t>
  </si>
  <si>
    <t>F-2540067</t>
  </si>
  <si>
    <t>VASELINA LIQUIDA</t>
  </si>
  <si>
    <t>F-2550001</t>
  </si>
  <si>
    <t>VASO DE PRECIPITADO 1/2</t>
  </si>
  <si>
    <t>F-2550002</t>
  </si>
  <si>
    <t>VASO PRECIPITADO 1 LTO</t>
  </si>
  <si>
    <t>F-2540136</t>
  </si>
  <si>
    <t>VENDA ACRILICA SCOTCHCAST</t>
  </si>
  <si>
    <t>F-2540135</t>
  </si>
  <si>
    <t>VENDA COBAN VET RAP 7.6CM X 4.5M</t>
  </si>
  <si>
    <t>F-2540006</t>
  </si>
  <si>
    <t>VENDA ELASTICA 10CM</t>
  </si>
  <si>
    <t>F-2540069</t>
  </si>
  <si>
    <t>VENDA ELASTICA 15X5CM</t>
  </si>
  <si>
    <t>F-2540100</t>
  </si>
  <si>
    <t>VENDA ELASTICA 7.5 * 4.5 CM</t>
  </si>
  <si>
    <t>F-2540070</t>
  </si>
  <si>
    <t>VENDA HUATA 7CM</t>
  </si>
  <si>
    <t>F-2540071</t>
  </si>
  <si>
    <t>VENOCLISIS NORMOGOTEO</t>
  </si>
  <si>
    <t>F-2540068</t>
  </si>
  <si>
    <t>VET-RAP</t>
  </si>
  <si>
    <t>F-2530025</t>
  </si>
  <si>
    <t>VITAMINAS C/TETRACILCINA BOTE 500 G (DELTAMICIN)</t>
  </si>
  <si>
    <t>F-2530091</t>
  </si>
  <si>
    <t>XILACINA DE 10 ML (DEXAN-2)</t>
  </si>
  <si>
    <t>F-2530051</t>
  </si>
  <si>
    <t>XILACINA FRASCO DE 50 ML (REVERZE)</t>
  </si>
  <si>
    <t>F-2530104</t>
  </si>
  <si>
    <t>XILOCAINA SPRAY 115 ML</t>
  </si>
  <si>
    <t>F-2530146</t>
  </si>
  <si>
    <t>YATREN 100ML</t>
  </si>
  <si>
    <t>F-2530003</t>
  </si>
  <si>
    <t>YODO SOL</t>
  </si>
  <si>
    <t>F-2530059</t>
  </si>
  <si>
    <t>ZOLETIL 100 FRASCO 5ML</t>
  </si>
  <si>
    <t>F-2530117</t>
  </si>
  <si>
    <t>ZYLEXIS</t>
  </si>
  <si>
    <t>COMISION DE PARQUES Y BIODIVERSIDAD DE TAMAULIPAS</t>
  </si>
  <si>
    <t>ZOOLOGICO Y PARQUE RECREATIVO TAMATAN</t>
  </si>
  <si>
    <t>BITACORA DE SALIDA DE FARMACIA DEL MES DE ABRIL 2026</t>
  </si>
  <si>
    <t>CI-2</t>
  </si>
  <si>
    <t>Fecha</t>
  </si>
  <si>
    <t>Cantidad</t>
  </si>
  <si>
    <t>Codigo</t>
  </si>
  <si>
    <t>Descripción</t>
  </si>
  <si>
    <t>Entrega</t>
  </si>
  <si>
    <t>Recibe</t>
  </si>
  <si>
    <t>Area</t>
  </si>
  <si>
    <t xml:space="preserve">GARAMICINA 10 ML </t>
  </si>
  <si>
    <t>LILIANA</t>
  </si>
  <si>
    <t>IYARI</t>
  </si>
  <si>
    <t xml:space="preserve">HOSPITAL </t>
  </si>
  <si>
    <t xml:space="preserve">BUTONIL X10 DE 5 ML </t>
  </si>
  <si>
    <t xml:space="preserve">BUTONIL X30 5 ML </t>
  </si>
  <si>
    <t>PANACUR GRANULADO 22% PZA</t>
  </si>
  <si>
    <t xml:space="preserve">PORTA OBJETOS </t>
  </si>
  <si>
    <t xml:space="preserve">SILICON P AGUJA NO. 30 </t>
  </si>
  <si>
    <t>SILICON P AGUJA NO.34</t>
  </si>
  <si>
    <t>GUANTE NITRILIO</t>
  </si>
  <si>
    <t xml:space="preserve">GUANTE LATEX </t>
  </si>
  <si>
    <t>F-25640041</t>
  </si>
  <si>
    <t>JERINGA 3ML</t>
  </si>
  <si>
    <t xml:space="preserve">JERINGA 1 ML </t>
  </si>
  <si>
    <t xml:space="preserve">GASA 10X10 </t>
  </si>
  <si>
    <t>VENOCLISIS NORMO GOTEO</t>
  </si>
  <si>
    <t>TANQUE C02</t>
  </si>
  <si>
    <t xml:space="preserve">AGUJA PARA DARDO </t>
  </si>
  <si>
    <t>ANESKET (KETAMINA PET)</t>
  </si>
  <si>
    <t>ASA BACTERIOLOGICA B NEGRA</t>
  </si>
  <si>
    <t>ASA BACTERIOLOGICA B. ROJA</t>
  </si>
  <si>
    <t>BATA P CIRUJANO NO ESTERIL</t>
  </si>
  <si>
    <t xml:space="preserve">BATA QX </t>
  </si>
  <si>
    <t>BAYTRIL TABS C/10</t>
  </si>
  <si>
    <t xml:space="preserve">BICARNAT </t>
  </si>
  <si>
    <t xml:space="preserve">CEPILLO CIRUJANO </t>
  </si>
  <si>
    <t xml:space="preserve">CLORAN OFTALMICO </t>
  </si>
  <si>
    <t xml:space="preserve">CUBRE OBJETOS </t>
  </si>
  <si>
    <t>DAMAX INY (CLINDAMICINA)</t>
  </si>
  <si>
    <t xml:space="preserve">DARAPRIME COMPRIMIDOS </t>
  </si>
  <si>
    <t>FLAGYL SUS</t>
  </si>
  <si>
    <t xml:space="preserve">PUNZOCAT 14 </t>
  </si>
  <si>
    <t xml:space="preserve">PUNZOCAT 18 </t>
  </si>
  <si>
    <t xml:space="preserve">PUNZOCAT 20 </t>
  </si>
  <si>
    <t>COSTO PROMEDIO      31-03-2026</t>
  </si>
  <si>
    <t>FEBRERO</t>
  </si>
  <si>
    <t>ELABORÓ</t>
  </si>
  <si>
    <t>REVISÓ</t>
  </si>
  <si>
    <t>AUTORIZÓ</t>
  </si>
  <si>
    <t>C.P. IVONNE PATRICIA GONZALEZ BALDAZO</t>
  </si>
  <si>
    <t>ING. JUAN CARLOS VALLES DORIA</t>
  </si>
  <si>
    <t>DR. FEDERICO GABRIEL NAVARRO DE LA PIEDRA</t>
  </si>
  <si>
    <t>JEFE DE DEPARTAMENTO DE RECURSOS Y SERVICIOS</t>
  </si>
  <si>
    <t xml:space="preserve">SUBDIRECTOR ADMINISTRATIVO DEL ZOOLÓGICO Y PARQUE RECREATIVO TAMATÁN </t>
  </si>
  <si>
    <t>DIRECTOR DEL ZOOLÓGICO Y PARQUE RECREATIVO TAMATÁN</t>
  </si>
  <si>
    <t>COSTO PROMEDIO      30-04-2026</t>
  </si>
  <si>
    <t>INVENTARIO AL 30 DE ABRIL</t>
  </si>
  <si>
    <t>COMENTARIOS 11/05/2026</t>
  </si>
  <si>
    <t>TICOFF.  1H</t>
  </si>
  <si>
    <t>VITAL FORT A (MULTIVITAMINICO A,D)</t>
  </si>
  <si>
    <t>VENDA ACRILICA SCOTH CAST</t>
  </si>
  <si>
    <t>PROCINA 40MG/ML</t>
  </si>
  <si>
    <t>VENDA COBAH VETRAP</t>
  </si>
  <si>
    <t>VASO PRECIPITADO 1/2</t>
  </si>
  <si>
    <t>VASO PRECIPITANDO 1LT</t>
  </si>
  <si>
    <t>F-2550007</t>
  </si>
  <si>
    <t>Etiquetas de fila</t>
  </si>
  <si>
    <t>Total general</t>
  </si>
  <si>
    <t>(Todas)</t>
  </si>
  <si>
    <t>Suma de Cantidad</t>
  </si>
  <si>
    <t>PIDASOL 50 MG. SOL. INY.</t>
  </si>
  <si>
    <t>CAPROTEC 100 C/30 TABLETAS</t>
  </si>
  <si>
    <t>TOLAZONIL 30ML.</t>
  </si>
  <si>
    <t>MELODEX GOTAS DE 10ML.</t>
  </si>
  <si>
    <t>MELOXI PETS NRV C/30 TAB 5MG.</t>
  </si>
  <si>
    <t>MELODEX DE 10ML. SOL. INY.</t>
  </si>
  <si>
    <t>GABAPENTIN NRV DE 100MG. TABLETAS</t>
  </si>
  <si>
    <t>AMOXIPET PLUS 500 C/14 TABS.</t>
  </si>
  <si>
    <t>RIMADYL INYECTABLE 50MG.</t>
  </si>
  <si>
    <t xml:space="preserve">ALBENDAZOL </t>
  </si>
  <si>
    <t xml:space="preserve">SONICOTINATO DE DEXAMETAZONA </t>
  </si>
  <si>
    <t xml:space="preserve">MULTIVITAMINICO </t>
  </si>
  <si>
    <t xml:space="preserve">BICARBONATO DE SODIO </t>
  </si>
  <si>
    <t>OXITOCINA</t>
  </si>
  <si>
    <t>DELTRAMETRINA</t>
  </si>
  <si>
    <t>ISOPROXIFENIL</t>
  </si>
  <si>
    <t>METILMETANIMIDAMIDA</t>
  </si>
  <si>
    <t xml:space="preserve">FENILBUTAZONA </t>
  </si>
  <si>
    <t xml:space="preserve">DEXTRANOMERO </t>
  </si>
  <si>
    <t xml:space="preserve">IVERMECTINA </t>
  </si>
  <si>
    <t xml:space="preserve">99% DMSO PURE </t>
  </si>
  <si>
    <t>SULFACLOROPIRIDAZINA</t>
  </si>
  <si>
    <t xml:space="preserve">FIPRONIL </t>
  </si>
  <si>
    <t xml:space="preserve">HEPARINA </t>
  </si>
  <si>
    <t>VITAMINA K3</t>
  </si>
  <si>
    <t xml:space="preserve">FOSFATO SODICO DEXAMETAZONA </t>
  </si>
  <si>
    <t xml:space="preserve">TERBINAFINA CLORHIDRATO </t>
  </si>
  <si>
    <t xml:space="preserve">OXITETRACILINA </t>
  </si>
  <si>
    <t>HIPROMEDROSA</t>
  </si>
  <si>
    <t xml:space="preserve">ACETATO DE METILPREDISOLONA </t>
  </si>
  <si>
    <t xml:space="preserve">NITRATO DE MICONAZOL </t>
  </si>
  <si>
    <t xml:space="preserve">CITATO DE SODICO </t>
  </si>
  <si>
    <t xml:space="preserve">AFOXOLANE </t>
  </si>
  <si>
    <t>FENBENDAZOL</t>
  </si>
  <si>
    <t>FENIRAMINA</t>
  </si>
  <si>
    <t xml:space="preserve">SULFATO DE SITROPINA </t>
  </si>
  <si>
    <t>ACETATO DE FLUOXINALONA</t>
  </si>
  <si>
    <t xml:space="preserve">CLOSTRIDIOPEPTIDASA </t>
  </si>
  <si>
    <t xml:space="preserve">XILOCAINA </t>
  </si>
  <si>
    <t xml:space="preserve">ACIDO YATRENICO </t>
  </si>
  <si>
    <t>SILUCION ASNTISEPTICA</t>
  </si>
  <si>
    <t xml:space="preserve">DESCRIPCION </t>
  </si>
  <si>
    <t>PRINCIPIO ACTIVO</t>
  </si>
  <si>
    <t>TOBRA PET´S DEXA OFTÁLMICO NRV</t>
  </si>
  <si>
    <t>UNIDAD</t>
  </si>
  <si>
    <t>LITRO</t>
  </si>
  <si>
    <t>GALÓN</t>
  </si>
  <si>
    <t>ETANOL</t>
  </si>
  <si>
    <t xml:space="preserve">ETANOL </t>
  </si>
  <si>
    <t>CLORHIDRATO DE KETAMINA SOL. INY.</t>
  </si>
  <si>
    <t xml:space="preserve">SULFATO DE ATROPINA SOL. INY. </t>
  </si>
  <si>
    <t>ENROFLOXACINA 10% ORAL 1 LT</t>
  </si>
  <si>
    <t>ENROFLOXACINA100 MG/ML</t>
  </si>
  <si>
    <t>ENROFLOXACINA TABS. 150 MG</t>
  </si>
  <si>
    <t>ENROFLOXACINA TABS 150 MG</t>
  </si>
  <si>
    <t>ENROFLOXACINA TABS 50 MG.</t>
  </si>
  <si>
    <t>DELTAMETRINA 1.60%</t>
  </si>
  <si>
    <t>FENILBUTAZONA SOL. INY. 100 ML.</t>
  </si>
  <si>
    <t>SOBRE</t>
  </si>
  <si>
    <t>CLORHIDRATO DE XILAZINA 10 ML</t>
  </si>
  <si>
    <t>MULTIVITAMINICO B 100 SOL. INY.</t>
  </si>
  <si>
    <t>MULTIVITAMINICO POLVO</t>
  </si>
  <si>
    <t>ENDOPARASITICA DE 30 KG. TABS.</t>
  </si>
  <si>
    <t>ENDOPARASITICA DE 10 KG. TABS.</t>
  </si>
  <si>
    <t xml:space="preserve">FENILBUTAZONA POLVO ORAL </t>
  </si>
  <si>
    <t>MULTIVITAMINICO A, D, B12</t>
  </si>
  <si>
    <t>CIPIOFLOXACINA SOLUBLE</t>
  </si>
  <si>
    <t>PIEZA</t>
  </si>
  <si>
    <t xml:space="preserve">RANITIDINA SOL. INY. </t>
  </si>
  <si>
    <t xml:space="preserve">SULFATO DE ATROPINA SOL. INY.  </t>
  </si>
  <si>
    <t xml:space="preserve">SULFATO DE ATROPINA 5 KG. </t>
  </si>
  <si>
    <t>CEFTIUFUR CLORHIDRATO 250 ML</t>
  </si>
  <si>
    <t>CEFTIOFUR 250 ML.</t>
  </si>
  <si>
    <t>CIPIOFLOXACINA SOL. INY. 50 ML.</t>
  </si>
  <si>
    <t>AMOXICILINA 60 ML.</t>
  </si>
  <si>
    <t>CLOREXIDINA DE 4 LTS.</t>
  </si>
  <si>
    <t>PEROXIDO DE HIDROGENO 3.34 DE 480 ML.</t>
  </si>
  <si>
    <t>EPI-OTIC 100 ML</t>
  </si>
  <si>
    <t xml:space="preserve">IVERMECTINA PASTA 25 ML </t>
  </si>
  <si>
    <t xml:space="preserve">IVERMECTINA PASTA 14 ML </t>
  </si>
  <si>
    <t>FINADYNE DE 250 ML.</t>
  </si>
  <si>
    <t>RYMADIL TAB 25 MG</t>
  </si>
  <si>
    <t>DEPOMEDROL 1ML</t>
  </si>
  <si>
    <t>EN REALIDAD ENTREGO 2 DE 1 ML.</t>
  </si>
  <si>
    <t>SELENIO 250 ML.</t>
  </si>
  <si>
    <t>AZAPERONA 50 ML.</t>
  </si>
  <si>
    <t>AZAPERONA 20 ML.</t>
  </si>
  <si>
    <t>PROCINA 40MG/ML FRASCO 20ML</t>
  </si>
  <si>
    <t>EL PROVEEDOR ENTREGO DE MAS 2 DE 20 ML.</t>
  </si>
  <si>
    <t xml:space="preserve">MEDISED </t>
  </si>
  <si>
    <t>MEDISED 10 ML.</t>
  </si>
  <si>
    <t>SE PIDIO DE 5 ML. Y SE ENTREGO DE 10 ML.</t>
  </si>
  <si>
    <t>BUTONIL X10 DE 10 ML</t>
  </si>
  <si>
    <t>PREGUNTAR A LILIANA CUANTAS CAJAS TIENE DE 50 ML Y DE 60 ML.</t>
  </si>
  <si>
    <t>ROLLO GASA ABSORBENTE NO EST. 91 X 91</t>
  </si>
  <si>
    <t>CLORHIDRATO DE TOLAZOLINA - 200 MG</t>
  </si>
  <si>
    <t>MELOXICAM 20 MG</t>
  </si>
  <si>
    <t xml:space="preserve">CLORHIDRATO DE TRAMADOL 50 MG </t>
  </si>
  <si>
    <t xml:space="preserve">CARPROFENO - 100 MG
</t>
  </si>
  <si>
    <t>MELOXICAM 5 MG
TABS.</t>
  </si>
  <si>
    <t>MELOXICAM  1,5 MG</t>
  </si>
  <si>
    <t>GABAPENTINA 100 MG</t>
  </si>
  <si>
    <t>AMOXICILINA TRIHIDRATADA 500 MG. ÁCIDO CLAVULÁNICO 125 MG.</t>
  </si>
  <si>
    <t>CARPROFEN 50 MG.</t>
  </si>
  <si>
    <t>PEROXIDO DE HIDROGENO 480 ML.</t>
  </si>
  <si>
    <t xml:space="preserve">MULTIVITAMINICO SOL. INY. </t>
  </si>
  <si>
    <t>ANESKET (KETAMINA-PET) 10 ML</t>
  </si>
  <si>
    <t xml:space="preserve">ENROFLOXACINA 10% 25 ML. </t>
  </si>
  <si>
    <t>ENROFLOXACINA 5% 20 ML.</t>
  </si>
  <si>
    <t xml:space="preserve">ENROFLOXACINA 50 MG </t>
  </si>
  <si>
    <t>BAYTRIL TAB. 150 MG C/10 TABS</t>
  </si>
  <si>
    <t>BICARNAT 10 ML.</t>
  </si>
  <si>
    <t>BIOTHRINE FLOW 1 LTO.</t>
  </si>
  <si>
    <t>BOLFO TALCO 100 GR.</t>
  </si>
  <si>
    <t>BOVITRAZ LITRO AL 12.5%</t>
  </si>
  <si>
    <t>CEFTIOFUR 100ML AL 5%</t>
  </si>
  <si>
    <t>DMSO GEL 454 GR.</t>
  </si>
  <si>
    <t>FENILBUTAZONA (BUTAFENIL POLVO ORAL) DE3 GR.</t>
  </si>
  <si>
    <t>FORMOL 37% 935 ML.</t>
  </si>
  <si>
    <t xml:space="preserve">GEL ULTRASONIDO </t>
  </si>
  <si>
    <t>HOJA P/BISTURI NO. 24 10 ML.</t>
  </si>
  <si>
    <t>ITRACONAZOL  125 MG.</t>
  </si>
  <si>
    <t>JERINGA 60ML</t>
  </si>
  <si>
    <t>METIL PREDNISOLONA (DEPOMEDROL) ACETATO DE METILPREDNISOLONA de 2 ml.</t>
  </si>
  <si>
    <t>MICONAZOL CREMA 20 gr.</t>
  </si>
  <si>
    <t>NIC-TON SOL. 950 ML.</t>
  </si>
  <si>
    <t>CAJA</t>
  </si>
  <si>
    <t>XILAZINA 50 ML.</t>
  </si>
  <si>
    <t>ULCODERMA 15 GR.</t>
  </si>
  <si>
    <t>YODO SOL 3.5 LTS.</t>
  </si>
  <si>
    <t>SON LOS QUE SE DIERON DE SALIDA POR CAMBIO DE PRODUCTO, EXISTE UNA DIF. POR MONTO DE $222.73, POR QUE INGRESO EN FEB. UN ANESKET Y EL COSTO PROMEDIO CAMBIO.</t>
  </si>
  <si>
    <t>DECTIVER PASTA ORAL.- EN EL FALLO ERAN 2 DE 25 ML. Y EL PROV. ENTREGO 4 DE 12 ML, PERO YA SE TENIA EN EL INV. MESES ANTERIORES 5 DE 14 ML. QUE SE HABIAN INGRESADO AL DE 25 ML.</t>
  </si>
  <si>
    <t>DEPOMEDROL.- EL FALLO FUE POR 1 DE 2 ML. Y ENTREGO 2 DE 1 ML.</t>
  </si>
  <si>
    <t>EL FALLO FUE POR 1 GALON DE GEL Y EN EL INV. SE TENIA 1 DE 1 LTO. PERO EN LA REVISION SE CONSTATO QUE SE TIENEN 2 DE 1 GALON.</t>
  </si>
  <si>
    <t>SON LOS PRODUCTOS QUE INGRESARON POR CAMBIO DE BAJA DE MEDICAMENTOS</t>
  </si>
  <si>
    <t>REVISAR ESTE</t>
  </si>
  <si>
    <t>F-2530157</t>
  </si>
  <si>
    <t>F-2530158</t>
  </si>
  <si>
    <t>F-2530159</t>
  </si>
  <si>
    <t>F-2530160</t>
  </si>
  <si>
    <t>F-2530161</t>
  </si>
  <si>
    <t>F-2530162</t>
  </si>
  <si>
    <t>F-2530163</t>
  </si>
  <si>
    <t>F-2530164</t>
  </si>
  <si>
    <t>F-2530165</t>
  </si>
  <si>
    <t>F-2530166</t>
  </si>
  <si>
    <t>F-2530167</t>
  </si>
  <si>
    <t>F-2530168</t>
  </si>
  <si>
    <t>F-2530169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</si>
</sst>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0.0"/>
  </numFmts>
  <fonts count="4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b/>
      <u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&quot;Calibri \(Cuerpo\)&quot;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 (Cuerpo)"/>
    </font>
    <font>
      <sz val="9"/>
      <color theme="1"/>
      <name val="Calibri(CUERPO)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8"/>
      <color theme="1"/>
      <name val="Arial"/>
      <family val="2"/>
    </font>
    <font>
      <sz val="8"/>
      <name val="Arial"/>
      <family val="2"/>
    </font>
    <font>
      <sz val="9"/>
      <color rgb="FFFF0000"/>
      <name val="Calibri(CUERPO)"/>
    </font>
    <font>
      <sz val="9"/>
      <name val="Calibri (Cuerpo)"/>
    </font>
    <font>
      <sz val="11"/>
      <name val="Calibri"/>
      <family val="2"/>
      <scheme val="minor"/>
    </font>
    <font>
      <sz val="9"/>
      <name val="Calibri(CUERPO)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A50021"/>
        <bgColor rgb="FFA50021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BFBFBF"/>
        <bgColor rgb="FFBFBFB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99000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99CC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0" fillId="0" borderId="0"/>
    <xf numFmtId="0" fontId="30" fillId="0" borderId="0"/>
  </cellStyleXfs>
  <cellXfs count="258">
    <xf numFmtId="0" fontId="0" fillId="0" borderId="0" xfId="0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8" fontId="11" fillId="3" borderId="1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12" fillId="4" borderId="1" xfId="0" applyFont="1" applyFill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1" fontId="12" fillId="6" borderId="3" xfId="0" applyNumberFormat="1" applyFont="1" applyFill="1" applyBorder="1" applyAlignment="1">
      <alignment horizontal="center"/>
    </xf>
    <xf numFmtId="0" fontId="4" fillId="7" borderId="4" xfId="0" applyFont="1" applyFill="1" applyBorder="1" applyAlignment="1">
      <alignment vertical="center"/>
    </xf>
    <xf numFmtId="164" fontId="4" fillId="7" borderId="4" xfId="0" applyNumberFormat="1" applyFont="1" applyFill="1" applyBorder="1" applyAlignment="1">
      <alignment vertical="center"/>
    </xf>
    <xf numFmtId="4" fontId="4" fillId="7" borderId="5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64" fontId="7" fillId="7" borderId="7" xfId="0" applyNumberFormat="1" applyFont="1" applyFill="1" applyBorder="1" applyAlignment="1">
      <alignment vertical="center"/>
    </xf>
    <xf numFmtId="4" fontId="5" fillId="0" borderId="0" xfId="0" applyNumberFormat="1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9" fillId="8" borderId="1" xfId="0" applyFont="1" applyFill="1" applyBorder="1" applyAlignment="1">
      <alignment horizontal="center" vertical="center" wrapText="1"/>
    </xf>
    <xf numFmtId="1" fontId="12" fillId="9" borderId="2" xfId="0" applyNumberFormat="1" applyFont="1" applyFill="1" applyBorder="1" applyAlignment="1">
      <alignment horizontal="center"/>
    </xf>
    <xf numFmtId="1" fontId="12" fillId="8" borderId="1" xfId="0" applyNumberFormat="1" applyFont="1" applyFill="1" applyBorder="1" applyAlignment="1">
      <alignment horizontal="center"/>
    </xf>
    <xf numFmtId="1" fontId="12" fillId="8" borderId="1" xfId="0" applyNumberFormat="1" applyFont="1" applyFill="1" applyBorder="1" applyAlignment="1">
      <alignment horizontal="center" vertical="center"/>
    </xf>
    <xf numFmtId="1" fontId="12" fillId="9" borderId="3" xfId="0" applyNumberFormat="1" applyFont="1" applyFill="1" applyBorder="1" applyAlignment="1">
      <alignment horizontal="center"/>
    </xf>
    <xf numFmtId="1" fontId="12" fillId="8" borderId="2" xfId="0" applyNumberFormat="1" applyFont="1" applyFill="1" applyBorder="1" applyAlignment="1">
      <alignment horizontal="center"/>
    </xf>
    <xf numFmtId="0" fontId="14" fillId="0" borderId="0" xfId="0" applyFont="1"/>
    <xf numFmtId="0" fontId="13" fillId="0" borderId="0" xfId="0" applyFont="1"/>
    <xf numFmtId="0" fontId="17" fillId="0" borderId="1" xfId="0" applyFont="1" applyBorder="1" applyAlignment="1">
      <alignment horizontal="left"/>
    </xf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1" xfId="0" applyFont="1" applyBorder="1"/>
    <xf numFmtId="1" fontId="12" fillId="0" borderId="3" xfId="0" applyNumberFormat="1" applyFont="1" applyBorder="1" applyAlignment="1">
      <alignment horizontal="center"/>
    </xf>
    <xf numFmtId="0" fontId="22" fillId="0" borderId="0" xfId="1" applyFont="1" applyAlignment="1">
      <alignment horizontal="center" vertical="center" wrapText="1"/>
    </xf>
    <xf numFmtId="0" fontId="3" fillId="0" borderId="0" xfId="1"/>
    <xf numFmtId="44" fontId="22" fillId="0" borderId="0" xfId="2" applyFont="1" applyAlignment="1">
      <alignment horizontal="center" vertical="center" wrapText="1"/>
    </xf>
    <xf numFmtId="44" fontId="22" fillId="0" borderId="0" xfId="1" applyNumberFormat="1" applyFont="1" applyAlignment="1">
      <alignment horizontal="center" vertical="center" wrapText="1"/>
    </xf>
    <xf numFmtId="0" fontId="3" fillId="0" borderId="0" xfId="1" applyAlignment="1">
      <alignment horizontal="center" vertical="center"/>
    </xf>
    <xf numFmtId="44" fontId="0" fillId="0" borderId="0" xfId="2" applyFont="1"/>
    <xf numFmtId="0" fontId="21" fillId="0" borderId="0" xfId="1" applyFont="1" applyAlignment="1">
      <alignment horizontal="center" vertical="center"/>
    </xf>
    <xf numFmtId="0" fontId="3" fillId="0" borderId="0" xfId="1" applyAlignment="1">
      <alignment horizontal="right" vertical="center"/>
    </xf>
    <xf numFmtId="0" fontId="24" fillId="11" borderId="9" xfId="3" applyNumberFormat="1" applyFont="1" applyFill="1" applyBorder="1" applyAlignment="1">
      <alignment horizontal="center" vertical="center" wrapText="1"/>
    </xf>
    <xf numFmtId="44" fontId="24" fillId="12" borderId="9" xfId="2" applyFont="1" applyFill="1" applyBorder="1" applyAlignment="1">
      <alignment horizontal="center" vertical="center" wrapText="1"/>
    </xf>
    <xf numFmtId="0" fontId="24" fillId="11" borderId="9" xfId="2" applyNumberFormat="1" applyFont="1" applyFill="1" applyBorder="1" applyAlignment="1">
      <alignment horizontal="center" vertical="center" wrapText="1"/>
    </xf>
    <xf numFmtId="0" fontId="25" fillId="0" borderId="9" xfId="3" applyNumberFormat="1" applyFont="1" applyFill="1" applyBorder="1" applyAlignment="1">
      <alignment horizontal="center" vertical="center" wrapText="1"/>
    </xf>
    <xf numFmtId="0" fontId="26" fillId="0" borderId="9" xfId="1" applyFont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4" fillId="12" borderId="9" xfId="3" applyNumberFormat="1" applyFont="1" applyFill="1" applyBorder="1" applyAlignment="1">
      <alignment horizontal="center" vertical="center" wrapText="1"/>
    </xf>
    <xf numFmtId="8" fontId="20" fillId="12" borderId="9" xfId="1" applyNumberFormat="1" applyFont="1" applyFill="1" applyBorder="1" applyAlignment="1">
      <alignment horizontal="center" vertical="center" wrapText="1" shrinkToFit="1"/>
    </xf>
    <xf numFmtId="0" fontId="3" fillId="0" borderId="0" xfId="1" applyAlignment="1">
      <alignment horizontal="center" vertical="center" wrapText="1"/>
    </xf>
    <xf numFmtId="0" fontId="28" fillId="0" borderId="9" xfId="1" applyFont="1" applyBorder="1" applyAlignment="1">
      <alignment horizontal="center"/>
    </xf>
    <xf numFmtId="0" fontId="28" fillId="0" borderId="9" xfId="1" applyFont="1" applyBorder="1" applyAlignment="1">
      <alignment horizontal="left" vertical="center" wrapText="1"/>
    </xf>
    <xf numFmtId="44" fontId="28" fillId="0" borderId="9" xfId="2" applyFont="1" applyFill="1" applyBorder="1" applyAlignment="1">
      <alignment horizontal="center" vertical="center" wrapText="1"/>
    </xf>
    <xf numFmtId="1" fontId="28" fillId="0" borderId="9" xfId="1" applyNumberFormat="1" applyFont="1" applyBorder="1" applyAlignment="1">
      <alignment horizontal="center"/>
    </xf>
    <xf numFmtId="1" fontId="28" fillId="0" borderId="10" xfId="1" applyNumberFormat="1" applyFont="1" applyBorder="1" applyAlignment="1">
      <alignment horizontal="center"/>
    </xf>
    <xf numFmtId="44" fontId="29" fillId="0" borderId="9" xfId="1" applyNumberFormat="1" applyFont="1" applyBorder="1" applyAlignment="1">
      <alignment vertical="center"/>
    </xf>
    <xf numFmtId="44" fontId="3" fillId="0" borderId="0" xfId="1" applyNumberFormat="1" applyAlignment="1">
      <alignment vertical="center"/>
    </xf>
    <xf numFmtId="1" fontId="28" fillId="0" borderId="9" xfId="1" applyNumberFormat="1" applyFont="1" applyBorder="1" applyAlignment="1">
      <alignment horizontal="center" vertical="center"/>
    </xf>
    <xf numFmtId="4" fontId="3" fillId="0" borderId="0" xfId="1" applyNumberFormat="1" applyAlignment="1">
      <alignment vertical="center"/>
    </xf>
    <xf numFmtId="0" fontId="3" fillId="0" borderId="0" xfId="4"/>
    <xf numFmtId="0" fontId="3" fillId="0" borderId="0" xfId="4" applyAlignment="1">
      <alignment vertical="center"/>
    </xf>
    <xf numFmtId="0" fontId="3" fillId="0" borderId="0" xfId="4" applyAlignment="1">
      <alignment vertical="center" wrapText="1"/>
    </xf>
    <xf numFmtId="44" fontId="3" fillId="0" borderId="0" xfId="2" applyFont="1" applyAlignment="1">
      <alignment vertical="center" wrapText="1"/>
    </xf>
    <xf numFmtId="0" fontId="27" fillId="0" borderId="0" xfId="4" applyFont="1" applyAlignment="1">
      <alignment horizontal="center" vertical="center" wrapText="1"/>
    </xf>
    <xf numFmtId="0" fontId="3" fillId="0" borderId="0" xfId="4" applyAlignment="1">
      <alignment horizontal="center" vertical="center"/>
    </xf>
    <xf numFmtId="44" fontId="3" fillId="0" borderId="0" xfId="2" applyAlignment="1">
      <alignment horizontal="center" vertical="center"/>
    </xf>
    <xf numFmtId="44" fontId="0" fillId="0" borderId="0" xfId="2" applyFont="1" applyAlignment="1">
      <alignment vertical="center" wrapText="1"/>
    </xf>
    <xf numFmtId="44" fontId="3" fillId="0" borderId="0" xfId="4" applyNumberFormat="1" applyAlignment="1">
      <alignment horizontal="center" vertical="center"/>
    </xf>
    <xf numFmtId="0" fontId="31" fillId="0" borderId="0" xfId="5" applyFont="1" applyAlignment="1">
      <alignment vertical="center"/>
    </xf>
    <xf numFmtId="0" fontId="33" fillId="0" borderId="0" xfId="6" applyFont="1" applyAlignment="1">
      <alignment vertical="center"/>
    </xf>
    <xf numFmtId="44" fontId="33" fillId="0" borderId="0" xfId="2" applyFont="1" applyBorder="1" applyAlignment="1">
      <alignment horizontal="center" vertical="center"/>
    </xf>
    <xf numFmtId="0" fontId="34" fillId="0" borderId="0" xfId="4" applyFont="1" applyAlignment="1">
      <alignment horizontal="center"/>
    </xf>
    <xf numFmtId="0" fontId="35" fillId="0" borderId="0" xfId="4" applyFont="1" applyAlignment="1">
      <alignment horizontal="center" vertical="center" wrapText="1"/>
    </xf>
    <xf numFmtId="0" fontId="3" fillId="0" borderId="11" xfId="1" applyBorder="1"/>
    <xf numFmtId="0" fontId="33" fillId="0" borderId="0" xfId="6" applyFont="1"/>
    <xf numFmtId="0" fontId="33" fillId="0" borderId="0" xfId="5" applyFont="1" applyAlignment="1">
      <alignment horizontal="center"/>
    </xf>
    <xf numFmtId="0" fontId="33" fillId="0" borderId="11" xfId="5" applyFont="1" applyBorder="1"/>
    <xf numFmtId="44" fontId="33" fillId="0" borderId="0" xfId="2" applyFont="1" applyBorder="1"/>
    <xf numFmtId="0" fontId="32" fillId="0" borderId="0" xfId="4" applyFont="1" applyAlignment="1">
      <alignment wrapText="1"/>
    </xf>
    <xf numFmtId="0" fontId="33" fillId="0" borderId="0" xfId="5" applyFont="1"/>
    <xf numFmtId="165" fontId="3" fillId="0" borderId="0" xfId="1" applyNumberFormat="1"/>
    <xf numFmtId="44" fontId="3" fillId="0" borderId="0" xfId="1" applyNumberFormat="1"/>
    <xf numFmtId="0" fontId="16" fillId="14" borderId="1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19" fillId="14" borderId="1" xfId="0" applyFont="1" applyFill="1" applyBorder="1" applyAlignment="1">
      <alignment horizontal="center"/>
    </xf>
    <xf numFmtId="0" fontId="13" fillId="10" borderId="13" xfId="0" applyFont="1" applyFill="1" applyBorder="1"/>
    <xf numFmtId="0" fontId="15" fillId="10" borderId="14" xfId="0" applyFont="1" applyFill="1" applyBorder="1"/>
    <xf numFmtId="0" fontId="13" fillId="10" borderId="14" xfId="0" applyFont="1" applyFill="1" applyBorder="1"/>
    <xf numFmtId="14" fontId="14" fillId="0" borderId="0" xfId="0" applyNumberFormat="1" applyFont="1"/>
    <xf numFmtId="14" fontId="0" fillId="0" borderId="0" xfId="0" applyNumberFormat="1"/>
    <xf numFmtId="14" fontId="16" fillId="0" borderId="3" xfId="0" applyNumberFormat="1" applyFont="1" applyBorder="1"/>
    <xf numFmtId="0" fontId="16" fillId="0" borderId="8" xfId="0" applyFont="1" applyBorder="1"/>
    <xf numFmtId="0" fontId="14" fillId="0" borderId="8" xfId="0" applyFont="1" applyBorder="1"/>
    <xf numFmtId="0" fontId="19" fillId="0" borderId="8" xfId="0" applyFont="1" applyBorder="1"/>
    <xf numFmtId="14" fontId="13" fillId="10" borderId="13" xfId="0" applyNumberFormat="1" applyFont="1" applyFill="1" applyBorder="1"/>
    <xf numFmtId="14" fontId="16" fillId="0" borderId="15" xfId="0" applyNumberFormat="1" applyFont="1" applyBorder="1"/>
    <xf numFmtId="0" fontId="19" fillId="14" borderId="16" xfId="0" applyFont="1" applyFill="1" applyBorder="1" applyAlignment="1">
      <alignment horizontal="center"/>
    </xf>
    <xf numFmtId="0" fontId="19" fillId="0" borderId="16" xfId="0" applyFont="1" applyBorder="1"/>
    <xf numFmtId="0" fontId="19" fillId="0" borderId="17" xfId="0" applyFont="1" applyBorder="1"/>
    <xf numFmtId="0" fontId="0" fillId="0" borderId="0" xfId="0" pivotButton="1"/>
    <xf numFmtId="0" fontId="0" fillId="0" borderId="0" xfId="0" applyAlignment="1">
      <alignment horizontal="left"/>
    </xf>
    <xf numFmtId="1" fontId="28" fillId="15" borderId="9" xfId="1" applyNumberFormat="1" applyFont="1" applyFill="1" applyBorder="1" applyAlignment="1">
      <alignment horizontal="center"/>
    </xf>
    <xf numFmtId="1" fontId="28" fillId="15" borderId="9" xfId="1" applyNumberFormat="1" applyFont="1" applyFill="1" applyBorder="1" applyAlignment="1">
      <alignment horizontal="center" vertical="center"/>
    </xf>
    <xf numFmtId="1" fontId="28" fillId="15" borderId="10" xfId="1" applyNumberFormat="1" applyFont="1" applyFill="1" applyBorder="1" applyAlignment="1">
      <alignment horizontal="center"/>
    </xf>
    <xf numFmtId="0" fontId="28" fillId="15" borderId="9" xfId="1" applyFont="1" applyFill="1" applyBorder="1" applyAlignment="1">
      <alignment horizontal="center"/>
    </xf>
    <xf numFmtId="0" fontId="28" fillId="15" borderId="9" xfId="1" applyFont="1" applyFill="1" applyBorder="1" applyAlignment="1">
      <alignment horizontal="left" vertical="center" wrapText="1"/>
    </xf>
    <xf numFmtId="44" fontId="28" fillId="15" borderId="9" xfId="2" applyFont="1" applyFill="1" applyBorder="1" applyAlignment="1">
      <alignment horizontal="center" vertical="center" wrapText="1"/>
    </xf>
    <xf numFmtId="0" fontId="28" fillId="14" borderId="9" xfId="1" applyFont="1" applyFill="1" applyBorder="1" applyAlignment="1">
      <alignment horizontal="left" vertical="center" wrapText="1"/>
    </xf>
    <xf numFmtId="44" fontId="28" fillId="14" borderId="9" xfId="2" applyFont="1" applyFill="1" applyBorder="1" applyAlignment="1">
      <alignment horizontal="center" vertical="center" wrapText="1"/>
    </xf>
    <xf numFmtId="1" fontId="28" fillId="14" borderId="9" xfId="1" applyNumberFormat="1" applyFont="1" applyFill="1" applyBorder="1" applyAlignment="1">
      <alignment horizontal="center"/>
    </xf>
    <xf numFmtId="1" fontId="28" fillId="14" borderId="10" xfId="1" applyNumberFormat="1" applyFont="1" applyFill="1" applyBorder="1" applyAlignment="1">
      <alignment horizontal="center"/>
    </xf>
    <xf numFmtId="1" fontId="28" fillId="16" borderId="9" xfId="1" applyNumberFormat="1" applyFont="1" applyFill="1" applyBorder="1" applyAlignment="1">
      <alignment horizontal="center"/>
    </xf>
    <xf numFmtId="0" fontId="28" fillId="17" borderId="9" xfId="1" applyFont="1" applyFill="1" applyBorder="1" applyAlignment="1">
      <alignment horizontal="left" vertical="center" wrapText="1"/>
    </xf>
    <xf numFmtId="44" fontId="28" fillId="17" borderId="9" xfId="2" applyFont="1" applyFill="1" applyBorder="1" applyAlignment="1">
      <alignment horizontal="center" vertical="center" wrapText="1"/>
    </xf>
    <xf numFmtId="0" fontId="22" fillId="13" borderId="12" xfId="1" applyFont="1" applyFill="1" applyBorder="1" applyAlignment="1">
      <alignment vertical="center"/>
    </xf>
    <xf numFmtId="44" fontId="22" fillId="13" borderId="12" xfId="2" applyFont="1" applyFill="1" applyBorder="1" applyAlignment="1">
      <alignment vertical="center"/>
    </xf>
    <xf numFmtId="4" fontId="22" fillId="13" borderId="0" xfId="1" applyNumberFormat="1" applyFont="1" applyFill="1" applyAlignment="1">
      <alignment horizontal="center" vertical="center"/>
    </xf>
    <xf numFmtId="44" fontId="21" fillId="13" borderId="18" xfId="2" applyFont="1" applyFill="1" applyBorder="1" applyAlignment="1">
      <alignment vertical="center"/>
    </xf>
    <xf numFmtId="1" fontId="22" fillId="0" borderId="9" xfId="1" applyNumberFormat="1" applyFont="1" applyBorder="1" applyAlignment="1">
      <alignment horizontal="center" vertical="center"/>
    </xf>
    <xf numFmtId="1" fontId="22" fillId="0" borderId="10" xfId="1" applyNumberFormat="1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 wrapText="1"/>
    </xf>
    <xf numFmtId="0" fontId="22" fillId="0" borderId="12" xfId="1" applyFont="1" applyBorder="1" applyAlignment="1">
      <alignment vertical="center"/>
    </xf>
    <xf numFmtId="0" fontId="28" fillId="0" borderId="9" xfId="1" applyFont="1" applyBorder="1" applyAlignment="1">
      <alignment horizontal="center" wrapText="1"/>
    </xf>
    <xf numFmtId="0" fontId="28" fillId="18" borderId="9" xfId="1" applyFont="1" applyFill="1" applyBorder="1" applyAlignment="1">
      <alignment horizontal="center"/>
    </xf>
    <xf numFmtId="0" fontId="28" fillId="18" borderId="9" xfId="1" applyFont="1" applyFill="1" applyBorder="1" applyAlignment="1">
      <alignment horizontal="left" vertical="center" wrapText="1"/>
    </xf>
    <xf numFmtId="44" fontId="28" fillId="18" borderId="9" xfId="2" applyFont="1" applyFill="1" applyBorder="1" applyAlignment="1">
      <alignment horizontal="center" vertical="center" wrapText="1"/>
    </xf>
    <xf numFmtId="1" fontId="28" fillId="18" borderId="9" xfId="1" applyNumberFormat="1" applyFont="1" applyFill="1" applyBorder="1" applyAlignment="1">
      <alignment horizontal="center"/>
    </xf>
    <xf numFmtId="1" fontId="28" fillId="18" borderId="10" xfId="1" applyNumberFormat="1" applyFont="1" applyFill="1" applyBorder="1" applyAlignment="1">
      <alignment horizontal="center"/>
    </xf>
    <xf numFmtId="0" fontId="3" fillId="18" borderId="0" xfId="1" applyFill="1" applyAlignment="1">
      <alignment horizontal="center" vertical="center"/>
    </xf>
    <xf numFmtId="44" fontId="29" fillId="18" borderId="9" xfId="1" applyNumberFormat="1" applyFont="1" applyFill="1" applyBorder="1" applyAlignment="1">
      <alignment vertical="center"/>
    </xf>
    <xf numFmtId="44" fontId="3" fillId="18" borderId="0" xfId="1" applyNumberFormat="1" applyFill="1" applyAlignment="1">
      <alignment vertical="center"/>
    </xf>
    <xf numFmtId="0" fontId="3" fillId="18" borderId="0" xfId="1" applyFill="1"/>
    <xf numFmtId="0" fontId="37" fillId="18" borderId="9" xfId="0" applyFont="1" applyFill="1" applyBorder="1" applyAlignment="1">
      <alignment horizontal="center" vertical="center" wrapText="1"/>
    </xf>
    <xf numFmtId="0" fontId="2" fillId="0" borderId="0" xfId="1" applyFont="1"/>
    <xf numFmtId="0" fontId="28" fillId="14" borderId="9" xfId="1" applyFont="1" applyFill="1" applyBorder="1" applyAlignment="1">
      <alignment horizontal="center" vertical="center"/>
    </xf>
    <xf numFmtId="1" fontId="28" fillId="14" borderId="10" xfId="1" applyNumberFormat="1" applyFont="1" applyFill="1" applyBorder="1" applyAlignment="1">
      <alignment horizontal="center" vertical="center"/>
    </xf>
    <xf numFmtId="1" fontId="28" fillId="14" borderId="9" xfId="1" applyNumberFormat="1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0" fontId="28" fillId="0" borderId="9" xfId="1" applyFont="1" applyBorder="1" applyAlignment="1">
      <alignment horizontal="center" vertical="center"/>
    </xf>
    <xf numFmtId="0" fontId="28" fillId="18" borderId="9" xfId="1" applyFont="1" applyFill="1" applyBorder="1" applyAlignment="1">
      <alignment horizontal="center" vertical="center"/>
    </xf>
    <xf numFmtId="1" fontId="28" fillId="18" borderId="9" xfId="1" applyNumberFormat="1" applyFont="1" applyFill="1" applyBorder="1" applyAlignment="1">
      <alignment horizontal="center" vertical="center"/>
    </xf>
    <xf numFmtId="1" fontId="28" fillId="18" borderId="10" xfId="1" applyNumberFormat="1" applyFont="1" applyFill="1" applyBorder="1" applyAlignment="1">
      <alignment horizontal="center" vertical="center"/>
    </xf>
    <xf numFmtId="1" fontId="28" fillId="19" borderId="9" xfId="1" applyNumberFormat="1" applyFont="1" applyFill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44" fontId="3" fillId="0" borderId="0" xfId="4" applyNumberFormat="1"/>
    <xf numFmtId="0" fontId="3" fillId="18" borderId="0" xfId="1" applyFill="1" applyAlignment="1">
      <alignment vertical="center"/>
    </xf>
    <xf numFmtId="0" fontId="2" fillId="18" borderId="0" xfId="1" applyFont="1" applyFill="1"/>
    <xf numFmtId="0" fontId="28" fillId="15" borderId="9" xfId="1" applyFont="1" applyFill="1" applyBorder="1" applyAlignment="1">
      <alignment horizontal="center" vertical="center"/>
    </xf>
    <xf numFmtId="1" fontId="28" fillId="15" borderId="10" xfId="1" applyNumberFormat="1" applyFont="1" applyFill="1" applyBorder="1" applyAlignment="1">
      <alignment horizontal="center" vertical="center"/>
    </xf>
    <xf numFmtId="1" fontId="28" fillId="0" borderId="10" xfId="1" applyNumberFormat="1" applyFont="1" applyBorder="1" applyAlignment="1">
      <alignment horizontal="center" vertical="center"/>
    </xf>
    <xf numFmtId="44" fontId="39" fillId="18" borderId="9" xfId="1" applyNumberFormat="1" applyFont="1" applyFill="1" applyBorder="1" applyAlignment="1">
      <alignment vertical="center"/>
    </xf>
    <xf numFmtId="44" fontId="29" fillId="20" borderId="9" xfId="1" applyNumberFormat="1" applyFont="1" applyFill="1" applyBorder="1" applyAlignment="1">
      <alignment vertical="center"/>
    </xf>
    <xf numFmtId="0" fontId="28" fillId="21" borderId="9" xfId="1" applyFont="1" applyFill="1" applyBorder="1" applyAlignment="1">
      <alignment horizontal="center"/>
    </xf>
    <xf numFmtId="0" fontId="37" fillId="21" borderId="9" xfId="0" applyFont="1" applyFill="1" applyBorder="1" applyAlignment="1">
      <alignment horizontal="center" vertical="center" wrapText="1"/>
    </xf>
    <xf numFmtId="0" fontId="28" fillId="21" borderId="9" xfId="1" applyFont="1" applyFill="1" applyBorder="1" applyAlignment="1">
      <alignment horizontal="left" vertical="center" wrapText="1"/>
    </xf>
    <xf numFmtId="44" fontId="28" fillId="21" borderId="9" xfId="2" applyFont="1" applyFill="1" applyBorder="1" applyAlignment="1">
      <alignment horizontal="center" vertical="center" wrapText="1"/>
    </xf>
    <xf numFmtId="1" fontId="28" fillId="21" borderId="9" xfId="1" applyNumberFormat="1" applyFont="1" applyFill="1" applyBorder="1" applyAlignment="1">
      <alignment horizontal="center"/>
    </xf>
    <xf numFmtId="1" fontId="28" fillId="21" borderId="10" xfId="1" applyNumberFormat="1" applyFont="1" applyFill="1" applyBorder="1" applyAlignment="1">
      <alignment horizontal="center"/>
    </xf>
    <xf numFmtId="0" fontId="3" fillId="21" borderId="0" xfId="1" applyFill="1" applyAlignment="1">
      <alignment horizontal="center" vertical="center"/>
    </xf>
    <xf numFmtId="44" fontId="29" fillId="21" borderId="9" xfId="1" applyNumberFormat="1" applyFont="1" applyFill="1" applyBorder="1" applyAlignment="1">
      <alignment vertical="center"/>
    </xf>
    <xf numFmtId="44" fontId="3" fillId="21" borderId="0" xfId="1" applyNumberFormat="1" applyFill="1" applyAlignment="1">
      <alignment vertical="center"/>
    </xf>
    <xf numFmtId="0" fontId="3" fillId="21" borderId="0" xfId="1" applyFill="1"/>
    <xf numFmtId="0" fontId="40" fillId="22" borderId="9" xfId="1" applyFont="1" applyFill="1" applyBorder="1" applyAlignment="1">
      <alignment horizontal="center"/>
    </xf>
    <xf numFmtId="0" fontId="40" fillId="22" borderId="9" xfId="1" applyFont="1" applyFill="1" applyBorder="1" applyAlignment="1">
      <alignment horizontal="left" vertical="center" wrapText="1"/>
    </xf>
    <xf numFmtId="44" fontId="40" fillId="22" borderId="9" xfId="2" applyFont="1" applyFill="1" applyBorder="1" applyAlignment="1">
      <alignment horizontal="center" vertical="center" wrapText="1"/>
    </xf>
    <xf numFmtId="1" fontId="40" fillId="22" borderId="9" xfId="1" applyNumberFormat="1" applyFont="1" applyFill="1" applyBorder="1" applyAlignment="1">
      <alignment horizontal="center"/>
    </xf>
    <xf numFmtId="1" fontId="40" fillId="22" borderId="10" xfId="1" applyNumberFormat="1" applyFont="1" applyFill="1" applyBorder="1" applyAlignment="1">
      <alignment horizontal="center"/>
    </xf>
    <xf numFmtId="0" fontId="41" fillId="22" borderId="0" xfId="1" applyFont="1" applyFill="1" applyAlignment="1">
      <alignment horizontal="center" vertical="center"/>
    </xf>
    <xf numFmtId="44" fontId="42" fillId="22" borderId="9" xfId="1" applyNumberFormat="1" applyFont="1" applyFill="1" applyBorder="1" applyAlignment="1">
      <alignment vertical="center"/>
    </xf>
    <xf numFmtId="44" fontId="41" fillId="22" borderId="0" xfId="1" applyNumberFormat="1" applyFont="1" applyFill="1" applyAlignment="1">
      <alignment vertical="center"/>
    </xf>
    <xf numFmtId="0" fontId="41" fillId="22" borderId="0" xfId="1" applyFont="1" applyFill="1"/>
    <xf numFmtId="0" fontId="40" fillId="0" borderId="9" xfId="1" applyFont="1" applyBorder="1" applyAlignment="1">
      <alignment horizontal="center"/>
    </xf>
    <xf numFmtId="0" fontId="40" fillId="0" borderId="9" xfId="1" applyFont="1" applyBorder="1" applyAlignment="1">
      <alignment horizontal="left" vertical="center" wrapText="1"/>
    </xf>
    <xf numFmtId="44" fontId="40" fillId="0" borderId="9" xfId="2" applyFont="1" applyFill="1" applyBorder="1" applyAlignment="1">
      <alignment horizontal="center" vertical="center" wrapText="1"/>
    </xf>
    <xf numFmtId="1" fontId="40" fillId="0" borderId="9" xfId="1" applyNumberFormat="1" applyFont="1" applyBorder="1" applyAlignment="1">
      <alignment horizontal="center"/>
    </xf>
    <xf numFmtId="1" fontId="40" fillId="0" borderId="10" xfId="1" applyNumberFormat="1" applyFont="1" applyBorder="1" applyAlignment="1">
      <alignment horizontal="center"/>
    </xf>
    <xf numFmtId="0" fontId="41" fillId="0" borderId="0" xfId="1" applyFont="1" applyAlignment="1">
      <alignment horizontal="center" vertical="center"/>
    </xf>
    <xf numFmtId="44" fontId="42" fillId="0" borderId="9" xfId="1" applyNumberFormat="1" applyFont="1" applyBorder="1" applyAlignment="1">
      <alignment vertical="center"/>
    </xf>
    <xf numFmtId="44" fontId="41" fillId="0" borderId="0" xfId="1" applyNumberFormat="1" applyFont="1" applyAlignment="1">
      <alignment vertical="center"/>
    </xf>
    <xf numFmtId="0" fontId="41" fillId="0" borderId="0" xfId="1" applyFont="1"/>
    <xf numFmtId="44" fontId="29" fillId="19" borderId="9" xfId="1" applyNumberFormat="1" applyFont="1" applyFill="1" applyBorder="1" applyAlignment="1">
      <alignment vertical="center"/>
    </xf>
    <xf numFmtId="0" fontId="3" fillId="19" borderId="0" xfId="1" applyFill="1"/>
    <xf numFmtId="0" fontId="1" fillId="0" borderId="0" xfId="1" applyFont="1"/>
    <xf numFmtId="0" fontId="28" fillId="23" borderId="9" xfId="1" applyFont="1" applyFill="1" applyBorder="1" applyAlignment="1">
      <alignment horizontal="center"/>
    </xf>
    <xf numFmtId="0" fontId="37" fillId="23" borderId="9" xfId="0" applyFont="1" applyFill="1" applyBorder="1" applyAlignment="1">
      <alignment horizontal="center" vertical="center" wrapText="1"/>
    </xf>
    <xf numFmtId="0" fontId="28" fillId="23" borderId="9" xfId="1" applyFont="1" applyFill="1" applyBorder="1" applyAlignment="1">
      <alignment horizontal="left" vertical="center" wrapText="1"/>
    </xf>
    <xf numFmtId="44" fontId="28" fillId="23" borderId="9" xfId="2" applyFont="1" applyFill="1" applyBorder="1" applyAlignment="1">
      <alignment horizontal="center" vertical="center" wrapText="1"/>
    </xf>
    <xf numFmtId="1" fontId="28" fillId="23" borderId="9" xfId="1" applyNumberFormat="1" applyFont="1" applyFill="1" applyBorder="1" applyAlignment="1">
      <alignment horizontal="center"/>
    </xf>
    <xf numFmtId="1" fontId="28" fillId="23" borderId="10" xfId="1" applyNumberFormat="1" applyFont="1" applyFill="1" applyBorder="1" applyAlignment="1">
      <alignment horizontal="center"/>
    </xf>
    <xf numFmtId="0" fontId="3" fillId="23" borderId="0" xfId="1" applyFill="1" applyAlignment="1">
      <alignment horizontal="center" vertical="center"/>
    </xf>
    <xf numFmtId="44" fontId="29" fillId="23" borderId="9" xfId="1" applyNumberFormat="1" applyFont="1" applyFill="1" applyBorder="1" applyAlignment="1">
      <alignment vertical="center"/>
    </xf>
    <xf numFmtId="44" fontId="3" fillId="23" borderId="0" xfId="1" applyNumberFormat="1" applyFill="1" applyAlignment="1">
      <alignment vertical="center"/>
    </xf>
    <xf numFmtId="0" fontId="3" fillId="23" borderId="0" xfId="1" applyFill="1"/>
    <xf numFmtId="1" fontId="28" fillId="23" borderId="10" xfId="1" applyNumberFormat="1" applyFont="1" applyFill="1" applyBorder="1" applyAlignment="1">
      <alignment horizontal="center" vertical="center"/>
    </xf>
    <xf numFmtId="0" fontId="28" fillId="24" borderId="9" xfId="1" applyFont="1" applyFill="1" applyBorder="1" applyAlignment="1">
      <alignment horizontal="center" vertical="center"/>
    </xf>
    <xf numFmtId="0" fontId="28" fillId="24" borderId="9" xfId="1" applyFont="1" applyFill="1" applyBorder="1" applyAlignment="1">
      <alignment horizontal="left" vertical="center" wrapText="1"/>
    </xf>
    <xf numFmtId="44" fontId="28" fillId="24" borderId="9" xfId="2" applyFont="1" applyFill="1" applyBorder="1" applyAlignment="1">
      <alignment horizontal="center" vertical="center" wrapText="1"/>
    </xf>
    <xf numFmtId="1" fontId="28" fillId="24" borderId="9" xfId="1" applyNumberFormat="1" applyFont="1" applyFill="1" applyBorder="1" applyAlignment="1">
      <alignment horizontal="center" vertical="center"/>
    </xf>
    <xf numFmtId="1" fontId="28" fillId="24" borderId="10" xfId="1" applyNumberFormat="1" applyFont="1" applyFill="1" applyBorder="1" applyAlignment="1">
      <alignment horizontal="center" vertical="center"/>
    </xf>
    <xf numFmtId="1" fontId="28" fillId="24" borderId="9" xfId="1" applyNumberFormat="1" applyFont="1" applyFill="1" applyBorder="1" applyAlignment="1">
      <alignment horizontal="center"/>
    </xf>
    <xf numFmtId="0" fontId="3" fillId="24" borderId="0" xfId="1" applyFill="1" applyAlignment="1">
      <alignment horizontal="center" vertical="center"/>
    </xf>
    <xf numFmtId="44" fontId="29" fillId="24" borderId="9" xfId="1" applyNumberFormat="1" applyFont="1" applyFill="1" applyBorder="1" applyAlignment="1">
      <alignment vertical="center"/>
    </xf>
    <xf numFmtId="44" fontId="3" fillId="24" borderId="0" xfId="1" applyNumberFormat="1" applyFill="1" applyAlignment="1">
      <alignment vertical="center"/>
    </xf>
    <xf numFmtId="0" fontId="3" fillId="24" borderId="0" xfId="1" applyFill="1" applyAlignment="1">
      <alignment vertical="center"/>
    </xf>
    <xf numFmtId="0" fontId="3" fillId="24" borderId="0" xfId="1" applyFill="1"/>
    <xf numFmtId="0" fontId="28" fillId="24" borderId="9" xfId="1" applyFont="1" applyFill="1" applyBorder="1" applyAlignment="1">
      <alignment horizontal="center"/>
    </xf>
    <xf numFmtId="1" fontId="28" fillId="24" borderId="10" xfId="1" applyNumberFormat="1" applyFont="1" applyFill="1" applyBorder="1" applyAlignment="1">
      <alignment horizontal="center"/>
    </xf>
    <xf numFmtId="0" fontId="2" fillId="24" borderId="0" xfId="1" applyFont="1" applyFill="1"/>
    <xf numFmtId="0" fontId="28" fillId="25" borderId="9" xfId="1" applyFont="1" applyFill="1" applyBorder="1" applyAlignment="1">
      <alignment horizontal="center"/>
    </xf>
    <xf numFmtId="0" fontId="37" fillId="25" borderId="9" xfId="0" applyFont="1" applyFill="1" applyBorder="1" applyAlignment="1">
      <alignment horizontal="center" vertical="center" wrapText="1"/>
    </xf>
    <xf numFmtId="0" fontId="28" fillId="25" borderId="9" xfId="1" applyFont="1" applyFill="1" applyBorder="1" applyAlignment="1">
      <alignment horizontal="left" vertical="center" wrapText="1"/>
    </xf>
    <xf numFmtId="44" fontId="28" fillId="25" borderId="9" xfId="2" applyFont="1" applyFill="1" applyBorder="1" applyAlignment="1">
      <alignment horizontal="center" vertical="center" wrapText="1"/>
    </xf>
    <xf numFmtId="1" fontId="28" fillId="25" borderId="9" xfId="1" applyNumberFormat="1" applyFont="1" applyFill="1" applyBorder="1" applyAlignment="1">
      <alignment horizontal="center"/>
    </xf>
    <xf numFmtId="1" fontId="28" fillId="25" borderId="10" xfId="1" applyNumberFormat="1" applyFont="1" applyFill="1" applyBorder="1" applyAlignment="1">
      <alignment horizontal="center"/>
    </xf>
    <xf numFmtId="0" fontId="3" fillId="25" borderId="0" xfId="1" applyFill="1" applyAlignment="1">
      <alignment horizontal="center" vertical="center"/>
    </xf>
    <xf numFmtId="44" fontId="29" fillId="25" borderId="9" xfId="1" applyNumberFormat="1" applyFont="1" applyFill="1" applyBorder="1" applyAlignment="1">
      <alignment vertical="center"/>
    </xf>
    <xf numFmtId="44" fontId="3" fillId="25" borderId="0" xfId="1" applyNumberFormat="1" applyFill="1" applyAlignment="1">
      <alignment vertical="center"/>
    </xf>
    <xf numFmtId="0" fontId="3" fillId="25" borderId="0" xfId="1" applyFill="1"/>
    <xf numFmtId="0" fontId="3" fillId="25" borderId="0" xfId="1" applyFill="1" applyAlignment="1">
      <alignment vertical="center"/>
    </xf>
    <xf numFmtId="44" fontId="29" fillId="26" borderId="9" xfId="1" applyNumberFormat="1" applyFont="1" applyFill="1" applyBorder="1" applyAlignment="1">
      <alignment vertical="center"/>
    </xf>
    <xf numFmtId="0" fontId="3" fillId="26" borderId="0" xfId="1" applyFill="1"/>
    <xf numFmtId="0" fontId="1" fillId="25" borderId="0" xfId="1" applyFont="1" applyFill="1"/>
    <xf numFmtId="0" fontId="0" fillId="0" borderId="11" xfId="5" applyFont="1" applyBorder="1" applyAlignment="1">
      <alignment horizontal="center"/>
    </xf>
    <xf numFmtId="44" fontId="33" fillId="0" borderId="11" xfId="2" applyFont="1" applyBorder="1" applyAlignment="1">
      <alignment horizontal="center"/>
    </xf>
    <xf numFmtId="0" fontId="32" fillId="0" borderId="12" xfId="4" applyFont="1" applyBorder="1" applyAlignment="1">
      <alignment horizontal="center"/>
    </xf>
    <xf numFmtId="0" fontId="32" fillId="0" borderId="0" xfId="4" applyFont="1" applyAlignment="1">
      <alignment horizontal="center" wrapText="1"/>
    </xf>
    <xf numFmtId="0" fontId="21" fillId="0" borderId="12" xfId="4" applyFont="1" applyBorder="1" applyAlignment="1">
      <alignment horizontal="center" vertical="center"/>
    </xf>
    <xf numFmtId="0" fontId="32" fillId="0" borderId="0" xfId="5" applyFont="1" applyAlignment="1">
      <alignment horizontal="center" vertical="top" wrapText="1"/>
    </xf>
    <xf numFmtId="0" fontId="22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 wrapText="1"/>
    </xf>
    <xf numFmtId="0" fontId="31" fillId="0" borderId="0" xfId="5" applyFont="1" applyAlignment="1">
      <alignment horizontal="center" vertical="center"/>
    </xf>
    <xf numFmtId="0" fontId="32" fillId="0" borderId="0" xfId="4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/>
    </xf>
    <xf numFmtId="17" fontId="6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/>
    </xf>
  </cellXfs>
  <cellStyles count="7">
    <cellStyle name="Moneda 2" xfId="2" xr:uid="{8AFB8985-2DFD-448D-8CF4-E25D92ECAA3D}"/>
    <cellStyle name="Moneda 4" xfId="3" xr:uid="{DE035F5A-CBAB-4367-900F-10C38E8A3019}"/>
    <cellStyle name="Normal" xfId="0" builtinId="0"/>
    <cellStyle name="Normal 11" xfId="4" xr:uid="{ABC8C446-15F0-4F0E-9C1D-644AB5D5F1AE}"/>
    <cellStyle name="Normal 2" xfId="1" xr:uid="{9893F471-8DF9-4188-AF8E-83B928922C6A}"/>
    <cellStyle name="Normal 3 2" xfId="5" xr:uid="{D07BEF23-C162-4704-B7BB-E78B99E45FD6}"/>
    <cellStyle name="Normal 4" xfId="6" xr:uid="{03139C63-1014-43CF-BC13-AC12FAED2170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76933C"/>
          <bgColor rgb="FF000000"/>
        </patternFill>
      </fill>
    </dxf>
    <dxf>
      <fill>
        <patternFill patternType="solid">
          <fgColor rgb="FF76933C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0000"/>
          <bgColor rgb="FFC0000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76933C"/>
          <bgColor rgb="FF000000"/>
        </patternFill>
      </fill>
    </dxf>
  </dxfs>
  <tableStyles count="0" defaultTableStyle="TableStyleMedium2" defaultPivotStyle="PivotStyleLight16"/>
  <colors>
    <mruColors>
      <color rgb="FFFF99CC"/>
      <color rgb="FF00FF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57150</xdr:rowOff>
    </xdr:from>
    <xdr:ext cx="1643742" cy="643639"/>
    <xdr:pic>
      <xdr:nvPicPr>
        <xdr:cNvPr id="2" name="Picture 5">
          <a:extLst>
            <a:ext uri="{FF2B5EF4-FFF2-40B4-BE49-F238E27FC236}">
              <a16:creationId xmlns:a16="http://schemas.microsoft.com/office/drawing/2014/main" id="{A4A18A88-79BF-45D1-9D24-A46FCEDB5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"/>
          <a:ext cx="1643742" cy="6436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oneCellAnchor>
  <xdr:oneCellAnchor>
    <xdr:from>
      <xdr:col>24</xdr:col>
      <xdr:colOff>147358</xdr:colOff>
      <xdr:row>0</xdr:row>
      <xdr:rowOff>86845</xdr:rowOff>
    </xdr:from>
    <xdr:ext cx="1405217" cy="644896"/>
    <xdr:pic>
      <xdr:nvPicPr>
        <xdr:cNvPr id="3" name="Picture 2">
          <a:extLst>
            <a:ext uri="{FF2B5EF4-FFF2-40B4-BE49-F238E27FC236}">
              <a16:creationId xmlns:a16="http://schemas.microsoft.com/office/drawing/2014/main" id="{E12B942F-8F0C-45C7-A817-89064CF081F9}"/>
            </a:ext>
            <a:ext uri="{147F2762-F138-4A5C-976F-8EAC2B608ADB}">
              <a16:predDERef xmlns:a16="http://schemas.microsoft.com/office/drawing/2014/main" pred="{41212582-F34F-4784-BAF1-A67877E60B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3" t="21556" r="4226" b="25619"/>
        <a:stretch/>
      </xdr:blipFill>
      <xdr:spPr bwMode="auto">
        <a:xfrm>
          <a:off x="20816608" y="86845"/>
          <a:ext cx="1405217" cy="6448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57150</xdr:rowOff>
    </xdr:from>
    <xdr:ext cx="16383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419100</xdr:colOff>
      <xdr:row>0</xdr:row>
      <xdr:rowOff>152400</xdr:rowOff>
    </xdr:from>
    <xdr:ext cx="1771650" cy="6381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57150</xdr:rowOff>
    </xdr:from>
    <xdr:ext cx="1643742" cy="643639"/>
    <xdr:pic>
      <xdr:nvPicPr>
        <xdr:cNvPr id="2" name="Picture 5">
          <a:extLst>
            <a:ext uri="{FF2B5EF4-FFF2-40B4-BE49-F238E27FC236}">
              <a16:creationId xmlns:a16="http://schemas.microsoft.com/office/drawing/2014/main" id="{5F6F24FE-4C08-4965-8694-4F099A676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"/>
          <a:ext cx="1643742" cy="6436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oneCellAnchor>
  <xdr:oneCellAnchor>
    <xdr:from>
      <xdr:col>24</xdr:col>
      <xdr:colOff>147358</xdr:colOff>
      <xdr:row>0</xdr:row>
      <xdr:rowOff>86845</xdr:rowOff>
    </xdr:from>
    <xdr:ext cx="1405217" cy="644896"/>
    <xdr:pic>
      <xdr:nvPicPr>
        <xdr:cNvPr id="3" name="Picture 2">
          <a:extLst>
            <a:ext uri="{FF2B5EF4-FFF2-40B4-BE49-F238E27FC236}">
              <a16:creationId xmlns:a16="http://schemas.microsoft.com/office/drawing/2014/main" id="{37A45245-4157-45C7-A734-CE3A28066863}"/>
            </a:ext>
            <a:ext uri="{147F2762-F138-4A5C-976F-8EAC2B608ADB}">
              <a16:predDERef xmlns:a16="http://schemas.microsoft.com/office/drawing/2014/main" pred="{41212582-F34F-4784-BAF1-A67877E60B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3" t="21556" r="4226" b="25619"/>
        <a:stretch/>
      </xdr:blipFill>
      <xdr:spPr bwMode="auto">
        <a:xfrm>
          <a:off x="18502033" y="86845"/>
          <a:ext cx="1405217" cy="6448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57150</xdr:rowOff>
    </xdr:from>
    <xdr:ext cx="16383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419100</xdr:colOff>
      <xdr:row>0</xdr:row>
      <xdr:rowOff>152400</xdr:rowOff>
    </xdr:from>
    <xdr:ext cx="1771650" cy="6381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57150</xdr:rowOff>
    </xdr:from>
    <xdr:ext cx="16383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419100</xdr:colOff>
      <xdr:row>0</xdr:row>
      <xdr:rowOff>152400</xdr:rowOff>
    </xdr:from>
    <xdr:ext cx="1771650" cy="6381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57150</xdr:rowOff>
    </xdr:from>
    <xdr:ext cx="1733550" cy="7334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419100</xdr:colOff>
      <xdr:row>0</xdr:row>
      <xdr:rowOff>152400</xdr:rowOff>
    </xdr:from>
    <xdr:ext cx="1771650" cy="6381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57150</xdr:rowOff>
    </xdr:from>
    <xdr:ext cx="16383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419100</xdr:colOff>
      <xdr:row>0</xdr:row>
      <xdr:rowOff>152400</xdr:rowOff>
    </xdr:from>
    <xdr:ext cx="1771650" cy="6381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Liliana/Downloads/08%20FARMACIA.xlsx" TargetMode="External"/><Relationship Id="rId1" Type="http://schemas.openxmlformats.org/officeDocument/2006/relationships/externalLinkPath" Target="/Users/Liliana/Downloads/08%20FARMACI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sauli/Downloads/08%20FARMACIA.xlsx" TargetMode="External"/><Relationship Id="rId1" Type="http://schemas.openxmlformats.org/officeDocument/2006/relationships/externalLinkPath" Target="/Users/sauli/Downloads/08%20FARMA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2 AGOSTO"/>
      <sheetName val="19 AGTO"/>
      <sheetName val="26 AGOSTO"/>
      <sheetName val="31 AGOSTO FINAL "/>
      <sheetName val="SALIDAS"/>
      <sheetName val="ENTRAD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2 AGOSTO"/>
      <sheetName val="19 AGTO"/>
      <sheetName val="26 AGOSTO"/>
      <sheetName val="31 AGOSTO FINAL "/>
      <sheetName val="SALIDAS"/>
      <sheetName val="ENTRAD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ul Meza" id="{C2A91341-9BC4-4F69-8A02-8B0978498A36}" userId="ab39644a82a9faca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l Meza" refreshedDate="46153.527563310185" createdVersion="8" refreshedVersion="8" minRefreshableVersion="3" recordCount="46" xr:uid="{84A2460B-73D1-45AD-A704-B706ACC91A26}">
  <cacheSource type="worksheet">
    <worksheetSource name="Tabla2"/>
  </cacheSource>
  <cacheFields count="7">
    <cacheField name="Fecha" numFmtId="14">
      <sharedItems containsSemiMixedTypes="0" containsNonDate="0" containsDate="1" containsString="0" minDate="2026-04-29T00:00:00" maxDate="2026-04-30T00:00:00" count="1">
        <d v="2026-04-29T00:00:00"/>
      </sharedItems>
    </cacheField>
    <cacheField name="Cantidad" numFmtId="0">
      <sharedItems containsSemiMixedTypes="0" containsString="0" containsNumber="1" containsInteger="1" minValue="1" maxValue="25"/>
    </cacheField>
    <cacheField name="Codigo" numFmtId="0">
      <sharedItems containsBlank="1"/>
    </cacheField>
    <cacheField name="Descripción" numFmtId="0">
      <sharedItems count="46">
        <s v="GARAMICINA 10 ML "/>
        <s v="CONVENIA "/>
        <s v="BUTONIL X10 DE 5 ML "/>
        <s v="BUTONIL X30 5 ML "/>
        <s v="PANACUR GRANULADO 22% PZA"/>
        <s v="PORTA OBJETOS "/>
        <s v="SILICON P AGUJA NO. 30 "/>
        <s v="SILICON P AGUJA NO.34"/>
        <s v="GUANTE NITRILIO"/>
        <s v="GUANTE LATEX "/>
        <s v="JERINGA 3ML"/>
        <s v="JERINGA 1 ML "/>
        <s v="GASA 10X10 "/>
        <s v="VENOCLISIS NORMO GOTEO"/>
        <s v="TANQUE C02"/>
        <s v="AGUJA PARA DARDO "/>
        <s v="ANESKET (KETAMINA PET)"/>
        <s v="ASA BACTERIOLOGICA B NEGRA"/>
        <s v="ASA BACTERIOLOGICA B. ROJA"/>
        <s v="BATA P CIRUJANO NO ESTERIL"/>
        <s v="BATA QX "/>
        <s v="BAYTRIL TABS C/10"/>
        <s v="BICARNAT "/>
        <s v="CEPILLO CIRUJANO "/>
        <s v="CLORAN OFTALMICO "/>
        <s v="CUBRE OBJETOS "/>
        <s v="DAMAX INY (CLINDAMICINA)"/>
        <s v="DARAPRIME COMPRIMIDOS "/>
        <s v="FLAGYL SUS"/>
        <s v="PUNZOCAT 14 "/>
        <s v="PUNZOCAT 16"/>
        <s v="PUNZOCAT 18 "/>
        <s v="PUNZOCAT 20 "/>
        <s v="TICOFF.  1H"/>
        <s v="VITAL FORT A (MULTIVITAMINICO A,D)"/>
        <s v="VENDA ACRILICA SCOTH CAST"/>
        <s v="PROCINA 40MG/ML"/>
        <s v="VENDA COBAH VETRAP"/>
        <s v="PUNZOCAT 22"/>
        <s v="PUNZOCAT 24"/>
        <s v="SE-VE"/>
        <s v="SOLUCION CS 500ML"/>
        <s v="SOLUCION DX 500ML"/>
        <s v="SOLUCION HT 500ML"/>
        <s v="VASO PRECIPITADO 1/2"/>
        <s v="VASO PRECIPITANDO 1LT"/>
      </sharedItems>
    </cacheField>
    <cacheField name="Entrega" numFmtId="0">
      <sharedItems/>
    </cacheField>
    <cacheField name="Recibe" numFmtId="0">
      <sharedItems/>
    </cacheField>
    <cacheField name="Are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n v="1"/>
    <s v="F-2530129"/>
    <x v="0"/>
    <s v="LILIANA"/>
    <s v="IYARI"/>
    <s v="HOSPITAL "/>
  </r>
  <r>
    <x v="0"/>
    <n v="1"/>
    <s v="F-2540113"/>
    <x v="1"/>
    <s v="LILIANA"/>
    <s v="IYARI"/>
    <s v="HOSPITAL "/>
  </r>
  <r>
    <x v="0"/>
    <n v="1"/>
    <s v="F-2530155"/>
    <x v="2"/>
    <s v="LILIANA"/>
    <s v="IYARI"/>
    <s v="HOSPITAL "/>
  </r>
  <r>
    <x v="0"/>
    <n v="1"/>
    <s v="F-2530016"/>
    <x v="3"/>
    <s v="LILIANA"/>
    <s v="IYARI"/>
    <s v="HOSPITAL "/>
  </r>
  <r>
    <x v="0"/>
    <n v="25"/>
    <s v="F-2530042"/>
    <x v="4"/>
    <s v="LILIANA"/>
    <s v="IYARI"/>
    <s v="HOSPITAL "/>
  </r>
  <r>
    <x v="0"/>
    <n v="1"/>
    <s v="F-2540079"/>
    <x v="5"/>
    <s v="LILIANA"/>
    <s v="IYARI"/>
    <s v="HOSPITAL "/>
  </r>
  <r>
    <x v="0"/>
    <n v="4"/>
    <s v="F-2540039"/>
    <x v="6"/>
    <s v="LILIANA"/>
    <s v="IYARI"/>
    <s v="HOSPITAL "/>
  </r>
  <r>
    <x v="0"/>
    <n v="5"/>
    <s v="F-2540060"/>
    <x v="7"/>
    <s v="LILIANA"/>
    <s v="IYARI"/>
    <s v="HOSPITAL "/>
  </r>
  <r>
    <x v="0"/>
    <n v="1"/>
    <s v="F-2540127"/>
    <x v="8"/>
    <s v="LILIANA"/>
    <s v="IYARI"/>
    <s v="HOSPITAL "/>
  </r>
  <r>
    <x v="0"/>
    <n v="1"/>
    <s v="F-2540034"/>
    <x v="9"/>
    <s v="LILIANA"/>
    <s v="IYARI"/>
    <s v="HOSPITAL "/>
  </r>
  <r>
    <x v="0"/>
    <n v="1"/>
    <s v="F-25640041"/>
    <x v="10"/>
    <s v="LILIANA"/>
    <s v="IYARI"/>
    <s v="HOSPITAL "/>
  </r>
  <r>
    <x v="0"/>
    <n v="1"/>
    <s v="F-2540128"/>
    <x v="11"/>
    <s v="LILIANA"/>
    <s v="IYARI"/>
    <s v="HOSPITAL "/>
  </r>
  <r>
    <x v="0"/>
    <n v="1"/>
    <s v="F-2540030"/>
    <x v="12"/>
    <s v="LILIANA"/>
    <s v="IYARI"/>
    <s v="HOSPITAL "/>
  </r>
  <r>
    <x v="0"/>
    <n v="5"/>
    <s v="F-2540071"/>
    <x v="13"/>
    <s v="LILIANA"/>
    <s v="IYARI"/>
    <s v="HOSPITAL "/>
  </r>
  <r>
    <x v="0"/>
    <n v="4"/>
    <s v="F-2540065"/>
    <x v="14"/>
    <s v="LILIANA"/>
    <s v="IYARI"/>
    <s v="HOSPITAL "/>
  </r>
  <r>
    <x v="0"/>
    <n v="15"/>
    <s v="F-2540011"/>
    <x v="15"/>
    <s v="LILIANA"/>
    <s v="IYARI"/>
    <s v="HOSPITAL "/>
  </r>
  <r>
    <x v="0"/>
    <n v="3"/>
    <s v="F-2530007"/>
    <x v="16"/>
    <s v="LILIANA"/>
    <s v="IYARI"/>
    <s v="HOSPITAL "/>
  </r>
  <r>
    <x v="0"/>
    <n v="2"/>
    <s v="F-2550003"/>
    <x v="17"/>
    <s v="LILIANA"/>
    <s v="IYARI"/>
    <s v="HOSPITAL "/>
  </r>
  <r>
    <x v="0"/>
    <n v="2"/>
    <s v="F-2550004"/>
    <x v="18"/>
    <s v="LILIANA"/>
    <s v="IYARI"/>
    <s v="HOSPITAL "/>
  </r>
  <r>
    <x v="0"/>
    <n v="2"/>
    <s v="F-2540020"/>
    <x v="19"/>
    <s v="LILIANA"/>
    <s v="IYARI"/>
    <s v="HOSPITAL "/>
  </r>
  <r>
    <x v="0"/>
    <n v="3"/>
    <s v="F-2540088"/>
    <x v="20"/>
    <s v="LILIANA"/>
    <s v="IYARI"/>
    <s v="HOSPITAL "/>
  </r>
  <r>
    <x v="0"/>
    <n v="2"/>
    <s v="F-2530120"/>
    <x v="21"/>
    <s v="LILIANA"/>
    <s v="IYARI"/>
    <s v="HOSPITAL "/>
  </r>
  <r>
    <x v="0"/>
    <n v="10"/>
    <s v="F-2530121"/>
    <x v="22"/>
    <s v="LILIANA"/>
    <s v="IYARI"/>
    <s v="HOSPITAL "/>
  </r>
  <r>
    <x v="0"/>
    <n v="2"/>
    <s v="F-2540084"/>
    <x v="23"/>
    <s v="LILIANA"/>
    <s v="IYARI"/>
    <s v="HOSPITAL "/>
  </r>
  <r>
    <x v="0"/>
    <n v="2"/>
    <s v="F-2530018"/>
    <x v="24"/>
    <s v="LILIANA"/>
    <s v="IYARI"/>
    <s v="HOSPITAL "/>
  </r>
  <r>
    <x v="0"/>
    <n v="1"/>
    <s v="F-2540078"/>
    <x v="25"/>
    <s v="LILIANA"/>
    <s v="IYARI"/>
    <s v="HOSPITAL "/>
  </r>
  <r>
    <x v="0"/>
    <n v="1"/>
    <s v="F-2530021"/>
    <x v="26"/>
    <s v="LILIANA"/>
    <s v="IYARI"/>
    <s v="HOSPITAL "/>
  </r>
  <r>
    <x v="0"/>
    <n v="2"/>
    <s v="F-2530085"/>
    <x v="27"/>
    <s v="LILIANA"/>
    <s v="IYARI"/>
    <s v="HOSPITAL "/>
  </r>
  <r>
    <x v="0"/>
    <n v="3"/>
    <s v="F-2530062"/>
    <x v="28"/>
    <s v="LILIANA"/>
    <s v="IYARI"/>
    <s v="HOSPITAL "/>
  </r>
  <r>
    <x v="0"/>
    <n v="20"/>
    <s v="F-2540048"/>
    <x v="29"/>
    <s v="LILIANA"/>
    <s v="IYARI"/>
    <s v="HOSPITAL "/>
  </r>
  <r>
    <x v="0"/>
    <n v="20"/>
    <s v="F-2540049"/>
    <x v="30"/>
    <s v="LILIANA"/>
    <s v="IYARI"/>
    <s v="HOSPITAL "/>
  </r>
  <r>
    <x v="0"/>
    <n v="20"/>
    <s v="F-2540051"/>
    <x v="31"/>
    <s v="LILIANA"/>
    <s v="IYARI"/>
    <s v="HOSPITAL "/>
  </r>
  <r>
    <x v="0"/>
    <n v="20"/>
    <m/>
    <x v="32"/>
    <s v="LILIANA"/>
    <s v="IYARI"/>
    <s v="HOSPITAL "/>
  </r>
  <r>
    <x v="0"/>
    <n v="1"/>
    <s v="F-2540004"/>
    <x v="33"/>
    <s v="LILIANA"/>
    <s v="IYARI"/>
    <s v="HOSPITAL "/>
  </r>
  <r>
    <x v="0"/>
    <n v="5"/>
    <s v="F-2530069"/>
    <x v="34"/>
    <s v="LILIANA"/>
    <s v="IYARI"/>
    <s v="HOSPITAL "/>
  </r>
  <r>
    <x v="0"/>
    <n v="5"/>
    <s v="F-2540136"/>
    <x v="35"/>
    <s v="LILIANA"/>
    <s v="IYARI"/>
    <s v="HOSPITAL "/>
  </r>
  <r>
    <x v="0"/>
    <n v="1"/>
    <s v="F-2530153"/>
    <x v="36"/>
    <s v="LILIANA"/>
    <s v="IYARI"/>
    <s v="HOSPITAL "/>
  </r>
  <r>
    <x v="0"/>
    <n v="2"/>
    <s v="F-2540135"/>
    <x v="37"/>
    <s v="LILIANA"/>
    <s v="IYARI"/>
    <s v="HOSPITAL "/>
  </r>
  <r>
    <x v="0"/>
    <n v="20"/>
    <s v="F-2540052"/>
    <x v="38"/>
    <s v="LILIANA"/>
    <s v="IYARI"/>
    <s v="HOSPITAL "/>
  </r>
  <r>
    <x v="0"/>
    <n v="20"/>
    <s v="F-2530053"/>
    <x v="39"/>
    <s v="LILIANA"/>
    <s v="IYARI"/>
    <s v="HOSPITAL "/>
  </r>
  <r>
    <x v="0"/>
    <n v="1"/>
    <s v="F-2540053"/>
    <x v="40"/>
    <s v="LILIANA"/>
    <s v="IYARI"/>
    <s v="HOSPITAL "/>
  </r>
  <r>
    <x v="0"/>
    <n v="6"/>
    <s v="F-2540063"/>
    <x v="41"/>
    <s v="LILIANA"/>
    <s v="IYARI"/>
    <s v="HOSPITAL "/>
  </r>
  <r>
    <x v="0"/>
    <n v="12"/>
    <s v="F-2540061"/>
    <x v="42"/>
    <s v="LILIANA"/>
    <s v="IYARI"/>
    <s v="HOSPITAL "/>
  </r>
  <r>
    <x v="0"/>
    <n v="2"/>
    <s v="F-2540064"/>
    <x v="43"/>
    <s v="LILIANA"/>
    <s v="IYARI"/>
    <s v="HOSPITAL "/>
  </r>
  <r>
    <x v="0"/>
    <n v="1"/>
    <s v="F-2550007"/>
    <x v="44"/>
    <s v="LILIANA"/>
    <s v="IYARI"/>
    <s v="HOSPITAL "/>
  </r>
  <r>
    <x v="0"/>
    <n v="1"/>
    <s v="F-2550002"/>
    <x v="45"/>
    <s v="LILIANA"/>
    <s v="IYARI"/>
    <s v="HOSPITAL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AF64B-01B8-452F-B658-4681968AE6A6}" name="TablaDinámica1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0" firstHeaderRow="1" firstDataRow="1" firstDataCol="1" rowPageCount="1" colPageCount="1"/>
  <pivotFields count="7">
    <pivotField axis="axisPage" numFmtId="14" showAll="0">
      <items count="2">
        <item x="0"/>
        <item t="default"/>
      </items>
    </pivotField>
    <pivotField dataField="1" showAll="0"/>
    <pivotField showAll="0"/>
    <pivotField axis="axisRow" showAll="0">
      <items count="47">
        <item x="15"/>
        <item x="16"/>
        <item x="17"/>
        <item x="18"/>
        <item x="19"/>
        <item x="20"/>
        <item x="21"/>
        <item x="22"/>
        <item x="2"/>
        <item x="3"/>
        <item x="23"/>
        <item x="24"/>
        <item x="1"/>
        <item x="25"/>
        <item x="26"/>
        <item x="27"/>
        <item x="28"/>
        <item x="0"/>
        <item x="12"/>
        <item x="9"/>
        <item x="8"/>
        <item x="11"/>
        <item x="10"/>
        <item x="4"/>
        <item x="5"/>
        <item x="36"/>
        <item x="29"/>
        <item x="30"/>
        <item x="31"/>
        <item x="32"/>
        <item x="38"/>
        <item x="39"/>
        <item x="40"/>
        <item x="6"/>
        <item x="7"/>
        <item x="41"/>
        <item x="42"/>
        <item x="43"/>
        <item x="14"/>
        <item x="33"/>
        <item x="44"/>
        <item x="45"/>
        <item x="35"/>
        <item x="37"/>
        <item x="13"/>
        <item x="34"/>
        <item t="default"/>
      </items>
    </pivotField>
    <pivotField showAll="0"/>
    <pivotField showAll="0"/>
    <pivotField showAll="0"/>
  </pivotFields>
  <rowFields count="1">
    <field x="3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pageFields count="1">
    <pageField fld="0" hier="-1"/>
  </pageFields>
  <dataFields count="1">
    <dataField name="Suma de Cantid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B56244-1D05-462D-BF71-C6A1F3A19834}" name="Tabla2" displayName="Tabla2" ref="A7:G53" totalsRowShown="0" headerRowDxfId="26" dataDxfId="24" headerRowBorderDxfId="25" tableBorderDxfId="23" totalsRowBorderDxfId="22">
  <autoFilter ref="A7:G53" xr:uid="{F7B56244-1D05-462D-BF71-C6A1F3A19834}"/>
  <tableColumns count="7">
    <tableColumn id="1" xr3:uid="{B8316531-AFBD-4B34-B052-A1AAD2719B57}" name="Fecha" dataDxfId="21"/>
    <tableColumn id="2" xr3:uid="{3F58A0A7-62C5-4A03-A03A-8DCFA7010767}" name="Cantidad" dataDxfId="20"/>
    <tableColumn id="3" xr3:uid="{15DCC4D4-6B9B-421C-8E76-1E991409369E}" name="Codigo" dataDxfId="19"/>
    <tableColumn id="4" xr3:uid="{D9697DC5-4230-43CF-BEEA-ACC8EC70E791}" name="Descripción" dataDxfId="18"/>
    <tableColumn id="5" xr3:uid="{C09FAB1C-5A65-4B8C-9823-F05AB1578AAE}" name="Entrega" dataDxfId="17"/>
    <tableColumn id="6" xr3:uid="{7223823C-FCA9-43BB-8866-5F0B435BE3A7}" name="Recibe" dataDxfId="16"/>
    <tableColumn id="7" xr3:uid="{665DE2B3-E5DB-4806-A6C4-E3CFBAA2AE75}" name="Area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04" dT="2026-04-16T21:12:46.28" personId="{C2A91341-9BC4-4F69-8A02-8B0978498A36}" id="{FBF4FCFA-257F-4FA4-A30B-5F90DF51F28E}">
    <text xml:space="preserve">REVISION SI HUBO SALIDAS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200" dT="2026-04-16T21:12:46.28" personId="{C2A91341-9BC4-4F69-8A02-8B0978498A36}" id="{6C247F3B-F7FD-4D88-9D93-7DE54983378B}">
    <text xml:space="preserve">REVISION SI HUBO SALIDAS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35EE-F26E-4505-9F9F-A5969CB835D3}">
  <sheetPr>
    <pageSetUpPr fitToPage="1"/>
  </sheetPr>
  <dimension ref="A1:AC339"/>
  <sheetViews>
    <sheetView tabSelected="1" zoomScale="85" zoomScaleNormal="85" workbookViewId="0">
      <pane ySplit="6" topLeftCell="A87" activePane="bottomLeft" state="frozen"/>
      <selection activeCell="B1" sqref="B1"/>
      <selection pane="bottomLeft" activeCell="H92" sqref="H92"/>
    </sheetView>
  </sheetViews>
  <sheetFormatPr baseColWidth="10" defaultColWidth="11.42578125" defaultRowHeight="15"/>
  <cols>
    <col min="1" max="1" width="11.42578125" style="53"/>
    <col min="2" max="2" width="32.85546875" style="53" customWidth="1"/>
    <col min="3" max="4" width="12.42578125" style="53" customWidth="1"/>
    <col min="5" max="5" width="12.5703125" style="53" customWidth="1"/>
    <col min="6" max="6" width="13.7109375" style="53" customWidth="1"/>
    <col min="7" max="9" width="11.42578125" style="53" customWidth="1"/>
    <col min="10" max="10" width="12.7109375" style="53" customWidth="1"/>
    <col min="11" max="12" width="11.42578125" style="53" customWidth="1"/>
    <col min="13" max="16" width="11.42578125" style="53" hidden="1" customWidth="1"/>
    <col min="17" max="17" width="14.85546875" style="53" hidden="1" customWidth="1"/>
    <col min="18" max="18" width="11.42578125" style="53" hidden="1" customWidth="1"/>
    <col min="19" max="19" width="5" style="53" customWidth="1"/>
    <col min="20" max="20" width="13.7109375" style="53" customWidth="1"/>
    <col min="21" max="23" width="11.42578125" style="53" customWidth="1"/>
    <col min="24" max="24" width="14.7109375" style="53" customWidth="1"/>
    <col min="25" max="25" width="11.42578125" style="53" customWidth="1"/>
    <col min="26" max="26" width="20.5703125" style="53" customWidth="1"/>
    <col min="27" max="28" width="11.42578125" style="53" customWidth="1"/>
    <col min="29" max="29" width="11.85546875" style="53" bestFit="1" customWidth="1"/>
    <col min="30" max="16384" width="11.42578125" style="53"/>
  </cols>
  <sheetData>
    <row r="1" spans="1:29">
      <c r="A1" s="248"/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9">
      <c r="A2" s="249" t="s">
        <v>0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</row>
    <row r="3" spans="1:29">
      <c r="A3" s="248" t="s">
        <v>1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</row>
    <row r="4" spans="1:29">
      <c r="A4" s="52"/>
      <c r="B4" s="52"/>
      <c r="C4" s="52"/>
      <c r="D4" s="52"/>
      <c r="E4" s="54"/>
      <c r="F4" s="54"/>
      <c r="G4" s="55"/>
      <c r="H4" s="52"/>
      <c r="M4" s="52"/>
      <c r="N4" s="52"/>
      <c r="O4" s="52"/>
      <c r="P4" s="52"/>
      <c r="Q4" s="52"/>
      <c r="R4" s="52"/>
      <c r="S4" s="56"/>
      <c r="T4" s="250" t="s">
        <v>678</v>
      </c>
      <c r="U4" s="248"/>
      <c r="V4" s="248"/>
      <c r="W4" s="248"/>
      <c r="X4" s="57"/>
      <c r="Y4" s="57"/>
      <c r="Z4" s="57"/>
    </row>
    <row r="5" spans="1:29" ht="14.25" customHeight="1">
      <c r="E5" s="57"/>
      <c r="F5" s="57"/>
      <c r="H5" s="56"/>
      <c r="I5" s="56"/>
      <c r="J5" s="56"/>
      <c r="K5" s="56"/>
      <c r="L5" s="56"/>
      <c r="M5" s="56"/>
      <c r="N5" s="58"/>
      <c r="O5" s="56"/>
      <c r="P5" s="56"/>
      <c r="Q5" s="59" t="s">
        <v>2</v>
      </c>
      <c r="R5" s="59"/>
      <c r="S5" s="56"/>
      <c r="T5" s="57"/>
      <c r="U5" s="57"/>
      <c r="V5" s="57"/>
      <c r="W5" s="57"/>
      <c r="X5" s="57"/>
      <c r="Y5" s="57"/>
      <c r="Z5" s="57"/>
    </row>
    <row r="6" spans="1:29" ht="45">
      <c r="A6" s="60" t="s">
        <v>3</v>
      </c>
      <c r="B6" s="60" t="s">
        <v>734</v>
      </c>
      <c r="C6" s="60" t="s">
        <v>736</v>
      </c>
      <c r="D6" s="60" t="s">
        <v>733</v>
      </c>
      <c r="E6" s="61" t="s">
        <v>666</v>
      </c>
      <c r="F6" s="61" t="s">
        <v>677</v>
      </c>
      <c r="G6" s="60" t="s">
        <v>7</v>
      </c>
      <c r="H6" s="60" t="s">
        <v>8</v>
      </c>
      <c r="I6" s="62" t="s">
        <v>9</v>
      </c>
      <c r="J6" s="62" t="s">
        <v>10</v>
      </c>
      <c r="K6" s="62" t="s">
        <v>11</v>
      </c>
      <c r="L6" s="60" t="s">
        <v>12</v>
      </c>
      <c r="M6" s="63" t="s">
        <v>13</v>
      </c>
      <c r="N6" s="64" t="s">
        <v>14</v>
      </c>
      <c r="O6" s="64" t="s">
        <v>15</v>
      </c>
      <c r="P6" s="64" t="s">
        <v>16</v>
      </c>
      <c r="Q6" s="64" t="s">
        <v>17</v>
      </c>
      <c r="R6" s="64" t="s">
        <v>679</v>
      </c>
      <c r="S6" s="65"/>
      <c r="T6" s="66" t="s">
        <v>18</v>
      </c>
      <c r="U6" s="67" t="s">
        <v>19</v>
      </c>
      <c r="V6" s="66" t="s">
        <v>20</v>
      </c>
      <c r="W6" s="66" t="s">
        <v>21</v>
      </c>
      <c r="X6" s="66" t="s">
        <v>22</v>
      </c>
      <c r="Y6" s="66" t="s">
        <v>23</v>
      </c>
      <c r="Z6" s="66" t="s">
        <v>16</v>
      </c>
      <c r="AA6" s="68"/>
      <c r="AB6" s="68"/>
    </row>
    <row r="7" spans="1:29" s="157" customFormat="1" ht="36" customHeight="1">
      <c r="A7" s="158" t="s">
        <v>56</v>
      </c>
      <c r="B7" s="140" t="s">
        <v>741</v>
      </c>
      <c r="C7" s="140"/>
      <c r="D7" s="70" t="s">
        <v>798</v>
      </c>
      <c r="E7" s="71">
        <v>1222.73</v>
      </c>
      <c r="F7" s="71">
        <v>1222.73</v>
      </c>
      <c r="G7" s="76">
        <v>8</v>
      </c>
      <c r="H7" s="169">
        <v>0</v>
      </c>
      <c r="I7" s="169">
        <v>0</v>
      </c>
      <c r="J7" s="169">
        <v>3</v>
      </c>
      <c r="K7" s="76">
        <v>1</v>
      </c>
      <c r="L7" s="76">
        <f t="shared" ref="L7:L70" si="0">G7+H7+I7-J7-K7</f>
        <v>4</v>
      </c>
      <c r="M7" s="72">
        <v>4</v>
      </c>
      <c r="N7" s="72">
        <v>0</v>
      </c>
      <c r="O7" s="72"/>
      <c r="P7" s="72">
        <f t="shared" ref="P7:P70" si="1">M7+N7+O7</f>
        <v>4</v>
      </c>
      <c r="Q7" s="72">
        <f t="shared" ref="Q7:Q70" si="2">P7-L7</f>
        <v>0</v>
      </c>
      <c r="R7" s="72"/>
      <c r="S7" s="56"/>
      <c r="T7" s="74">
        <f t="shared" ref="T7:T70" si="3">E7*G7</f>
        <v>9781.84</v>
      </c>
      <c r="U7" s="74">
        <v>0</v>
      </c>
      <c r="V7" s="74">
        <f t="shared" ref="V7:V70" si="4">F7*H7</f>
        <v>0</v>
      </c>
      <c r="W7" s="74">
        <f t="shared" ref="W7:W70" si="5">F7*I7</f>
        <v>0</v>
      </c>
      <c r="X7" s="74">
        <f t="shared" ref="X7:X70" si="6">F7*J7</f>
        <v>3668.19</v>
      </c>
      <c r="Y7" s="200">
        <f t="shared" ref="Y7:Y70" si="7">F7*K7</f>
        <v>1222.73</v>
      </c>
      <c r="Z7" s="74">
        <f t="shared" ref="Z7:Z70" si="8">T7+U7+V7+W7-X7-Y7</f>
        <v>4890.92</v>
      </c>
      <c r="AA7" s="75">
        <f t="shared" ref="AA7:AA38" si="9">L7*F7</f>
        <v>4890.92</v>
      </c>
      <c r="AB7" s="75">
        <f t="shared" ref="AB7:AB38" si="10">AA7-Z7</f>
        <v>0</v>
      </c>
    </row>
    <row r="8" spans="1:29" ht="24">
      <c r="A8" s="158" t="s">
        <v>136</v>
      </c>
      <c r="B8" s="70" t="s">
        <v>137</v>
      </c>
      <c r="C8" s="158"/>
      <c r="D8" s="70" t="s">
        <v>137</v>
      </c>
      <c r="E8" s="71">
        <v>406</v>
      </c>
      <c r="F8" s="71">
        <v>406</v>
      </c>
      <c r="G8" s="76">
        <v>3</v>
      </c>
      <c r="H8" s="169">
        <v>0</v>
      </c>
      <c r="I8" s="169">
        <v>0</v>
      </c>
      <c r="J8" s="169">
        <v>0</v>
      </c>
      <c r="K8" s="76">
        <v>3</v>
      </c>
      <c r="L8" s="76">
        <f t="shared" si="0"/>
        <v>0</v>
      </c>
      <c r="M8" s="72">
        <v>0</v>
      </c>
      <c r="N8" s="72">
        <v>0</v>
      </c>
      <c r="O8" s="72"/>
      <c r="P8" s="72">
        <f t="shared" si="1"/>
        <v>0</v>
      </c>
      <c r="Q8" s="72">
        <f t="shared" si="2"/>
        <v>0</v>
      </c>
      <c r="R8" s="72"/>
      <c r="S8" s="56"/>
      <c r="T8" s="74">
        <f t="shared" si="3"/>
        <v>1218</v>
      </c>
      <c r="U8" s="74">
        <v>0</v>
      </c>
      <c r="V8" s="74">
        <f t="shared" si="4"/>
        <v>0</v>
      </c>
      <c r="W8" s="74">
        <f t="shared" si="5"/>
        <v>0</v>
      </c>
      <c r="X8" s="74">
        <f t="shared" si="6"/>
        <v>0</v>
      </c>
      <c r="Y8" s="200">
        <f t="shared" si="7"/>
        <v>1218</v>
      </c>
      <c r="Z8" s="74">
        <f t="shared" si="8"/>
        <v>0</v>
      </c>
      <c r="AA8" s="75">
        <f t="shared" si="9"/>
        <v>0</v>
      </c>
      <c r="AB8" s="75">
        <f t="shared" si="10"/>
        <v>0</v>
      </c>
      <c r="AC8" s="157"/>
    </row>
    <row r="9" spans="1:29" ht="36">
      <c r="A9" s="158" t="s">
        <v>162</v>
      </c>
      <c r="B9" s="70" t="s">
        <v>163</v>
      </c>
      <c r="C9" s="158"/>
      <c r="D9" s="70" t="s">
        <v>163</v>
      </c>
      <c r="E9" s="71">
        <v>1000</v>
      </c>
      <c r="F9" s="71">
        <v>1000</v>
      </c>
      <c r="G9" s="76">
        <v>2</v>
      </c>
      <c r="H9" s="169">
        <v>0</v>
      </c>
      <c r="I9" s="169">
        <v>0</v>
      </c>
      <c r="J9" s="169">
        <v>0</v>
      </c>
      <c r="K9" s="76">
        <v>2</v>
      </c>
      <c r="L9" s="76">
        <f t="shared" si="0"/>
        <v>0</v>
      </c>
      <c r="M9" s="72">
        <v>0</v>
      </c>
      <c r="N9" s="72">
        <v>0</v>
      </c>
      <c r="O9" s="72"/>
      <c r="P9" s="72">
        <f t="shared" si="1"/>
        <v>0</v>
      </c>
      <c r="Q9" s="72">
        <f t="shared" si="2"/>
        <v>0</v>
      </c>
      <c r="R9" s="72"/>
      <c r="S9" s="56"/>
      <c r="T9" s="74">
        <f t="shared" si="3"/>
        <v>2000</v>
      </c>
      <c r="U9" s="74">
        <v>0</v>
      </c>
      <c r="V9" s="74">
        <f t="shared" si="4"/>
        <v>0</v>
      </c>
      <c r="W9" s="74">
        <f t="shared" si="5"/>
        <v>0</v>
      </c>
      <c r="X9" s="74">
        <f t="shared" si="6"/>
        <v>0</v>
      </c>
      <c r="Y9" s="200">
        <f t="shared" si="7"/>
        <v>2000</v>
      </c>
      <c r="Z9" s="74">
        <f t="shared" si="8"/>
        <v>0</v>
      </c>
      <c r="AA9" s="75">
        <f t="shared" si="9"/>
        <v>0</v>
      </c>
      <c r="AB9" s="75">
        <f t="shared" si="10"/>
        <v>0</v>
      </c>
      <c r="AC9" s="157"/>
    </row>
    <row r="10" spans="1:29" ht="24">
      <c r="A10" s="158" t="s">
        <v>166</v>
      </c>
      <c r="B10" s="70" t="s">
        <v>167</v>
      </c>
      <c r="C10" s="158"/>
      <c r="D10" s="70" t="s">
        <v>167</v>
      </c>
      <c r="E10" s="71">
        <v>1712</v>
      </c>
      <c r="F10" s="71">
        <v>1712</v>
      </c>
      <c r="G10" s="76">
        <v>2</v>
      </c>
      <c r="H10" s="169">
        <v>0</v>
      </c>
      <c r="I10" s="169">
        <v>0</v>
      </c>
      <c r="J10" s="169">
        <v>0</v>
      </c>
      <c r="K10" s="76">
        <v>2</v>
      </c>
      <c r="L10" s="76">
        <f t="shared" si="0"/>
        <v>0</v>
      </c>
      <c r="M10" s="72">
        <v>0</v>
      </c>
      <c r="N10" s="72">
        <v>0</v>
      </c>
      <c r="O10" s="72"/>
      <c r="P10" s="72">
        <f t="shared" si="1"/>
        <v>0</v>
      </c>
      <c r="Q10" s="72">
        <f t="shared" si="2"/>
        <v>0</v>
      </c>
      <c r="R10" s="72"/>
      <c r="S10" s="56"/>
      <c r="T10" s="74">
        <f t="shared" si="3"/>
        <v>3424</v>
      </c>
      <c r="U10" s="74">
        <v>0</v>
      </c>
      <c r="V10" s="74">
        <f t="shared" si="4"/>
        <v>0</v>
      </c>
      <c r="W10" s="74">
        <f t="shared" si="5"/>
        <v>0</v>
      </c>
      <c r="X10" s="74">
        <f t="shared" si="6"/>
        <v>0</v>
      </c>
      <c r="Y10" s="200">
        <f t="shared" si="7"/>
        <v>3424</v>
      </c>
      <c r="Z10" s="74">
        <f t="shared" si="8"/>
        <v>0</v>
      </c>
      <c r="AA10" s="75">
        <f t="shared" si="9"/>
        <v>0</v>
      </c>
      <c r="AB10" s="75">
        <f t="shared" si="10"/>
        <v>0</v>
      </c>
      <c r="AC10" s="157"/>
    </row>
    <row r="11" spans="1:29">
      <c r="A11" s="158" t="s">
        <v>220</v>
      </c>
      <c r="B11" s="70" t="s">
        <v>221</v>
      </c>
      <c r="C11" s="158"/>
      <c r="D11" s="70" t="s">
        <v>221</v>
      </c>
      <c r="E11" s="71">
        <v>670</v>
      </c>
      <c r="F11" s="71">
        <v>670</v>
      </c>
      <c r="G11" s="76">
        <v>1</v>
      </c>
      <c r="H11" s="169">
        <v>0</v>
      </c>
      <c r="I11" s="169">
        <v>0</v>
      </c>
      <c r="J11" s="169">
        <v>0</v>
      </c>
      <c r="K11" s="76">
        <v>1</v>
      </c>
      <c r="L11" s="76">
        <f t="shared" si="0"/>
        <v>0</v>
      </c>
      <c r="M11" s="72">
        <v>0</v>
      </c>
      <c r="N11" s="72">
        <v>0</v>
      </c>
      <c r="O11" s="72"/>
      <c r="P11" s="72">
        <f t="shared" si="1"/>
        <v>0</v>
      </c>
      <c r="Q11" s="72">
        <f t="shared" si="2"/>
        <v>0</v>
      </c>
      <c r="R11" s="72"/>
      <c r="S11" s="56"/>
      <c r="T11" s="74">
        <f t="shared" si="3"/>
        <v>670</v>
      </c>
      <c r="U11" s="74">
        <v>0</v>
      </c>
      <c r="V11" s="74">
        <f t="shared" si="4"/>
        <v>0</v>
      </c>
      <c r="W11" s="74">
        <f t="shared" si="5"/>
        <v>0</v>
      </c>
      <c r="X11" s="74">
        <f t="shared" si="6"/>
        <v>0</v>
      </c>
      <c r="Y11" s="200">
        <f t="shared" si="7"/>
        <v>670</v>
      </c>
      <c r="Z11" s="74">
        <f t="shared" si="8"/>
        <v>0</v>
      </c>
      <c r="AA11" s="75">
        <f t="shared" si="9"/>
        <v>0</v>
      </c>
      <c r="AB11" s="75">
        <f t="shared" si="10"/>
        <v>0</v>
      </c>
      <c r="AC11" s="157"/>
    </row>
    <row r="12" spans="1:29" ht="24">
      <c r="A12" s="158" t="s">
        <v>288</v>
      </c>
      <c r="B12" s="70" t="s">
        <v>289</v>
      </c>
      <c r="C12" s="158"/>
      <c r="D12" s="70" t="s">
        <v>289</v>
      </c>
      <c r="E12" s="71">
        <v>690</v>
      </c>
      <c r="F12" s="71">
        <v>690</v>
      </c>
      <c r="G12" s="76">
        <v>1</v>
      </c>
      <c r="H12" s="169">
        <v>0</v>
      </c>
      <c r="I12" s="169">
        <v>0</v>
      </c>
      <c r="J12" s="169">
        <v>0</v>
      </c>
      <c r="K12" s="76">
        <v>1</v>
      </c>
      <c r="L12" s="76">
        <f t="shared" si="0"/>
        <v>0</v>
      </c>
      <c r="M12" s="72">
        <v>0</v>
      </c>
      <c r="N12" s="72">
        <v>0</v>
      </c>
      <c r="O12" s="72"/>
      <c r="P12" s="72">
        <f t="shared" si="1"/>
        <v>0</v>
      </c>
      <c r="Q12" s="72">
        <f t="shared" si="2"/>
        <v>0</v>
      </c>
      <c r="R12" s="72"/>
      <c r="S12" s="56"/>
      <c r="T12" s="74">
        <f t="shared" si="3"/>
        <v>690</v>
      </c>
      <c r="U12" s="74">
        <v>0</v>
      </c>
      <c r="V12" s="74">
        <f t="shared" si="4"/>
        <v>0</v>
      </c>
      <c r="W12" s="74">
        <f t="shared" si="5"/>
        <v>0</v>
      </c>
      <c r="X12" s="74">
        <f t="shared" si="6"/>
        <v>0</v>
      </c>
      <c r="Y12" s="200">
        <f t="shared" si="7"/>
        <v>690</v>
      </c>
      <c r="Z12" s="74">
        <f t="shared" si="8"/>
        <v>0</v>
      </c>
      <c r="AA12" s="75">
        <f t="shared" si="9"/>
        <v>0</v>
      </c>
      <c r="AB12" s="75">
        <f t="shared" si="10"/>
        <v>0</v>
      </c>
      <c r="AC12" s="157"/>
    </row>
    <row r="13" spans="1:29" ht="24">
      <c r="A13" s="158" t="s">
        <v>290</v>
      </c>
      <c r="B13" s="70" t="s">
        <v>291</v>
      </c>
      <c r="C13" s="158"/>
      <c r="D13" s="70" t="s">
        <v>291</v>
      </c>
      <c r="E13" s="71">
        <v>650</v>
      </c>
      <c r="F13" s="71">
        <v>650</v>
      </c>
      <c r="G13" s="76">
        <v>2</v>
      </c>
      <c r="H13" s="169">
        <v>0</v>
      </c>
      <c r="I13" s="169">
        <v>0</v>
      </c>
      <c r="J13" s="169">
        <v>0</v>
      </c>
      <c r="K13" s="76">
        <v>2</v>
      </c>
      <c r="L13" s="76">
        <f t="shared" si="0"/>
        <v>0</v>
      </c>
      <c r="M13" s="72">
        <v>0</v>
      </c>
      <c r="N13" s="72">
        <v>0</v>
      </c>
      <c r="O13" s="72"/>
      <c r="P13" s="72">
        <f t="shared" si="1"/>
        <v>0</v>
      </c>
      <c r="Q13" s="72">
        <f t="shared" si="2"/>
        <v>0</v>
      </c>
      <c r="R13" s="72"/>
      <c r="S13" s="56"/>
      <c r="T13" s="74">
        <f t="shared" si="3"/>
        <v>1300</v>
      </c>
      <c r="U13" s="74">
        <v>0</v>
      </c>
      <c r="V13" s="74">
        <f t="shared" si="4"/>
        <v>0</v>
      </c>
      <c r="W13" s="74">
        <f t="shared" si="5"/>
        <v>0</v>
      </c>
      <c r="X13" s="74">
        <f t="shared" si="6"/>
        <v>0</v>
      </c>
      <c r="Y13" s="200">
        <f t="shared" si="7"/>
        <v>1300</v>
      </c>
      <c r="Z13" s="74">
        <f t="shared" si="8"/>
        <v>0</v>
      </c>
      <c r="AA13" s="75">
        <f t="shared" si="9"/>
        <v>0</v>
      </c>
      <c r="AB13" s="75">
        <f t="shared" si="10"/>
        <v>0</v>
      </c>
      <c r="AC13" s="157"/>
    </row>
    <row r="14" spans="1:29" ht="24">
      <c r="A14" s="158" t="s">
        <v>292</v>
      </c>
      <c r="B14" s="70" t="s">
        <v>293</v>
      </c>
      <c r="C14" s="158"/>
      <c r="D14" s="70" t="s">
        <v>293</v>
      </c>
      <c r="E14" s="71">
        <v>590</v>
      </c>
      <c r="F14" s="71">
        <v>590</v>
      </c>
      <c r="G14" s="76">
        <v>1</v>
      </c>
      <c r="H14" s="169">
        <v>0</v>
      </c>
      <c r="I14" s="169">
        <v>0</v>
      </c>
      <c r="J14" s="169">
        <v>0</v>
      </c>
      <c r="K14" s="76">
        <v>1</v>
      </c>
      <c r="L14" s="76">
        <f t="shared" si="0"/>
        <v>0</v>
      </c>
      <c r="M14" s="72">
        <v>0</v>
      </c>
      <c r="N14" s="72">
        <v>0</v>
      </c>
      <c r="O14" s="72"/>
      <c r="P14" s="72">
        <f t="shared" si="1"/>
        <v>0</v>
      </c>
      <c r="Q14" s="72">
        <f t="shared" si="2"/>
        <v>0</v>
      </c>
      <c r="R14" s="72"/>
      <c r="S14" s="56"/>
      <c r="T14" s="74">
        <f t="shared" si="3"/>
        <v>590</v>
      </c>
      <c r="U14" s="74">
        <v>0</v>
      </c>
      <c r="V14" s="74">
        <f t="shared" si="4"/>
        <v>0</v>
      </c>
      <c r="W14" s="74">
        <f t="shared" si="5"/>
        <v>0</v>
      </c>
      <c r="X14" s="74">
        <f t="shared" si="6"/>
        <v>0</v>
      </c>
      <c r="Y14" s="200">
        <f t="shared" si="7"/>
        <v>590</v>
      </c>
      <c r="Z14" s="74">
        <f t="shared" si="8"/>
        <v>0</v>
      </c>
      <c r="AA14" s="75">
        <f t="shared" si="9"/>
        <v>0</v>
      </c>
      <c r="AB14" s="75">
        <f t="shared" si="10"/>
        <v>0</v>
      </c>
      <c r="AC14" s="157"/>
    </row>
    <row r="15" spans="1:29" ht="48">
      <c r="A15" s="158" t="s">
        <v>366</v>
      </c>
      <c r="B15" s="70" t="s">
        <v>367</v>
      </c>
      <c r="C15" s="158"/>
      <c r="D15" s="70" t="s">
        <v>367</v>
      </c>
      <c r="E15" s="71">
        <v>75</v>
      </c>
      <c r="F15" s="71">
        <v>75</v>
      </c>
      <c r="G15" s="76">
        <v>10</v>
      </c>
      <c r="H15" s="169">
        <v>0</v>
      </c>
      <c r="I15" s="169">
        <v>0</v>
      </c>
      <c r="J15" s="169">
        <v>0</v>
      </c>
      <c r="K15" s="76">
        <v>10</v>
      </c>
      <c r="L15" s="76">
        <f t="shared" si="0"/>
        <v>0</v>
      </c>
      <c r="M15" s="72">
        <v>0</v>
      </c>
      <c r="N15" s="72">
        <v>0</v>
      </c>
      <c r="O15" s="72"/>
      <c r="P15" s="72">
        <f t="shared" si="1"/>
        <v>0</v>
      </c>
      <c r="Q15" s="72">
        <f t="shared" si="2"/>
        <v>0</v>
      </c>
      <c r="R15" s="72"/>
      <c r="S15" s="56"/>
      <c r="T15" s="74">
        <f t="shared" si="3"/>
        <v>750</v>
      </c>
      <c r="U15" s="74">
        <v>0</v>
      </c>
      <c r="V15" s="74">
        <f t="shared" si="4"/>
        <v>0</v>
      </c>
      <c r="W15" s="74">
        <f t="shared" si="5"/>
        <v>0</v>
      </c>
      <c r="X15" s="74">
        <f t="shared" si="6"/>
        <v>0</v>
      </c>
      <c r="Y15" s="200">
        <f t="shared" si="7"/>
        <v>750</v>
      </c>
      <c r="Z15" s="74">
        <f t="shared" si="8"/>
        <v>0</v>
      </c>
      <c r="AA15" s="75">
        <f t="shared" si="9"/>
        <v>0</v>
      </c>
      <c r="AB15" s="75">
        <f t="shared" si="10"/>
        <v>0</v>
      </c>
      <c r="AC15" s="157"/>
    </row>
    <row r="16" spans="1:29" ht="48">
      <c r="A16" s="158" t="s">
        <v>368</v>
      </c>
      <c r="B16" s="70" t="s">
        <v>369</v>
      </c>
      <c r="C16" s="158"/>
      <c r="D16" s="70" t="s">
        <v>369</v>
      </c>
      <c r="E16" s="71">
        <v>110</v>
      </c>
      <c r="F16" s="71">
        <v>110</v>
      </c>
      <c r="G16" s="76">
        <v>10</v>
      </c>
      <c r="H16" s="169">
        <v>0</v>
      </c>
      <c r="I16" s="169">
        <v>0</v>
      </c>
      <c r="J16" s="169">
        <v>0</v>
      </c>
      <c r="K16" s="76">
        <v>10</v>
      </c>
      <c r="L16" s="76">
        <f t="shared" si="0"/>
        <v>0</v>
      </c>
      <c r="M16" s="72">
        <v>0</v>
      </c>
      <c r="N16" s="72">
        <v>0</v>
      </c>
      <c r="O16" s="72"/>
      <c r="P16" s="72">
        <f t="shared" si="1"/>
        <v>0</v>
      </c>
      <c r="Q16" s="72">
        <f t="shared" si="2"/>
        <v>0</v>
      </c>
      <c r="R16" s="72"/>
      <c r="S16" s="56"/>
      <c r="T16" s="74">
        <f t="shared" si="3"/>
        <v>1100</v>
      </c>
      <c r="U16" s="74">
        <v>0</v>
      </c>
      <c r="V16" s="74">
        <f t="shared" si="4"/>
        <v>0</v>
      </c>
      <c r="W16" s="74">
        <f t="shared" si="5"/>
        <v>0</v>
      </c>
      <c r="X16" s="74">
        <f t="shared" si="6"/>
        <v>0</v>
      </c>
      <c r="Y16" s="200">
        <f t="shared" si="7"/>
        <v>1100</v>
      </c>
      <c r="Z16" s="74">
        <f t="shared" si="8"/>
        <v>0</v>
      </c>
      <c r="AA16" s="75">
        <f t="shared" si="9"/>
        <v>0</v>
      </c>
      <c r="AB16" s="75">
        <f t="shared" si="10"/>
        <v>0</v>
      </c>
      <c r="AC16" s="157"/>
    </row>
    <row r="17" spans="1:29" ht="48">
      <c r="A17" s="158" t="s">
        <v>370</v>
      </c>
      <c r="B17" s="70" t="s">
        <v>371</v>
      </c>
      <c r="C17" s="158"/>
      <c r="D17" s="70" t="s">
        <v>371</v>
      </c>
      <c r="E17" s="71">
        <v>110</v>
      </c>
      <c r="F17" s="71">
        <v>110</v>
      </c>
      <c r="G17" s="76">
        <v>10</v>
      </c>
      <c r="H17" s="169">
        <v>0</v>
      </c>
      <c r="I17" s="169">
        <v>0</v>
      </c>
      <c r="J17" s="169">
        <v>0</v>
      </c>
      <c r="K17" s="76">
        <v>10</v>
      </c>
      <c r="L17" s="76">
        <f t="shared" si="0"/>
        <v>0</v>
      </c>
      <c r="M17" s="72">
        <v>0</v>
      </c>
      <c r="N17" s="72">
        <v>0</v>
      </c>
      <c r="O17" s="72"/>
      <c r="P17" s="72">
        <f t="shared" si="1"/>
        <v>0</v>
      </c>
      <c r="Q17" s="72">
        <f t="shared" si="2"/>
        <v>0</v>
      </c>
      <c r="R17" s="72"/>
      <c r="S17" s="56"/>
      <c r="T17" s="74">
        <f t="shared" si="3"/>
        <v>1100</v>
      </c>
      <c r="U17" s="74">
        <v>0</v>
      </c>
      <c r="V17" s="74">
        <f t="shared" si="4"/>
        <v>0</v>
      </c>
      <c r="W17" s="74">
        <f t="shared" si="5"/>
        <v>0</v>
      </c>
      <c r="X17" s="74">
        <f t="shared" si="6"/>
        <v>0</v>
      </c>
      <c r="Y17" s="200">
        <f t="shared" si="7"/>
        <v>1100</v>
      </c>
      <c r="Z17" s="74">
        <f t="shared" si="8"/>
        <v>0</v>
      </c>
      <c r="AA17" s="75">
        <f t="shared" si="9"/>
        <v>0</v>
      </c>
      <c r="AB17" s="75">
        <f t="shared" si="10"/>
        <v>0</v>
      </c>
      <c r="AC17" s="157"/>
    </row>
    <row r="18" spans="1:29">
      <c r="A18" s="158" t="s">
        <v>434</v>
      </c>
      <c r="B18" s="70" t="s">
        <v>435</v>
      </c>
      <c r="C18" s="158"/>
      <c r="D18" s="70" t="s">
        <v>435</v>
      </c>
      <c r="E18" s="71">
        <v>406</v>
      </c>
      <c r="F18" s="71">
        <v>406</v>
      </c>
      <c r="G18" s="76">
        <v>4</v>
      </c>
      <c r="H18" s="169">
        <v>0</v>
      </c>
      <c r="I18" s="169">
        <v>0</v>
      </c>
      <c r="J18" s="169">
        <v>0</v>
      </c>
      <c r="K18" s="76">
        <v>4</v>
      </c>
      <c r="L18" s="76">
        <f t="shared" si="0"/>
        <v>0</v>
      </c>
      <c r="M18" s="72">
        <v>0</v>
      </c>
      <c r="N18" s="72">
        <v>0</v>
      </c>
      <c r="O18" s="72"/>
      <c r="P18" s="72">
        <f t="shared" si="1"/>
        <v>0</v>
      </c>
      <c r="Q18" s="72">
        <f t="shared" si="2"/>
        <v>0</v>
      </c>
      <c r="R18" s="72"/>
      <c r="S18" s="56"/>
      <c r="T18" s="74">
        <f t="shared" si="3"/>
        <v>1624</v>
      </c>
      <c r="U18" s="74">
        <v>0</v>
      </c>
      <c r="V18" s="74">
        <f t="shared" si="4"/>
        <v>0</v>
      </c>
      <c r="W18" s="74">
        <f t="shared" si="5"/>
        <v>0</v>
      </c>
      <c r="X18" s="74">
        <f t="shared" si="6"/>
        <v>0</v>
      </c>
      <c r="Y18" s="200">
        <f t="shared" si="7"/>
        <v>1624</v>
      </c>
      <c r="Z18" s="74">
        <f t="shared" si="8"/>
        <v>0</v>
      </c>
      <c r="AA18" s="75">
        <f t="shared" si="9"/>
        <v>0</v>
      </c>
      <c r="AB18" s="75">
        <f t="shared" si="10"/>
        <v>0</v>
      </c>
      <c r="AC18" s="157"/>
    </row>
    <row r="19" spans="1:29" ht="24">
      <c r="A19" s="158" t="s">
        <v>438</v>
      </c>
      <c r="B19" s="70" t="s">
        <v>439</v>
      </c>
      <c r="C19" s="158"/>
      <c r="D19" s="70" t="s">
        <v>439</v>
      </c>
      <c r="E19" s="71">
        <v>520</v>
      </c>
      <c r="F19" s="71">
        <v>520</v>
      </c>
      <c r="G19" s="76">
        <v>2</v>
      </c>
      <c r="H19" s="169">
        <v>0</v>
      </c>
      <c r="I19" s="169">
        <v>0</v>
      </c>
      <c r="J19" s="169">
        <v>0</v>
      </c>
      <c r="K19" s="76">
        <v>2</v>
      </c>
      <c r="L19" s="76">
        <f t="shared" si="0"/>
        <v>0</v>
      </c>
      <c r="M19" s="72">
        <v>0</v>
      </c>
      <c r="N19" s="72">
        <v>0</v>
      </c>
      <c r="O19" s="72"/>
      <c r="P19" s="72">
        <f t="shared" si="1"/>
        <v>0</v>
      </c>
      <c r="Q19" s="72">
        <f t="shared" si="2"/>
        <v>0</v>
      </c>
      <c r="R19" s="72"/>
      <c r="S19" s="56"/>
      <c r="T19" s="74">
        <f t="shared" si="3"/>
        <v>1040</v>
      </c>
      <c r="U19" s="74">
        <v>0</v>
      </c>
      <c r="V19" s="74">
        <f t="shared" si="4"/>
        <v>0</v>
      </c>
      <c r="W19" s="74">
        <f t="shared" si="5"/>
        <v>0</v>
      </c>
      <c r="X19" s="74">
        <f t="shared" si="6"/>
        <v>0</v>
      </c>
      <c r="Y19" s="200">
        <f t="shared" si="7"/>
        <v>1040</v>
      </c>
      <c r="Z19" s="74">
        <f t="shared" si="8"/>
        <v>0</v>
      </c>
      <c r="AA19" s="75">
        <f t="shared" si="9"/>
        <v>0</v>
      </c>
      <c r="AB19" s="75">
        <f t="shared" si="10"/>
        <v>0</v>
      </c>
      <c r="AC19" s="157"/>
    </row>
    <row r="20" spans="1:29" ht="36">
      <c r="A20" s="158" t="s">
        <v>474</v>
      </c>
      <c r="B20" s="70" t="s">
        <v>475</v>
      </c>
      <c r="C20" s="158"/>
      <c r="D20" s="70" t="s">
        <v>475</v>
      </c>
      <c r="E20" s="71">
        <v>985</v>
      </c>
      <c r="F20" s="71">
        <v>985</v>
      </c>
      <c r="G20" s="76">
        <v>1</v>
      </c>
      <c r="H20" s="169">
        <v>0</v>
      </c>
      <c r="I20" s="169">
        <v>0</v>
      </c>
      <c r="J20" s="169">
        <v>0</v>
      </c>
      <c r="K20" s="76">
        <v>1</v>
      </c>
      <c r="L20" s="76">
        <f t="shared" si="0"/>
        <v>0</v>
      </c>
      <c r="M20" s="72">
        <v>0</v>
      </c>
      <c r="N20" s="72">
        <v>0</v>
      </c>
      <c r="O20" s="72"/>
      <c r="P20" s="72">
        <f t="shared" si="1"/>
        <v>0</v>
      </c>
      <c r="Q20" s="72">
        <f t="shared" si="2"/>
        <v>0</v>
      </c>
      <c r="R20" s="72"/>
      <c r="S20" s="56"/>
      <c r="T20" s="74">
        <f t="shared" si="3"/>
        <v>985</v>
      </c>
      <c r="U20" s="74">
        <v>0</v>
      </c>
      <c r="V20" s="74">
        <f t="shared" si="4"/>
        <v>0</v>
      </c>
      <c r="W20" s="74">
        <f t="shared" si="5"/>
        <v>0</v>
      </c>
      <c r="X20" s="74">
        <f t="shared" si="6"/>
        <v>0</v>
      </c>
      <c r="Y20" s="200">
        <f t="shared" si="7"/>
        <v>985</v>
      </c>
      <c r="Z20" s="74">
        <f t="shared" si="8"/>
        <v>0</v>
      </c>
      <c r="AA20" s="75">
        <f t="shared" si="9"/>
        <v>0</v>
      </c>
      <c r="AB20" s="75">
        <f t="shared" si="10"/>
        <v>0</v>
      </c>
      <c r="AC20" s="157"/>
    </row>
    <row r="21" spans="1:29" ht="24">
      <c r="A21" s="158" t="s">
        <v>524</v>
      </c>
      <c r="B21" s="70" t="s">
        <v>525</v>
      </c>
      <c r="C21" s="158"/>
      <c r="D21" s="70" t="s">
        <v>525</v>
      </c>
      <c r="E21" s="71">
        <v>460</v>
      </c>
      <c r="F21" s="71">
        <v>460</v>
      </c>
      <c r="G21" s="76">
        <v>2</v>
      </c>
      <c r="H21" s="169">
        <v>0</v>
      </c>
      <c r="I21" s="169">
        <v>0</v>
      </c>
      <c r="J21" s="169">
        <v>0</v>
      </c>
      <c r="K21" s="76">
        <v>1</v>
      </c>
      <c r="L21" s="76">
        <f t="shared" si="0"/>
        <v>1</v>
      </c>
      <c r="M21" s="72">
        <v>1</v>
      </c>
      <c r="N21" s="72">
        <v>0</v>
      </c>
      <c r="O21" s="72"/>
      <c r="P21" s="72">
        <f t="shared" si="1"/>
        <v>1</v>
      </c>
      <c r="Q21" s="72">
        <f t="shared" si="2"/>
        <v>0</v>
      </c>
      <c r="R21" s="72"/>
      <c r="S21" s="56"/>
      <c r="T21" s="74">
        <f t="shared" si="3"/>
        <v>920</v>
      </c>
      <c r="U21" s="74">
        <v>0</v>
      </c>
      <c r="V21" s="74">
        <f t="shared" si="4"/>
        <v>0</v>
      </c>
      <c r="W21" s="74">
        <f t="shared" si="5"/>
        <v>0</v>
      </c>
      <c r="X21" s="74">
        <f t="shared" si="6"/>
        <v>0</v>
      </c>
      <c r="Y21" s="200">
        <f t="shared" si="7"/>
        <v>460</v>
      </c>
      <c r="Z21" s="74">
        <f t="shared" si="8"/>
        <v>460</v>
      </c>
      <c r="AA21" s="75">
        <f t="shared" si="9"/>
        <v>460</v>
      </c>
      <c r="AB21" s="75">
        <f t="shared" si="10"/>
        <v>0</v>
      </c>
      <c r="AC21" s="157"/>
    </row>
    <row r="22" spans="1:29" ht="36">
      <c r="A22" s="158" t="s">
        <v>24</v>
      </c>
      <c r="B22" s="70" t="s">
        <v>796</v>
      </c>
      <c r="C22" s="70"/>
      <c r="D22" s="70" t="s">
        <v>25</v>
      </c>
      <c r="E22" s="71">
        <v>125</v>
      </c>
      <c r="F22" s="71">
        <v>125</v>
      </c>
      <c r="G22" s="76">
        <v>5</v>
      </c>
      <c r="H22" s="169">
        <v>0</v>
      </c>
      <c r="I22" s="169">
        <v>0</v>
      </c>
      <c r="J22" s="169">
        <v>0</v>
      </c>
      <c r="K22" s="76">
        <v>0</v>
      </c>
      <c r="L22" s="76">
        <f t="shared" si="0"/>
        <v>5</v>
      </c>
      <c r="M22" s="76">
        <v>5</v>
      </c>
      <c r="N22" s="76">
        <v>0</v>
      </c>
      <c r="O22" s="76">
        <v>0</v>
      </c>
      <c r="P22" s="76">
        <f t="shared" si="1"/>
        <v>5</v>
      </c>
      <c r="Q22" s="76">
        <f t="shared" si="2"/>
        <v>0</v>
      </c>
      <c r="R22" s="76"/>
      <c r="S22" s="56"/>
      <c r="T22" s="74">
        <f t="shared" si="3"/>
        <v>625</v>
      </c>
      <c r="U22" s="74">
        <v>0</v>
      </c>
      <c r="V22" s="74">
        <f t="shared" si="4"/>
        <v>0</v>
      </c>
      <c r="W22" s="74">
        <f t="shared" si="5"/>
        <v>0</v>
      </c>
      <c r="X22" s="74">
        <f t="shared" si="6"/>
        <v>0</v>
      </c>
      <c r="Y22" s="74">
        <f t="shared" si="7"/>
        <v>0</v>
      </c>
      <c r="Z22" s="74">
        <f t="shared" si="8"/>
        <v>625</v>
      </c>
      <c r="AA22" s="75">
        <f t="shared" si="9"/>
        <v>625</v>
      </c>
      <c r="AB22" s="75">
        <f t="shared" si="10"/>
        <v>0</v>
      </c>
      <c r="AC22" s="157"/>
    </row>
    <row r="23" spans="1:29" s="157" customFormat="1" ht="24" customHeight="1">
      <c r="A23" s="69" t="s">
        <v>26</v>
      </c>
      <c r="B23" s="70" t="s">
        <v>27</v>
      </c>
      <c r="C23" s="69"/>
      <c r="D23" s="70" t="s">
        <v>27</v>
      </c>
      <c r="E23" s="71">
        <v>325</v>
      </c>
      <c r="F23" s="71">
        <v>325</v>
      </c>
      <c r="G23" s="72">
        <v>0</v>
      </c>
      <c r="H23" s="73">
        <v>0</v>
      </c>
      <c r="I23" s="73">
        <v>0</v>
      </c>
      <c r="J23" s="73">
        <v>0</v>
      </c>
      <c r="K23" s="72">
        <v>0</v>
      </c>
      <c r="L23" s="72">
        <f t="shared" si="0"/>
        <v>0</v>
      </c>
      <c r="M23" s="72">
        <v>0</v>
      </c>
      <c r="N23" s="72">
        <v>0</v>
      </c>
      <c r="O23" s="72">
        <v>0</v>
      </c>
      <c r="P23" s="72">
        <f t="shared" si="1"/>
        <v>0</v>
      </c>
      <c r="Q23" s="72">
        <f t="shared" si="2"/>
        <v>0</v>
      </c>
      <c r="R23" s="72"/>
      <c r="S23" s="56"/>
      <c r="T23" s="74">
        <f t="shared" si="3"/>
        <v>0</v>
      </c>
      <c r="U23" s="74">
        <v>0</v>
      </c>
      <c r="V23" s="74">
        <f t="shared" si="4"/>
        <v>0</v>
      </c>
      <c r="W23" s="74">
        <f t="shared" si="5"/>
        <v>0</v>
      </c>
      <c r="X23" s="74">
        <f t="shared" si="6"/>
        <v>0</v>
      </c>
      <c r="Y23" s="74">
        <f t="shared" si="7"/>
        <v>0</v>
      </c>
      <c r="Z23" s="74">
        <f t="shared" si="8"/>
        <v>0</v>
      </c>
      <c r="AA23" s="75">
        <f t="shared" si="9"/>
        <v>0</v>
      </c>
      <c r="AB23" s="75">
        <f t="shared" si="10"/>
        <v>0</v>
      </c>
      <c r="AC23" s="53"/>
    </row>
    <row r="24" spans="1:29" ht="24">
      <c r="A24" s="69" t="s">
        <v>28</v>
      </c>
      <c r="B24" s="70" t="s">
        <v>29</v>
      </c>
      <c r="C24" s="69"/>
      <c r="D24" s="70" t="s">
        <v>29</v>
      </c>
      <c r="E24" s="71">
        <v>105.56</v>
      </c>
      <c r="F24" s="71">
        <v>105.56</v>
      </c>
      <c r="G24" s="72">
        <v>0</v>
      </c>
      <c r="H24" s="73">
        <v>0</v>
      </c>
      <c r="I24" s="73">
        <v>0</v>
      </c>
      <c r="J24" s="73">
        <v>0</v>
      </c>
      <c r="K24" s="72">
        <v>0</v>
      </c>
      <c r="L24" s="72">
        <f t="shared" si="0"/>
        <v>0</v>
      </c>
      <c r="M24" s="72">
        <v>0</v>
      </c>
      <c r="N24" s="72">
        <v>0</v>
      </c>
      <c r="O24" s="72">
        <v>0</v>
      </c>
      <c r="P24" s="72">
        <f t="shared" si="1"/>
        <v>0</v>
      </c>
      <c r="Q24" s="72">
        <f t="shared" si="2"/>
        <v>0</v>
      </c>
      <c r="R24" s="72"/>
      <c r="S24" s="56"/>
      <c r="T24" s="74">
        <f t="shared" si="3"/>
        <v>0</v>
      </c>
      <c r="U24" s="74">
        <v>0</v>
      </c>
      <c r="V24" s="74">
        <f t="shared" si="4"/>
        <v>0</v>
      </c>
      <c r="W24" s="74">
        <f t="shared" si="5"/>
        <v>0</v>
      </c>
      <c r="X24" s="74">
        <f t="shared" si="6"/>
        <v>0</v>
      </c>
      <c r="Y24" s="74">
        <f t="shared" si="7"/>
        <v>0</v>
      </c>
      <c r="Z24" s="74">
        <f t="shared" si="8"/>
        <v>0</v>
      </c>
      <c r="AA24" s="75">
        <f t="shared" si="9"/>
        <v>0</v>
      </c>
      <c r="AB24" s="75">
        <f t="shared" si="10"/>
        <v>0</v>
      </c>
    </row>
    <row r="25" spans="1:29" ht="24">
      <c r="A25" s="69" t="s">
        <v>30</v>
      </c>
      <c r="B25" s="70" t="s">
        <v>31</v>
      </c>
      <c r="C25" s="69"/>
      <c r="D25" s="70" t="s">
        <v>31</v>
      </c>
      <c r="E25" s="71">
        <v>105.56</v>
      </c>
      <c r="F25" s="71">
        <v>105.56</v>
      </c>
      <c r="G25" s="72">
        <v>0</v>
      </c>
      <c r="H25" s="73">
        <v>0</v>
      </c>
      <c r="I25" s="73">
        <v>0</v>
      </c>
      <c r="J25" s="73">
        <v>0</v>
      </c>
      <c r="K25" s="72">
        <v>0</v>
      </c>
      <c r="L25" s="72">
        <f t="shared" si="0"/>
        <v>0</v>
      </c>
      <c r="M25" s="72">
        <v>0</v>
      </c>
      <c r="N25" s="72">
        <v>0</v>
      </c>
      <c r="O25" s="72">
        <v>0</v>
      </c>
      <c r="P25" s="72">
        <f t="shared" si="1"/>
        <v>0</v>
      </c>
      <c r="Q25" s="72">
        <f t="shared" si="2"/>
        <v>0</v>
      </c>
      <c r="R25" s="72"/>
      <c r="S25" s="56"/>
      <c r="T25" s="74">
        <f t="shared" si="3"/>
        <v>0</v>
      </c>
      <c r="U25" s="74">
        <v>0</v>
      </c>
      <c r="V25" s="74">
        <f t="shared" si="4"/>
        <v>0</v>
      </c>
      <c r="W25" s="74">
        <f t="shared" si="5"/>
        <v>0</v>
      </c>
      <c r="X25" s="74">
        <f t="shared" si="6"/>
        <v>0</v>
      </c>
      <c r="Y25" s="74">
        <f t="shared" si="7"/>
        <v>0</v>
      </c>
      <c r="Z25" s="74">
        <f t="shared" si="8"/>
        <v>0</v>
      </c>
      <c r="AA25" s="75">
        <f t="shared" si="9"/>
        <v>0</v>
      </c>
      <c r="AB25" s="75">
        <f t="shared" si="10"/>
        <v>0</v>
      </c>
    </row>
    <row r="26" spans="1:29" ht="24">
      <c r="A26" s="69" t="s">
        <v>32</v>
      </c>
      <c r="B26" s="70" t="s">
        <v>33</v>
      </c>
      <c r="C26" s="69"/>
      <c r="D26" s="70" t="s">
        <v>33</v>
      </c>
      <c r="E26" s="71">
        <v>325</v>
      </c>
      <c r="F26" s="71">
        <v>325</v>
      </c>
      <c r="G26" s="72">
        <v>0</v>
      </c>
      <c r="H26" s="73">
        <v>0</v>
      </c>
      <c r="I26" s="73">
        <v>0</v>
      </c>
      <c r="J26" s="73">
        <v>0</v>
      </c>
      <c r="K26" s="72">
        <v>0</v>
      </c>
      <c r="L26" s="72">
        <f t="shared" si="0"/>
        <v>0</v>
      </c>
      <c r="M26" s="72">
        <v>0</v>
      </c>
      <c r="N26" s="72">
        <v>0</v>
      </c>
      <c r="O26" s="72">
        <v>0</v>
      </c>
      <c r="P26" s="72">
        <f t="shared" si="1"/>
        <v>0</v>
      </c>
      <c r="Q26" s="72">
        <f t="shared" si="2"/>
        <v>0</v>
      </c>
      <c r="R26" s="72"/>
      <c r="S26" s="56"/>
      <c r="T26" s="74">
        <f t="shared" si="3"/>
        <v>0</v>
      </c>
      <c r="U26" s="74">
        <v>0</v>
      </c>
      <c r="V26" s="74">
        <f t="shared" si="4"/>
        <v>0</v>
      </c>
      <c r="W26" s="74">
        <f t="shared" si="5"/>
        <v>0</v>
      </c>
      <c r="X26" s="74">
        <f t="shared" si="6"/>
        <v>0</v>
      </c>
      <c r="Y26" s="74">
        <f t="shared" si="7"/>
        <v>0</v>
      </c>
      <c r="Z26" s="74">
        <f t="shared" si="8"/>
        <v>0</v>
      </c>
      <c r="AA26" s="75">
        <f t="shared" si="9"/>
        <v>0</v>
      </c>
      <c r="AB26" s="75">
        <f t="shared" si="10"/>
        <v>0</v>
      </c>
    </row>
    <row r="27" spans="1:29" ht="24">
      <c r="A27" s="69" t="s">
        <v>34</v>
      </c>
      <c r="B27" s="70" t="s">
        <v>35</v>
      </c>
      <c r="C27" s="69"/>
      <c r="D27" s="70" t="s">
        <v>35</v>
      </c>
      <c r="E27" s="71">
        <v>263.58</v>
      </c>
      <c r="F27" s="71">
        <v>263.58</v>
      </c>
      <c r="G27" s="72">
        <v>15</v>
      </c>
      <c r="H27" s="73">
        <v>0</v>
      </c>
      <c r="I27" s="73">
        <v>0</v>
      </c>
      <c r="J27" s="73">
        <v>15</v>
      </c>
      <c r="K27" s="72">
        <v>0</v>
      </c>
      <c r="L27" s="72">
        <f t="shared" si="0"/>
        <v>0</v>
      </c>
      <c r="M27" s="72">
        <v>0</v>
      </c>
      <c r="N27" s="72">
        <v>0</v>
      </c>
      <c r="O27" s="72">
        <v>0</v>
      </c>
      <c r="P27" s="72">
        <f t="shared" si="1"/>
        <v>0</v>
      </c>
      <c r="Q27" s="72">
        <f t="shared" si="2"/>
        <v>0</v>
      </c>
      <c r="R27" s="72"/>
      <c r="S27" s="56"/>
      <c r="T27" s="74">
        <f t="shared" si="3"/>
        <v>3953.7</v>
      </c>
      <c r="U27" s="74">
        <v>0</v>
      </c>
      <c r="V27" s="74">
        <f t="shared" si="4"/>
        <v>0</v>
      </c>
      <c r="W27" s="74">
        <f t="shared" si="5"/>
        <v>0</v>
      </c>
      <c r="X27" s="74">
        <f t="shared" si="6"/>
        <v>3953.7</v>
      </c>
      <c r="Y27" s="74">
        <f t="shared" si="7"/>
        <v>0</v>
      </c>
      <c r="Z27" s="74">
        <f t="shared" si="8"/>
        <v>0</v>
      </c>
      <c r="AA27" s="75">
        <f t="shared" si="9"/>
        <v>0</v>
      </c>
      <c r="AB27" s="75">
        <f t="shared" si="10"/>
        <v>0</v>
      </c>
    </row>
    <row r="28" spans="1:29">
      <c r="A28" s="69" t="s">
        <v>36</v>
      </c>
      <c r="B28" s="70" t="s">
        <v>37</v>
      </c>
      <c r="C28" s="69"/>
      <c r="D28" s="70" t="s">
        <v>37</v>
      </c>
      <c r="E28" s="71">
        <v>0</v>
      </c>
      <c r="F28" s="71">
        <v>0</v>
      </c>
      <c r="G28" s="72">
        <v>0</v>
      </c>
      <c r="H28" s="73">
        <v>0</v>
      </c>
      <c r="I28" s="73">
        <v>0</v>
      </c>
      <c r="J28" s="73">
        <v>0</v>
      </c>
      <c r="K28" s="72">
        <v>0</v>
      </c>
      <c r="L28" s="72">
        <f t="shared" si="0"/>
        <v>0</v>
      </c>
      <c r="M28" s="72">
        <v>0</v>
      </c>
      <c r="N28" s="72">
        <v>0</v>
      </c>
      <c r="O28" s="72">
        <v>0</v>
      </c>
      <c r="P28" s="72">
        <f t="shared" si="1"/>
        <v>0</v>
      </c>
      <c r="Q28" s="72">
        <f t="shared" si="2"/>
        <v>0</v>
      </c>
      <c r="R28" s="72"/>
      <c r="S28" s="56"/>
      <c r="T28" s="74">
        <f t="shared" si="3"/>
        <v>0</v>
      </c>
      <c r="U28" s="74">
        <v>0</v>
      </c>
      <c r="V28" s="74">
        <f t="shared" si="4"/>
        <v>0</v>
      </c>
      <c r="W28" s="74">
        <f t="shared" si="5"/>
        <v>0</v>
      </c>
      <c r="X28" s="74">
        <f t="shared" si="6"/>
        <v>0</v>
      </c>
      <c r="Y28" s="74">
        <f t="shared" si="7"/>
        <v>0</v>
      </c>
      <c r="Z28" s="74">
        <f t="shared" si="8"/>
        <v>0</v>
      </c>
      <c r="AA28" s="75">
        <f t="shared" si="9"/>
        <v>0</v>
      </c>
      <c r="AB28" s="75">
        <f t="shared" si="10"/>
        <v>0</v>
      </c>
    </row>
    <row r="29" spans="1:29" ht="24">
      <c r="A29" s="69" t="s">
        <v>38</v>
      </c>
      <c r="B29" s="139" t="s">
        <v>701</v>
      </c>
      <c r="C29" s="139"/>
      <c r="D29" s="70" t="s">
        <v>39</v>
      </c>
      <c r="E29" s="71">
        <v>1010</v>
      </c>
      <c r="F29" s="71">
        <v>1010</v>
      </c>
      <c r="G29" s="72">
        <v>1</v>
      </c>
      <c r="H29" s="73">
        <v>0</v>
      </c>
      <c r="I29" s="73">
        <v>0</v>
      </c>
      <c r="J29" s="73">
        <v>0</v>
      </c>
      <c r="K29" s="72">
        <v>0</v>
      </c>
      <c r="L29" s="72">
        <f t="shared" si="0"/>
        <v>1</v>
      </c>
      <c r="M29" s="72">
        <v>1</v>
      </c>
      <c r="N29" s="72">
        <v>0</v>
      </c>
      <c r="O29" s="72">
        <v>0</v>
      </c>
      <c r="P29" s="72">
        <f t="shared" si="1"/>
        <v>1</v>
      </c>
      <c r="Q29" s="72">
        <f t="shared" si="2"/>
        <v>0</v>
      </c>
      <c r="R29" s="72"/>
      <c r="S29" s="56"/>
      <c r="T29" s="74">
        <f t="shared" si="3"/>
        <v>1010</v>
      </c>
      <c r="U29" s="74">
        <v>0</v>
      </c>
      <c r="V29" s="74">
        <f t="shared" si="4"/>
        <v>0</v>
      </c>
      <c r="W29" s="74">
        <f t="shared" si="5"/>
        <v>0</v>
      </c>
      <c r="X29" s="74">
        <f t="shared" si="6"/>
        <v>0</v>
      </c>
      <c r="Y29" s="74">
        <f t="shared" si="7"/>
        <v>0</v>
      </c>
      <c r="Z29" s="74">
        <f t="shared" si="8"/>
        <v>1010</v>
      </c>
      <c r="AA29" s="75">
        <f t="shared" si="9"/>
        <v>1010</v>
      </c>
      <c r="AB29" s="75">
        <f t="shared" si="10"/>
        <v>0</v>
      </c>
    </row>
    <row r="30" spans="1:29" ht="36">
      <c r="A30" s="69" t="s">
        <v>40</v>
      </c>
      <c r="B30" s="69" t="s">
        <v>739</v>
      </c>
      <c r="C30" s="69" t="s">
        <v>738</v>
      </c>
      <c r="D30" s="70" t="s">
        <v>41</v>
      </c>
      <c r="E30" s="71">
        <v>320</v>
      </c>
      <c r="F30" s="71">
        <v>320</v>
      </c>
      <c r="G30" s="72">
        <v>2</v>
      </c>
      <c r="H30" s="73">
        <v>0</v>
      </c>
      <c r="I30" s="73">
        <v>0</v>
      </c>
      <c r="J30" s="73">
        <v>0</v>
      </c>
      <c r="K30" s="72">
        <v>0</v>
      </c>
      <c r="L30" s="72">
        <f t="shared" si="0"/>
        <v>2</v>
      </c>
      <c r="M30" s="72">
        <v>2</v>
      </c>
      <c r="N30" s="72">
        <v>0</v>
      </c>
      <c r="O30" s="72">
        <v>0</v>
      </c>
      <c r="P30" s="72">
        <f t="shared" si="1"/>
        <v>2</v>
      </c>
      <c r="Q30" s="72">
        <f t="shared" si="2"/>
        <v>0</v>
      </c>
      <c r="R30" s="72"/>
      <c r="S30" s="56"/>
      <c r="T30" s="74">
        <f t="shared" si="3"/>
        <v>640</v>
      </c>
      <c r="U30" s="74">
        <v>0</v>
      </c>
      <c r="V30" s="74">
        <f t="shared" si="4"/>
        <v>0</v>
      </c>
      <c r="W30" s="74">
        <f t="shared" si="5"/>
        <v>0</v>
      </c>
      <c r="X30" s="74">
        <f t="shared" si="6"/>
        <v>0</v>
      </c>
      <c r="Y30" s="74">
        <f t="shared" si="7"/>
        <v>0</v>
      </c>
      <c r="Z30" s="74">
        <f t="shared" si="8"/>
        <v>640</v>
      </c>
      <c r="AA30" s="75">
        <f t="shared" si="9"/>
        <v>640</v>
      </c>
      <c r="AB30" s="75">
        <f t="shared" si="10"/>
        <v>0</v>
      </c>
    </row>
    <row r="31" spans="1:29" ht="36">
      <c r="A31" s="69" t="s">
        <v>42</v>
      </c>
      <c r="B31" s="69" t="s">
        <v>740</v>
      </c>
      <c r="C31" s="69" t="s">
        <v>737</v>
      </c>
      <c r="D31" s="70" t="s">
        <v>43</v>
      </c>
      <c r="E31" s="71">
        <v>1</v>
      </c>
      <c r="F31" s="71">
        <v>1</v>
      </c>
      <c r="G31" s="72">
        <v>10</v>
      </c>
      <c r="H31" s="73">
        <v>0</v>
      </c>
      <c r="I31" s="73">
        <v>0</v>
      </c>
      <c r="J31" s="73">
        <v>0</v>
      </c>
      <c r="K31" s="72">
        <v>0</v>
      </c>
      <c r="L31" s="72">
        <f t="shared" si="0"/>
        <v>10</v>
      </c>
      <c r="M31" s="72">
        <v>10</v>
      </c>
      <c r="N31" s="72">
        <v>0</v>
      </c>
      <c r="O31" s="72">
        <v>0</v>
      </c>
      <c r="P31" s="72">
        <f t="shared" si="1"/>
        <v>10</v>
      </c>
      <c r="Q31" s="72">
        <f t="shared" si="2"/>
        <v>0</v>
      </c>
      <c r="R31" s="72"/>
      <c r="S31" s="56"/>
      <c r="T31" s="74">
        <f t="shared" si="3"/>
        <v>10</v>
      </c>
      <c r="U31" s="74">
        <v>0</v>
      </c>
      <c r="V31" s="74">
        <f t="shared" si="4"/>
        <v>0</v>
      </c>
      <c r="W31" s="74">
        <f t="shared" si="5"/>
        <v>0</v>
      </c>
      <c r="X31" s="74">
        <f t="shared" si="6"/>
        <v>0</v>
      </c>
      <c r="Y31" s="74">
        <f t="shared" si="7"/>
        <v>0</v>
      </c>
      <c r="Z31" s="74">
        <f t="shared" si="8"/>
        <v>10</v>
      </c>
      <c r="AA31" s="75">
        <f t="shared" si="9"/>
        <v>10</v>
      </c>
      <c r="AB31" s="75">
        <f t="shared" si="10"/>
        <v>0</v>
      </c>
    </row>
    <row r="32" spans="1:29" ht="36">
      <c r="A32" s="69" t="s">
        <v>44</v>
      </c>
      <c r="B32" s="70" t="s">
        <v>45</v>
      </c>
      <c r="C32" s="69"/>
      <c r="D32" s="70" t="s">
        <v>45</v>
      </c>
      <c r="E32" s="71">
        <v>217.5</v>
      </c>
      <c r="F32" s="71">
        <v>217.5</v>
      </c>
      <c r="G32" s="72">
        <v>4</v>
      </c>
      <c r="H32" s="73">
        <v>0</v>
      </c>
      <c r="I32" s="73">
        <v>0</v>
      </c>
      <c r="J32" s="73">
        <v>0</v>
      </c>
      <c r="K32" s="72">
        <v>0</v>
      </c>
      <c r="L32" s="72">
        <f t="shared" si="0"/>
        <v>4</v>
      </c>
      <c r="M32" s="72">
        <v>4</v>
      </c>
      <c r="N32" s="72">
        <v>0</v>
      </c>
      <c r="O32" s="72">
        <v>0</v>
      </c>
      <c r="P32" s="72">
        <f t="shared" si="1"/>
        <v>4</v>
      </c>
      <c r="Q32" s="72">
        <f t="shared" si="2"/>
        <v>0</v>
      </c>
      <c r="R32" s="72"/>
      <c r="S32" s="56"/>
      <c r="T32" s="74">
        <f t="shared" si="3"/>
        <v>870</v>
      </c>
      <c r="U32" s="74">
        <v>0</v>
      </c>
      <c r="V32" s="74">
        <f t="shared" si="4"/>
        <v>0</v>
      </c>
      <c r="W32" s="74">
        <f t="shared" si="5"/>
        <v>0</v>
      </c>
      <c r="X32" s="74">
        <f t="shared" si="6"/>
        <v>0</v>
      </c>
      <c r="Y32" s="74">
        <f t="shared" si="7"/>
        <v>0</v>
      </c>
      <c r="Z32" s="74">
        <f t="shared" si="8"/>
        <v>870</v>
      </c>
      <c r="AA32" s="75">
        <f t="shared" si="9"/>
        <v>870</v>
      </c>
      <c r="AB32" s="75">
        <f t="shared" si="10"/>
        <v>0</v>
      </c>
    </row>
    <row r="33" spans="1:29" ht="24">
      <c r="A33" s="69" t="s">
        <v>46</v>
      </c>
      <c r="B33" s="140" t="s">
        <v>702</v>
      </c>
      <c r="C33" s="140"/>
      <c r="D33" s="70" t="s">
        <v>47</v>
      </c>
      <c r="E33" s="71">
        <v>1193.5</v>
      </c>
      <c r="F33" s="71">
        <v>1193.5</v>
      </c>
      <c r="G33" s="72">
        <v>1</v>
      </c>
      <c r="H33" s="73">
        <v>0</v>
      </c>
      <c r="I33" s="73">
        <v>0</v>
      </c>
      <c r="J33" s="73">
        <v>0</v>
      </c>
      <c r="K33" s="72">
        <v>0</v>
      </c>
      <c r="L33" s="72">
        <f t="shared" si="0"/>
        <v>1</v>
      </c>
      <c r="M33" s="72">
        <v>1</v>
      </c>
      <c r="N33" s="72">
        <v>0</v>
      </c>
      <c r="O33" s="72">
        <v>0</v>
      </c>
      <c r="P33" s="72">
        <f t="shared" si="1"/>
        <v>1</v>
      </c>
      <c r="Q33" s="72">
        <f t="shared" si="2"/>
        <v>0</v>
      </c>
      <c r="R33" s="72"/>
      <c r="S33" s="56"/>
      <c r="T33" s="74">
        <f t="shared" si="3"/>
        <v>1193.5</v>
      </c>
      <c r="U33" s="74">
        <v>0</v>
      </c>
      <c r="V33" s="74">
        <f t="shared" si="4"/>
        <v>0</v>
      </c>
      <c r="W33" s="74">
        <f t="shared" si="5"/>
        <v>0</v>
      </c>
      <c r="X33" s="74">
        <f t="shared" si="6"/>
        <v>0</v>
      </c>
      <c r="Y33" s="74">
        <f t="shared" si="7"/>
        <v>0</v>
      </c>
      <c r="Z33" s="74">
        <f t="shared" si="8"/>
        <v>1193.5</v>
      </c>
      <c r="AA33" s="75">
        <f t="shared" si="9"/>
        <v>1193.5</v>
      </c>
      <c r="AB33" s="75">
        <f t="shared" si="10"/>
        <v>0</v>
      </c>
    </row>
    <row r="34" spans="1:29" s="157" customFormat="1">
      <c r="A34" s="69" t="s">
        <v>48</v>
      </c>
      <c r="B34" s="70" t="s">
        <v>49</v>
      </c>
      <c r="C34" s="69"/>
      <c r="D34" s="70" t="s">
        <v>49</v>
      </c>
      <c r="E34" s="71">
        <v>580</v>
      </c>
      <c r="F34" s="71">
        <v>580</v>
      </c>
      <c r="G34" s="72">
        <v>0</v>
      </c>
      <c r="H34" s="73">
        <v>0</v>
      </c>
      <c r="I34" s="73">
        <v>0</v>
      </c>
      <c r="J34" s="73">
        <v>0</v>
      </c>
      <c r="K34" s="72">
        <v>0</v>
      </c>
      <c r="L34" s="72">
        <f t="shared" si="0"/>
        <v>0</v>
      </c>
      <c r="M34" s="72">
        <v>0</v>
      </c>
      <c r="N34" s="72">
        <v>0</v>
      </c>
      <c r="O34" s="72">
        <v>0</v>
      </c>
      <c r="P34" s="72">
        <f t="shared" si="1"/>
        <v>0</v>
      </c>
      <c r="Q34" s="72">
        <f t="shared" si="2"/>
        <v>0</v>
      </c>
      <c r="R34" s="72"/>
      <c r="S34" s="56"/>
      <c r="T34" s="74">
        <f t="shared" si="3"/>
        <v>0</v>
      </c>
      <c r="U34" s="74">
        <v>0</v>
      </c>
      <c r="V34" s="74">
        <f t="shared" si="4"/>
        <v>0</v>
      </c>
      <c r="W34" s="74">
        <f t="shared" si="5"/>
        <v>0</v>
      </c>
      <c r="X34" s="74">
        <f t="shared" si="6"/>
        <v>0</v>
      </c>
      <c r="Y34" s="74">
        <f t="shared" si="7"/>
        <v>0</v>
      </c>
      <c r="Z34" s="74">
        <f t="shared" si="8"/>
        <v>0</v>
      </c>
      <c r="AA34" s="75">
        <f t="shared" si="9"/>
        <v>0</v>
      </c>
      <c r="AB34" s="75">
        <f t="shared" si="10"/>
        <v>0</v>
      </c>
      <c r="AC34" s="53"/>
    </row>
    <row r="35" spans="1:29" ht="36">
      <c r="A35" s="69" t="s">
        <v>50</v>
      </c>
      <c r="B35" s="140" t="s">
        <v>797</v>
      </c>
      <c r="C35" s="140"/>
      <c r="D35" s="70" t="s">
        <v>51</v>
      </c>
      <c r="E35" s="71">
        <v>700</v>
      </c>
      <c r="F35" s="71">
        <v>700</v>
      </c>
      <c r="G35" s="72">
        <v>2</v>
      </c>
      <c r="H35" s="73">
        <v>0</v>
      </c>
      <c r="I35" s="73">
        <v>0</v>
      </c>
      <c r="J35" s="73">
        <v>0</v>
      </c>
      <c r="K35" s="72">
        <v>0</v>
      </c>
      <c r="L35" s="72">
        <f t="shared" si="0"/>
        <v>2</v>
      </c>
      <c r="M35" s="72">
        <v>2</v>
      </c>
      <c r="N35" s="72">
        <v>0</v>
      </c>
      <c r="O35" s="72">
        <v>0</v>
      </c>
      <c r="P35" s="72">
        <f t="shared" si="1"/>
        <v>2</v>
      </c>
      <c r="Q35" s="72">
        <f t="shared" si="2"/>
        <v>0</v>
      </c>
      <c r="R35" s="72"/>
      <c r="S35" s="56"/>
      <c r="T35" s="74">
        <f t="shared" si="3"/>
        <v>1400</v>
      </c>
      <c r="U35" s="74">
        <v>0</v>
      </c>
      <c r="V35" s="74">
        <f t="shared" si="4"/>
        <v>0</v>
      </c>
      <c r="W35" s="74">
        <f t="shared" si="5"/>
        <v>0</v>
      </c>
      <c r="X35" s="74">
        <f t="shared" si="6"/>
        <v>0</v>
      </c>
      <c r="Y35" s="74">
        <f t="shared" si="7"/>
        <v>0</v>
      </c>
      <c r="Z35" s="74">
        <f t="shared" si="8"/>
        <v>1400</v>
      </c>
      <c r="AA35" s="75">
        <f t="shared" si="9"/>
        <v>1400</v>
      </c>
      <c r="AB35" s="75">
        <f t="shared" si="10"/>
        <v>0</v>
      </c>
    </row>
    <row r="36" spans="1:29">
      <c r="A36" s="69" t="s">
        <v>52</v>
      </c>
      <c r="B36" s="140" t="s">
        <v>766</v>
      </c>
      <c r="C36" s="140"/>
      <c r="D36" s="70" t="s">
        <v>53</v>
      </c>
      <c r="E36" s="71">
        <v>1020</v>
      </c>
      <c r="F36" s="71">
        <v>1020</v>
      </c>
      <c r="G36" s="72">
        <v>1</v>
      </c>
      <c r="H36" s="73">
        <v>0</v>
      </c>
      <c r="I36" s="73">
        <v>0</v>
      </c>
      <c r="J36" s="73">
        <v>0</v>
      </c>
      <c r="K36" s="72">
        <v>0</v>
      </c>
      <c r="L36" s="72">
        <f t="shared" si="0"/>
        <v>1</v>
      </c>
      <c r="M36" s="72">
        <v>1</v>
      </c>
      <c r="N36" s="72">
        <v>0</v>
      </c>
      <c r="O36" s="72">
        <v>0</v>
      </c>
      <c r="P36" s="72">
        <f t="shared" si="1"/>
        <v>1</v>
      </c>
      <c r="Q36" s="72">
        <f t="shared" si="2"/>
        <v>0</v>
      </c>
      <c r="R36" s="72"/>
      <c r="S36" s="56"/>
      <c r="T36" s="74">
        <f t="shared" si="3"/>
        <v>1020</v>
      </c>
      <c r="U36" s="74">
        <v>0</v>
      </c>
      <c r="V36" s="74">
        <f t="shared" si="4"/>
        <v>0</v>
      </c>
      <c r="W36" s="74">
        <f t="shared" si="5"/>
        <v>0</v>
      </c>
      <c r="X36" s="74">
        <f t="shared" si="6"/>
        <v>0</v>
      </c>
      <c r="Y36" s="74">
        <f t="shared" si="7"/>
        <v>0</v>
      </c>
      <c r="Z36" s="74">
        <f t="shared" si="8"/>
        <v>1020</v>
      </c>
      <c r="AA36" s="75">
        <f t="shared" si="9"/>
        <v>1020</v>
      </c>
      <c r="AB36" s="75">
        <f t="shared" si="10"/>
        <v>0</v>
      </c>
    </row>
    <row r="37" spans="1:29" ht="24">
      <c r="A37" s="69" t="s">
        <v>54</v>
      </c>
      <c r="B37" s="70" t="s">
        <v>55</v>
      </c>
      <c r="C37" s="69"/>
      <c r="D37" s="70" t="s">
        <v>55</v>
      </c>
      <c r="E37" s="71">
        <v>253</v>
      </c>
      <c r="F37" s="71">
        <v>253</v>
      </c>
      <c r="G37" s="72">
        <v>0</v>
      </c>
      <c r="H37" s="73">
        <v>0</v>
      </c>
      <c r="I37" s="73">
        <v>0</v>
      </c>
      <c r="J37" s="73">
        <v>0</v>
      </c>
      <c r="K37" s="72">
        <v>0</v>
      </c>
      <c r="L37" s="72">
        <f t="shared" si="0"/>
        <v>0</v>
      </c>
      <c r="M37" s="72">
        <v>0</v>
      </c>
      <c r="N37" s="72">
        <v>0</v>
      </c>
      <c r="O37" s="72">
        <v>0</v>
      </c>
      <c r="P37" s="72">
        <f t="shared" si="1"/>
        <v>0</v>
      </c>
      <c r="Q37" s="72">
        <f t="shared" si="2"/>
        <v>0</v>
      </c>
      <c r="R37" s="72"/>
      <c r="S37" s="56"/>
      <c r="T37" s="74">
        <f t="shared" si="3"/>
        <v>0</v>
      </c>
      <c r="U37" s="74">
        <v>0</v>
      </c>
      <c r="V37" s="74">
        <f t="shared" si="4"/>
        <v>0</v>
      </c>
      <c r="W37" s="74">
        <f t="shared" si="5"/>
        <v>0</v>
      </c>
      <c r="X37" s="74">
        <f t="shared" si="6"/>
        <v>0</v>
      </c>
      <c r="Y37" s="74">
        <f t="shared" si="7"/>
        <v>0</v>
      </c>
      <c r="Z37" s="74">
        <f t="shared" si="8"/>
        <v>0</v>
      </c>
      <c r="AA37" s="75">
        <f t="shared" si="9"/>
        <v>0</v>
      </c>
      <c r="AB37" s="75">
        <f t="shared" si="10"/>
        <v>0</v>
      </c>
    </row>
    <row r="38" spans="1:29" ht="36">
      <c r="A38" s="69" t="s">
        <v>58</v>
      </c>
      <c r="B38" s="70" t="s">
        <v>59</v>
      </c>
      <c r="C38" s="69"/>
      <c r="D38" s="70" t="s">
        <v>59</v>
      </c>
      <c r="E38" s="71">
        <v>190.5</v>
      </c>
      <c r="F38" s="71">
        <v>190.5</v>
      </c>
      <c r="G38" s="72">
        <v>0</v>
      </c>
      <c r="H38" s="73">
        <v>0</v>
      </c>
      <c r="I38" s="73">
        <v>0</v>
      </c>
      <c r="J38" s="73">
        <v>0</v>
      </c>
      <c r="K38" s="72">
        <v>0</v>
      </c>
      <c r="L38" s="72">
        <f t="shared" si="0"/>
        <v>0</v>
      </c>
      <c r="M38" s="72">
        <v>0</v>
      </c>
      <c r="N38" s="72">
        <v>0</v>
      </c>
      <c r="O38" s="72">
        <v>0</v>
      </c>
      <c r="P38" s="72">
        <f t="shared" si="1"/>
        <v>0</v>
      </c>
      <c r="Q38" s="72">
        <f t="shared" si="2"/>
        <v>0</v>
      </c>
      <c r="R38" s="72"/>
      <c r="S38" s="56"/>
      <c r="T38" s="74">
        <f t="shared" si="3"/>
        <v>0</v>
      </c>
      <c r="U38" s="74">
        <v>0</v>
      </c>
      <c r="V38" s="74">
        <f t="shared" si="4"/>
        <v>0</v>
      </c>
      <c r="W38" s="74">
        <f t="shared" si="5"/>
        <v>0</v>
      </c>
      <c r="X38" s="74">
        <f t="shared" si="6"/>
        <v>0</v>
      </c>
      <c r="Y38" s="74">
        <f t="shared" si="7"/>
        <v>0</v>
      </c>
      <c r="Z38" s="74">
        <f t="shared" si="8"/>
        <v>0</v>
      </c>
      <c r="AA38" s="75">
        <f t="shared" si="9"/>
        <v>0</v>
      </c>
      <c r="AB38" s="75">
        <f t="shared" si="10"/>
        <v>0</v>
      </c>
    </row>
    <row r="39" spans="1:29" ht="21" customHeight="1">
      <c r="A39" s="69" t="s">
        <v>60</v>
      </c>
      <c r="B39" s="70" t="s">
        <v>61</v>
      </c>
      <c r="C39" s="69"/>
      <c r="D39" s="70" t="s">
        <v>61</v>
      </c>
      <c r="E39" s="71">
        <v>440</v>
      </c>
      <c r="F39" s="71">
        <v>440</v>
      </c>
      <c r="G39" s="72">
        <v>0</v>
      </c>
      <c r="H39" s="73">
        <v>0</v>
      </c>
      <c r="I39" s="73">
        <v>0</v>
      </c>
      <c r="J39" s="73">
        <v>0</v>
      </c>
      <c r="K39" s="72">
        <v>0</v>
      </c>
      <c r="L39" s="72">
        <f t="shared" si="0"/>
        <v>0</v>
      </c>
      <c r="M39" s="72">
        <v>0</v>
      </c>
      <c r="N39" s="72">
        <v>0</v>
      </c>
      <c r="O39" s="72">
        <v>0</v>
      </c>
      <c r="P39" s="72">
        <f t="shared" si="1"/>
        <v>0</v>
      </c>
      <c r="Q39" s="72">
        <f t="shared" si="2"/>
        <v>0</v>
      </c>
      <c r="R39" s="72"/>
      <c r="S39" s="56"/>
      <c r="T39" s="74">
        <f t="shared" si="3"/>
        <v>0</v>
      </c>
      <c r="U39" s="74">
        <v>0</v>
      </c>
      <c r="V39" s="74">
        <f t="shared" si="4"/>
        <v>0</v>
      </c>
      <c r="W39" s="74">
        <f t="shared" si="5"/>
        <v>0</v>
      </c>
      <c r="X39" s="74">
        <f t="shared" si="6"/>
        <v>0</v>
      </c>
      <c r="Y39" s="74">
        <f t="shared" si="7"/>
        <v>0</v>
      </c>
      <c r="Z39" s="74">
        <f t="shared" si="8"/>
        <v>0</v>
      </c>
      <c r="AA39" s="75">
        <f t="shared" ref="AA39:AA70" si="11">L39*F39</f>
        <v>0</v>
      </c>
      <c r="AB39" s="75">
        <f t="shared" ref="AB39:AB70" si="12">AA39-Z39</f>
        <v>0</v>
      </c>
    </row>
    <row r="40" spans="1:29" ht="22.5" customHeight="1">
      <c r="A40" s="69" t="s">
        <v>62</v>
      </c>
      <c r="B40" s="70" t="s">
        <v>63</v>
      </c>
      <c r="C40" s="69"/>
      <c r="D40" s="70" t="s">
        <v>63</v>
      </c>
      <c r="E40" s="71">
        <v>34.4</v>
      </c>
      <c r="F40" s="71">
        <v>34.4</v>
      </c>
      <c r="G40" s="72">
        <v>2</v>
      </c>
      <c r="H40" s="73">
        <v>0</v>
      </c>
      <c r="I40" s="73">
        <v>0</v>
      </c>
      <c r="J40" s="73">
        <v>2</v>
      </c>
      <c r="K40" s="72">
        <v>0</v>
      </c>
      <c r="L40" s="72">
        <f t="shared" si="0"/>
        <v>0</v>
      </c>
      <c r="M40" s="72">
        <v>0</v>
      </c>
      <c r="N40" s="72">
        <v>0</v>
      </c>
      <c r="O40" s="72">
        <v>0</v>
      </c>
      <c r="P40" s="72">
        <f t="shared" si="1"/>
        <v>0</v>
      </c>
      <c r="Q40" s="72">
        <f t="shared" si="2"/>
        <v>0</v>
      </c>
      <c r="R40" s="72"/>
      <c r="S40" s="56"/>
      <c r="T40" s="74">
        <f t="shared" si="3"/>
        <v>68.8</v>
      </c>
      <c r="U40" s="74">
        <v>0</v>
      </c>
      <c r="V40" s="74">
        <f t="shared" si="4"/>
        <v>0</v>
      </c>
      <c r="W40" s="74">
        <f t="shared" si="5"/>
        <v>0</v>
      </c>
      <c r="X40" s="74">
        <f t="shared" si="6"/>
        <v>68.8</v>
      </c>
      <c r="Y40" s="74">
        <f t="shared" si="7"/>
        <v>0</v>
      </c>
      <c r="Z40" s="74">
        <f t="shared" si="8"/>
        <v>0</v>
      </c>
      <c r="AA40" s="75">
        <f t="shared" si="11"/>
        <v>0</v>
      </c>
      <c r="AB40" s="75">
        <f t="shared" si="12"/>
        <v>0</v>
      </c>
    </row>
    <row r="41" spans="1:29" ht="48">
      <c r="A41" s="69" t="s">
        <v>64</v>
      </c>
      <c r="B41" s="70" t="s">
        <v>65</v>
      </c>
      <c r="C41" s="69"/>
      <c r="D41" s="70" t="s">
        <v>65</v>
      </c>
      <c r="E41" s="71">
        <v>34.479999999999997</v>
      </c>
      <c r="F41" s="71">
        <v>34.479999999999997</v>
      </c>
      <c r="G41" s="72">
        <v>2</v>
      </c>
      <c r="H41" s="73">
        <v>0</v>
      </c>
      <c r="I41" s="73">
        <v>0</v>
      </c>
      <c r="J41" s="73">
        <v>2</v>
      </c>
      <c r="K41" s="72">
        <v>0</v>
      </c>
      <c r="L41" s="72">
        <f t="shared" si="0"/>
        <v>0</v>
      </c>
      <c r="M41" s="72">
        <v>0</v>
      </c>
      <c r="N41" s="72">
        <v>0</v>
      </c>
      <c r="O41" s="72">
        <v>0</v>
      </c>
      <c r="P41" s="72">
        <f t="shared" si="1"/>
        <v>0</v>
      </c>
      <c r="Q41" s="72">
        <f t="shared" si="2"/>
        <v>0</v>
      </c>
      <c r="R41" s="72"/>
      <c r="S41" s="56"/>
      <c r="T41" s="74">
        <f t="shared" si="3"/>
        <v>68.959999999999994</v>
      </c>
      <c r="U41" s="74">
        <v>0</v>
      </c>
      <c r="V41" s="74">
        <f t="shared" si="4"/>
        <v>0</v>
      </c>
      <c r="W41" s="74">
        <f t="shared" si="5"/>
        <v>0</v>
      </c>
      <c r="X41" s="74">
        <f t="shared" si="6"/>
        <v>68.959999999999994</v>
      </c>
      <c r="Y41" s="74">
        <f t="shared" si="7"/>
        <v>0</v>
      </c>
      <c r="Z41" s="74">
        <f t="shared" si="8"/>
        <v>0</v>
      </c>
      <c r="AA41" s="75">
        <f t="shared" si="11"/>
        <v>0</v>
      </c>
      <c r="AB41" s="75">
        <f t="shared" si="12"/>
        <v>0</v>
      </c>
    </row>
    <row r="42" spans="1:29" ht="24">
      <c r="A42" s="69" t="s">
        <v>66</v>
      </c>
      <c r="B42" s="70" t="s">
        <v>67</v>
      </c>
      <c r="C42" s="69"/>
      <c r="D42" s="70" t="s">
        <v>67</v>
      </c>
      <c r="E42" s="71">
        <v>0</v>
      </c>
      <c r="F42" s="71">
        <v>0</v>
      </c>
      <c r="G42" s="72">
        <v>0</v>
      </c>
      <c r="H42" s="73">
        <v>0</v>
      </c>
      <c r="I42" s="73">
        <v>0</v>
      </c>
      <c r="J42" s="73">
        <v>0</v>
      </c>
      <c r="K42" s="72">
        <v>0</v>
      </c>
      <c r="L42" s="72">
        <f t="shared" si="0"/>
        <v>0</v>
      </c>
      <c r="M42" s="72">
        <v>0</v>
      </c>
      <c r="N42" s="72">
        <v>0</v>
      </c>
      <c r="O42" s="72">
        <v>0</v>
      </c>
      <c r="P42" s="72">
        <f t="shared" si="1"/>
        <v>0</v>
      </c>
      <c r="Q42" s="72">
        <f t="shared" si="2"/>
        <v>0</v>
      </c>
      <c r="R42" s="72"/>
      <c r="S42" s="56"/>
      <c r="T42" s="74">
        <f t="shared" si="3"/>
        <v>0</v>
      </c>
      <c r="U42" s="74">
        <v>0</v>
      </c>
      <c r="V42" s="74">
        <f t="shared" si="4"/>
        <v>0</v>
      </c>
      <c r="W42" s="74">
        <f t="shared" si="5"/>
        <v>0</v>
      </c>
      <c r="X42" s="74">
        <f t="shared" si="6"/>
        <v>0</v>
      </c>
      <c r="Y42" s="74">
        <f t="shared" si="7"/>
        <v>0</v>
      </c>
      <c r="Z42" s="74">
        <f t="shared" si="8"/>
        <v>0</v>
      </c>
      <c r="AA42" s="75">
        <f t="shared" si="11"/>
        <v>0</v>
      </c>
      <c r="AB42" s="75">
        <f t="shared" si="12"/>
        <v>0</v>
      </c>
    </row>
    <row r="43" spans="1:29" ht="36">
      <c r="A43" s="69" t="s">
        <v>68</v>
      </c>
      <c r="B43" s="70" t="s">
        <v>69</v>
      </c>
      <c r="C43" s="69"/>
      <c r="D43" s="70" t="s">
        <v>69</v>
      </c>
      <c r="E43" s="71">
        <v>4500</v>
      </c>
      <c r="F43" s="71">
        <v>4500</v>
      </c>
      <c r="G43" s="72">
        <v>0</v>
      </c>
      <c r="H43" s="73">
        <v>0</v>
      </c>
      <c r="I43" s="73">
        <v>0</v>
      </c>
      <c r="J43" s="73">
        <v>0</v>
      </c>
      <c r="K43" s="72">
        <v>0</v>
      </c>
      <c r="L43" s="72">
        <f t="shared" si="0"/>
        <v>0</v>
      </c>
      <c r="M43" s="72">
        <v>0</v>
      </c>
      <c r="N43" s="72">
        <v>0</v>
      </c>
      <c r="O43" s="72">
        <v>0</v>
      </c>
      <c r="P43" s="72">
        <f t="shared" si="1"/>
        <v>0</v>
      </c>
      <c r="Q43" s="72">
        <f t="shared" si="2"/>
        <v>0</v>
      </c>
      <c r="R43" s="72"/>
      <c r="S43" s="56"/>
      <c r="T43" s="74">
        <f t="shared" si="3"/>
        <v>0</v>
      </c>
      <c r="U43" s="74">
        <v>0</v>
      </c>
      <c r="V43" s="74">
        <f t="shared" si="4"/>
        <v>0</v>
      </c>
      <c r="W43" s="74">
        <f t="shared" si="5"/>
        <v>0</v>
      </c>
      <c r="X43" s="74">
        <f t="shared" si="6"/>
        <v>0</v>
      </c>
      <c r="Y43" s="74">
        <f t="shared" si="7"/>
        <v>0</v>
      </c>
      <c r="Z43" s="74">
        <f t="shared" si="8"/>
        <v>0</v>
      </c>
      <c r="AA43" s="75">
        <f t="shared" si="11"/>
        <v>0</v>
      </c>
      <c r="AB43" s="75">
        <f t="shared" si="12"/>
        <v>0</v>
      </c>
    </row>
    <row r="44" spans="1:29" ht="24">
      <c r="A44" s="69" t="s">
        <v>70</v>
      </c>
      <c r="B44" s="139" t="s">
        <v>742</v>
      </c>
      <c r="C44" s="139"/>
      <c r="D44" s="70" t="s">
        <v>71</v>
      </c>
      <c r="E44" s="71">
        <v>250</v>
      </c>
      <c r="F44" s="71">
        <v>250</v>
      </c>
      <c r="G44" s="72">
        <v>1</v>
      </c>
      <c r="H44" s="73">
        <v>0</v>
      </c>
      <c r="I44" s="73">
        <v>0</v>
      </c>
      <c r="J44" s="73">
        <v>0</v>
      </c>
      <c r="K44" s="72">
        <v>0</v>
      </c>
      <c r="L44" s="72">
        <f t="shared" si="0"/>
        <v>1</v>
      </c>
      <c r="M44" s="72">
        <v>1</v>
      </c>
      <c r="N44" s="72">
        <v>0</v>
      </c>
      <c r="O44" s="72">
        <v>0</v>
      </c>
      <c r="P44" s="72">
        <f t="shared" si="1"/>
        <v>1</v>
      </c>
      <c r="Q44" s="72">
        <f t="shared" si="2"/>
        <v>0</v>
      </c>
      <c r="R44" s="72"/>
      <c r="S44" s="56"/>
      <c r="T44" s="74">
        <f t="shared" si="3"/>
        <v>250</v>
      </c>
      <c r="U44" s="74">
        <v>0</v>
      </c>
      <c r="V44" s="74">
        <f t="shared" si="4"/>
        <v>0</v>
      </c>
      <c r="W44" s="74">
        <f t="shared" si="5"/>
        <v>0</v>
      </c>
      <c r="X44" s="74">
        <f t="shared" si="6"/>
        <v>0</v>
      </c>
      <c r="Y44" s="74">
        <f t="shared" si="7"/>
        <v>0</v>
      </c>
      <c r="Z44" s="74">
        <f t="shared" si="8"/>
        <v>250</v>
      </c>
      <c r="AA44" s="75">
        <f t="shared" si="11"/>
        <v>250</v>
      </c>
      <c r="AB44" s="75">
        <f t="shared" si="12"/>
        <v>0</v>
      </c>
    </row>
    <row r="45" spans="1:29" ht="36">
      <c r="A45" s="69" t="s">
        <v>72</v>
      </c>
      <c r="B45" s="70" t="s">
        <v>73</v>
      </c>
      <c r="C45" s="69"/>
      <c r="D45" s="70" t="s">
        <v>73</v>
      </c>
      <c r="E45" s="71">
        <v>420.61275000000001</v>
      </c>
      <c r="F45" s="71">
        <v>420.61275000000001</v>
      </c>
      <c r="G45" s="72">
        <v>0</v>
      </c>
      <c r="H45" s="73">
        <v>0</v>
      </c>
      <c r="I45" s="73">
        <v>0</v>
      </c>
      <c r="J45" s="73">
        <v>0</v>
      </c>
      <c r="K45" s="72">
        <v>0</v>
      </c>
      <c r="L45" s="72">
        <f t="shared" si="0"/>
        <v>0</v>
      </c>
      <c r="M45" s="72">
        <v>0</v>
      </c>
      <c r="N45" s="72">
        <v>0</v>
      </c>
      <c r="O45" s="72">
        <v>0</v>
      </c>
      <c r="P45" s="72">
        <f t="shared" si="1"/>
        <v>0</v>
      </c>
      <c r="Q45" s="72">
        <f t="shared" si="2"/>
        <v>0</v>
      </c>
      <c r="R45" s="72"/>
      <c r="S45" s="56"/>
      <c r="T45" s="74">
        <f t="shared" si="3"/>
        <v>0</v>
      </c>
      <c r="U45" s="74">
        <v>0</v>
      </c>
      <c r="V45" s="74">
        <f t="shared" si="4"/>
        <v>0</v>
      </c>
      <c r="W45" s="74">
        <f t="shared" si="5"/>
        <v>0</v>
      </c>
      <c r="X45" s="74">
        <f t="shared" si="6"/>
        <v>0</v>
      </c>
      <c r="Y45" s="74">
        <f t="shared" si="7"/>
        <v>0</v>
      </c>
      <c r="Z45" s="74">
        <f t="shared" si="8"/>
        <v>0</v>
      </c>
      <c r="AA45" s="75">
        <f t="shared" si="11"/>
        <v>0</v>
      </c>
      <c r="AB45" s="75">
        <f t="shared" si="12"/>
        <v>0</v>
      </c>
    </row>
    <row r="46" spans="1:29" ht="24">
      <c r="A46" s="69" t="s">
        <v>74</v>
      </c>
      <c r="B46" s="70" t="s">
        <v>75</v>
      </c>
      <c r="C46" s="69"/>
      <c r="D46" s="70" t="s">
        <v>75</v>
      </c>
      <c r="E46" s="71">
        <v>0</v>
      </c>
      <c r="F46" s="71">
        <v>0</v>
      </c>
      <c r="G46" s="72">
        <v>0</v>
      </c>
      <c r="H46" s="73">
        <v>0</v>
      </c>
      <c r="I46" s="73">
        <v>0</v>
      </c>
      <c r="J46" s="73">
        <v>0</v>
      </c>
      <c r="K46" s="72">
        <v>0</v>
      </c>
      <c r="L46" s="72">
        <f t="shared" si="0"/>
        <v>0</v>
      </c>
      <c r="M46" s="72">
        <v>0</v>
      </c>
      <c r="N46" s="72">
        <v>0</v>
      </c>
      <c r="O46" s="72">
        <v>0</v>
      </c>
      <c r="P46" s="72">
        <f t="shared" si="1"/>
        <v>0</v>
      </c>
      <c r="Q46" s="72">
        <f t="shared" si="2"/>
        <v>0</v>
      </c>
      <c r="R46" s="72"/>
      <c r="S46" s="56"/>
      <c r="T46" s="74">
        <f t="shared" si="3"/>
        <v>0</v>
      </c>
      <c r="U46" s="74">
        <v>0</v>
      </c>
      <c r="V46" s="74">
        <f t="shared" si="4"/>
        <v>0</v>
      </c>
      <c r="W46" s="74">
        <f t="shared" si="5"/>
        <v>0</v>
      </c>
      <c r="X46" s="74">
        <f t="shared" si="6"/>
        <v>0</v>
      </c>
      <c r="Y46" s="74">
        <f t="shared" si="7"/>
        <v>0</v>
      </c>
      <c r="Z46" s="74">
        <f t="shared" si="8"/>
        <v>0</v>
      </c>
      <c r="AA46" s="75">
        <f t="shared" si="11"/>
        <v>0</v>
      </c>
      <c r="AB46" s="75">
        <f t="shared" si="12"/>
        <v>0</v>
      </c>
    </row>
    <row r="47" spans="1:29" ht="24">
      <c r="A47" s="69" t="s">
        <v>76</v>
      </c>
      <c r="B47" s="70" t="s">
        <v>77</v>
      </c>
      <c r="C47" s="69"/>
      <c r="D47" s="70" t="s">
        <v>77</v>
      </c>
      <c r="E47" s="71">
        <v>0</v>
      </c>
      <c r="F47" s="71">
        <v>0</v>
      </c>
      <c r="G47" s="72">
        <v>0</v>
      </c>
      <c r="H47" s="73">
        <v>0</v>
      </c>
      <c r="I47" s="73">
        <v>0</v>
      </c>
      <c r="J47" s="73">
        <v>0</v>
      </c>
      <c r="K47" s="72">
        <v>0</v>
      </c>
      <c r="L47" s="72">
        <f t="shared" si="0"/>
        <v>0</v>
      </c>
      <c r="M47" s="72">
        <v>0</v>
      </c>
      <c r="N47" s="72">
        <v>0</v>
      </c>
      <c r="O47" s="72">
        <v>0</v>
      </c>
      <c r="P47" s="72">
        <f t="shared" si="1"/>
        <v>0</v>
      </c>
      <c r="Q47" s="72">
        <f t="shared" si="2"/>
        <v>0</v>
      </c>
      <c r="R47" s="72"/>
      <c r="S47" s="56"/>
      <c r="T47" s="74">
        <f t="shared" si="3"/>
        <v>0</v>
      </c>
      <c r="U47" s="74">
        <v>0</v>
      </c>
      <c r="V47" s="74">
        <f t="shared" si="4"/>
        <v>0</v>
      </c>
      <c r="W47" s="74">
        <f t="shared" si="5"/>
        <v>0</v>
      </c>
      <c r="X47" s="74">
        <f t="shared" si="6"/>
        <v>0</v>
      </c>
      <c r="Y47" s="74">
        <f t="shared" si="7"/>
        <v>0</v>
      </c>
      <c r="Z47" s="74">
        <f t="shared" si="8"/>
        <v>0</v>
      </c>
      <c r="AA47" s="75">
        <f t="shared" si="11"/>
        <v>0</v>
      </c>
      <c r="AB47" s="75">
        <f t="shared" si="12"/>
        <v>0</v>
      </c>
    </row>
    <row r="48" spans="1:29" ht="24">
      <c r="A48" s="158" t="s">
        <v>78</v>
      </c>
      <c r="B48" s="140" t="s">
        <v>768</v>
      </c>
      <c r="C48" s="140"/>
      <c r="D48" s="70" t="s">
        <v>79</v>
      </c>
      <c r="E48" s="71">
        <v>350</v>
      </c>
      <c r="F48" s="71">
        <v>350</v>
      </c>
      <c r="G48" s="76">
        <v>2</v>
      </c>
      <c r="H48" s="169">
        <v>0</v>
      </c>
      <c r="I48" s="169">
        <v>0</v>
      </c>
      <c r="J48" s="169">
        <v>0</v>
      </c>
      <c r="K48" s="76">
        <v>0</v>
      </c>
      <c r="L48" s="76">
        <f t="shared" si="0"/>
        <v>2</v>
      </c>
      <c r="M48" s="76">
        <v>2</v>
      </c>
      <c r="N48" s="76">
        <v>0</v>
      </c>
      <c r="O48" s="76">
        <v>0</v>
      </c>
      <c r="P48" s="76">
        <f t="shared" si="1"/>
        <v>2</v>
      </c>
      <c r="Q48" s="76">
        <f t="shared" si="2"/>
        <v>0</v>
      </c>
      <c r="R48" s="76"/>
      <c r="S48" s="56"/>
      <c r="T48" s="74">
        <f t="shared" si="3"/>
        <v>700</v>
      </c>
      <c r="U48" s="74">
        <v>0</v>
      </c>
      <c r="V48" s="74">
        <f t="shared" si="4"/>
        <v>0</v>
      </c>
      <c r="W48" s="74">
        <f t="shared" si="5"/>
        <v>0</v>
      </c>
      <c r="X48" s="74">
        <f t="shared" si="6"/>
        <v>0</v>
      </c>
      <c r="Y48" s="74">
        <f t="shared" si="7"/>
        <v>0</v>
      </c>
      <c r="Z48" s="74">
        <f t="shared" si="8"/>
        <v>700</v>
      </c>
      <c r="AA48" s="75">
        <f t="shared" si="11"/>
        <v>700</v>
      </c>
      <c r="AB48" s="75">
        <f t="shared" si="12"/>
        <v>0</v>
      </c>
      <c r="AC48" s="157"/>
    </row>
    <row r="49" spans="1:29" ht="36">
      <c r="A49" s="69" t="s">
        <v>80</v>
      </c>
      <c r="B49" s="70" t="s">
        <v>81</v>
      </c>
      <c r="C49" s="69"/>
      <c r="D49" s="70" t="s">
        <v>81</v>
      </c>
      <c r="E49" s="71">
        <v>0</v>
      </c>
      <c r="F49" s="71">
        <v>0</v>
      </c>
      <c r="G49" s="72">
        <v>0</v>
      </c>
      <c r="H49" s="73">
        <v>0</v>
      </c>
      <c r="I49" s="73">
        <v>0</v>
      </c>
      <c r="J49" s="73">
        <v>0</v>
      </c>
      <c r="K49" s="72">
        <v>0</v>
      </c>
      <c r="L49" s="72">
        <f t="shared" si="0"/>
        <v>0</v>
      </c>
      <c r="M49" s="76">
        <v>0</v>
      </c>
      <c r="N49" s="72">
        <v>0</v>
      </c>
      <c r="O49" s="72">
        <v>0</v>
      </c>
      <c r="P49" s="72">
        <f t="shared" si="1"/>
        <v>0</v>
      </c>
      <c r="Q49" s="72">
        <f t="shared" si="2"/>
        <v>0</v>
      </c>
      <c r="R49" s="72"/>
      <c r="S49" s="56"/>
      <c r="T49" s="74">
        <f t="shared" si="3"/>
        <v>0</v>
      </c>
      <c r="U49" s="74">
        <v>0</v>
      </c>
      <c r="V49" s="74">
        <f t="shared" si="4"/>
        <v>0</v>
      </c>
      <c r="W49" s="74">
        <f t="shared" si="5"/>
        <v>0</v>
      </c>
      <c r="X49" s="74">
        <f t="shared" si="6"/>
        <v>0</v>
      </c>
      <c r="Y49" s="74">
        <f t="shared" si="7"/>
        <v>0</v>
      </c>
      <c r="Z49" s="74">
        <f t="shared" si="8"/>
        <v>0</v>
      </c>
      <c r="AA49" s="75">
        <f t="shared" si="11"/>
        <v>0</v>
      </c>
      <c r="AB49" s="75">
        <f t="shared" si="12"/>
        <v>0</v>
      </c>
    </row>
    <row r="50" spans="1:29" ht="36">
      <c r="A50" s="69" t="s">
        <v>82</v>
      </c>
      <c r="B50" s="70" t="s">
        <v>83</v>
      </c>
      <c r="C50" s="69"/>
      <c r="D50" s="70" t="s">
        <v>83</v>
      </c>
      <c r="E50" s="71">
        <v>19</v>
      </c>
      <c r="F50" s="71">
        <v>19</v>
      </c>
      <c r="G50" s="72">
        <v>2</v>
      </c>
      <c r="H50" s="73">
        <v>0</v>
      </c>
      <c r="I50" s="73">
        <v>0</v>
      </c>
      <c r="J50" s="73">
        <v>2</v>
      </c>
      <c r="K50" s="72">
        <v>0</v>
      </c>
      <c r="L50" s="72">
        <f t="shared" si="0"/>
        <v>0</v>
      </c>
      <c r="M50" s="72">
        <v>0</v>
      </c>
      <c r="N50" s="72">
        <v>0</v>
      </c>
      <c r="O50" s="72">
        <v>0</v>
      </c>
      <c r="P50" s="72">
        <f t="shared" si="1"/>
        <v>0</v>
      </c>
      <c r="Q50" s="72">
        <f t="shared" si="2"/>
        <v>0</v>
      </c>
      <c r="R50" s="72"/>
      <c r="S50" s="56"/>
      <c r="T50" s="74">
        <f t="shared" si="3"/>
        <v>38</v>
      </c>
      <c r="U50" s="74">
        <v>0</v>
      </c>
      <c r="V50" s="74">
        <f t="shared" si="4"/>
        <v>0</v>
      </c>
      <c r="W50" s="74">
        <f t="shared" si="5"/>
        <v>0</v>
      </c>
      <c r="X50" s="74">
        <f t="shared" si="6"/>
        <v>38</v>
      </c>
      <c r="Y50" s="74">
        <f t="shared" si="7"/>
        <v>0</v>
      </c>
      <c r="Z50" s="74">
        <f t="shared" si="8"/>
        <v>0</v>
      </c>
      <c r="AA50" s="75">
        <f t="shared" si="11"/>
        <v>0</v>
      </c>
      <c r="AB50" s="75">
        <f t="shared" si="12"/>
        <v>0</v>
      </c>
    </row>
    <row r="51" spans="1:29">
      <c r="A51" s="69" t="s">
        <v>84</v>
      </c>
      <c r="B51" s="70" t="s">
        <v>85</v>
      </c>
      <c r="C51" s="69"/>
      <c r="D51" s="70" t="s">
        <v>85</v>
      </c>
      <c r="E51" s="71">
        <v>262.36</v>
      </c>
      <c r="F51" s="71">
        <v>262.36</v>
      </c>
      <c r="G51" s="72">
        <v>3</v>
      </c>
      <c r="H51" s="73">
        <v>0</v>
      </c>
      <c r="I51" s="73">
        <v>0</v>
      </c>
      <c r="J51" s="73">
        <v>3</v>
      </c>
      <c r="K51" s="72">
        <v>0</v>
      </c>
      <c r="L51" s="72">
        <f t="shared" si="0"/>
        <v>0</v>
      </c>
      <c r="M51" s="72">
        <v>0</v>
      </c>
      <c r="N51" s="72">
        <v>0</v>
      </c>
      <c r="O51" s="72">
        <v>0</v>
      </c>
      <c r="P51" s="72">
        <f t="shared" si="1"/>
        <v>0</v>
      </c>
      <c r="Q51" s="72">
        <f t="shared" si="2"/>
        <v>0</v>
      </c>
      <c r="R51" s="72"/>
      <c r="S51" s="56"/>
      <c r="T51" s="74">
        <f t="shared" si="3"/>
        <v>787.08</v>
      </c>
      <c r="U51" s="74">
        <v>0</v>
      </c>
      <c r="V51" s="74">
        <f t="shared" si="4"/>
        <v>0</v>
      </c>
      <c r="W51" s="74">
        <f t="shared" si="5"/>
        <v>0</v>
      </c>
      <c r="X51" s="74">
        <f t="shared" si="6"/>
        <v>787.08</v>
      </c>
      <c r="Y51" s="74">
        <f t="shared" si="7"/>
        <v>0</v>
      </c>
      <c r="Z51" s="74">
        <f t="shared" si="8"/>
        <v>0</v>
      </c>
      <c r="AA51" s="75">
        <f t="shared" si="11"/>
        <v>0</v>
      </c>
      <c r="AB51" s="75">
        <f t="shared" si="12"/>
        <v>0</v>
      </c>
    </row>
    <row r="52" spans="1:29" ht="24">
      <c r="A52" s="69" t="s">
        <v>86</v>
      </c>
      <c r="B52" s="140" t="s">
        <v>743</v>
      </c>
      <c r="C52" s="140"/>
      <c r="D52" s="70" t="s">
        <v>87</v>
      </c>
      <c r="E52" s="71">
        <v>5590</v>
      </c>
      <c r="F52" s="71">
        <v>5590</v>
      </c>
      <c r="G52" s="72">
        <v>1</v>
      </c>
      <c r="H52" s="73">
        <v>0</v>
      </c>
      <c r="I52" s="73">
        <v>0</v>
      </c>
      <c r="J52" s="73">
        <v>0</v>
      </c>
      <c r="K52" s="72">
        <v>0</v>
      </c>
      <c r="L52" s="72">
        <f t="shared" si="0"/>
        <v>1</v>
      </c>
      <c r="M52" s="72">
        <v>1</v>
      </c>
      <c r="N52" s="72">
        <v>0</v>
      </c>
      <c r="O52" s="72">
        <v>0</v>
      </c>
      <c r="P52" s="72">
        <f t="shared" si="1"/>
        <v>1</v>
      </c>
      <c r="Q52" s="72">
        <f t="shared" si="2"/>
        <v>0</v>
      </c>
      <c r="R52" s="72"/>
      <c r="S52" s="56"/>
      <c r="T52" s="74">
        <f t="shared" si="3"/>
        <v>5590</v>
      </c>
      <c r="U52" s="74">
        <v>0</v>
      </c>
      <c r="V52" s="74">
        <f t="shared" si="4"/>
        <v>0</v>
      </c>
      <c r="W52" s="74">
        <f t="shared" si="5"/>
        <v>0</v>
      </c>
      <c r="X52" s="74">
        <f t="shared" si="6"/>
        <v>0</v>
      </c>
      <c r="Y52" s="74">
        <f t="shared" si="7"/>
        <v>0</v>
      </c>
      <c r="Z52" s="74">
        <f t="shared" si="8"/>
        <v>5590</v>
      </c>
      <c r="AA52" s="75">
        <f t="shared" si="11"/>
        <v>5590</v>
      </c>
      <c r="AB52" s="75">
        <f t="shared" si="12"/>
        <v>0</v>
      </c>
    </row>
    <row r="53" spans="1:29">
      <c r="A53" s="69" t="s">
        <v>88</v>
      </c>
      <c r="B53" s="140" t="s">
        <v>799</v>
      </c>
      <c r="C53" s="140"/>
      <c r="D53" s="70" t="s">
        <v>89</v>
      </c>
      <c r="E53" s="71">
        <v>1250</v>
      </c>
      <c r="F53" s="71">
        <v>1250</v>
      </c>
      <c r="G53" s="72">
        <v>3</v>
      </c>
      <c r="H53" s="73">
        <v>0</v>
      </c>
      <c r="I53" s="73">
        <v>0</v>
      </c>
      <c r="J53" s="73">
        <v>0</v>
      </c>
      <c r="K53" s="72">
        <v>0</v>
      </c>
      <c r="L53" s="72">
        <f t="shared" si="0"/>
        <v>3</v>
      </c>
      <c r="M53" s="72">
        <v>3</v>
      </c>
      <c r="N53" s="72">
        <v>0</v>
      </c>
      <c r="O53" s="72">
        <v>0</v>
      </c>
      <c r="P53" s="72">
        <f t="shared" si="1"/>
        <v>3</v>
      </c>
      <c r="Q53" s="72">
        <f t="shared" si="2"/>
        <v>0</v>
      </c>
      <c r="R53" s="72"/>
      <c r="S53" s="56"/>
      <c r="T53" s="74">
        <f t="shared" si="3"/>
        <v>3750</v>
      </c>
      <c r="U53" s="74">
        <v>0</v>
      </c>
      <c r="V53" s="74">
        <f t="shared" si="4"/>
        <v>0</v>
      </c>
      <c r="W53" s="74">
        <f t="shared" si="5"/>
        <v>0</v>
      </c>
      <c r="X53" s="74">
        <f t="shared" si="6"/>
        <v>0</v>
      </c>
      <c r="Y53" s="74">
        <f t="shared" si="7"/>
        <v>0</v>
      </c>
      <c r="Z53" s="74">
        <f t="shared" si="8"/>
        <v>3750</v>
      </c>
      <c r="AA53" s="75">
        <f t="shared" si="11"/>
        <v>3750</v>
      </c>
      <c r="AB53" s="75">
        <f t="shared" si="12"/>
        <v>0</v>
      </c>
    </row>
    <row r="54" spans="1:29">
      <c r="A54" s="69" t="s">
        <v>90</v>
      </c>
      <c r="B54" s="140" t="s">
        <v>800</v>
      </c>
      <c r="C54" s="140"/>
      <c r="D54" s="70" t="s">
        <v>91</v>
      </c>
      <c r="E54" s="71">
        <v>760</v>
      </c>
      <c r="F54" s="71">
        <v>760</v>
      </c>
      <c r="G54" s="72">
        <v>2</v>
      </c>
      <c r="H54" s="73">
        <v>0</v>
      </c>
      <c r="I54" s="73">
        <v>0</v>
      </c>
      <c r="J54" s="73">
        <v>0</v>
      </c>
      <c r="K54" s="72">
        <v>0</v>
      </c>
      <c r="L54" s="72">
        <f t="shared" si="0"/>
        <v>2</v>
      </c>
      <c r="M54" s="72">
        <v>2</v>
      </c>
      <c r="N54" s="72">
        <v>0</v>
      </c>
      <c r="O54" s="72">
        <v>0</v>
      </c>
      <c r="P54" s="72">
        <f t="shared" si="1"/>
        <v>2</v>
      </c>
      <c r="Q54" s="72">
        <f t="shared" si="2"/>
        <v>0</v>
      </c>
      <c r="R54" s="72"/>
      <c r="S54" s="56"/>
      <c r="T54" s="74">
        <f t="shared" si="3"/>
        <v>1520</v>
      </c>
      <c r="U54" s="74">
        <v>0</v>
      </c>
      <c r="V54" s="74">
        <f t="shared" si="4"/>
        <v>0</v>
      </c>
      <c r="W54" s="74">
        <f t="shared" si="5"/>
        <v>0</v>
      </c>
      <c r="X54" s="74">
        <f t="shared" si="6"/>
        <v>0</v>
      </c>
      <c r="Y54" s="74">
        <f t="shared" si="7"/>
        <v>0</v>
      </c>
      <c r="Z54" s="74">
        <f t="shared" si="8"/>
        <v>1520</v>
      </c>
      <c r="AA54" s="75">
        <f t="shared" si="11"/>
        <v>1520</v>
      </c>
      <c r="AB54" s="75">
        <f t="shared" si="12"/>
        <v>0</v>
      </c>
    </row>
    <row r="55" spans="1:29" ht="36">
      <c r="A55" s="69" t="s">
        <v>92</v>
      </c>
      <c r="B55" s="140" t="s">
        <v>801</v>
      </c>
      <c r="C55" s="140"/>
      <c r="D55" s="70" t="s">
        <v>93</v>
      </c>
      <c r="E55" s="71">
        <v>755</v>
      </c>
      <c r="F55" s="71">
        <v>755</v>
      </c>
      <c r="G55" s="72">
        <v>2</v>
      </c>
      <c r="H55" s="73">
        <v>0</v>
      </c>
      <c r="I55" s="73">
        <v>0</v>
      </c>
      <c r="J55" s="73">
        <v>0</v>
      </c>
      <c r="K55" s="72">
        <v>0</v>
      </c>
      <c r="L55" s="72">
        <f t="shared" si="0"/>
        <v>2</v>
      </c>
      <c r="M55" s="72">
        <v>2</v>
      </c>
      <c r="N55" s="72">
        <v>0</v>
      </c>
      <c r="O55" s="72">
        <v>0</v>
      </c>
      <c r="P55" s="72">
        <f t="shared" si="1"/>
        <v>2</v>
      </c>
      <c r="Q55" s="72">
        <f t="shared" si="2"/>
        <v>0</v>
      </c>
      <c r="R55" s="72"/>
      <c r="S55" s="56"/>
      <c r="T55" s="74">
        <f t="shared" si="3"/>
        <v>1510</v>
      </c>
      <c r="U55" s="74">
        <v>0</v>
      </c>
      <c r="V55" s="74">
        <f t="shared" si="4"/>
        <v>0</v>
      </c>
      <c r="W55" s="74">
        <f t="shared" si="5"/>
        <v>0</v>
      </c>
      <c r="X55" s="74">
        <f t="shared" si="6"/>
        <v>0</v>
      </c>
      <c r="Y55" s="74">
        <f t="shared" si="7"/>
        <v>0</v>
      </c>
      <c r="Z55" s="74">
        <f t="shared" si="8"/>
        <v>1510</v>
      </c>
      <c r="AA55" s="75">
        <f t="shared" si="11"/>
        <v>1510</v>
      </c>
      <c r="AB55" s="75">
        <f t="shared" si="12"/>
        <v>0</v>
      </c>
    </row>
    <row r="56" spans="1:29" ht="24">
      <c r="A56" s="69" t="s">
        <v>94</v>
      </c>
      <c r="B56" s="140" t="s">
        <v>744</v>
      </c>
      <c r="C56" s="69"/>
      <c r="D56" s="70" t="s">
        <v>95</v>
      </c>
      <c r="E56" s="71">
        <v>0</v>
      </c>
      <c r="F56" s="71">
        <v>0</v>
      </c>
      <c r="G56" s="72">
        <v>0</v>
      </c>
      <c r="H56" s="73">
        <v>0</v>
      </c>
      <c r="I56" s="73">
        <v>0</v>
      </c>
      <c r="J56" s="73">
        <v>0</v>
      </c>
      <c r="K56" s="72">
        <v>0</v>
      </c>
      <c r="L56" s="72">
        <f t="shared" si="0"/>
        <v>0</v>
      </c>
      <c r="M56" s="72">
        <v>0</v>
      </c>
      <c r="N56" s="72">
        <v>0</v>
      </c>
      <c r="O56" s="72">
        <v>0</v>
      </c>
      <c r="P56" s="72">
        <f t="shared" si="1"/>
        <v>0</v>
      </c>
      <c r="Q56" s="72">
        <f t="shared" si="2"/>
        <v>0</v>
      </c>
      <c r="R56" s="72"/>
      <c r="S56" s="56"/>
      <c r="T56" s="74">
        <f t="shared" si="3"/>
        <v>0</v>
      </c>
      <c r="U56" s="74">
        <v>0</v>
      </c>
      <c r="V56" s="74">
        <f t="shared" si="4"/>
        <v>0</v>
      </c>
      <c r="W56" s="74">
        <f t="shared" si="5"/>
        <v>0</v>
      </c>
      <c r="X56" s="74">
        <f t="shared" si="6"/>
        <v>0</v>
      </c>
      <c r="Y56" s="74">
        <f t="shared" si="7"/>
        <v>0</v>
      </c>
      <c r="Z56" s="74">
        <f t="shared" si="8"/>
        <v>0</v>
      </c>
      <c r="AA56" s="75">
        <f t="shared" si="11"/>
        <v>0</v>
      </c>
      <c r="AB56" s="75">
        <f t="shared" si="12"/>
        <v>0</v>
      </c>
    </row>
    <row r="57" spans="1:29" ht="36">
      <c r="A57" s="69" t="s">
        <v>96</v>
      </c>
      <c r="B57" s="140" t="s">
        <v>745</v>
      </c>
      <c r="C57" s="140"/>
      <c r="D57" s="70" t="s">
        <v>802</v>
      </c>
      <c r="E57" s="71">
        <v>610</v>
      </c>
      <c r="F57" s="71">
        <v>610</v>
      </c>
      <c r="G57" s="72">
        <v>2</v>
      </c>
      <c r="H57" s="73">
        <v>0</v>
      </c>
      <c r="I57" s="73">
        <v>0</v>
      </c>
      <c r="J57" s="73">
        <v>0</v>
      </c>
      <c r="K57" s="72">
        <v>0</v>
      </c>
      <c r="L57" s="72">
        <f t="shared" si="0"/>
        <v>2</v>
      </c>
      <c r="M57" s="72">
        <v>2</v>
      </c>
      <c r="N57" s="72">
        <v>0</v>
      </c>
      <c r="O57" s="72">
        <v>0</v>
      </c>
      <c r="P57" s="72">
        <f t="shared" si="1"/>
        <v>2</v>
      </c>
      <c r="Q57" s="72">
        <f t="shared" si="2"/>
        <v>0</v>
      </c>
      <c r="R57" s="72"/>
      <c r="S57" s="56"/>
      <c r="T57" s="74">
        <f t="shared" si="3"/>
        <v>1220</v>
      </c>
      <c r="U57" s="74">
        <v>0</v>
      </c>
      <c r="V57" s="74">
        <f t="shared" si="4"/>
        <v>0</v>
      </c>
      <c r="W57" s="74">
        <f t="shared" si="5"/>
        <v>0</v>
      </c>
      <c r="X57" s="74">
        <f t="shared" si="6"/>
        <v>0</v>
      </c>
      <c r="Y57" s="74">
        <f t="shared" si="7"/>
        <v>0</v>
      </c>
      <c r="Z57" s="74">
        <f t="shared" si="8"/>
        <v>1220</v>
      </c>
      <c r="AA57" s="75">
        <f t="shared" si="11"/>
        <v>1220</v>
      </c>
      <c r="AB57" s="75">
        <f t="shared" si="12"/>
        <v>0</v>
      </c>
    </row>
    <row r="58" spans="1:29" ht="36">
      <c r="A58" s="69" t="s">
        <v>98</v>
      </c>
      <c r="B58" s="140" t="s">
        <v>746</v>
      </c>
      <c r="C58" s="140"/>
      <c r="D58" s="70" t="s">
        <v>99</v>
      </c>
      <c r="E58" s="71">
        <v>780</v>
      </c>
      <c r="F58" s="71">
        <v>780</v>
      </c>
      <c r="G58" s="72">
        <v>3</v>
      </c>
      <c r="H58" s="73">
        <v>0</v>
      </c>
      <c r="I58" s="73">
        <v>0</v>
      </c>
      <c r="J58" s="73">
        <v>2</v>
      </c>
      <c r="K58" s="72">
        <v>0</v>
      </c>
      <c r="L58" s="72">
        <f t="shared" si="0"/>
        <v>1</v>
      </c>
      <c r="M58" s="72">
        <v>1</v>
      </c>
      <c r="N58" s="72">
        <v>0</v>
      </c>
      <c r="O58" s="72">
        <v>0</v>
      </c>
      <c r="P58" s="72">
        <f t="shared" si="1"/>
        <v>1</v>
      </c>
      <c r="Q58" s="72">
        <f t="shared" si="2"/>
        <v>0</v>
      </c>
      <c r="R58" s="72"/>
      <c r="S58" s="56"/>
      <c r="T58" s="74">
        <f t="shared" si="3"/>
        <v>2340</v>
      </c>
      <c r="U58" s="74">
        <v>0</v>
      </c>
      <c r="V58" s="74">
        <f t="shared" si="4"/>
        <v>0</v>
      </c>
      <c r="W58" s="74">
        <f t="shared" si="5"/>
        <v>0</v>
      </c>
      <c r="X58" s="74">
        <f t="shared" si="6"/>
        <v>1560</v>
      </c>
      <c r="Y58" s="74">
        <f t="shared" si="7"/>
        <v>0</v>
      </c>
      <c r="Z58" s="74">
        <f t="shared" si="8"/>
        <v>780</v>
      </c>
      <c r="AA58" s="75">
        <f t="shared" si="11"/>
        <v>780</v>
      </c>
      <c r="AB58" s="75">
        <f t="shared" si="12"/>
        <v>0</v>
      </c>
    </row>
    <row r="59" spans="1:29" ht="36">
      <c r="A59" s="69" t="s">
        <v>100</v>
      </c>
      <c r="B59" s="140" t="s">
        <v>747</v>
      </c>
      <c r="C59" s="140"/>
      <c r="D59" s="70" t="s">
        <v>101</v>
      </c>
      <c r="E59" s="71">
        <v>960</v>
      </c>
      <c r="F59" s="71">
        <v>960</v>
      </c>
      <c r="G59" s="72">
        <v>3</v>
      </c>
      <c r="H59" s="73">
        <v>0</v>
      </c>
      <c r="I59" s="73">
        <v>0</v>
      </c>
      <c r="J59" s="73">
        <v>0</v>
      </c>
      <c r="K59" s="72">
        <v>0</v>
      </c>
      <c r="L59" s="72">
        <f t="shared" si="0"/>
        <v>3</v>
      </c>
      <c r="M59" s="72">
        <v>3</v>
      </c>
      <c r="N59" s="72">
        <v>0</v>
      </c>
      <c r="O59" s="72">
        <v>0</v>
      </c>
      <c r="P59" s="72">
        <f t="shared" si="1"/>
        <v>3</v>
      </c>
      <c r="Q59" s="72">
        <f t="shared" si="2"/>
        <v>0</v>
      </c>
      <c r="R59" s="72"/>
      <c r="S59" s="56"/>
      <c r="T59" s="74">
        <f t="shared" si="3"/>
        <v>2880</v>
      </c>
      <c r="U59" s="74">
        <v>0</v>
      </c>
      <c r="V59" s="74">
        <f t="shared" si="4"/>
        <v>0</v>
      </c>
      <c r="W59" s="74">
        <f t="shared" si="5"/>
        <v>0</v>
      </c>
      <c r="X59" s="74">
        <f t="shared" si="6"/>
        <v>0</v>
      </c>
      <c r="Y59" s="74">
        <f t="shared" si="7"/>
        <v>0</v>
      </c>
      <c r="Z59" s="74">
        <f t="shared" si="8"/>
        <v>2880</v>
      </c>
      <c r="AA59" s="75">
        <f t="shared" si="11"/>
        <v>2880</v>
      </c>
      <c r="AB59" s="75">
        <f t="shared" si="12"/>
        <v>0</v>
      </c>
    </row>
    <row r="60" spans="1:29" ht="24">
      <c r="A60" s="69" t="s">
        <v>102</v>
      </c>
      <c r="B60" s="140" t="s">
        <v>704</v>
      </c>
      <c r="C60" s="140"/>
      <c r="D60" s="70" t="s">
        <v>803</v>
      </c>
      <c r="E60" s="71">
        <v>8.6</v>
      </c>
      <c r="F60" s="71">
        <v>8.6</v>
      </c>
      <c r="G60" s="72">
        <v>50</v>
      </c>
      <c r="H60" s="73">
        <v>0</v>
      </c>
      <c r="I60" s="73">
        <v>0</v>
      </c>
      <c r="J60" s="73">
        <v>10</v>
      </c>
      <c r="K60" s="72">
        <v>0</v>
      </c>
      <c r="L60" s="72">
        <f t="shared" si="0"/>
        <v>40</v>
      </c>
      <c r="M60" s="72">
        <v>40</v>
      </c>
      <c r="N60" s="72">
        <v>0</v>
      </c>
      <c r="O60" s="72">
        <v>0</v>
      </c>
      <c r="P60" s="72">
        <f t="shared" si="1"/>
        <v>40</v>
      </c>
      <c r="Q60" s="72">
        <f t="shared" si="2"/>
        <v>0</v>
      </c>
      <c r="R60" s="72"/>
      <c r="S60" s="56"/>
      <c r="T60" s="74">
        <f t="shared" si="3"/>
        <v>430</v>
      </c>
      <c r="U60" s="74">
        <v>0</v>
      </c>
      <c r="V60" s="74">
        <f t="shared" si="4"/>
        <v>0</v>
      </c>
      <c r="W60" s="74">
        <f t="shared" si="5"/>
        <v>0</v>
      </c>
      <c r="X60" s="74">
        <f t="shared" si="6"/>
        <v>86</v>
      </c>
      <c r="Y60" s="74">
        <f t="shared" si="7"/>
        <v>0</v>
      </c>
      <c r="Z60" s="74">
        <f t="shared" si="8"/>
        <v>344</v>
      </c>
      <c r="AA60" s="75">
        <f t="shared" si="11"/>
        <v>344</v>
      </c>
      <c r="AB60" s="75">
        <f t="shared" si="12"/>
        <v>0</v>
      </c>
    </row>
    <row r="61" spans="1:29">
      <c r="A61" s="69" t="s">
        <v>104</v>
      </c>
      <c r="B61" s="140" t="s">
        <v>705</v>
      </c>
      <c r="C61" s="140"/>
      <c r="D61" s="70" t="s">
        <v>105</v>
      </c>
      <c r="E61" s="71">
        <v>1120</v>
      </c>
      <c r="F61" s="71">
        <v>1120</v>
      </c>
      <c r="G61" s="72">
        <v>1</v>
      </c>
      <c r="H61" s="73">
        <v>0</v>
      </c>
      <c r="I61" s="73">
        <v>0</v>
      </c>
      <c r="J61" s="73">
        <v>0</v>
      </c>
      <c r="K61" s="72">
        <v>0</v>
      </c>
      <c r="L61" s="72">
        <f t="shared" si="0"/>
        <v>1</v>
      </c>
      <c r="M61" s="72">
        <v>1</v>
      </c>
      <c r="N61" s="72">
        <v>0</v>
      </c>
      <c r="O61" s="72">
        <v>0</v>
      </c>
      <c r="P61" s="72">
        <f t="shared" si="1"/>
        <v>1</v>
      </c>
      <c r="Q61" s="72">
        <f t="shared" si="2"/>
        <v>0</v>
      </c>
      <c r="R61" s="72"/>
      <c r="S61" s="56"/>
      <c r="T61" s="74">
        <f t="shared" si="3"/>
        <v>1120</v>
      </c>
      <c r="U61" s="74">
        <v>0</v>
      </c>
      <c r="V61" s="74">
        <f t="shared" si="4"/>
        <v>0</v>
      </c>
      <c r="W61" s="74">
        <f t="shared" si="5"/>
        <v>0</v>
      </c>
      <c r="X61" s="74">
        <f t="shared" si="6"/>
        <v>0</v>
      </c>
      <c r="Y61" s="74">
        <f t="shared" si="7"/>
        <v>0</v>
      </c>
      <c r="Z61" s="74">
        <f t="shared" si="8"/>
        <v>1120</v>
      </c>
      <c r="AA61" s="75">
        <f t="shared" si="11"/>
        <v>1120</v>
      </c>
      <c r="AB61" s="75">
        <f t="shared" si="12"/>
        <v>0</v>
      </c>
    </row>
    <row r="62" spans="1:29" ht="24">
      <c r="A62" s="69" t="s">
        <v>106</v>
      </c>
      <c r="B62" s="140" t="s">
        <v>706</v>
      </c>
      <c r="C62" s="140"/>
      <c r="D62" s="70" t="s">
        <v>804</v>
      </c>
      <c r="E62" s="71">
        <v>1949.99</v>
      </c>
      <c r="F62" s="71">
        <v>1949.99</v>
      </c>
      <c r="G62" s="72">
        <v>2</v>
      </c>
      <c r="H62" s="73">
        <v>0</v>
      </c>
      <c r="I62" s="73">
        <v>0</v>
      </c>
      <c r="J62" s="73">
        <v>0</v>
      </c>
      <c r="K62" s="72">
        <v>0</v>
      </c>
      <c r="L62" s="72">
        <f t="shared" si="0"/>
        <v>2</v>
      </c>
      <c r="M62" s="72">
        <v>2</v>
      </c>
      <c r="N62" s="72">
        <v>0</v>
      </c>
      <c r="O62" s="72">
        <v>0</v>
      </c>
      <c r="P62" s="72">
        <f t="shared" si="1"/>
        <v>2</v>
      </c>
      <c r="Q62" s="72">
        <f t="shared" si="2"/>
        <v>0</v>
      </c>
      <c r="R62" s="72"/>
      <c r="S62" s="56"/>
      <c r="T62" s="74">
        <f t="shared" si="3"/>
        <v>3899.98</v>
      </c>
      <c r="U62" s="74">
        <v>0</v>
      </c>
      <c r="V62" s="74">
        <f t="shared" si="4"/>
        <v>0</v>
      </c>
      <c r="W62" s="74">
        <f t="shared" si="5"/>
        <v>0</v>
      </c>
      <c r="X62" s="74">
        <f t="shared" si="6"/>
        <v>0</v>
      </c>
      <c r="Y62" s="74">
        <f t="shared" si="7"/>
        <v>0</v>
      </c>
      <c r="Z62" s="74">
        <f t="shared" si="8"/>
        <v>3899.98</v>
      </c>
      <c r="AA62" s="75">
        <f t="shared" si="11"/>
        <v>3899.98</v>
      </c>
      <c r="AB62" s="75">
        <f t="shared" si="12"/>
        <v>0</v>
      </c>
    </row>
    <row r="63" spans="1:29" s="157" customFormat="1" ht="29.25" customHeight="1">
      <c r="A63" s="69" t="s">
        <v>108</v>
      </c>
      <c r="B63" s="142" t="s">
        <v>748</v>
      </c>
      <c r="C63" s="69"/>
      <c r="D63" s="70" t="s">
        <v>109</v>
      </c>
      <c r="E63" s="71">
        <v>0</v>
      </c>
      <c r="F63" s="71">
        <v>0</v>
      </c>
      <c r="G63" s="72">
        <v>0</v>
      </c>
      <c r="H63" s="73">
        <v>0</v>
      </c>
      <c r="I63" s="73">
        <v>0</v>
      </c>
      <c r="J63" s="73">
        <v>0</v>
      </c>
      <c r="K63" s="72">
        <v>0</v>
      </c>
      <c r="L63" s="72">
        <f t="shared" si="0"/>
        <v>0</v>
      </c>
      <c r="M63" s="72">
        <v>0</v>
      </c>
      <c r="N63" s="72">
        <v>0</v>
      </c>
      <c r="O63" s="72">
        <v>0</v>
      </c>
      <c r="P63" s="72">
        <f t="shared" si="1"/>
        <v>0</v>
      </c>
      <c r="Q63" s="72">
        <f t="shared" si="2"/>
        <v>0</v>
      </c>
      <c r="R63" s="72"/>
      <c r="S63" s="56"/>
      <c r="T63" s="74">
        <f t="shared" si="3"/>
        <v>0</v>
      </c>
      <c r="U63" s="74">
        <v>0</v>
      </c>
      <c r="V63" s="74">
        <f t="shared" si="4"/>
        <v>0</v>
      </c>
      <c r="W63" s="74">
        <f t="shared" si="5"/>
        <v>0</v>
      </c>
      <c r="X63" s="74">
        <f t="shared" si="6"/>
        <v>0</v>
      </c>
      <c r="Y63" s="74">
        <f t="shared" si="7"/>
        <v>0</v>
      </c>
      <c r="Z63" s="74">
        <f t="shared" si="8"/>
        <v>0</v>
      </c>
      <c r="AA63" s="75">
        <f t="shared" si="11"/>
        <v>0</v>
      </c>
      <c r="AB63" s="75">
        <f t="shared" si="12"/>
        <v>0</v>
      </c>
      <c r="AC63" s="53"/>
    </row>
    <row r="64" spans="1:29" ht="24">
      <c r="A64" s="69" t="s">
        <v>110</v>
      </c>
      <c r="B64" s="70" t="s">
        <v>111</v>
      </c>
      <c r="C64" s="69"/>
      <c r="D64" s="70" t="s">
        <v>111</v>
      </c>
      <c r="E64" s="71">
        <v>480</v>
      </c>
      <c r="F64" s="71">
        <v>480</v>
      </c>
      <c r="G64" s="72">
        <v>0</v>
      </c>
      <c r="H64" s="73">
        <v>0</v>
      </c>
      <c r="I64" s="73">
        <v>0</v>
      </c>
      <c r="J64" s="73">
        <v>0</v>
      </c>
      <c r="K64" s="72">
        <v>0</v>
      </c>
      <c r="L64" s="72">
        <f t="shared" si="0"/>
        <v>0</v>
      </c>
      <c r="M64" s="72">
        <v>0</v>
      </c>
      <c r="N64" s="72">
        <v>0</v>
      </c>
      <c r="O64" s="72">
        <v>0</v>
      </c>
      <c r="P64" s="72">
        <f t="shared" si="1"/>
        <v>0</v>
      </c>
      <c r="Q64" s="72">
        <f t="shared" si="2"/>
        <v>0</v>
      </c>
      <c r="R64" s="72"/>
      <c r="S64" s="56"/>
      <c r="T64" s="74">
        <f t="shared" si="3"/>
        <v>0</v>
      </c>
      <c r="U64" s="74">
        <v>0</v>
      </c>
      <c r="V64" s="74">
        <f t="shared" si="4"/>
        <v>0</v>
      </c>
      <c r="W64" s="74">
        <f t="shared" si="5"/>
        <v>0</v>
      </c>
      <c r="X64" s="74">
        <f t="shared" si="6"/>
        <v>0</v>
      </c>
      <c r="Y64" s="74">
        <f t="shared" si="7"/>
        <v>0</v>
      </c>
      <c r="Z64" s="74">
        <f t="shared" si="8"/>
        <v>0</v>
      </c>
      <c r="AA64" s="75">
        <f t="shared" si="11"/>
        <v>0</v>
      </c>
      <c r="AB64" s="75">
        <f t="shared" si="12"/>
        <v>0</v>
      </c>
    </row>
    <row r="65" spans="1:29" ht="36">
      <c r="A65" s="69" t="s">
        <v>112</v>
      </c>
      <c r="B65" s="140" t="s">
        <v>707</v>
      </c>
      <c r="C65" s="140"/>
      <c r="D65" s="70" t="s">
        <v>805</v>
      </c>
      <c r="E65" s="71">
        <v>310</v>
      </c>
      <c r="F65" s="71">
        <v>310</v>
      </c>
      <c r="G65" s="72">
        <v>1</v>
      </c>
      <c r="H65" s="73">
        <v>0</v>
      </c>
      <c r="I65" s="73">
        <v>0</v>
      </c>
      <c r="J65" s="73">
        <v>0</v>
      </c>
      <c r="K65" s="72">
        <v>0</v>
      </c>
      <c r="L65" s="72">
        <f t="shared" si="0"/>
        <v>1</v>
      </c>
      <c r="M65" s="72">
        <v>1</v>
      </c>
      <c r="N65" s="72">
        <v>0</v>
      </c>
      <c r="O65" s="72">
        <v>0</v>
      </c>
      <c r="P65" s="72">
        <f t="shared" si="1"/>
        <v>1</v>
      </c>
      <c r="Q65" s="72">
        <f t="shared" si="2"/>
        <v>0</v>
      </c>
      <c r="R65" s="72"/>
      <c r="S65" s="56"/>
      <c r="T65" s="74">
        <f t="shared" si="3"/>
        <v>310</v>
      </c>
      <c r="U65" s="74">
        <v>0</v>
      </c>
      <c r="V65" s="74">
        <f t="shared" si="4"/>
        <v>0</v>
      </c>
      <c r="W65" s="74">
        <f t="shared" si="5"/>
        <v>0</v>
      </c>
      <c r="X65" s="74">
        <f t="shared" si="6"/>
        <v>0</v>
      </c>
      <c r="Y65" s="74">
        <f t="shared" si="7"/>
        <v>0</v>
      </c>
      <c r="Z65" s="74">
        <f t="shared" si="8"/>
        <v>310</v>
      </c>
      <c r="AA65" s="75">
        <f t="shared" si="11"/>
        <v>310</v>
      </c>
      <c r="AB65" s="75">
        <f t="shared" si="12"/>
        <v>0</v>
      </c>
    </row>
    <row r="66" spans="1:29" ht="36">
      <c r="A66" s="69" t="s">
        <v>114</v>
      </c>
      <c r="B66" s="70" t="s">
        <v>115</v>
      </c>
      <c r="C66" s="69"/>
      <c r="D66" s="70" t="s">
        <v>115</v>
      </c>
      <c r="E66" s="71">
        <v>2.46</v>
      </c>
      <c r="F66" s="71">
        <v>2.46</v>
      </c>
      <c r="G66" s="72">
        <v>100</v>
      </c>
      <c r="H66" s="73">
        <v>0</v>
      </c>
      <c r="I66" s="73">
        <v>0</v>
      </c>
      <c r="J66" s="73">
        <v>0</v>
      </c>
      <c r="K66" s="72">
        <v>0</v>
      </c>
      <c r="L66" s="72">
        <f t="shared" si="0"/>
        <v>100</v>
      </c>
      <c r="M66" s="72">
        <v>100</v>
      </c>
      <c r="N66" s="72">
        <v>0</v>
      </c>
      <c r="O66" s="72">
        <v>0</v>
      </c>
      <c r="P66" s="72">
        <f t="shared" si="1"/>
        <v>100</v>
      </c>
      <c r="Q66" s="72">
        <f t="shared" si="2"/>
        <v>0</v>
      </c>
      <c r="R66" s="72"/>
      <c r="S66" s="56"/>
      <c r="T66" s="74">
        <f t="shared" si="3"/>
        <v>246</v>
      </c>
      <c r="U66" s="74">
        <v>0</v>
      </c>
      <c r="V66" s="74">
        <f t="shared" si="4"/>
        <v>0</v>
      </c>
      <c r="W66" s="74">
        <f t="shared" si="5"/>
        <v>0</v>
      </c>
      <c r="X66" s="74">
        <f t="shared" si="6"/>
        <v>0</v>
      </c>
      <c r="Y66" s="74">
        <f t="shared" si="7"/>
        <v>0</v>
      </c>
      <c r="Z66" s="74">
        <f t="shared" si="8"/>
        <v>246</v>
      </c>
      <c r="AA66" s="75">
        <f t="shared" si="11"/>
        <v>246</v>
      </c>
      <c r="AB66" s="75">
        <f t="shared" si="12"/>
        <v>0</v>
      </c>
    </row>
    <row r="67" spans="1:29" ht="36">
      <c r="A67" s="69" t="s">
        <v>116</v>
      </c>
      <c r="B67" s="70" t="s">
        <v>117</v>
      </c>
      <c r="C67" s="69"/>
      <c r="D67" s="70" t="s">
        <v>117</v>
      </c>
      <c r="E67" s="71">
        <v>625.82000000000005</v>
      </c>
      <c r="F67" s="71">
        <v>625.82000000000005</v>
      </c>
      <c r="G67" s="72">
        <v>2</v>
      </c>
      <c r="H67" s="73">
        <v>0</v>
      </c>
      <c r="I67" s="73">
        <v>0</v>
      </c>
      <c r="J67" s="73">
        <v>0</v>
      </c>
      <c r="K67" s="72">
        <v>0</v>
      </c>
      <c r="L67" s="72">
        <f t="shared" si="0"/>
        <v>2</v>
      </c>
      <c r="M67" s="72">
        <v>2</v>
      </c>
      <c r="N67" s="72">
        <v>0</v>
      </c>
      <c r="O67" s="72">
        <v>0</v>
      </c>
      <c r="P67" s="72">
        <f t="shared" si="1"/>
        <v>2</v>
      </c>
      <c r="Q67" s="72">
        <f t="shared" si="2"/>
        <v>0</v>
      </c>
      <c r="R67" s="72"/>
      <c r="S67" s="56"/>
      <c r="T67" s="74">
        <f t="shared" si="3"/>
        <v>1251.6400000000001</v>
      </c>
      <c r="U67" s="74">
        <v>0</v>
      </c>
      <c r="V67" s="74">
        <f t="shared" si="4"/>
        <v>0</v>
      </c>
      <c r="W67" s="74">
        <f t="shared" si="5"/>
        <v>0</v>
      </c>
      <c r="X67" s="74">
        <f t="shared" si="6"/>
        <v>0</v>
      </c>
      <c r="Y67" s="74">
        <f t="shared" si="7"/>
        <v>0</v>
      </c>
      <c r="Z67" s="74">
        <f t="shared" si="8"/>
        <v>1251.6400000000001</v>
      </c>
      <c r="AA67" s="75">
        <f t="shared" si="11"/>
        <v>1251.6400000000001</v>
      </c>
      <c r="AB67" s="75">
        <f t="shared" si="12"/>
        <v>0</v>
      </c>
    </row>
    <row r="68" spans="1:29" ht="36">
      <c r="A68" s="69" t="s">
        <v>118</v>
      </c>
      <c r="B68" s="70" t="s">
        <v>119</v>
      </c>
      <c r="C68" s="69"/>
      <c r="D68" s="70" t="s">
        <v>119</v>
      </c>
      <c r="E68" s="71">
        <v>625.82000000000005</v>
      </c>
      <c r="F68" s="71">
        <v>625.82000000000005</v>
      </c>
      <c r="G68" s="72">
        <v>2</v>
      </c>
      <c r="H68" s="73">
        <v>0</v>
      </c>
      <c r="I68" s="73">
        <v>0</v>
      </c>
      <c r="J68" s="73">
        <v>0</v>
      </c>
      <c r="K68" s="72">
        <v>0</v>
      </c>
      <c r="L68" s="72">
        <f t="shared" si="0"/>
        <v>2</v>
      </c>
      <c r="M68" s="72">
        <v>2</v>
      </c>
      <c r="N68" s="72">
        <v>0</v>
      </c>
      <c r="O68" s="72">
        <v>0</v>
      </c>
      <c r="P68" s="72">
        <f t="shared" si="1"/>
        <v>2</v>
      </c>
      <c r="Q68" s="72">
        <f t="shared" si="2"/>
        <v>0</v>
      </c>
      <c r="R68" s="72"/>
      <c r="S68" s="56"/>
      <c r="T68" s="74">
        <f t="shared" si="3"/>
        <v>1251.6400000000001</v>
      </c>
      <c r="U68" s="74">
        <v>0</v>
      </c>
      <c r="V68" s="74">
        <f t="shared" si="4"/>
        <v>0</v>
      </c>
      <c r="W68" s="74">
        <f t="shared" si="5"/>
        <v>0</v>
      </c>
      <c r="X68" s="74">
        <f t="shared" si="6"/>
        <v>0</v>
      </c>
      <c r="Y68" s="74">
        <f t="shared" si="7"/>
        <v>0</v>
      </c>
      <c r="Z68" s="74">
        <f t="shared" si="8"/>
        <v>1251.6400000000001</v>
      </c>
      <c r="AA68" s="75">
        <f t="shared" si="11"/>
        <v>1251.6400000000001</v>
      </c>
      <c r="AB68" s="75">
        <f t="shared" si="12"/>
        <v>0</v>
      </c>
    </row>
    <row r="69" spans="1:29" ht="36">
      <c r="A69" s="69" t="s">
        <v>120</v>
      </c>
      <c r="B69" s="70" t="s">
        <v>121</v>
      </c>
      <c r="C69" s="69"/>
      <c r="D69" s="70" t="s">
        <v>121</v>
      </c>
      <c r="E69" s="71">
        <v>625.82000000000005</v>
      </c>
      <c r="F69" s="71">
        <v>625.82000000000005</v>
      </c>
      <c r="G69" s="72">
        <v>2</v>
      </c>
      <c r="H69" s="73">
        <v>0</v>
      </c>
      <c r="I69" s="73">
        <v>0</v>
      </c>
      <c r="J69" s="73">
        <v>0</v>
      </c>
      <c r="K69" s="72">
        <v>0</v>
      </c>
      <c r="L69" s="72">
        <f t="shared" si="0"/>
        <v>2</v>
      </c>
      <c r="M69" s="72">
        <v>2</v>
      </c>
      <c r="N69" s="72">
        <v>0</v>
      </c>
      <c r="O69" s="72">
        <v>0</v>
      </c>
      <c r="P69" s="72">
        <f t="shared" si="1"/>
        <v>2</v>
      </c>
      <c r="Q69" s="72">
        <f t="shared" si="2"/>
        <v>0</v>
      </c>
      <c r="R69" s="72"/>
      <c r="S69" s="56"/>
      <c r="T69" s="74">
        <f t="shared" si="3"/>
        <v>1251.6400000000001</v>
      </c>
      <c r="U69" s="74">
        <v>0</v>
      </c>
      <c r="V69" s="74">
        <f t="shared" si="4"/>
        <v>0</v>
      </c>
      <c r="W69" s="74">
        <f t="shared" si="5"/>
        <v>0</v>
      </c>
      <c r="X69" s="74">
        <f t="shared" si="6"/>
        <v>0</v>
      </c>
      <c r="Y69" s="74">
        <f t="shared" si="7"/>
        <v>0</v>
      </c>
      <c r="Z69" s="74">
        <f t="shared" si="8"/>
        <v>1251.6400000000001</v>
      </c>
      <c r="AA69" s="75">
        <f t="shared" si="11"/>
        <v>1251.6400000000001</v>
      </c>
      <c r="AB69" s="75">
        <f t="shared" si="12"/>
        <v>0</v>
      </c>
    </row>
    <row r="70" spans="1:29" ht="36">
      <c r="A70" s="69" t="s">
        <v>122</v>
      </c>
      <c r="B70" s="70" t="s">
        <v>123</v>
      </c>
      <c r="C70" s="69"/>
      <c r="D70" s="70" t="s">
        <v>123</v>
      </c>
      <c r="E70" s="71">
        <v>625.82000000000005</v>
      </c>
      <c r="F70" s="71">
        <v>625.82000000000005</v>
      </c>
      <c r="G70" s="72">
        <v>2</v>
      </c>
      <c r="H70" s="73">
        <v>0</v>
      </c>
      <c r="I70" s="73">
        <v>0</v>
      </c>
      <c r="J70" s="73">
        <v>0</v>
      </c>
      <c r="K70" s="72">
        <v>0</v>
      </c>
      <c r="L70" s="72">
        <f t="shared" si="0"/>
        <v>2</v>
      </c>
      <c r="M70" s="72">
        <v>2</v>
      </c>
      <c r="N70" s="72">
        <v>0</v>
      </c>
      <c r="O70" s="72">
        <v>0</v>
      </c>
      <c r="P70" s="72">
        <f t="shared" si="1"/>
        <v>2</v>
      </c>
      <c r="Q70" s="72">
        <f t="shared" si="2"/>
        <v>0</v>
      </c>
      <c r="R70" s="72"/>
      <c r="S70" s="56"/>
      <c r="T70" s="74">
        <f t="shared" si="3"/>
        <v>1251.6400000000001</v>
      </c>
      <c r="U70" s="74">
        <v>0</v>
      </c>
      <c r="V70" s="74">
        <f t="shared" si="4"/>
        <v>0</v>
      </c>
      <c r="W70" s="74">
        <f t="shared" si="5"/>
        <v>0</v>
      </c>
      <c r="X70" s="74">
        <f t="shared" si="6"/>
        <v>0</v>
      </c>
      <c r="Y70" s="74">
        <f t="shared" si="7"/>
        <v>0</v>
      </c>
      <c r="Z70" s="74">
        <f t="shared" si="8"/>
        <v>1251.6400000000001</v>
      </c>
      <c r="AA70" s="75">
        <f t="shared" si="11"/>
        <v>1251.6400000000001</v>
      </c>
      <c r="AB70" s="75">
        <f t="shared" si="12"/>
        <v>0</v>
      </c>
    </row>
    <row r="71" spans="1:29" ht="36">
      <c r="A71" s="69" t="s">
        <v>124</v>
      </c>
      <c r="B71" s="140" t="s">
        <v>708</v>
      </c>
      <c r="C71" s="140" t="s">
        <v>737</v>
      </c>
      <c r="D71" s="70" t="s">
        <v>806</v>
      </c>
      <c r="E71" s="71">
        <v>1300</v>
      </c>
      <c r="F71" s="71">
        <v>1300</v>
      </c>
      <c r="G71" s="72">
        <v>1</v>
      </c>
      <c r="H71" s="73">
        <v>0</v>
      </c>
      <c r="I71" s="73">
        <v>0</v>
      </c>
      <c r="J71" s="73">
        <v>0</v>
      </c>
      <c r="K71" s="72">
        <v>0</v>
      </c>
      <c r="L71" s="72">
        <f t="shared" ref="L71:L134" si="13">G71+H71+I71-J71-K71</f>
        <v>1</v>
      </c>
      <c r="M71" s="72">
        <v>1</v>
      </c>
      <c r="N71" s="72">
        <v>0</v>
      </c>
      <c r="O71" s="72">
        <v>0</v>
      </c>
      <c r="P71" s="72">
        <f t="shared" ref="P71:P134" si="14">M71+N71+O71</f>
        <v>1</v>
      </c>
      <c r="Q71" s="72">
        <f t="shared" ref="Q71:Q134" si="15">P71-L71</f>
        <v>0</v>
      </c>
      <c r="R71" s="72"/>
      <c r="S71" s="56"/>
      <c r="T71" s="74">
        <f t="shared" ref="T71:T134" si="16">E71*G71</f>
        <v>1300</v>
      </c>
      <c r="U71" s="74">
        <v>0</v>
      </c>
      <c r="V71" s="74">
        <f t="shared" ref="V71:V134" si="17">F71*H71</f>
        <v>0</v>
      </c>
      <c r="W71" s="74">
        <f t="shared" ref="W71:W134" si="18">F71*I71</f>
        <v>0</v>
      </c>
      <c r="X71" s="74">
        <f t="shared" ref="X71:X134" si="19">F71*J71</f>
        <v>0</v>
      </c>
      <c r="Y71" s="74">
        <f t="shared" ref="Y71:Y134" si="20">F71*K71</f>
        <v>0</v>
      </c>
      <c r="Z71" s="74">
        <f t="shared" ref="Z71:Z134" si="21">T71+U71+V71+W71-X71-Y71</f>
        <v>1300</v>
      </c>
      <c r="AA71" s="75">
        <f t="shared" ref="AA71:AA102" si="22">L71*F71</f>
        <v>1300</v>
      </c>
      <c r="AB71" s="75">
        <f t="shared" ref="AB71:AB102" si="23">AA71-Z71</f>
        <v>0</v>
      </c>
    </row>
    <row r="72" spans="1:29" ht="36">
      <c r="A72" s="69" t="s">
        <v>126</v>
      </c>
      <c r="B72" s="70" t="s">
        <v>127</v>
      </c>
      <c r="C72" s="69"/>
      <c r="D72" s="70" t="s">
        <v>127</v>
      </c>
      <c r="E72" s="71">
        <v>185</v>
      </c>
      <c r="F72" s="71">
        <v>185</v>
      </c>
      <c r="G72" s="72">
        <v>0</v>
      </c>
      <c r="H72" s="73">
        <v>0</v>
      </c>
      <c r="I72" s="73">
        <v>0</v>
      </c>
      <c r="J72" s="73">
        <v>0</v>
      </c>
      <c r="K72" s="72">
        <v>0</v>
      </c>
      <c r="L72" s="72">
        <f t="shared" si="13"/>
        <v>0</v>
      </c>
      <c r="M72" s="72">
        <v>0</v>
      </c>
      <c r="N72" s="72">
        <v>0</v>
      </c>
      <c r="O72" s="72">
        <v>0</v>
      </c>
      <c r="P72" s="72">
        <f t="shared" si="14"/>
        <v>0</v>
      </c>
      <c r="Q72" s="72">
        <f t="shared" si="15"/>
        <v>0</v>
      </c>
      <c r="R72" s="72"/>
      <c r="S72" s="56"/>
      <c r="T72" s="74">
        <f t="shared" si="16"/>
        <v>0</v>
      </c>
      <c r="U72" s="74">
        <v>0</v>
      </c>
      <c r="V72" s="74">
        <f t="shared" si="17"/>
        <v>0</v>
      </c>
      <c r="W72" s="74">
        <f t="shared" si="18"/>
        <v>0</v>
      </c>
      <c r="X72" s="74">
        <f t="shared" si="19"/>
        <v>0</v>
      </c>
      <c r="Y72" s="74">
        <f t="shared" si="20"/>
        <v>0</v>
      </c>
      <c r="Z72" s="74">
        <f t="shared" si="21"/>
        <v>0</v>
      </c>
      <c r="AA72" s="75">
        <f t="shared" si="22"/>
        <v>0</v>
      </c>
      <c r="AB72" s="75">
        <f t="shared" si="23"/>
        <v>0</v>
      </c>
    </row>
    <row r="73" spans="1:29" ht="24">
      <c r="A73" s="69" t="s">
        <v>128</v>
      </c>
      <c r="B73" s="140" t="s">
        <v>749</v>
      </c>
      <c r="C73" s="140"/>
      <c r="D73" s="70" t="s">
        <v>129</v>
      </c>
      <c r="E73" s="71">
        <v>465</v>
      </c>
      <c r="F73" s="71">
        <v>465</v>
      </c>
      <c r="G73" s="72">
        <v>1</v>
      </c>
      <c r="H73" s="73">
        <v>0</v>
      </c>
      <c r="I73" s="73">
        <v>0</v>
      </c>
      <c r="J73" s="73">
        <v>0</v>
      </c>
      <c r="K73" s="72">
        <v>0</v>
      </c>
      <c r="L73" s="72">
        <f t="shared" si="13"/>
        <v>1</v>
      </c>
      <c r="M73" s="72">
        <v>1</v>
      </c>
      <c r="N73" s="72">
        <v>0</v>
      </c>
      <c r="O73" s="72">
        <v>0</v>
      </c>
      <c r="P73" s="72">
        <f t="shared" si="14"/>
        <v>1</v>
      </c>
      <c r="Q73" s="72">
        <f t="shared" si="15"/>
        <v>0</v>
      </c>
      <c r="R73" s="72"/>
      <c r="S73" s="56"/>
      <c r="T73" s="74">
        <f t="shared" si="16"/>
        <v>465</v>
      </c>
      <c r="U73" s="74">
        <v>0</v>
      </c>
      <c r="V73" s="74">
        <f t="shared" si="17"/>
        <v>0</v>
      </c>
      <c r="W73" s="74">
        <f t="shared" si="18"/>
        <v>0</v>
      </c>
      <c r="X73" s="74">
        <f t="shared" si="19"/>
        <v>0</v>
      </c>
      <c r="Y73" s="74">
        <f t="shared" si="20"/>
        <v>0</v>
      </c>
      <c r="Z73" s="74">
        <f t="shared" si="21"/>
        <v>465</v>
      </c>
      <c r="AA73" s="75">
        <f t="shared" si="22"/>
        <v>465</v>
      </c>
      <c r="AB73" s="75">
        <f t="shared" si="23"/>
        <v>0</v>
      </c>
    </row>
    <row r="74" spans="1:29" ht="36">
      <c r="A74" s="69" t="s">
        <v>130</v>
      </c>
      <c r="B74" s="140" t="s">
        <v>709</v>
      </c>
      <c r="C74" s="140" t="s">
        <v>750</v>
      </c>
      <c r="D74" s="70" t="s">
        <v>131</v>
      </c>
      <c r="E74" s="71">
        <v>8.99</v>
      </c>
      <c r="F74" s="71">
        <v>8.99</v>
      </c>
      <c r="G74" s="72">
        <v>50</v>
      </c>
      <c r="H74" s="73">
        <v>0</v>
      </c>
      <c r="I74" s="73">
        <v>0</v>
      </c>
      <c r="J74" s="73">
        <v>0</v>
      </c>
      <c r="K74" s="72">
        <v>0</v>
      </c>
      <c r="L74" s="72">
        <f t="shared" si="13"/>
        <v>50</v>
      </c>
      <c r="M74" s="72">
        <v>50</v>
      </c>
      <c r="N74" s="72">
        <v>0</v>
      </c>
      <c r="O74" s="72">
        <v>0</v>
      </c>
      <c r="P74" s="72">
        <f t="shared" si="14"/>
        <v>50</v>
      </c>
      <c r="Q74" s="72">
        <f t="shared" si="15"/>
        <v>0</v>
      </c>
      <c r="R74" s="72"/>
      <c r="S74" s="56"/>
      <c r="T74" s="74">
        <f t="shared" si="16"/>
        <v>449.5</v>
      </c>
      <c r="U74" s="74">
        <v>0</v>
      </c>
      <c r="V74" s="74">
        <f t="shared" si="17"/>
        <v>0</v>
      </c>
      <c r="W74" s="74">
        <f t="shared" si="18"/>
        <v>0</v>
      </c>
      <c r="X74" s="74">
        <f t="shared" si="19"/>
        <v>0</v>
      </c>
      <c r="Y74" s="74">
        <f t="shared" si="20"/>
        <v>0</v>
      </c>
      <c r="Z74" s="74">
        <f t="shared" si="21"/>
        <v>449.5</v>
      </c>
      <c r="AA74" s="75">
        <f t="shared" si="22"/>
        <v>449.5</v>
      </c>
      <c r="AB74" s="75">
        <f t="shared" si="23"/>
        <v>0</v>
      </c>
    </row>
    <row r="75" spans="1:29" ht="24">
      <c r="A75" s="69" t="s">
        <v>132</v>
      </c>
      <c r="B75" s="70" t="s">
        <v>784</v>
      </c>
      <c r="C75" s="69"/>
      <c r="D75" s="70" t="s">
        <v>133</v>
      </c>
      <c r="E75" s="71">
        <v>2100</v>
      </c>
      <c r="F75" s="71">
        <v>2100</v>
      </c>
      <c r="G75" s="72">
        <v>1</v>
      </c>
      <c r="H75" s="73">
        <v>0</v>
      </c>
      <c r="I75" s="73">
        <v>0</v>
      </c>
      <c r="J75" s="73">
        <v>1</v>
      </c>
      <c r="K75" s="72">
        <v>0</v>
      </c>
      <c r="L75" s="72">
        <f t="shared" si="13"/>
        <v>0</v>
      </c>
      <c r="M75" s="72">
        <v>0</v>
      </c>
      <c r="N75" s="72">
        <v>0</v>
      </c>
      <c r="O75" s="72">
        <v>0</v>
      </c>
      <c r="P75" s="72">
        <f t="shared" si="14"/>
        <v>0</v>
      </c>
      <c r="Q75" s="72">
        <f t="shared" si="15"/>
        <v>0</v>
      </c>
      <c r="R75" s="72"/>
      <c r="S75" s="56"/>
      <c r="T75" s="74">
        <f t="shared" si="16"/>
        <v>2100</v>
      </c>
      <c r="U75" s="74">
        <v>0</v>
      </c>
      <c r="V75" s="74">
        <f t="shared" si="17"/>
        <v>0</v>
      </c>
      <c r="W75" s="74">
        <f t="shared" si="18"/>
        <v>0</v>
      </c>
      <c r="X75" s="74">
        <f t="shared" si="19"/>
        <v>2100</v>
      </c>
      <c r="Y75" s="74">
        <f t="shared" si="20"/>
        <v>0</v>
      </c>
      <c r="Z75" s="74">
        <f t="shared" si="21"/>
        <v>0</v>
      </c>
      <c r="AA75" s="75">
        <f t="shared" si="22"/>
        <v>0</v>
      </c>
      <c r="AB75" s="75">
        <f t="shared" si="23"/>
        <v>0</v>
      </c>
      <c r="AC75" s="153" t="s">
        <v>783</v>
      </c>
    </row>
    <row r="76" spans="1:29" s="157" customFormat="1" ht="15" customHeight="1">
      <c r="A76" s="69" t="s">
        <v>134</v>
      </c>
      <c r="B76" s="70" t="s">
        <v>135</v>
      </c>
      <c r="C76" s="69"/>
      <c r="D76" s="70" t="s">
        <v>135</v>
      </c>
      <c r="E76" s="71">
        <v>4205</v>
      </c>
      <c r="F76" s="71">
        <v>4205</v>
      </c>
      <c r="G76" s="72">
        <v>1</v>
      </c>
      <c r="H76" s="73">
        <v>0</v>
      </c>
      <c r="I76" s="73">
        <v>0</v>
      </c>
      <c r="J76" s="73">
        <v>1</v>
      </c>
      <c r="K76" s="72">
        <v>0</v>
      </c>
      <c r="L76" s="72">
        <f t="shared" si="13"/>
        <v>0</v>
      </c>
      <c r="M76" s="72">
        <v>0</v>
      </c>
      <c r="N76" s="72">
        <v>0</v>
      </c>
      <c r="O76" s="72">
        <v>0</v>
      </c>
      <c r="P76" s="72">
        <f t="shared" si="14"/>
        <v>0</v>
      </c>
      <c r="Q76" s="72">
        <f t="shared" si="15"/>
        <v>0</v>
      </c>
      <c r="R76" s="72"/>
      <c r="S76" s="56"/>
      <c r="T76" s="74">
        <f t="shared" si="16"/>
        <v>4205</v>
      </c>
      <c r="U76" s="74">
        <v>0</v>
      </c>
      <c r="V76" s="74">
        <f t="shared" si="17"/>
        <v>0</v>
      </c>
      <c r="W76" s="74">
        <f t="shared" si="18"/>
        <v>0</v>
      </c>
      <c r="X76" s="74">
        <f t="shared" si="19"/>
        <v>4205</v>
      </c>
      <c r="Y76" s="74">
        <f t="shared" si="20"/>
        <v>0</v>
      </c>
      <c r="Z76" s="74">
        <f t="shared" si="21"/>
        <v>0</v>
      </c>
      <c r="AA76" s="75">
        <f t="shared" si="22"/>
        <v>0</v>
      </c>
      <c r="AB76" s="75">
        <f t="shared" si="23"/>
        <v>0</v>
      </c>
      <c r="AC76" s="53"/>
    </row>
    <row r="77" spans="1:29" ht="36">
      <c r="A77" s="69" t="s">
        <v>138</v>
      </c>
      <c r="B77" s="70" t="s">
        <v>139</v>
      </c>
      <c r="C77" s="69"/>
      <c r="D77" s="70" t="s">
        <v>139</v>
      </c>
      <c r="E77" s="71">
        <v>580</v>
      </c>
      <c r="F77" s="71">
        <v>580</v>
      </c>
      <c r="G77" s="72">
        <v>0</v>
      </c>
      <c r="H77" s="73">
        <v>0</v>
      </c>
      <c r="I77" s="73">
        <v>0</v>
      </c>
      <c r="J77" s="73">
        <v>0</v>
      </c>
      <c r="K77" s="72">
        <v>0</v>
      </c>
      <c r="L77" s="72">
        <f t="shared" si="13"/>
        <v>0</v>
      </c>
      <c r="M77" s="72">
        <v>0</v>
      </c>
      <c r="N77" s="72">
        <v>0</v>
      </c>
      <c r="O77" s="72">
        <v>0</v>
      </c>
      <c r="P77" s="72">
        <f t="shared" si="14"/>
        <v>0</v>
      </c>
      <c r="Q77" s="72">
        <f t="shared" si="15"/>
        <v>0</v>
      </c>
      <c r="R77" s="72"/>
      <c r="S77" s="56"/>
      <c r="T77" s="74">
        <f t="shared" si="16"/>
        <v>0</v>
      </c>
      <c r="U77" s="74">
        <v>0</v>
      </c>
      <c r="V77" s="74">
        <f t="shared" si="17"/>
        <v>0</v>
      </c>
      <c r="W77" s="74">
        <f t="shared" si="18"/>
        <v>0</v>
      </c>
      <c r="X77" s="74">
        <f t="shared" si="19"/>
        <v>0</v>
      </c>
      <c r="Y77" s="74">
        <f t="shared" si="20"/>
        <v>0</v>
      </c>
      <c r="Z77" s="74">
        <f t="shared" si="21"/>
        <v>0</v>
      </c>
      <c r="AA77" s="75">
        <f t="shared" si="22"/>
        <v>0</v>
      </c>
      <c r="AB77" s="75">
        <f t="shared" si="23"/>
        <v>0</v>
      </c>
    </row>
    <row r="78" spans="1:29" s="157" customFormat="1" ht="15" customHeight="1">
      <c r="A78" s="69" t="s">
        <v>140</v>
      </c>
      <c r="B78" s="70" t="s">
        <v>141</v>
      </c>
      <c r="C78" s="69"/>
      <c r="D78" s="70" t="s">
        <v>141</v>
      </c>
      <c r="E78" s="71">
        <v>9</v>
      </c>
      <c r="F78" s="71">
        <v>9</v>
      </c>
      <c r="G78" s="72">
        <v>10</v>
      </c>
      <c r="H78" s="73">
        <v>0</v>
      </c>
      <c r="I78" s="73">
        <v>0</v>
      </c>
      <c r="J78" s="73">
        <v>0</v>
      </c>
      <c r="K78" s="72">
        <v>0</v>
      </c>
      <c r="L78" s="72">
        <f t="shared" si="13"/>
        <v>10</v>
      </c>
      <c r="M78" s="72">
        <v>10</v>
      </c>
      <c r="N78" s="72">
        <v>0</v>
      </c>
      <c r="O78" s="72">
        <v>0</v>
      </c>
      <c r="P78" s="72">
        <f t="shared" si="14"/>
        <v>10</v>
      </c>
      <c r="Q78" s="72">
        <f t="shared" si="15"/>
        <v>0</v>
      </c>
      <c r="R78" s="72"/>
      <c r="S78" s="56"/>
      <c r="T78" s="74">
        <f t="shared" si="16"/>
        <v>90</v>
      </c>
      <c r="U78" s="74">
        <v>0</v>
      </c>
      <c r="V78" s="74">
        <f t="shared" si="17"/>
        <v>0</v>
      </c>
      <c r="W78" s="74">
        <f t="shared" si="18"/>
        <v>0</v>
      </c>
      <c r="X78" s="74">
        <f t="shared" si="19"/>
        <v>0</v>
      </c>
      <c r="Y78" s="74">
        <f t="shared" si="20"/>
        <v>0</v>
      </c>
      <c r="Z78" s="74">
        <f t="shared" si="21"/>
        <v>90</v>
      </c>
      <c r="AA78" s="75">
        <f t="shared" si="22"/>
        <v>90</v>
      </c>
      <c r="AB78" s="75">
        <f t="shared" si="23"/>
        <v>0</v>
      </c>
      <c r="AC78" s="53"/>
    </row>
    <row r="79" spans="1:29" ht="24">
      <c r="A79" s="69" t="s">
        <v>142</v>
      </c>
      <c r="B79" s="70" t="s">
        <v>143</v>
      </c>
      <c r="C79" s="69"/>
      <c r="D79" s="70" t="s">
        <v>143</v>
      </c>
      <c r="E79" s="71">
        <v>13720</v>
      </c>
      <c r="F79" s="71">
        <v>13720</v>
      </c>
      <c r="G79" s="72">
        <v>2</v>
      </c>
      <c r="H79" s="73">
        <v>0</v>
      </c>
      <c r="I79" s="73">
        <v>0</v>
      </c>
      <c r="J79" s="73">
        <v>0</v>
      </c>
      <c r="K79" s="72">
        <v>0</v>
      </c>
      <c r="L79" s="72">
        <f t="shared" si="13"/>
        <v>2</v>
      </c>
      <c r="M79" s="72">
        <v>2</v>
      </c>
      <c r="N79" s="72">
        <v>0</v>
      </c>
      <c r="O79" s="72">
        <v>0</v>
      </c>
      <c r="P79" s="72">
        <f t="shared" si="14"/>
        <v>2</v>
      </c>
      <c r="Q79" s="72">
        <f t="shared" si="15"/>
        <v>0</v>
      </c>
      <c r="R79" s="72"/>
      <c r="S79" s="56"/>
      <c r="T79" s="74">
        <f t="shared" si="16"/>
        <v>27440</v>
      </c>
      <c r="U79" s="74">
        <v>0</v>
      </c>
      <c r="V79" s="74">
        <f t="shared" si="17"/>
        <v>0</v>
      </c>
      <c r="W79" s="74">
        <f t="shared" si="18"/>
        <v>0</v>
      </c>
      <c r="X79" s="74">
        <f t="shared" si="19"/>
        <v>0</v>
      </c>
      <c r="Y79" s="74">
        <f t="shared" si="20"/>
        <v>0</v>
      </c>
      <c r="Z79" s="74">
        <f t="shared" si="21"/>
        <v>27440</v>
      </c>
      <c r="AA79" s="75">
        <f t="shared" si="22"/>
        <v>27440</v>
      </c>
      <c r="AB79" s="75">
        <f t="shared" si="23"/>
        <v>0</v>
      </c>
    </row>
    <row r="80" spans="1:29" ht="24">
      <c r="A80" s="69" t="s">
        <v>144</v>
      </c>
      <c r="B80" s="140" t="s">
        <v>763</v>
      </c>
      <c r="C80" s="140"/>
      <c r="D80" s="70" t="s">
        <v>807</v>
      </c>
      <c r="E80" s="71">
        <v>940</v>
      </c>
      <c r="F80" s="71">
        <v>940</v>
      </c>
      <c r="G80" s="72">
        <v>1</v>
      </c>
      <c r="H80" s="73">
        <v>0</v>
      </c>
      <c r="I80" s="73">
        <v>0</v>
      </c>
      <c r="J80" s="73">
        <v>0</v>
      </c>
      <c r="K80" s="72">
        <v>0</v>
      </c>
      <c r="L80" s="72">
        <f t="shared" si="13"/>
        <v>1</v>
      </c>
      <c r="M80" s="72">
        <v>1</v>
      </c>
      <c r="N80" s="72">
        <v>0</v>
      </c>
      <c r="O80" s="72">
        <v>0</v>
      </c>
      <c r="P80" s="72">
        <f t="shared" si="14"/>
        <v>1</v>
      </c>
      <c r="Q80" s="72">
        <f t="shared" si="15"/>
        <v>0</v>
      </c>
      <c r="R80" s="72"/>
      <c r="S80" s="56"/>
      <c r="T80" s="74">
        <f t="shared" si="16"/>
        <v>940</v>
      </c>
      <c r="U80" s="74">
        <v>0</v>
      </c>
      <c r="V80" s="74">
        <f t="shared" si="17"/>
        <v>0</v>
      </c>
      <c r="W80" s="74">
        <f t="shared" si="18"/>
        <v>0</v>
      </c>
      <c r="X80" s="74">
        <f t="shared" si="19"/>
        <v>0</v>
      </c>
      <c r="Y80" s="74">
        <f t="shared" si="20"/>
        <v>0</v>
      </c>
      <c r="Z80" s="74">
        <f t="shared" si="21"/>
        <v>940</v>
      </c>
      <c r="AA80" s="75">
        <f t="shared" si="22"/>
        <v>940</v>
      </c>
      <c r="AB80" s="75">
        <f t="shared" si="23"/>
        <v>0</v>
      </c>
    </row>
    <row r="81" spans="1:28" ht="24">
      <c r="A81" s="69" t="s">
        <v>146</v>
      </c>
      <c r="B81" s="70" t="s">
        <v>147</v>
      </c>
      <c r="C81" s="69"/>
      <c r="D81" s="70" t="s">
        <v>147</v>
      </c>
      <c r="E81" s="71">
        <v>24.58</v>
      </c>
      <c r="F81" s="71">
        <v>24.58</v>
      </c>
      <c r="G81" s="72">
        <v>2</v>
      </c>
      <c r="H81" s="73">
        <v>0</v>
      </c>
      <c r="I81" s="73">
        <v>0</v>
      </c>
      <c r="J81" s="73">
        <v>2</v>
      </c>
      <c r="K81" s="72">
        <v>0</v>
      </c>
      <c r="L81" s="72">
        <f t="shared" si="13"/>
        <v>0</v>
      </c>
      <c r="M81" s="72">
        <v>0</v>
      </c>
      <c r="N81" s="72">
        <v>0</v>
      </c>
      <c r="O81" s="72">
        <v>0</v>
      </c>
      <c r="P81" s="72">
        <f t="shared" si="14"/>
        <v>0</v>
      </c>
      <c r="Q81" s="72">
        <f t="shared" si="15"/>
        <v>0</v>
      </c>
      <c r="R81" s="72"/>
      <c r="S81" s="56"/>
      <c r="T81" s="74">
        <f t="shared" si="16"/>
        <v>49.16</v>
      </c>
      <c r="U81" s="74">
        <v>0</v>
      </c>
      <c r="V81" s="74">
        <f t="shared" si="17"/>
        <v>0</v>
      </c>
      <c r="W81" s="74">
        <f t="shared" si="18"/>
        <v>0</v>
      </c>
      <c r="X81" s="74">
        <f t="shared" si="19"/>
        <v>49.16</v>
      </c>
      <c r="Y81" s="74">
        <f t="shared" si="20"/>
        <v>0</v>
      </c>
      <c r="Z81" s="74">
        <f t="shared" si="21"/>
        <v>0</v>
      </c>
      <c r="AA81" s="75">
        <f t="shared" si="22"/>
        <v>0</v>
      </c>
      <c r="AB81" s="75">
        <f t="shared" si="23"/>
        <v>0</v>
      </c>
    </row>
    <row r="82" spans="1:28" ht="24">
      <c r="A82" s="69" t="s">
        <v>148</v>
      </c>
      <c r="B82" s="140" t="s">
        <v>751</v>
      </c>
      <c r="C82" s="140"/>
      <c r="D82" s="70" t="s">
        <v>149</v>
      </c>
      <c r="E82" s="71">
        <v>890</v>
      </c>
      <c r="F82" s="71">
        <v>890</v>
      </c>
      <c r="G82" s="72">
        <v>1</v>
      </c>
      <c r="H82" s="73">
        <v>0</v>
      </c>
      <c r="I82" s="73">
        <v>0</v>
      </c>
      <c r="J82" s="73">
        <v>0</v>
      </c>
      <c r="K82" s="72">
        <v>0</v>
      </c>
      <c r="L82" s="72">
        <f t="shared" si="13"/>
        <v>1</v>
      </c>
      <c r="M82" s="72">
        <v>1</v>
      </c>
      <c r="N82" s="72">
        <v>0</v>
      </c>
      <c r="O82" s="72">
        <v>0</v>
      </c>
      <c r="P82" s="72">
        <f t="shared" si="14"/>
        <v>1</v>
      </c>
      <c r="Q82" s="72">
        <f t="shared" si="15"/>
        <v>0</v>
      </c>
      <c r="R82" s="72"/>
      <c r="S82" s="56"/>
      <c r="T82" s="74">
        <f t="shared" si="16"/>
        <v>890</v>
      </c>
      <c r="U82" s="74">
        <v>0</v>
      </c>
      <c r="V82" s="74">
        <f t="shared" si="17"/>
        <v>0</v>
      </c>
      <c r="W82" s="74">
        <f t="shared" si="18"/>
        <v>0</v>
      </c>
      <c r="X82" s="74">
        <f t="shared" si="19"/>
        <v>0</v>
      </c>
      <c r="Y82" s="74">
        <f t="shared" si="20"/>
        <v>0</v>
      </c>
      <c r="Z82" s="74">
        <f t="shared" si="21"/>
        <v>890</v>
      </c>
      <c r="AA82" s="75">
        <f t="shared" si="22"/>
        <v>890</v>
      </c>
      <c r="AB82" s="75">
        <f t="shared" si="23"/>
        <v>0</v>
      </c>
    </row>
    <row r="83" spans="1:28" ht="24">
      <c r="A83" s="69" t="s">
        <v>150</v>
      </c>
      <c r="B83" s="70" t="s">
        <v>151</v>
      </c>
      <c r="C83" s="69"/>
      <c r="D83" s="70" t="s">
        <v>151</v>
      </c>
      <c r="E83" s="71">
        <v>0</v>
      </c>
      <c r="F83" s="71">
        <v>0</v>
      </c>
      <c r="G83" s="72">
        <v>0</v>
      </c>
      <c r="H83" s="73">
        <v>0</v>
      </c>
      <c r="I83" s="73">
        <v>0</v>
      </c>
      <c r="J83" s="73">
        <v>0</v>
      </c>
      <c r="K83" s="72">
        <v>0</v>
      </c>
      <c r="L83" s="72">
        <f t="shared" si="13"/>
        <v>0</v>
      </c>
      <c r="M83" s="72">
        <v>0</v>
      </c>
      <c r="N83" s="72">
        <v>0</v>
      </c>
      <c r="O83" s="72">
        <v>0</v>
      </c>
      <c r="P83" s="72">
        <f t="shared" si="14"/>
        <v>0</v>
      </c>
      <c r="Q83" s="72">
        <f t="shared" si="15"/>
        <v>0</v>
      </c>
      <c r="R83" s="72"/>
      <c r="S83" s="56"/>
      <c r="T83" s="74">
        <f t="shared" si="16"/>
        <v>0</v>
      </c>
      <c r="U83" s="74">
        <v>0</v>
      </c>
      <c r="V83" s="74">
        <f t="shared" si="17"/>
        <v>0</v>
      </c>
      <c r="W83" s="74">
        <f t="shared" si="18"/>
        <v>0</v>
      </c>
      <c r="X83" s="74">
        <f t="shared" si="19"/>
        <v>0</v>
      </c>
      <c r="Y83" s="74">
        <f t="shared" si="20"/>
        <v>0</v>
      </c>
      <c r="Z83" s="74">
        <f t="shared" si="21"/>
        <v>0</v>
      </c>
      <c r="AA83" s="75">
        <f t="shared" si="22"/>
        <v>0</v>
      </c>
      <c r="AB83" s="75">
        <f t="shared" si="23"/>
        <v>0</v>
      </c>
    </row>
    <row r="84" spans="1:28" ht="24">
      <c r="A84" s="69" t="s">
        <v>152</v>
      </c>
      <c r="B84" s="70" t="s">
        <v>153</v>
      </c>
      <c r="C84" s="69"/>
      <c r="D84" s="70" t="s">
        <v>153</v>
      </c>
      <c r="E84" s="71">
        <v>560</v>
      </c>
      <c r="F84" s="71">
        <v>560</v>
      </c>
      <c r="G84" s="72">
        <v>2</v>
      </c>
      <c r="H84" s="73">
        <v>0</v>
      </c>
      <c r="I84" s="73">
        <v>0</v>
      </c>
      <c r="J84" s="73">
        <v>2</v>
      </c>
      <c r="K84" s="72">
        <v>0</v>
      </c>
      <c r="L84" s="72">
        <f t="shared" si="13"/>
        <v>0</v>
      </c>
      <c r="M84" s="72">
        <v>0</v>
      </c>
      <c r="N84" s="72">
        <v>0</v>
      </c>
      <c r="O84" s="72">
        <v>0</v>
      </c>
      <c r="P84" s="72">
        <f t="shared" si="14"/>
        <v>0</v>
      </c>
      <c r="Q84" s="72">
        <f t="shared" si="15"/>
        <v>0</v>
      </c>
      <c r="R84" s="72"/>
      <c r="S84" s="56"/>
      <c r="T84" s="74">
        <f t="shared" si="16"/>
        <v>1120</v>
      </c>
      <c r="U84" s="74">
        <v>0</v>
      </c>
      <c r="V84" s="74">
        <f t="shared" si="17"/>
        <v>0</v>
      </c>
      <c r="W84" s="74">
        <f t="shared" si="18"/>
        <v>0</v>
      </c>
      <c r="X84" s="74">
        <f t="shared" si="19"/>
        <v>1120</v>
      </c>
      <c r="Y84" s="74">
        <f t="shared" si="20"/>
        <v>0</v>
      </c>
      <c r="Z84" s="74">
        <f t="shared" si="21"/>
        <v>0</v>
      </c>
      <c r="AA84" s="75">
        <f t="shared" si="22"/>
        <v>0</v>
      </c>
      <c r="AB84" s="75">
        <f t="shared" si="23"/>
        <v>0</v>
      </c>
    </row>
    <row r="85" spans="1:28" ht="48">
      <c r="A85" s="69" t="s">
        <v>154</v>
      </c>
      <c r="B85" s="70" t="s">
        <v>155</v>
      </c>
      <c r="C85" s="69"/>
      <c r="D85" s="70" t="s">
        <v>155</v>
      </c>
      <c r="E85" s="71">
        <v>36</v>
      </c>
      <c r="F85" s="71">
        <v>36</v>
      </c>
      <c r="G85" s="72">
        <v>0</v>
      </c>
      <c r="H85" s="73">
        <v>0</v>
      </c>
      <c r="I85" s="73">
        <v>0</v>
      </c>
      <c r="J85" s="73">
        <v>0</v>
      </c>
      <c r="K85" s="72">
        <v>0</v>
      </c>
      <c r="L85" s="72">
        <f t="shared" si="13"/>
        <v>0</v>
      </c>
      <c r="M85" s="72">
        <v>0</v>
      </c>
      <c r="N85" s="72">
        <v>0</v>
      </c>
      <c r="O85" s="72">
        <v>0</v>
      </c>
      <c r="P85" s="72">
        <f t="shared" si="14"/>
        <v>0</v>
      </c>
      <c r="Q85" s="72">
        <f t="shared" si="15"/>
        <v>0</v>
      </c>
      <c r="R85" s="72"/>
      <c r="S85" s="56"/>
      <c r="T85" s="74">
        <f t="shared" si="16"/>
        <v>0</v>
      </c>
      <c r="U85" s="74">
        <v>0</v>
      </c>
      <c r="V85" s="74">
        <f t="shared" si="17"/>
        <v>0</v>
      </c>
      <c r="W85" s="74">
        <f t="shared" si="18"/>
        <v>0</v>
      </c>
      <c r="X85" s="74">
        <f t="shared" si="19"/>
        <v>0</v>
      </c>
      <c r="Y85" s="74">
        <f t="shared" si="20"/>
        <v>0</v>
      </c>
      <c r="Z85" s="74">
        <f t="shared" si="21"/>
        <v>0</v>
      </c>
      <c r="AA85" s="75">
        <f t="shared" si="22"/>
        <v>0</v>
      </c>
      <c r="AB85" s="75">
        <f t="shared" si="23"/>
        <v>0</v>
      </c>
    </row>
    <row r="86" spans="1:28" ht="36">
      <c r="A86" s="69" t="s">
        <v>156</v>
      </c>
      <c r="B86" s="70" t="s">
        <v>157</v>
      </c>
      <c r="C86" s="69"/>
      <c r="D86" s="70" t="s">
        <v>157</v>
      </c>
      <c r="E86" s="71">
        <v>1122</v>
      </c>
      <c r="F86" s="71">
        <v>1122</v>
      </c>
      <c r="G86" s="72">
        <v>0</v>
      </c>
      <c r="H86" s="73">
        <v>0</v>
      </c>
      <c r="I86" s="73">
        <v>0</v>
      </c>
      <c r="J86" s="73">
        <v>0</v>
      </c>
      <c r="K86" s="72">
        <v>0</v>
      </c>
      <c r="L86" s="72">
        <f t="shared" si="13"/>
        <v>0</v>
      </c>
      <c r="M86" s="72">
        <v>0</v>
      </c>
      <c r="N86" s="72">
        <v>0</v>
      </c>
      <c r="O86" s="72">
        <v>0</v>
      </c>
      <c r="P86" s="72">
        <f t="shared" si="14"/>
        <v>0</v>
      </c>
      <c r="Q86" s="72">
        <f t="shared" si="15"/>
        <v>0</v>
      </c>
      <c r="R86" s="72"/>
      <c r="S86" s="56"/>
      <c r="T86" s="74">
        <f t="shared" si="16"/>
        <v>0</v>
      </c>
      <c r="U86" s="74">
        <v>0</v>
      </c>
      <c r="V86" s="74">
        <f t="shared" si="17"/>
        <v>0</v>
      </c>
      <c r="W86" s="74">
        <f t="shared" si="18"/>
        <v>0</v>
      </c>
      <c r="X86" s="74">
        <f t="shared" si="19"/>
        <v>0</v>
      </c>
      <c r="Y86" s="74">
        <f t="shared" si="20"/>
        <v>0</v>
      </c>
      <c r="Z86" s="74">
        <f t="shared" si="21"/>
        <v>0</v>
      </c>
      <c r="AA86" s="75">
        <f t="shared" si="22"/>
        <v>0</v>
      </c>
      <c r="AB86" s="75">
        <f t="shared" si="23"/>
        <v>0</v>
      </c>
    </row>
    <row r="87" spans="1:28" ht="48">
      <c r="A87" s="69" t="s">
        <v>158</v>
      </c>
      <c r="B87" s="70" t="s">
        <v>159</v>
      </c>
      <c r="C87" s="69"/>
      <c r="D87" s="70" t="s">
        <v>159</v>
      </c>
      <c r="E87" s="71">
        <v>0</v>
      </c>
      <c r="F87" s="71">
        <v>0</v>
      </c>
      <c r="G87" s="72">
        <v>0</v>
      </c>
      <c r="H87" s="73">
        <v>0</v>
      </c>
      <c r="I87" s="73">
        <v>0</v>
      </c>
      <c r="J87" s="73">
        <v>0</v>
      </c>
      <c r="K87" s="72">
        <v>0</v>
      </c>
      <c r="L87" s="72">
        <f t="shared" si="13"/>
        <v>0</v>
      </c>
      <c r="M87" s="72">
        <v>0</v>
      </c>
      <c r="N87" s="72">
        <v>0</v>
      </c>
      <c r="O87" s="72">
        <v>0</v>
      </c>
      <c r="P87" s="72">
        <f t="shared" si="14"/>
        <v>0</v>
      </c>
      <c r="Q87" s="72">
        <f t="shared" si="15"/>
        <v>0</v>
      </c>
      <c r="R87" s="72"/>
      <c r="S87" s="56"/>
      <c r="T87" s="74">
        <f t="shared" si="16"/>
        <v>0</v>
      </c>
      <c r="U87" s="74">
        <v>0</v>
      </c>
      <c r="V87" s="74">
        <f t="shared" si="17"/>
        <v>0</v>
      </c>
      <c r="W87" s="74">
        <f t="shared" si="18"/>
        <v>0</v>
      </c>
      <c r="X87" s="74">
        <f t="shared" si="19"/>
        <v>0</v>
      </c>
      <c r="Y87" s="74">
        <f t="shared" si="20"/>
        <v>0</v>
      </c>
      <c r="Z87" s="74">
        <f t="shared" si="21"/>
        <v>0</v>
      </c>
      <c r="AA87" s="75">
        <f t="shared" si="22"/>
        <v>0</v>
      </c>
      <c r="AB87" s="75">
        <f t="shared" si="23"/>
        <v>0</v>
      </c>
    </row>
    <row r="88" spans="1:28" ht="48">
      <c r="A88" s="69" t="s">
        <v>160</v>
      </c>
      <c r="B88" s="70" t="s">
        <v>161</v>
      </c>
      <c r="C88" s="69"/>
      <c r="D88" s="70" t="s">
        <v>161</v>
      </c>
      <c r="E88" s="71">
        <v>0</v>
      </c>
      <c r="F88" s="71">
        <v>0</v>
      </c>
      <c r="G88" s="72">
        <v>0</v>
      </c>
      <c r="H88" s="73">
        <v>0</v>
      </c>
      <c r="I88" s="73">
        <v>0</v>
      </c>
      <c r="J88" s="73">
        <v>0</v>
      </c>
      <c r="K88" s="72">
        <v>0</v>
      </c>
      <c r="L88" s="72">
        <f t="shared" si="13"/>
        <v>0</v>
      </c>
      <c r="M88" s="72">
        <v>0</v>
      </c>
      <c r="N88" s="72">
        <v>0</v>
      </c>
      <c r="O88" s="72">
        <v>0</v>
      </c>
      <c r="P88" s="72">
        <f t="shared" si="14"/>
        <v>0</v>
      </c>
      <c r="Q88" s="72">
        <f t="shared" si="15"/>
        <v>0</v>
      </c>
      <c r="R88" s="72"/>
      <c r="S88" s="56"/>
      <c r="T88" s="74">
        <f t="shared" si="16"/>
        <v>0</v>
      </c>
      <c r="U88" s="74">
        <v>0</v>
      </c>
      <c r="V88" s="74">
        <f t="shared" si="17"/>
        <v>0</v>
      </c>
      <c r="W88" s="74">
        <f t="shared" si="18"/>
        <v>0</v>
      </c>
      <c r="X88" s="74">
        <f t="shared" si="19"/>
        <v>0</v>
      </c>
      <c r="Y88" s="74">
        <f t="shared" si="20"/>
        <v>0</v>
      </c>
      <c r="Z88" s="74">
        <f t="shared" si="21"/>
        <v>0</v>
      </c>
      <c r="AA88" s="75">
        <f t="shared" si="22"/>
        <v>0</v>
      </c>
      <c r="AB88" s="75">
        <f t="shared" si="23"/>
        <v>0</v>
      </c>
    </row>
    <row r="89" spans="1:28" ht="36">
      <c r="A89" s="69" t="s">
        <v>164</v>
      </c>
      <c r="B89" s="70" t="s">
        <v>165</v>
      </c>
      <c r="C89" s="69"/>
      <c r="D89" s="70" t="s">
        <v>165</v>
      </c>
      <c r="E89" s="71">
        <v>900</v>
      </c>
      <c r="F89" s="71">
        <v>900</v>
      </c>
      <c r="G89" s="72">
        <v>0</v>
      </c>
      <c r="H89" s="73">
        <v>0</v>
      </c>
      <c r="I89" s="73">
        <v>0</v>
      </c>
      <c r="J89" s="73">
        <v>0</v>
      </c>
      <c r="K89" s="72">
        <v>0</v>
      </c>
      <c r="L89" s="72">
        <f t="shared" si="13"/>
        <v>0</v>
      </c>
      <c r="M89" s="72">
        <v>0</v>
      </c>
      <c r="N89" s="72">
        <v>0</v>
      </c>
      <c r="O89" s="72">
        <v>0</v>
      </c>
      <c r="P89" s="72">
        <f t="shared" si="14"/>
        <v>0</v>
      </c>
      <c r="Q89" s="72">
        <f t="shared" si="15"/>
        <v>0</v>
      </c>
      <c r="R89" s="72"/>
      <c r="S89" s="56"/>
      <c r="T89" s="74">
        <f t="shared" si="16"/>
        <v>0</v>
      </c>
      <c r="U89" s="74">
        <v>0</v>
      </c>
      <c r="V89" s="74">
        <f t="shared" si="17"/>
        <v>0</v>
      </c>
      <c r="W89" s="74">
        <f t="shared" si="18"/>
        <v>0</v>
      </c>
      <c r="X89" s="74">
        <f t="shared" si="19"/>
        <v>0</v>
      </c>
      <c r="Y89" s="74">
        <f t="shared" si="20"/>
        <v>0</v>
      </c>
      <c r="Z89" s="74">
        <f t="shared" si="21"/>
        <v>0</v>
      </c>
      <c r="AA89" s="75">
        <f t="shared" si="22"/>
        <v>0</v>
      </c>
      <c r="AB89" s="75">
        <f t="shared" si="23"/>
        <v>0</v>
      </c>
    </row>
    <row r="90" spans="1:28" ht="60">
      <c r="A90" s="69" t="s">
        <v>168</v>
      </c>
      <c r="B90" s="140" t="s">
        <v>752</v>
      </c>
      <c r="C90" s="140"/>
      <c r="D90" s="70" t="s">
        <v>169</v>
      </c>
      <c r="E90" s="71">
        <v>490</v>
      </c>
      <c r="F90" s="71">
        <v>490</v>
      </c>
      <c r="G90" s="72">
        <v>4</v>
      </c>
      <c r="H90" s="73">
        <v>0</v>
      </c>
      <c r="I90" s="73">
        <v>0</v>
      </c>
      <c r="J90" s="73">
        <v>0</v>
      </c>
      <c r="K90" s="72">
        <v>0</v>
      </c>
      <c r="L90" s="72">
        <f t="shared" si="13"/>
        <v>4</v>
      </c>
      <c r="M90" s="72">
        <v>4</v>
      </c>
      <c r="N90" s="72">
        <v>0</v>
      </c>
      <c r="O90" s="72">
        <v>0</v>
      </c>
      <c r="P90" s="72">
        <f t="shared" si="14"/>
        <v>4</v>
      </c>
      <c r="Q90" s="72">
        <f t="shared" si="15"/>
        <v>0</v>
      </c>
      <c r="R90" s="72"/>
      <c r="S90" s="56"/>
      <c r="T90" s="74">
        <f t="shared" si="16"/>
        <v>1960</v>
      </c>
      <c r="U90" s="74">
        <v>0</v>
      </c>
      <c r="V90" s="74">
        <f t="shared" si="17"/>
        <v>0</v>
      </c>
      <c r="W90" s="74">
        <f t="shared" si="18"/>
        <v>0</v>
      </c>
      <c r="X90" s="74">
        <f t="shared" si="19"/>
        <v>0</v>
      </c>
      <c r="Y90" s="74">
        <f t="shared" si="20"/>
        <v>0</v>
      </c>
      <c r="Z90" s="74">
        <f t="shared" si="21"/>
        <v>1960</v>
      </c>
      <c r="AA90" s="75">
        <f t="shared" si="22"/>
        <v>1960</v>
      </c>
      <c r="AB90" s="75">
        <f t="shared" si="23"/>
        <v>0</v>
      </c>
    </row>
    <row r="91" spans="1:28">
      <c r="A91" s="69" t="s">
        <v>170</v>
      </c>
      <c r="B91" s="70" t="s">
        <v>171</v>
      </c>
      <c r="C91" s="69"/>
      <c r="D91" s="70" t="s">
        <v>171</v>
      </c>
      <c r="E91" s="71">
        <v>5100</v>
      </c>
      <c r="F91" s="71">
        <v>5100</v>
      </c>
      <c r="G91" s="72">
        <v>1</v>
      </c>
      <c r="H91" s="73">
        <v>0</v>
      </c>
      <c r="I91" s="73">
        <v>0</v>
      </c>
      <c r="J91" s="73">
        <v>1</v>
      </c>
      <c r="K91" s="72">
        <v>0</v>
      </c>
      <c r="L91" s="72">
        <f t="shared" si="13"/>
        <v>0</v>
      </c>
      <c r="M91" s="72">
        <v>0</v>
      </c>
      <c r="N91" s="72">
        <v>0</v>
      </c>
      <c r="O91" s="72">
        <v>0</v>
      </c>
      <c r="P91" s="72">
        <f t="shared" si="14"/>
        <v>0</v>
      </c>
      <c r="Q91" s="72">
        <f t="shared" si="15"/>
        <v>0</v>
      </c>
      <c r="R91" s="72"/>
      <c r="S91" s="56"/>
      <c r="T91" s="74">
        <f t="shared" si="16"/>
        <v>5100</v>
      </c>
      <c r="U91" s="74">
        <v>0</v>
      </c>
      <c r="V91" s="74">
        <f t="shared" si="17"/>
        <v>0</v>
      </c>
      <c r="W91" s="74">
        <f t="shared" si="18"/>
        <v>0</v>
      </c>
      <c r="X91" s="74">
        <f t="shared" si="19"/>
        <v>5100</v>
      </c>
      <c r="Y91" s="74">
        <f t="shared" si="20"/>
        <v>0</v>
      </c>
      <c r="Z91" s="74">
        <f t="shared" si="21"/>
        <v>0</v>
      </c>
      <c r="AA91" s="75">
        <f t="shared" si="22"/>
        <v>0</v>
      </c>
      <c r="AB91" s="75">
        <f t="shared" si="23"/>
        <v>0</v>
      </c>
    </row>
    <row r="92" spans="1:28" ht="24">
      <c r="A92" s="69" t="s">
        <v>172</v>
      </c>
      <c r="B92" s="70" t="s">
        <v>173</v>
      </c>
      <c r="C92" s="69"/>
      <c r="D92" s="70" t="s">
        <v>173</v>
      </c>
      <c r="E92" s="71">
        <v>79.92</v>
      </c>
      <c r="F92" s="71">
        <v>79.92</v>
      </c>
      <c r="G92" s="72">
        <v>2</v>
      </c>
      <c r="H92" s="73">
        <v>0</v>
      </c>
      <c r="I92" s="73">
        <v>0</v>
      </c>
      <c r="J92" s="73">
        <v>0</v>
      </c>
      <c r="K92" s="72">
        <v>0</v>
      </c>
      <c r="L92" s="72">
        <f t="shared" si="13"/>
        <v>2</v>
      </c>
      <c r="M92" s="72">
        <v>2</v>
      </c>
      <c r="N92" s="72">
        <v>0</v>
      </c>
      <c r="O92" s="72">
        <v>0</v>
      </c>
      <c r="P92" s="72">
        <f t="shared" si="14"/>
        <v>2</v>
      </c>
      <c r="Q92" s="72">
        <f t="shared" si="15"/>
        <v>0</v>
      </c>
      <c r="R92" s="72"/>
      <c r="S92" s="56"/>
      <c r="T92" s="74">
        <f t="shared" si="16"/>
        <v>159.84</v>
      </c>
      <c r="U92" s="74">
        <v>0</v>
      </c>
      <c r="V92" s="74">
        <f t="shared" si="17"/>
        <v>0</v>
      </c>
      <c r="W92" s="74">
        <f t="shared" si="18"/>
        <v>0</v>
      </c>
      <c r="X92" s="74">
        <f t="shared" si="19"/>
        <v>0</v>
      </c>
      <c r="Y92" s="74">
        <f t="shared" si="20"/>
        <v>0</v>
      </c>
      <c r="Z92" s="74">
        <f t="shared" si="21"/>
        <v>159.84</v>
      </c>
      <c r="AA92" s="75">
        <f t="shared" si="22"/>
        <v>159.84</v>
      </c>
      <c r="AB92" s="75">
        <f t="shared" si="23"/>
        <v>0</v>
      </c>
    </row>
    <row r="93" spans="1:28" ht="24">
      <c r="A93" s="69" t="s">
        <v>174</v>
      </c>
      <c r="B93" s="70" t="s">
        <v>175</v>
      </c>
      <c r="C93" s="69"/>
      <c r="D93" s="70" t="s">
        <v>175</v>
      </c>
      <c r="E93" s="71">
        <v>60.08</v>
      </c>
      <c r="F93" s="71">
        <v>60.08</v>
      </c>
      <c r="G93" s="72">
        <v>1</v>
      </c>
      <c r="H93" s="73">
        <v>0</v>
      </c>
      <c r="I93" s="73">
        <v>0</v>
      </c>
      <c r="J93" s="73">
        <v>1</v>
      </c>
      <c r="K93" s="72">
        <v>0</v>
      </c>
      <c r="L93" s="72">
        <f t="shared" si="13"/>
        <v>0</v>
      </c>
      <c r="M93" s="72">
        <v>0</v>
      </c>
      <c r="N93" s="72">
        <v>0</v>
      </c>
      <c r="O93" s="72">
        <v>0</v>
      </c>
      <c r="P93" s="72">
        <f t="shared" si="14"/>
        <v>0</v>
      </c>
      <c r="Q93" s="72">
        <f t="shared" si="15"/>
        <v>0</v>
      </c>
      <c r="R93" s="72"/>
      <c r="S93" s="56"/>
      <c r="T93" s="74">
        <f t="shared" si="16"/>
        <v>60.08</v>
      </c>
      <c r="U93" s="74">
        <v>0</v>
      </c>
      <c r="V93" s="74">
        <f t="shared" si="17"/>
        <v>0</v>
      </c>
      <c r="W93" s="74">
        <f t="shared" si="18"/>
        <v>0</v>
      </c>
      <c r="X93" s="74">
        <f t="shared" si="19"/>
        <v>60.08</v>
      </c>
      <c r="Y93" s="74">
        <f t="shared" si="20"/>
        <v>0</v>
      </c>
      <c r="Z93" s="74">
        <f t="shared" si="21"/>
        <v>0</v>
      </c>
      <c r="AA93" s="75">
        <f t="shared" si="22"/>
        <v>0</v>
      </c>
      <c r="AB93" s="75">
        <f t="shared" si="23"/>
        <v>0</v>
      </c>
    </row>
    <row r="94" spans="1:28" ht="48">
      <c r="A94" s="69" t="s">
        <v>176</v>
      </c>
      <c r="B94" s="70" t="s">
        <v>177</v>
      </c>
      <c r="C94" s="69"/>
      <c r="D94" s="70" t="s">
        <v>177</v>
      </c>
      <c r="E94" s="71">
        <v>780</v>
      </c>
      <c r="F94" s="71">
        <v>780</v>
      </c>
      <c r="G94" s="72">
        <v>1</v>
      </c>
      <c r="H94" s="73">
        <v>0</v>
      </c>
      <c r="I94" s="73">
        <v>0</v>
      </c>
      <c r="J94" s="73">
        <v>1</v>
      </c>
      <c r="K94" s="72">
        <v>0</v>
      </c>
      <c r="L94" s="72">
        <f t="shared" si="13"/>
        <v>0</v>
      </c>
      <c r="M94" s="72">
        <v>0</v>
      </c>
      <c r="N94" s="72">
        <v>0</v>
      </c>
      <c r="O94" s="72">
        <v>0</v>
      </c>
      <c r="P94" s="72">
        <f t="shared" si="14"/>
        <v>0</v>
      </c>
      <c r="Q94" s="72">
        <f t="shared" si="15"/>
        <v>0</v>
      </c>
      <c r="R94" s="72"/>
      <c r="S94" s="56"/>
      <c r="T94" s="74">
        <f t="shared" si="16"/>
        <v>780</v>
      </c>
      <c r="U94" s="74">
        <v>0</v>
      </c>
      <c r="V94" s="74">
        <f t="shared" si="17"/>
        <v>0</v>
      </c>
      <c r="W94" s="74">
        <f t="shared" si="18"/>
        <v>0</v>
      </c>
      <c r="X94" s="74">
        <f t="shared" si="19"/>
        <v>780</v>
      </c>
      <c r="Y94" s="74">
        <f t="shared" si="20"/>
        <v>0</v>
      </c>
      <c r="Z94" s="74">
        <f t="shared" si="21"/>
        <v>0</v>
      </c>
      <c r="AA94" s="75">
        <f t="shared" si="22"/>
        <v>0</v>
      </c>
      <c r="AB94" s="75">
        <f t="shared" si="23"/>
        <v>0</v>
      </c>
    </row>
    <row r="95" spans="1:28" ht="24">
      <c r="A95" s="69" t="s">
        <v>178</v>
      </c>
      <c r="B95" s="70" t="s">
        <v>179</v>
      </c>
      <c r="C95" s="69"/>
      <c r="D95" s="70" t="s">
        <v>179</v>
      </c>
      <c r="E95" s="71">
        <v>18.600000000000001</v>
      </c>
      <c r="F95" s="71">
        <v>18.600000000000001</v>
      </c>
      <c r="G95" s="72">
        <v>0</v>
      </c>
      <c r="H95" s="73">
        <v>0</v>
      </c>
      <c r="I95" s="73">
        <v>0</v>
      </c>
      <c r="J95" s="73">
        <v>0</v>
      </c>
      <c r="K95" s="72">
        <v>0</v>
      </c>
      <c r="L95" s="72">
        <f t="shared" si="13"/>
        <v>0</v>
      </c>
      <c r="M95" s="72">
        <v>0</v>
      </c>
      <c r="N95" s="72">
        <v>0</v>
      </c>
      <c r="O95" s="72">
        <v>0</v>
      </c>
      <c r="P95" s="72">
        <f t="shared" si="14"/>
        <v>0</v>
      </c>
      <c r="Q95" s="72">
        <f t="shared" si="15"/>
        <v>0</v>
      </c>
      <c r="R95" s="72"/>
      <c r="S95" s="56"/>
      <c r="T95" s="74">
        <f t="shared" si="16"/>
        <v>0</v>
      </c>
      <c r="U95" s="74">
        <v>0</v>
      </c>
      <c r="V95" s="74">
        <f t="shared" si="17"/>
        <v>0</v>
      </c>
      <c r="W95" s="74">
        <f t="shared" si="18"/>
        <v>0</v>
      </c>
      <c r="X95" s="74">
        <f t="shared" si="19"/>
        <v>0</v>
      </c>
      <c r="Y95" s="74">
        <f t="shared" si="20"/>
        <v>0</v>
      </c>
      <c r="Z95" s="74">
        <f t="shared" si="21"/>
        <v>0</v>
      </c>
      <c r="AA95" s="75">
        <f t="shared" si="22"/>
        <v>0</v>
      </c>
      <c r="AB95" s="75">
        <f t="shared" si="23"/>
        <v>0</v>
      </c>
    </row>
    <row r="96" spans="1:28" ht="48">
      <c r="A96" s="69" t="s">
        <v>180</v>
      </c>
      <c r="B96" s="70" t="s">
        <v>181</v>
      </c>
      <c r="C96" s="69"/>
      <c r="D96" s="70" t="s">
        <v>181</v>
      </c>
      <c r="E96" s="71">
        <v>852</v>
      </c>
      <c r="F96" s="71">
        <v>852</v>
      </c>
      <c r="G96" s="72">
        <v>2</v>
      </c>
      <c r="H96" s="73">
        <v>0</v>
      </c>
      <c r="I96" s="73">
        <v>0</v>
      </c>
      <c r="J96" s="73">
        <v>2</v>
      </c>
      <c r="K96" s="72">
        <v>0</v>
      </c>
      <c r="L96" s="72">
        <f t="shared" si="13"/>
        <v>0</v>
      </c>
      <c r="M96" s="72">
        <v>0</v>
      </c>
      <c r="N96" s="72">
        <v>0</v>
      </c>
      <c r="O96" s="72">
        <v>0</v>
      </c>
      <c r="P96" s="72">
        <f t="shared" si="14"/>
        <v>0</v>
      </c>
      <c r="Q96" s="72">
        <f t="shared" si="15"/>
        <v>0</v>
      </c>
      <c r="R96" s="72"/>
      <c r="S96" s="56"/>
      <c r="T96" s="74">
        <f t="shared" si="16"/>
        <v>1704</v>
      </c>
      <c r="U96" s="74">
        <v>0</v>
      </c>
      <c r="V96" s="74">
        <f t="shared" si="17"/>
        <v>0</v>
      </c>
      <c r="W96" s="74">
        <f t="shared" si="18"/>
        <v>0</v>
      </c>
      <c r="X96" s="74">
        <f t="shared" si="19"/>
        <v>1704</v>
      </c>
      <c r="Y96" s="74">
        <f t="shared" si="20"/>
        <v>0</v>
      </c>
      <c r="Z96" s="74">
        <f t="shared" si="21"/>
        <v>0</v>
      </c>
      <c r="AA96" s="75">
        <f t="shared" si="22"/>
        <v>0</v>
      </c>
      <c r="AB96" s="75">
        <f t="shared" si="23"/>
        <v>0</v>
      </c>
    </row>
    <row r="97" spans="1:29" s="157" customFormat="1" ht="15" customHeight="1">
      <c r="A97" s="69" t="s">
        <v>182</v>
      </c>
      <c r="B97" s="70" t="s">
        <v>183</v>
      </c>
      <c r="C97" s="69"/>
      <c r="D97" s="70" t="s">
        <v>183</v>
      </c>
      <c r="E97" s="71">
        <v>1750</v>
      </c>
      <c r="F97" s="71">
        <v>1750</v>
      </c>
      <c r="G97" s="72">
        <v>3</v>
      </c>
      <c r="H97" s="73">
        <v>0</v>
      </c>
      <c r="I97" s="73">
        <v>0</v>
      </c>
      <c r="J97" s="73">
        <v>0</v>
      </c>
      <c r="K97" s="72">
        <v>0</v>
      </c>
      <c r="L97" s="72">
        <f t="shared" si="13"/>
        <v>3</v>
      </c>
      <c r="M97" s="72">
        <v>2</v>
      </c>
      <c r="N97" s="72">
        <v>1</v>
      </c>
      <c r="O97" s="72">
        <v>0</v>
      </c>
      <c r="P97" s="72">
        <f t="shared" si="14"/>
        <v>3</v>
      </c>
      <c r="Q97" s="72">
        <f t="shared" si="15"/>
        <v>0</v>
      </c>
      <c r="R97" s="72"/>
      <c r="S97" s="56"/>
      <c r="T97" s="74">
        <f t="shared" si="16"/>
        <v>5250</v>
      </c>
      <c r="U97" s="74">
        <v>0</v>
      </c>
      <c r="V97" s="74">
        <f t="shared" si="17"/>
        <v>0</v>
      </c>
      <c r="W97" s="74">
        <f t="shared" si="18"/>
        <v>0</v>
      </c>
      <c r="X97" s="74">
        <f t="shared" si="19"/>
        <v>0</v>
      </c>
      <c r="Y97" s="74">
        <f t="shared" si="20"/>
        <v>0</v>
      </c>
      <c r="Z97" s="74">
        <f t="shared" si="21"/>
        <v>5250</v>
      </c>
      <c r="AA97" s="75">
        <f t="shared" si="22"/>
        <v>5250</v>
      </c>
      <c r="AB97" s="75">
        <f t="shared" si="23"/>
        <v>0</v>
      </c>
      <c r="AC97" s="53"/>
    </row>
    <row r="98" spans="1:29" ht="24">
      <c r="A98" s="69" t="s">
        <v>184</v>
      </c>
      <c r="B98" s="70" t="s">
        <v>185</v>
      </c>
      <c r="C98" s="69"/>
      <c r="D98" s="70" t="s">
        <v>185</v>
      </c>
      <c r="E98" s="71">
        <v>1550</v>
      </c>
      <c r="F98" s="71">
        <v>1550</v>
      </c>
      <c r="G98" s="72">
        <v>1</v>
      </c>
      <c r="H98" s="73">
        <v>0</v>
      </c>
      <c r="I98" s="73">
        <v>0</v>
      </c>
      <c r="J98" s="73">
        <v>0</v>
      </c>
      <c r="K98" s="72">
        <v>0</v>
      </c>
      <c r="L98" s="72">
        <f t="shared" si="13"/>
        <v>1</v>
      </c>
      <c r="M98" s="72">
        <v>1</v>
      </c>
      <c r="N98" s="72">
        <v>0</v>
      </c>
      <c r="O98" s="72">
        <v>0</v>
      </c>
      <c r="P98" s="72">
        <f t="shared" si="14"/>
        <v>1</v>
      </c>
      <c r="Q98" s="72">
        <f t="shared" si="15"/>
        <v>0</v>
      </c>
      <c r="R98" s="72"/>
      <c r="S98" s="56"/>
      <c r="T98" s="74">
        <f t="shared" si="16"/>
        <v>1550</v>
      </c>
      <c r="U98" s="74">
        <v>0</v>
      </c>
      <c r="V98" s="74">
        <f t="shared" si="17"/>
        <v>0</v>
      </c>
      <c r="W98" s="74">
        <f t="shared" si="18"/>
        <v>0</v>
      </c>
      <c r="X98" s="74">
        <f t="shared" si="19"/>
        <v>0</v>
      </c>
      <c r="Y98" s="74">
        <f t="shared" si="20"/>
        <v>0</v>
      </c>
      <c r="Z98" s="74">
        <f t="shared" si="21"/>
        <v>1550</v>
      </c>
      <c r="AA98" s="75">
        <f t="shared" si="22"/>
        <v>1550</v>
      </c>
      <c r="AB98" s="75">
        <f t="shared" si="23"/>
        <v>0</v>
      </c>
    </row>
    <row r="99" spans="1:29" ht="24">
      <c r="A99" s="69" t="s">
        <v>186</v>
      </c>
      <c r="B99" s="70" t="s">
        <v>187</v>
      </c>
      <c r="C99" s="69"/>
      <c r="D99" s="70" t="s">
        <v>187</v>
      </c>
      <c r="E99" s="71">
        <v>1750</v>
      </c>
      <c r="F99" s="71">
        <v>1750</v>
      </c>
      <c r="G99" s="72">
        <v>0</v>
      </c>
      <c r="H99" s="73">
        <v>0</v>
      </c>
      <c r="I99" s="73">
        <v>0</v>
      </c>
      <c r="J99" s="73">
        <v>0</v>
      </c>
      <c r="K99" s="72">
        <v>0</v>
      </c>
      <c r="L99" s="72">
        <f t="shared" si="13"/>
        <v>0</v>
      </c>
      <c r="M99" s="72">
        <v>0</v>
      </c>
      <c r="N99" s="72">
        <v>3</v>
      </c>
      <c r="O99" s="72">
        <v>0</v>
      </c>
      <c r="P99" s="72">
        <f t="shared" si="14"/>
        <v>3</v>
      </c>
      <c r="Q99" s="72">
        <f t="shared" si="15"/>
        <v>3</v>
      </c>
      <c r="R99" s="72"/>
      <c r="S99" s="56"/>
      <c r="T99" s="74">
        <f t="shared" si="16"/>
        <v>0</v>
      </c>
      <c r="U99" s="74">
        <v>0</v>
      </c>
      <c r="V99" s="74">
        <f t="shared" si="17"/>
        <v>0</v>
      </c>
      <c r="W99" s="74">
        <f t="shared" si="18"/>
        <v>0</v>
      </c>
      <c r="X99" s="74">
        <f t="shared" si="19"/>
        <v>0</v>
      </c>
      <c r="Y99" s="74">
        <f t="shared" si="20"/>
        <v>0</v>
      </c>
      <c r="Z99" s="74">
        <f t="shared" si="21"/>
        <v>0</v>
      </c>
      <c r="AA99" s="75">
        <f t="shared" si="22"/>
        <v>0</v>
      </c>
      <c r="AB99" s="75">
        <f t="shared" si="23"/>
        <v>0</v>
      </c>
    </row>
    <row r="100" spans="1:29" ht="24">
      <c r="A100" s="69" t="s">
        <v>188</v>
      </c>
      <c r="B100" s="70" t="s">
        <v>189</v>
      </c>
      <c r="C100" s="69"/>
      <c r="D100" s="70" t="s">
        <v>189</v>
      </c>
      <c r="E100" s="71">
        <v>1750</v>
      </c>
      <c r="F100" s="71">
        <v>1750</v>
      </c>
      <c r="G100" s="72">
        <v>0</v>
      </c>
      <c r="H100" s="73">
        <v>0</v>
      </c>
      <c r="I100" s="73">
        <v>0</v>
      </c>
      <c r="J100" s="73">
        <v>0</v>
      </c>
      <c r="K100" s="72">
        <v>0</v>
      </c>
      <c r="L100" s="72">
        <f t="shared" si="13"/>
        <v>0</v>
      </c>
      <c r="M100" s="72">
        <v>0</v>
      </c>
      <c r="N100" s="72">
        <v>0</v>
      </c>
      <c r="O100" s="72">
        <v>0</v>
      </c>
      <c r="P100" s="72">
        <f t="shared" si="14"/>
        <v>0</v>
      </c>
      <c r="Q100" s="72">
        <f t="shared" si="15"/>
        <v>0</v>
      </c>
      <c r="R100" s="72"/>
      <c r="S100" s="56"/>
      <c r="T100" s="74">
        <f t="shared" si="16"/>
        <v>0</v>
      </c>
      <c r="U100" s="74">
        <v>0</v>
      </c>
      <c r="V100" s="74">
        <f t="shared" si="17"/>
        <v>0</v>
      </c>
      <c r="W100" s="74">
        <f t="shared" si="18"/>
        <v>0</v>
      </c>
      <c r="X100" s="74">
        <f t="shared" si="19"/>
        <v>0</v>
      </c>
      <c r="Y100" s="74">
        <f t="shared" si="20"/>
        <v>0</v>
      </c>
      <c r="Z100" s="74">
        <f t="shared" si="21"/>
        <v>0</v>
      </c>
      <c r="AA100" s="75">
        <f t="shared" si="22"/>
        <v>0</v>
      </c>
      <c r="AB100" s="75">
        <f t="shared" si="23"/>
        <v>0</v>
      </c>
    </row>
    <row r="101" spans="1:29" ht="24">
      <c r="A101" s="69" t="s">
        <v>190</v>
      </c>
      <c r="B101" s="70" t="s">
        <v>191</v>
      </c>
      <c r="C101" s="69"/>
      <c r="D101" s="70" t="s">
        <v>191</v>
      </c>
      <c r="E101" s="71">
        <v>1850</v>
      </c>
      <c r="F101" s="71">
        <v>1850</v>
      </c>
      <c r="G101" s="72">
        <v>2</v>
      </c>
      <c r="H101" s="73">
        <v>0</v>
      </c>
      <c r="I101" s="73">
        <v>0</v>
      </c>
      <c r="J101" s="73">
        <v>0</v>
      </c>
      <c r="K101" s="72">
        <v>0</v>
      </c>
      <c r="L101" s="72">
        <f t="shared" si="13"/>
        <v>2</v>
      </c>
      <c r="M101" s="72">
        <v>2</v>
      </c>
      <c r="N101" s="72">
        <v>0</v>
      </c>
      <c r="O101" s="72">
        <v>0</v>
      </c>
      <c r="P101" s="72">
        <f t="shared" si="14"/>
        <v>2</v>
      </c>
      <c r="Q101" s="72">
        <f t="shared" si="15"/>
        <v>0</v>
      </c>
      <c r="R101" s="72"/>
      <c r="S101" s="56"/>
      <c r="T101" s="74">
        <f t="shared" si="16"/>
        <v>3700</v>
      </c>
      <c r="U101" s="74">
        <v>0</v>
      </c>
      <c r="V101" s="74">
        <f t="shared" si="17"/>
        <v>0</v>
      </c>
      <c r="W101" s="74">
        <f t="shared" si="18"/>
        <v>0</v>
      </c>
      <c r="X101" s="74">
        <f t="shared" si="19"/>
        <v>0</v>
      </c>
      <c r="Y101" s="74">
        <f t="shared" si="20"/>
        <v>0</v>
      </c>
      <c r="Z101" s="74">
        <f t="shared" si="21"/>
        <v>3700</v>
      </c>
      <c r="AA101" s="75">
        <f t="shared" si="22"/>
        <v>3700</v>
      </c>
      <c r="AB101" s="75">
        <f t="shared" si="23"/>
        <v>0</v>
      </c>
    </row>
    <row r="102" spans="1:29" ht="36">
      <c r="A102" s="69" t="s">
        <v>192</v>
      </c>
      <c r="B102" s="70" t="s">
        <v>193</v>
      </c>
      <c r="C102" s="69"/>
      <c r="D102" s="70" t="s">
        <v>193</v>
      </c>
      <c r="E102" s="71">
        <v>432</v>
      </c>
      <c r="F102" s="71">
        <v>432</v>
      </c>
      <c r="G102" s="72">
        <v>0</v>
      </c>
      <c r="H102" s="73">
        <v>0</v>
      </c>
      <c r="I102" s="73">
        <v>0</v>
      </c>
      <c r="J102" s="73">
        <v>0</v>
      </c>
      <c r="K102" s="72">
        <v>0</v>
      </c>
      <c r="L102" s="72">
        <f t="shared" si="13"/>
        <v>0</v>
      </c>
      <c r="M102" s="72">
        <v>0</v>
      </c>
      <c r="N102" s="72">
        <v>0</v>
      </c>
      <c r="O102" s="72">
        <v>0</v>
      </c>
      <c r="P102" s="72">
        <f t="shared" si="14"/>
        <v>0</v>
      </c>
      <c r="Q102" s="72">
        <f t="shared" si="15"/>
        <v>0</v>
      </c>
      <c r="R102" s="72"/>
      <c r="S102" s="56"/>
      <c r="T102" s="74">
        <f t="shared" si="16"/>
        <v>0</v>
      </c>
      <c r="U102" s="74">
        <v>0</v>
      </c>
      <c r="V102" s="74">
        <f t="shared" si="17"/>
        <v>0</v>
      </c>
      <c r="W102" s="74">
        <f t="shared" si="18"/>
        <v>0</v>
      </c>
      <c r="X102" s="74">
        <f t="shared" si="19"/>
        <v>0</v>
      </c>
      <c r="Y102" s="74">
        <f t="shared" si="20"/>
        <v>0</v>
      </c>
      <c r="Z102" s="74">
        <f t="shared" si="21"/>
        <v>0</v>
      </c>
      <c r="AA102" s="75">
        <f t="shared" si="22"/>
        <v>0</v>
      </c>
      <c r="AB102" s="75">
        <f t="shared" si="23"/>
        <v>0</v>
      </c>
    </row>
    <row r="103" spans="1:29" ht="24">
      <c r="A103" s="69" t="s">
        <v>194</v>
      </c>
      <c r="B103" s="140" t="s">
        <v>710</v>
      </c>
      <c r="C103" s="140"/>
      <c r="D103" s="70" t="s">
        <v>195</v>
      </c>
      <c r="E103" s="71">
        <v>2300</v>
      </c>
      <c r="F103" s="71">
        <v>2300</v>
      </c>
      <c r="G103" s="72">
        <v>2</v>
      </c>
      <c r="H103" s="73">
        <v>0</v>
      </c>
      <c r="I103" s="73">
        <v>0</v>
      </c>
      <c r="J103" s="73">
        <v>0</v>
      </c>
      <c r="K103" s="72">
        <v>0</v>
      </c>
      <c r="L103" s="72">
        <f t="shared" si="13"/>
        <v>2</v>
      </c>
      <c r="M103" s="72">
        <v>2</v>
      </c>
      <c r="N103" s="72">
        <v>0</v>
      </c>
      <c r="O103" s="72">
        <v>0</v>
      </c>
      <c r="P103" s="72">
        <f t="shared" si="14"/>
        <v>2</v>
      </c>
      <c r="Q103" s="72">
        <f t="shared" si="15"/>
        <v>0</v>
      </c>
      <c r="R103" s="72"/>
      <c r="S103" s="56"/>
      <c r="T103" s="74">
        <f t="shared" si="16"/>
        <v>4600</v>
      </c>
      <c r="U103" s="74">
        <v>0</v>
      </c>
      <c r="V103" s="74">
        <f t="shared" si="17"/>
        <v>0</v>
      </c>
      <c r="W103" s="74">
        <f t="shared" si="18"/>
        <v>0</v>
      </c>
      <c r="X103" s="74">
        <f t="shared" si="19"/>
        <v>0</v>
      </c>
      <c r="Y103" s="74">
        <f t="shared" si="20"/>
        <v>0</v>
      </c>
      <c r="Z103" s="74">
        <f t="shared" si="21"/>
        <v>4600</v>
      </c>
      <c r="AA103" s="75">
        <f t="shared" ref="AA103:AA108" si="24">L103*F103</f>
        <v>4600</v>
      </c>
      <c r="AB103" s="75">
        <f t="shared" ref="AB103:AB134" si="25">AA103-Z103</f>
        <v>0</v>
      </c>
    </row>
    <row r="104" spans="1:29" ht="24">
      <c r="A104" s="69" t="s">
        <v>196</v>
      </c>
      <c r="B104" s="140" t="s">
        <v>711</v>
      </c>
      <c r="C104" s="140"/>
      <c r="D104" s="70" t="s">
        <v>197</v>
      </c>
      <c r="E104" s="71">
        <v>1200</v>
      </c>
      <c r="F104" s="71">
        <v>1200</v>
      </c>
      <c r="G104" s="72">
        <v>1</v>
      </c>
      <c r="H104" s="73">
        <v>0</v>
      </c>
      <c r="I104" s="73">
        <v>0</v>
      </c>
      <c r="J104" s="73">
        <v>0</v>
      </c>
      <c r="K104" s="72">
        <v>0</v>
      </c>
      <c r="L104" s="72">
        <f t="shared" si="13"/>
        <v>1</v>
      </c>
      <c r="M104" s="72">
        <v>1</v>
      </c>
      <c r="N104" s="72">
        <v>0</v>
      </c>
      <c r="O104" s="72">
        <v>0</v>
      </c>
      <c r="P104" s="72">
        <f t="shared" si="14"/>
        <v>1</v>
      </c>
      <c r="Q104" s="72">
        <f t="shared" si="15"/>
        <v>0</v>
      </c>
      <c r="R104" s="72"/>
      <c r="S104" s="56"/>
      <c r="T104" s="74">
        <f t="shared" si="16"/>
        <v>1200</v>
      </c>
      <c r="U104" s="74">
        <v>0</v>
      </c>
      <c r="V104" s="74">
        <f t="shared" si="17"/>
        <v>0</v>
      </c>
      <c r="W104" s="74">
        <f t="shared" si="18"/>
        <v>0</v>
      </c>
      <c r="X104" s="74">
        <f t="shared" si="19"/>
        <v>0</v>
      </c>
      <c r="Y104" s="74">
        <f t="shared" si="20"/>
        <v>0</v>
      </c>
      <c r="Z104" s="74">
        <f t="shared" si="21"/>
        <v>1200</v>
      </c>
      <c r="AA104" s="75">
        <f t="shared" si="24"/>
        <v>1200</v>
      </c>
      <c r="AB104" s="75">
        <f t="shared" si="25"/>
        <v>0</v>
      </c>
    </row>
    <row r="105" spans="1:29" s="212" customFormat="1" ht="21" customHeight="1">
      <c r="A105" s="203" t="s">
        <v>198</v>
      </c>
      <c r="B105" s="204" t="s">
        <v>770</v>
      </c>
      <c r="C105" s="204"/>
      <c r="D105" s="205" t="s">
        <v>199</v>
      </c>
      <c r="E105" s="206">
        <v>4600</v>
      </c>
      <c r="F105" s="206">
        <v>4600</v>
      </c>
      <c r="G105" s="207">
        <v>7</v>
      </c>
      <c r="H105" s="208">
        <v>0</v>
      </c>
      <c r="I105" s="208">
        <v>0</v>
      </c>
      <c r="J105" s="208">
        <v>0</v>
      </c>
      <c r="K105" s="207">
        <v>7</v>
      </c>
      <c r="L105" s="207">
        <f t="shared" si="13"/>
        <v>0</v>
      </c>
      <c r="M105" s="207">
        <v>0</v>
      </c>
      <c r="N105" s="207">
        <v>0</v>
      </c>
      <c r="O105" s="207">
        <v>0</v>
      </c>
      <c r="P105" s="207">
        <f t="shared" si="14"/>
        <v>0</v>
      </c>
      <c r="Q105" s="207">
        <f t="shared" si="15"/>
        <v>0</v>
      </c>
      <c r="R105" s="207"/>
      <c r="S105" s="209"/>
      <c r="T105" s="210">
        <f t="shared" si="16"/>
        <v>32200</v>
      </c>
      <c r="U105" s="210">
        <v>0</v>
      </c>
      <c r="V105" s="210">
        <f t="shared" si="17"/>
        <v>0</v>
      </c>
      <c r="W105" s="210">
        <f t="shared" si="18"/>
        <v>0</v>
      </c>
      <c r="X105" s="210">
        <f t="shared" si="19"/>
        <v>0</v>
      </c>
      <c r="Y105" s="210">
        <f t="shared" si="20"/>
        <v>32200</v>
      </c>
      <c r="Z105" s="210">
        <f t="shared" si="21"/>
        <v>0</v>
      </c>
      <c r="AA105" s="211">
        <f t="shared" si="24"/>
        <v>0</v>
      </c>
      <c r="AB105" s="211">
        <f t="shared" si="25"/>
        <v>0</v>
      </c>
    </row>
    <row r="106" spans="1:29" s="212" customFormat="1" ht="22.5" customHeight="1">
      <c r="A106" s="69" t="s">
        <v>828</v>
      </c>
      <c r="B106" s="204" t="s">
        <v>771</v>
      </c>
      <c r="C106" s="204"/>
      <c r="D106" s="205" t="s">
        <v>199</v>
      </c>
      <c r="E106" s="206">
        <v>0</v>
      </c>
      <c r="F106" s="206">
        <v>3577.78</v>
      </c>
      <c r="G106" s="207">
        <v>0</v>
      </c>
      <c r="H106" s="208">
        <v>0</v>
      </c>
      <c r="I106" s="213">
        <f>7+2</f>
        <v>9</v>
      </c>
      <c r="J106" s="208">
        <v>0</v>
      </c>
      <c r="K106" s="207">
        <v>0</v>
      </c>
      <c r="L106" s="207">
        <f t="shared" si="13"/>
        <v>9</v>
      </c>
      <c r="M106" s="207">
        <v>9</v>
      </c>
      <c r="N106" s="207">
        <v>0</v>
      </c>
      <c r="O106" s="207">
        <v>0</v>
      </c>
      <c r="P106" s="207">
        <f t="shared" si="14"/>
        <v>9</v>
      </c>
      <c r="Q106" s="207">
        <f t="shared" si="15"/>
        <v>0</v>
      </c>
      <c r="R106" s="207"/>
      <c r="S106" s="209"/>
      <c r="T106" s="210">
        <f t="shared" si="16"/>
        <v>0</v>
      </c>
      <c r="U106" s="210">
        <v>0</v>
      </c>
      <c r="V106" s="210">
        <f t="shared" si="17"/>
        <v>0</v>
      </c>
      <c r="W106" s="210">
        <f t="shared" si="18"/>
        <v>32200.02</v>
      </c>
      <c r="X106" s="210">
        <f t="shared" si="19"/>
        <v>0</v>
      </c>
      <c r="Y106" s="210">
        <f t="shared" si="20"/>
        <v>0</v>
      </c>
      <c r="Z106" s="210">
        <f t="shared" si="21"/>
        <v>32200.02</v>
      </c>
      <c r="AA106" s="211">
        <f t="shared" si="24"/>
        <v>32200.02</v>
      </c>
      <c r="AB106" s="211">
        <f t="shared" si="25"/>
        <v>0</v>
      </c>
    </row>
    <row r="107" spans="1:29" s="157" customFormat="1" ht="27.75" customHeight="1">
      <c r="A107" s="69" t="s">
        <v>200</v>
      </c>
      <c r="B107" s="140" t="s">
        <v>753</v>
      </c>
      <c r="C107" s="140"/>
      <c r="D107" s="70" t="s">
        <v>201</v>
      </c>
      <c r="E107" s="71">
        <v>820</v>
      </c>
      <c r="F107" s="71">
        <v>820</v>
      </c>
      <c r="G107" s="72">
        <v>2</v>
      </c>
      <c r="H107" s="73">
        <v>0</v>
      </c>
      <c r="I107" s="73">
        <v>0</v>
      </c>
      <c r="J107" s="73">
        <v>0</v>
      </c>
      <c r="K107" s="72">
        <v>0</v>
      </c>
      <c r="L107" s="72">
        <f t="shared" si="13"/>
        <v>2</v>
      </c>
      <c r="M107" s="72">
        <v>2</v>
      </c>
      <c r="N107" s="72">
        <v>0</v>
      </c>
      <c r="O107" s="72">
        <v>0</v>
      </c>
      <c r="P107" s="72">
        <f t="shared" si="14"/>
        <v>2</v>
      </c>
      <c r="Q107" s="72">
        <f t="shared" si="15"/>
        <v>0</v>
      </c>
      <c r="R107" s="72"/>
      <c r="S107" s="56"/>
      <c r="T107" s="74">
        <f t="shared" si="16"/>
        <v>1640</v>
      </c>
      <c r="U107" s="74">
        <v>0</v>
      </c>
      <c r="V107" s="74">
        <f t="shared" si="17"/>
        <v>0</v>
      </c>
      <c r="W107" s="74">
        <f t="shared" si="18"/>
        <v>0</v>
      </c>
      <c r="X107" s="74">
        <f t="shared" si="19"/>
        <v>0</v>
      </c>
      <c r="Y107" s="74">
        <f t="shared" si="20"/>
        <v>0</v>
      </c>
      <c r="Z107" s="74">
        <f t="shared" si="21"/>
        <v>1640</v>
      </c>
      <c r="AA107" s="75">
        <f t="shared" si="24"/>
        <v>1640</v>
      </c>
      <c r="AB107" s="75">
        <f t="shared" si="25"/>
        <v>0</v>
      </c>
      <c r="AC107" s="53"/>
    </row>
    <row r="108" spans="1:29" s="224" customFormat="1" ht="24">
      <c r="A108" s="214" t="s">
        <v>202</v>
      </c>
      <c r="B108" s="215" t="s">
        <v>203</v>
      </c>
      <c r="C108" s="214"/>
      <c r="D108" s="215" t="s">
        <v>203</v>
      </c>
      <c r="E108" s="216">
        <v>5735</v>
      </c>
      <c r="F108" s="216">
        <v>5735</v>
      </c>
      <c r="G108" s="217">
        <v>1</v>
      </c>
      <c r="H108" s="218">
        <v>0</v>
      </c>
      <c r="I108" s="218">
        <v>0</v>
      </c>
      <c r="J108" s="218">
        <v>0</v>
      </c>
      <c r="K108" s="217">
        <v>1</v>
      </c>
      <c r="L108" s="217">
        <f t="shared" si="13"/>
        <v>0</v>
      </c>
      <c r="M108" s="219">
        <v>0</v>
      </c>
      <c r="N108" s="219">
        <v>0</v>
      </c>
      <c r="O108" s="219">
        <v>0</v>
      </c>
      <c r="P108" s="219">
        <f t="shared" si="14"/>
        <v>0</v>
      </c>
      <c r="Q108" s="219">
        <f t="shared" si="15"/>
        <v>0</v>
      </c>
      <c r="R108" s="219"/>
      <c r="S108" s="220"/>
      <c r="T108" s="221">
        <f t="shared" si="16"/>
        <v>5735</v>
      </c>
      <c r="U108" s="221">
        <v>0</v>
      </c>
      <c r="V108" s="221">
        <f t="shared" si="17"/>
        <v>0</v>
      </c>
      <c r="W108" s="221">
        <f t="shared" si="18"/>
        <v>0</v>
      </c>
      <c r="X108" s="221">
        <f t="shared" si="19"/>
        <v>0</v>
      </c>
      <c r="Y108" s="221">
        <f t="shared" si="20"/>
        <v>5735</v>
      </c>
      <c r="Z108" s="221">
        <f t="shared" si="21"/>
        <v>0</v>
      </c>
      <c r="AA108" s="222">
        <f t="shared" si="24"/>
        <v>0</v>
      </c>
      <c r="AB108" s="222">
        <f t="shared" si="25"/>
        <v>0</v>
      </c>
      <c r="AC108" s="223"/>
    </row>
    <row r="109" spans="1:29" s="224" customFormat="1" ht="24">
      <c r="A109" s="69" t="s">
        <v>829</v>
      </c>
      <c r="B109" s="215" t="s">
        <v>774</v>
      </c>
      <c r="C109" s="225"/>
      <c r="D109" s="215" t="s">
        <v>774</v>
      </c>
      <c r="E109" s="216"/>
      <c r="F109" s="216">
        <f>5735/2</f>
        <v>2867.5</v>
      </c>
      <c r="G109" s="219">
        <v>0</v>
      </c>
      <c r="H109" s="226">
        <v>0</v>
      </c>
      <c r="I109" s="226">
        <v>2</v>
      </c>
      <c r="J109" s="226">
        <v>0</v>
      </c>
      <c r="K109" s="219">
        <v>0</v>
      </c>
      <c r="L109" s="219">
        <f t="shared" si="13"/>
        <v>2</v>
      </c>
      <c r="M109" s="219">
        <v>2</v>
      </c>
      <c r="N109" s="219">
        <v>0</v>
      </c>
      <c r="O109" s="219">
        <v>0</v>
      </c>
      <c r="P109" s="219">
        <f t="shared" si="14"/>
        <v>2</v>
      </c>
      <c r="Q109" s="219">
        <f t="shared" si="15"/>
        <v>0</v>
      </c>
      <c r="R109" s="219"/>
      <c r="S109" s="220"/>
      <c r="T109" s="221">
        <f t="shared" si="16"/>
        <v>0</v>
      </c>
      <c r="U109" s="221">
        <v>0</v>
      </c>
      <c r="V109" s="221">
        <f t="shared" si="17"/>
        <v>0</v>
      </c>
      <c r="W109" s="221">
        <f t="shared" si="18"/>
        <v>5735</v>
      </c>
      <c r="X109" s="221">
        <f t="shared" si="19"/>
        <v>0</v>
      </c>
      <c r="Y109" s="221">
        <f t="shared" si="20"/>
        <v>0</v>
      </c>
      <c r="Z109" s="221">
        <f t="shared" si="21"/>
        <v>5735</v>
      </c>
      <c r="AA109" s="222"/>
      <c r="AB109" s="222"/>
      <c r="AC109" s="227" t="s">
        <v>775</v>
      </c>
    </row>
    <row r="110" spans="1:29" ht="24">
      <c r="A110" s="69" t="s">
        <v>204</v>
      </c>
      <c r="B110" s="70" t="s">
        <v>205</v>
      </c>
      <c r="C110" s="69"/>
      <c r="D110" s="70" t="s">
        <v>205</v>
      </c>
      <c r="E110" s="71">
        <v>150.36000000000001</v>
      </c>
      <c r="F110" s="71">
        <v>150.36000000000001</v>
      </c>
      <c r="G110" s="72">
        <v>2</v>
      </c>
      <c r="H110" s="73">
        <v>0</v>
      </c>
      <c r="I110" s="73">
        <v>0</v>
      </c>
      <c r="J110" s="73">
        <v>0</v>
      </c>
      <c r="K110" s="72">
        <v>0</v>
      </c>
      <c r="L110" s="72">
        <f t="shared" si="13"/>
        <v>2</v>
      </c>
      <c r="M110" s="72">
        <v>2</v>
      </c>
      <c r="N110" s="72">
        <v>0</v>
      </c>
      <c r="O110" s="72">
        <v>0</v>
      </c>
      <c r="P110" s="72">
        <f t="shared" si="14"/>
        <v>2</v>
      </c>
      <c r="Q110" s="72">
        <f t="shared" si="15"/>
        <v>0</v>
      </c>
      <c r="R110" s="72"/>
      <c r="S110" s="56"/>
      <c r="T110" s="74">
        <f t="shared" si="16"/>
        <v>300.72000000000003</v>
      </c>
      <c r="U110" s="74">
        <v>0</v>
      </c>
      <c r="V110" s="74">
        <f t="shared" si="17"/>
        <v>0</v>
      </c>
      <c r="W110" s="74">
        <f t="shared" si="18"/>
        <v>0</v>
      </c>
      <c r="X110" s="74">
        <f t="shared" si="19"/>
        <v>0</v>
      </c>
      <c r="Y110" s="74">
        <f t="shared" si="20"/>
        <v>0</v>
      </c>
      <c r="Z110" s="74">
        <f t="shared" si="21"/>
        <v>300.72000000000003</v>
      </c>
      <c r="AA110" s="75">
        <f t="shared" ref="AA110:AA173" si="26">L110*F110</f>
        <v>300.72000000000003</v>
      </c>
      <c r="AB110" s="75">
        <f t="shared" ref="AB110:AB141" si="27">AA110-Z110</f>
        <v>0</v>
      </c>
    </row>
    <row r="111" spans="1:29" ht="24">
      <c r="A111" s="69" t="s">
        <v>206</v>
      </c>
      <c r="B111" s="70" t="s">
        <v>207</v>
      </c>
      <c r="C111" s="69"/>
      <c r="D111" s="70" t="s">
        <v>207</v>
      </c>
      <c r="E111" s="71">
        <v>680</v>
      </c>
      <c r="F111" s="71">
        <v>680</v>
      </c>
      <c r="G111" s="72">
        <v>2</v>
      </c>
      <c r="H111" s="73">
        <v>0</v>
      </c>
      <c r="I111" s="73">
        <v>0</v>
      </c>
      <c r="J111" s="73">
        <v>0</v>
      </c>
      <c r="K111" s="72">
        <v>0</v>
      </c>
      <c r="L111" s="72">
        <f t="shared" si="13"/>
        <v>2</v>
      </c>
      <c r="M111" s="72">
        <v>2</v>
      </c>
      <c r="N111" s="72">
        <v>0</v>
      </c>
      <c r="O111" s="72">
        <v>0</v>
      </c>
      <c r="P111" s="72">
        <f t="shared" si="14"/>
        <v>2</v>
      </c>
      <c r="Q111" s="72">
        <f t="shared" si="15"/>
        <v>0</v>
      </c>
      <c r="R111" s="72"/>
      <c r="S111" s="56"/>
      <c r="T111" s="74">
        <f t="shared" si="16"/>
        <v>1360</v>
      </c>
      <c r="U111" s="74">
        <v>0</v>
      </c>
      <c r="V111" s="74">
        <f t="shared" si="17"/>
        <v>0</v>
      </c>
      <c r="W111" s="74">
        <f t="shared" si="18"/>
        <v>0</v>
      </c>
      <c r="X111" s="74">
        <f t="shared" si="19"/>
        <v>0</v>
      </c>
      <c r="Y111" s="74">
        <f t="shared" si="20"/>
        <v>0</v>
      </c>
      <c r="Z111" s="74">
        <f t="shared" si="21"/>
        <v>1360</v>
      </c>
      <c r="AA111" s="75">
        <f t="shared" si="26"/>
        <v>1360</v>
      </c>
      <c r="AB111" s="75">
        <f t="shared" si="27"/>
        <v>0</v>
      </c>
    </row>
    <row r="112" spans="1:29" ht="24">
      <c r="A112" s="69" t="s">
        <v>208</v>
      </c>
      <c r="B112" s="70" t="s">
        <v>209</v>
      </c>
      <c r="C112" s="69"/>
      <c r="D112" s="70" t="s">
        <v>209</v>
      </c>
      <c r="E112" s="71">
        <v>374.22</v>
      </c>
      <c r="F112" s="71">
        <v>374.22</v>
      </c>
      <c r="G112" s="72">
        <v>3</v>
      </c>
      <c r="H112" s="73">
        <v>0</v>
      </c>
      <c r="I112" s="73">
        <v>0</v>
      </c>
      <c r="J112" s="73">
        <v>0</v>
      </c>
      <c r="K112" s="72">
        <v>0</v>
      </c>
      <c r="L112" s="72">
        <f t="shared" si="13"/>
        <v>3</v>
      </c>
      <c r="M112" s="72">
        <v>3</v>
      </c>
      <c r="N112" s="72">
        <v>0</v>
      </c>
      <c r="O112" s="72">
        <v>0</v>
      </c>
      <c r="P112" s="72">
        <f t="shared" si="14"/>
        <v>3</v>
      </c>
      <c r="Q112" s="72">
        <f t="shared" si="15"/>
        <v>0</v>
      </c>
      <c r="R112" s="72"/>
      <c r="S112" s="56"/>
      <c r="T112" s="74">
        <f t="shared" si="16"/>
        <v>1122.6600000000001</v>
      </c>
      <c r="U112" s="74">
        <v>0</v>
      </c>
      <c r="V112" s="74">
        <f t="shared" si="17"/>
        <v>0</v>
      </c>
      <c r="W112" s="74">
        <f t="shared" si="18"/>
        <v>0</v>
      </c>
      <c r="X112" s="74">
        <f t="shared" si="19"/>
        <v>0</v>
      </c>
      <c r="Y112" s="74">
        <f t="shared" si="20"/>
        <v>0</v>
      </c>
      <c r="Z112" s="74">
        <f t="shared" si="21"/>
        <v>1122.6600000000001</v>
      </c>
      <c r="AA112" s="75">
        <f t="shared" si="26"/>
        <v>1122.6600000000001</v>
      </c>
      <c r="AB112" s="75">
        <f t="shared" si="27"/>
        <v>0</v>
      </c>
    </row>
    <row r="113" spans="1:28" ht="36">
      <c r="A113" s="69" t="s">
        <v>210</v>
      </c>
      <c r="B113" s="70" t="s">
        <v>211</v>
      </c>
      <c r="C113" s="69"/>
      <c r="D113" s="70" t="s">
        <v>211</v>
      </c>
      <c r="E113" s="71">
        <v>1020</v>
      </c>
      <c r="F113" s="71">
        <v>1020</v>
      </c>
      <c r="G113" s="72">
        <v>1</v>
      </c>
      <c r="H113" s="73">
        <v>0</v>
      </c>
      <c r="I113" s="73">
        <v>0</v>
      </c>
      <c r="J113" s="73">
        <v>0</v>
      </c>
      <c r="K113" s="72">
        <v>0</v>
      </c>
      <c r="L113" s="72">
        <f t="shared" si="13"/>
        <v>1</v>
      </c>
      <c r="M113" s="72">
        <v>1</v>
      </c>
      <c r="N113" s="72">
        <v>0</v>
      </c>
      <c r="O113" s="72">
        <v>0</v>
      </c>
      <c r="P113" s="72">
        <f t="shared" si="14"/>
        <v>1</v>
      </c>
      <c r="Q113" s="72">
        <f t="shared" si="15"/>
        <v>0</v>
      </c>
      <c r="R113" s="72"/>
      <c r="S113" s="56"/>
      <c r="T113" s="74">
        <f t="shared" si="16"/>
        <v>1020</v>
      </c>
      <c r="U113" s="74">
        <v>0</v>
      </c>
      <c r="V113" s="74">
        <f t="shared" si="17"/>
        <v>0</v>
      </c>
      <c r="W113" s="74">
        <f t="shared" si="18"/>
        <v>0</v>
      </c>
      <c r="X113" s="74">
        <f t="shared" si="19"/>
        <v>0</v>
      </c>
      <c r="Y113" s="74">
        <f t="shared" si="20"/>
        <v>0</v>
      </c>
      <c r="Z113" s="74">
        <f t="shared" si="21"/>
        <v>1020</v>
      </c>
      <c r="AA113" s="75">
        <f t="shared" si="26"/>
        <v>1020</v>
      </c>
      <c r="AB113" s="75">
        <f t="shared" si="27"/>
        <v>0</v>
      </c>
    </row>
    <row r="114" spans="1:28" ht="48">
      <c r="A114" s="69" t="s">
        <v>212</v>
      </c>
      <c r="B114" s="70" t="s">
        <v>213</v>
      </c>
      <c r="C114" s="69"/>
      <c r="D114" s="70" t="s">
        <v>213</v>
      </c>
      <c r="E114" s="71">
        <v>360</v>
      </c>
      <c r="F114" s="71">
        <v>360</v>
      </c>
      <c r="G114" s="72">
        <v>3</v>
      </c>
      <c r="H114" s="73">
        <v>0</v>
      </c>
      <c r="I114" s="73">
        <v>0</v>
      </c>
      <c r="J114" s="73">
        <v>0</v>
      </c>
      <c r="K114" s="72">
        <v>0</v>
      </c>
      <c r="L114" s="72">
        <f t="shared" si="13"/>
        <v>3</v>
      </c>
      <c r="M114" s="72">
        <v>3</v>
      </c>
      <c r="N114" s="72">
        <v>0</v>
      </c>
      <c r="O114" s="72">
        <v>0</v>
      </c>
      <c r="P114" s="72">
        <f t="shared" si="14"/>
        <v>3</v>
      </c>
      <c r="Q114" s="72">
        <f t="shared" si="15"/>
        <v>0</v>
      </c>
      <c r="R114" s="72"/>
      <c r="S114" s="56"/>
      <c r="T114" s="74">
        <f t="shared" si="16"/>
        <v>1080</v>
      </c>
      <c r="U114" s="74">
        <v>0</v>
      </c>
      <c r="V114" s="74">
        <f t="shared" si="17"/>
        <v>0</v>
      </c>
      <c r="W114" s="74">
        <f t="shared" si="18"/>
        <v>0</v>
      </c>
      <c r="X114" s="74">
        <f t="shared" si="19"/>
        <v>0</v>
      </c>
      <c r="Y114" s="74">
        <f t="shared" si="20"/>
        <v>0</v>
      </c>
      <c r="Z114" s="74">
        <f t="shared" si="21"/>
        <v>1080</v>
      </c>
      <c r="AA114" s="75">
        <f t="shared" si="26"/>
        <v>1080</v>
      </c>
      <c r="AB114" s="75">
        <f t="shared" si="27"/>
        <v>0</v>
      </c>
    </row>
    <row r="115" spans="1:28" ht="24">
      <c r="A115" s="69" t="s">
        <v>214</v>
      </c>
      <c r="B115" s="70" t="s">
        <v>215</v>
      </c>
      <c r="C115" s="69"/>
      <c r="D115" s="70" t="s">
        <v>215</v>
      </c>
      <c r="E115" s="71">
        <v>1100</v>
      </c>
      <c r="F115" s="71">
        <v>1100</v>
      </c>
      <c r="G115" s="72">
        <v>1</v>
      </c>
      <c r="H115" s="73">
        <v>0</v>
      </c>
      <c r="I115" s="73">
        <v>0</v>
      </c>
      <c r="J115" s="73">
        <v>0</v>
      </c>
      <c r="K115" s="72">
        <v>0</v>
      </c>
      <c r="L115" s="72">
        <f t="shared" si="13"/>
        <v>1</v>
      </c>
      <c r="M115" s="72">
        <v>1</v>
      </c>
      <c r="N115" s="72">
        <v>0</v>
      </c>
      <c r="O115" s="72">
        <v>0</v>
      </c>
      <c r="P115" s="72">
        <f t="shared" si="14"/>
        <v>1</v>
      </c>
      <c r="Q115" s="72">
        <f t="shared" si="15"/>
        <v>0</v>
      </c>
      <c r="R115" s="72"/>
      <c r="S115" s="56"/>
      <c r="T115" s="74">
        <f t="shared" si="16"/>
        <v>1100</v>
      </c>
      <c r="U115" s="74">
        <v>0</v>
      </c>
      <c r="V115" s="74">
        <f t="shared" si="17"/>
        <v>0</v>
      </c>
      <c r="W115" s="74">
        <f t="shared" si="18"/>
        <v>0</v>
      </c>
      <c r="X115" s="74">
        <f t="shared" si="19"/>
        <v>0</v>
      </c>
      <c r="Y115" s="74">
        <f t="shared" si="20"/>
        <v>0</v>
      </c>
      <c r="Z115" s="74">
        <f t="shared" si="21"/>
        <v>1100</v>
      </c>
      <c r="AA115" s="75">
        <f t="shared" si="26"/>
        <v>1100</v>
      </c>
      <c r="AB115" s="75">
        <f t="shared" si="27"/>
        <v>0</v>
      </c>
    </row>
    <row r="116" spans="1:28">
      <c r="A116" s="69" t="s">
        <v>216</v>
      </c>
      <c r="B116" s="70" t="s">
        <v>217</v>
      </c>
      <c r="C116" s="69"/>
      <c r="D116" s="70" t="s">
        <v>217</v>
      </c>
      <c r="E116" s="71">
        <v>498.85</v>
      </c>
      <c r="F116" s="71">
        <v>498.85</v>
      </c>
      <c r="G116" s="72">
        <v>0</v>
      </c>
      <c r="H116" s="73">
        <v>0</v>
      </c>
      <c r="I116" s="73">
        <v>0</v>
      </c>
      <c r="J116" s="73">
        <v>0</v>
      </c>
      <c r="K116" s="72">
        <v>0</v>
      </c>
      <c r="L116" s="72">
        <f t="shared" si="13"/>
        <v>0</v>
      </c>
      <c r="M116" s="72">
        <v>0</v>
      </c>
      <c r="N116" s="72">
        <v>0</v>
      </c>
      <c r="O116" s="72">
        <v>0</v>
      </c>
      <c r="P116" s="72">
        <f t="shared" si="14"/>
        <v>0</v>
      </c>
      <c r="Q116" s="72">
        <f t="shared" si="15"/>
        <v>0</v>
      </c>
      <c r="R116" s="72"/>
      <c r="S116" s="56"/>
      <c r="T116" s="74">
        <f t="shared" si="16"/>
        <v>0</v>
      </c>
      <c r="U116" s="74">
        <v>0</v>
      </c>
      <c r="V116" s="74">
        <f t="shared" si="17"/>
        <v>0</v>
      </c>
      <c r="W116" s="74">
        <f t="shared" si="18"/>
        <v>0</v>
      </c>
      <c r="X116" s="74">
        <f t="shared" si="19"/>
        <v>0</v>
      </c>
      <c r="Y116" s="74">
        <f t="shared" si="20"/>
        <v>0</v>
      </c>
      <c r="Z116" s="74">
        <f t="shared" si="21"/>
        <v>0</v>
      </c>
      <c r="AA116" s="75">
        <f t="shared" si="26"/>
        <v>0</v>
      </c>
      <c r="AB116" s="75">
        <f t="shared" si="27"/>
        <v>0</v>
      </c>
    </row>
    <row r="117" spans="1:28" ht="24">
      <c r="A117" s="69" t="s">
        <v>218</v>
      </c>
      <c r="B117" s="70" t="s">
        <v>219</v>
      </c>
      <c r="C117" s="69"/>
      <c r="D117" s="70" t="s">
        <v>219</v>
      </c>
      <c r="E117" s="71">
        <v>480.5</v>
      </c>
      <c r="F117" s="71">
        <v>480.5</v>
      </c>
      <c r="G117" s="72">
        <v>1</v>
      </c>
      <c r="H117" s="73">
        <v>0</v>
      </c>
      <c r="I117" s="73">
        <v>0</v>
      </c>
      <c r="J117" s="73">
        <v>0</v>
      </c>
      <c r="K117" s="72">
        <v>0</v>
      </c>
      <c r="L117" s="72">
        <f t="shared" si="13"/>
        <v>1</v>
      </c>
      <c r="M117" s="72">
        <v>1</v>
      </c>
      <c r="N117" s="72">
        <v>0</v>
      </c>
      <c r="O117" s="72">
        <v>0</v>
      </c>
      <c r="P117" s="72">
        <f t="shared" si="14"/>
        <v>1</v>
      </c>
      <c r="Q117" s="72">
        <f t="shared" si="15"/>
        <v>0</v>
      </c>
      <c r="R117" s="72"/>
      <c r="S117" s="56"/>
      <c r="T117" s="74">
        <f t="shared" si="16"/>
        <v>480.5</v>
      </c>
      <c r="U117" s="74">
        <v>0</v>
      </c>
      <c r="V117" s="74">
        <f t="shared" si="17"/>
        <v>0</v>
      </c>
      <c r="W117" s="74">
        <f t="shared" si="18"/>
        <v>0</v>
      </c>
      <c r="X117" s="74">
        <f t="shared" si="19"/>
        <v>0</v>
      </c>
      <c r="Y117" s="74">
        <f t="shared" si="20"/>
        <v>0</v>
      </c>
      <c r="Z117" s="74">
        <f t="shared" si="21"/>
        <v>480.5</v>
      </c>
      <c r="AA117" s="75">
        <f t="shared" si="26"/>
        <v>480.5</v>
      </c>
      <c r="AB117" s="75">
        <f t="shared" si="27"/>
        <v>0</v>
      </c>
    </row>
    <row r="118" spans="1:28" ht="24">
      <c r="A118" s="69" t="s">
        <v>222</v>
      </c>
      <c r="B118" s="140" t="s">
        <v>712</v>
      </c>
      <c r="C118" s="140"/>
      <c r="D118" s="70" t="s">
        <v>808</v>
      </c>
      <c r="E118" s="71">
        <v>775</v>
      </c>
      <c r="F118" s="71">
        <v>775</v>
      </c>
      <c r="G118" s="72">
        <v>2</v>
      </c>
      <c r="H118" s="73">
        <v>0</v>
      </c>
      <c r="I118" s="73">
        <v>0</v>
      </c>
      <c r="J118" s="73">
        <v>0</v>
      </c>
      <c r="K118" s="72">
        <v>0</v>
      </c>
      <c r="L118" s="72">
        <f t="shared" si="13"/>
        <v>2</v>
      </c>
      <c r="M118" s="72">
        <v>2</v>
      </c>
      <c r="N118" s="72">
        <v>0</v>
      </c>
      <c r="O118" s="72">
        <v>0</v>
      </c>
      <c r="P118" s="72">
        <f t="shared" si="14"/>
        <v>2</v>
      </c>
      <c r="Q118" s="72">
        <f t="shared" si="15"/>
        <v>0</v>
      </c>
      <c r="R118" s="72"/>
      <c r="S118" s="56"/>
      <c r="T118" s="74">
        <f t="shared" si="16"/>
        <v>1550</v>
      </c>
      <c r="U118" s="74">
        <v>0</v>
      </c>
      <c r="V118" s="74">
        <f t="shared" si="17"/>
        <v>0</v>
      </c>
      <c r="W118" s="74">
        <f t="shared" si="18"/>
        <v>0</v>
      </c>
      <c r="X118" s="74">
        <f t="shared" si="19"/>
        <v>0</v>
      </c>
      <c r="Y118" s="74">
        <f t="shared" si="20"/>
        <v>0</v>
      </c>
      <c r="Z118" s="74">
        <f t="shared" si="21"/>
        <v>1550</v>
      </c>
      <c r="AA118" s="75">
        <f t="shared" si="26"/>
        <v>1550</v>
      </c>
      <c r="AB118" s="75">
        <f t="shared" si="27"/>
        <v>0</v>
      </c>
    </row>
    <row r="119" spans="1:28" ht="60">
      <c r="A119" s="69" t="s">
        <v>224</v>
      </c>
      <c r="B119" s="70" t="s">
        <v>225</v>
      </c>
      <c r="C119" s="69"/>
      <c r="D119" s="70" t="s">
        <v>225</v>
      </c>
      <c r="E119" s="71">
        <v>1320</v>
      </c>
      <c r="F119" s="71">
        <v>1320</v>
      </c>
      <c r="G119" s="72">
        <v>1</v>
      </c>
      <c r="H119" s="73">
        <v>0</v>
      </c>
      <c r="I119" s="73">
        <v>0</v>
      </c>
      <c r="J119" s="73">
        <v>0</v>
      </c>
      <c r="K119" s="72">
        <v>0</v>
      </c>
      <c r="L119" s="72">
        <f t="shared" si="13"/>
        <v>1</v>
      </c>
      <c r="M119" s="72">
        <v>1</v>
      </c>
      <c r="N119" s="72">
        <v>0</v>
      </c>
      <c r="O119" s="72">
        <v>0</v>
      </c>
      <c r="P119" s="72">
        <f t="shared" si="14"/>
        <v>1</v>
      </c>
      <c r="Q119" s="72">
        <f t="shared" si="15"/>
        <v>0</v>
      </c>
      <c r="R119" s="72"/>
      <c r="S119" s="56"/>
      <c r="T119" s="74">
        <f t="shared" si="16"/>
        <v>1320</v>
      </c>
      <c r="U119" s="74">
        <v>0</v>
      </c>
      <c r="V119" s="74">
        <f t="shared" si="17"/>
        <v>0</v>
      </c>
      <c r="W119" s="74">
        <f t="shared" si="18"/>
        <v>0</v>
      </c>
      <c r="X119" s="74">
        <f t="shared" si="19"/>
        <v>0</v>
      </c>
      <c r="Y119" s="74">
        <f t="shared" si="20"/>
        <v>0</v>
      </c>
      <c r="Z119" s="74">
        <f t="shared" si="21"/>
        <v>1320</v>
      </c>
      <c r="AA119" s="75">
        <f t="shared" si="26"/>
        <v>1320</v>
      </c>
      <c r="AB119" s="75">
        <f t="shared" si="27"/>
        <v>0</v>
      </c>
    </row>
    <row r="120" spans="1:28" ht="24">
      <c r="A120" s="69" t="s">
        <v>226</v>
      </c>
      <c r="B120" s="140" t="s">
        <v>755</v>
      </c>
      <c r="C120" s="140"/>
      <c r="D120" s="70" t="s">
        <v>227</v>
      </c>
      <c r="E120" s="71">
        <v>2400</v>
      </c>
      <c r="F120" s="71">
        <v>2400</v>
      </c>
      <c r="G120" s="72">
        <v>3</v>
      </c>
      <c r="H120" s="73">
        <v>0</v>
      </c>
      <c r="I120" s="73">
        <v>0</v>
      </c>
      <c r="J120" s="73">
        <v>0</v>
      </c>
      <c r="K120" s="72">
        <v>0</v>
      </c>
      <c r="L120" s="72">
        <f t="shared" si="13"/>
        <v>3</v>
      </c>
      <c r="M120" s="72">
        <v>3</v>
      </c>
      <c r="N120" s="72">
        <v>0</v>
      </c>
      <c r="O120" s="72">
        <v>0</v>
      </c>
      <c r="P120" s="72">
        <f t="shared" si="14"/>
        <v>3</v>
      </c>
      <c r="Q120" s="72">
        <f t="shared" si="15"/>
        <v>0</v>
      </c>
      <c r="R120" s="72"/>
      <c r="S120" s="56"/>
      <c r="T120" s="74">
        <f t="shared" si="16"/>
        <v>7200</v>
      </c>
      <c r="U120" s="74">
        <v>0</v>
      </c>
      <c r="V120" s="74">
        <f t="shared" si="17"/>
        <v>0</v>
      </c>
      <c r="W120" s="74">
        <f t="shared" si="18"/>
        <v>0</v>
      </c>
      <c r="X120" s="74">
        <f t="shared" si="19"/>
        <v>0</v>
      </c>
      <c r="Y120" s="74">
        <f t="shared" si="20"/>
        <v>0</v>
      </c>
      <c r="Z120" s="74">
        <f t="shared" si="21"/>
        <v>7200</v>
      </c>
      <c r="AA120" s="75">
        <f t="shared" si="26"/>
        <v>7200</v>
      </c>
      <c r="AB120" s="75">
        <f t="shared" si="27"/>
        <v>0</v>
      </c>
    </row>
    <row r="121" spans="1:28" ht="24">
      <c r="A121" s="69" t="s">
        <v>228</v>
      </c>
      <c r="B121" s="140" t="s">
        <v>754</v>
      </c>
      <c r="C121" s="140"/>
      <c r="D121" s="70" t="s">
        <v>229</v>
      </c>
      <c r="E121" s="71">
        <v>5200</v>
      </c>
      <c r="F121" s="71">
        <v>5200</v>
      </c>
      <c r="G121" s="72">
        <v>1</v>
      </c>
      <c r="H121" s="73">
        <v>0</v>
      </c>
      <c r="I121" s="73">
        <v>0</v>
      </c>
      <c r="J121" s="73">
        <v>0</v>
      </c>
      <c r="K121" s="72">
        <v>0</v>
      </c>
      <c r="L121" s="72">
        <f t="shared" si="13"/>
        <v>1</v>
      </c>
      <c r="M121" s="72">
        <v>1</v>
      </c>
      <c r="N121" s="72">
        <v>0</v>
      </c>
      <c r="O121" s="72">
        <v>0</v>
      </c>
      <c r="P121" s="72">
        <f t="shared" si="14"/>
        <v>1</v>
      </c>
      <c r="Q121" s="72">
        <f t="shared" si="15"/>
        <v>0</v>
      </c>
      <c r="R121" s="72"/>
      <c r="S121" s="56"/>
      <c r="T121" s="74">
        <f t="shared" si="16"/>
        <v>5200</v>
      </c>
      <c r="U121" s="74">
        <v>0</v>
      </c>
      <c r="V121" s="74">
        <f t="shared" si="17"/>
        <v>0</v>
      </c>
      <c r="W121" s="74">
        <f t="shared" si="18"/>
        <v>0</v>
      </c>
      <c r="X121" s="74">
        <f t="shared" si="19"/>
        <v>0</v>
      </c>
      <c r="Y121" s="74">
        <f t="shared" si="20"/>
        <v>0</v>
      </c>
      <c r="Z121" s="74">
        <f t="shared" si="21"/>
        <v>5200</v>
      </c>
      <c r="AA121" s="75">
        <f t="shared" si="26"/>
        <v>5200</v>
      </c>
      <c r="AB121" s="75">
        <f t="shared" si="27"/>
        <v>0</v>
      </c>
    </row>
    <row r="122" spans="1:28" ht="24">
      <c r="A122" s="69" t="s">
        <v>230</v>
      </c>
      <c r="B122" s="70" t="s">
        <v>231</v>
      </c>
      <c r="C122" s="69"/>
      <c r="D122" s="70" t="s">
        <v>231</v>
      </c>
      <c r="E122" s="71">
        <v>290</v>
      </c>
      <c r="F122" s="71">
        <v>290</v>
      </c>
      <c r="G122" s="72">
        <v>1</v>
      </c>
      <c r="H122" s="73">
        <v>0</v>
      </c>
      <c r="I122" s="73">
        <v>0</v>
      </c>
      <c r="J122" s="73">
        <v>0</v>
      </c>
      <c r="K122" s="72">
        <v>0</v>
      </c>
      <c r="L122" s="72">
        <f t="shared" si="13"/>
        <v>1</v>
      </c>
      <c r="M122" s="72">
        <v>1</v>
      </c>
      <c r="N122" s="72">
        <v>0</v>
      </c>
      <c r="O122" s="72">
        <v>0</v>
      </c>
      <c r="P122" s="72">
        <f t="shared" si="14"/>
        <v>1</v>
      </c>
      <c r="Q122" s="72">
        <f t="shared" si="15"/>
        <v>0</v>
      </c>
      <c r="R122" s="72"/>
      <c r="S122" s="56"/>
      <c r="T122" s="74">
        <f t="shared" si="16"/>
        <v>290</v>
      </c>
      <c r="U122" s="74">
        <v>0</v>
      </c>
      <c r="V122" s="74">
        <f t="shared" si="17"/>
        <v>0</v>
      </c>
      <c r="W122" s="74">
        <f t="shared" si="18"/>
        <v>0</v>
      </c>
      <c r="X122" s="74">
        <f t="shared" si="19"/>
        <v>0</v>
      </c>
      <c r="Y122" s="74">
        <f t="shared" si="20"/>
        <v>0</v>
      </c>
      <c r="Z122" s="74">
        <f t="shared" si="21"/>
        <v>290</v>
      </c>
      <c r="AA122" s="75">
        <f t="shared" si="26"/>
        <v>290</v>
      </c>
      <c r="AB122" s="75">
        <f t="shared" si="27"/>
        <v>0</v>
      </c>
    </row>
    <row r="123" spans="1:28" ht="24">
      <c r="A123" s="69" t="s">
        <v>232</v>
      </c>
      <c r="B123" s="70" t="s">
        <v>769</v>
      </c>
      <c r="C123" s="69"/>
      <c r="D123" s="70" t="s">
        <v>233</v>
      </c>
      <c r="E123" s="71">
        <v>420</v>
      </c>
      <c r="F123" s="71">
        <v>420</v>
      </c>
      <c r="G123" s="72">
        <v>0</v>
      </c>
      <c r="H123" s="73">
        <v>0</v>
      </c>
      <c r="I123" s="73">
        <v>0</v>
      </c>
      <c r="J123" s="73">
        <v>0</v>
      </c>
      <c r="K123" s="72">
        <v>0</v>
      </c>
      <c r="L123" s="72">
        <f t="shared" si="13"/>
        <v>0</v>
      </c>
      <c r="M123" s="72">
        <v>0</v>
      </c>
      <c r="N123" s="72">
        <v>0</v>
      </c>
      <c r="O123" s="72">
        <v>0</v>
      </c>
      <c r="P123" s="72">
        <f t="shared" si="14"/>
        <v>0</v>
      </c>
      <c r="Q123" s="72">
        <f t="shared" si="15"/>
        <v>0</v>
      </c>
      <c r="R123" s="72"/>
      <c r="S123" s="56"/>
      <c r="T123" s="74">
        <f t="shared" si="16"/>
        <v>0</v>
      </c>
      <c r="U123" s="74">
        <v>0</v>
      </c>
      <c r="V123" s="74">
        <f t="shared" si="17"/>
        <v>0</v>
      </c>
      <c r="W123" s="74">
        <f t="shared" si="18"/>
        <v>0</v>
      </c>
      <c r="X123" s="74">
        <f t="shared" si="19"/>
        <v>0</v>
      </c>
      <c r="Y123" s="74">
        <f t="shared" si="20"/>
        <v>0</v>
      </c>
      <c r="Z123" s="74">
        <f t="shared" si="21"/>
        <v>0</v>
      </c>
      <c r="AA123" s="75">
        <f t="shared" si="26"/>
        <v>0</v>
      </c>
      <c r="AB123" s="75">
        <f t="shared" si="27"/>
        <v>0</v>
      </c>
    </row>
    <row r="124" spans="1:28" ht="72">
      <c r="A124" s="69" t="s">
        <v>234</v>
      </c>
      <c r="B124" s="140" t="s">
        <v>713</v>
      </c>
      <c r="C124" s="140"/>
      <c r="D124" s="70" t="s">
        <v>235</v>
      </c>
      <c r="E124" s="71">
        <v>31</v>
      </c>
      <c r="F124" s="71">
        <v>31</v>
      </c>
      <c r="G124" s="72">
        <v>116</v>
      </c>
      <c r="H124" s="73">
        <v>0</v>
      </c>
      <c r="I124" s="73">
        <v>0</v>
      </c>
      <c r="J124" s="73">
        <v>0</v>
      </c>
      <c r="K124" s="76">
        <v>0</v>
      </c>
      <c r="L124" s="72">
        <f t="shared" si="13"/>
        <v>116</v>
      </c>
      <c r="M124" s="76">
        <v>116</v>
      </c>
      <c r="N124" s="76">
        <v>0</v>
      </c>
      <c r="O124" s="72">
        <v>0</v>
      </c>
      <c r="P124" s="76">
        <f t="shared" si="14"/>
        <v>116</v>
      </c>
      <c r="Q124" s="72">
        <f t="shared" si="15"/>
        <v>0</v>
      </c>
      <c r="R124" s="72"/>
      <c r="S124" s="56"/>
      <c r="T124" s="74">
        <f t="shared" si="16"/>
        <v>3596</v>
      </c>
      <c r="U124" s="74">
        <v>0</v>
      </c>
      <c r="V124" s="74">
        <f t="shared" si="17"/>
        <v>0</v>
      </c>
      <c r="W124" s="74">
        <f t="shared" si="18"/>
        <v>0</v>
      </c>
      <c r="X124" s="74">
        <f t="shared" si="19"/>
        <v>0</v>
      </c>
      <c r="Y124" s="74">
        <f t="shared" si="20"/>
        <v>0</v>
      </c>
      <c r="Z124" s="74">
        <f t="shared" si="21"/>
        <v>3596</v>
      </c>
      <c r="AA124" s="75">
        <f t="shared" si="26"/>
        <v>3596</v>
      </c>
      <c r="AB124" s="75">
        <f t="shared" si="27"/>
        <v>0</v>
      </c>
    </row>
    <row r="125" spans="1:28" ht="48">
      <c r="A125" s="69" t="s">
        <v>236</v>
      </c>
      <c r="B125" s="70" t="s">
        <v>237</v>
      </c>
      <c r="C125" s="69"/>
      <c r="D125" s="70" t="s">
        <v>237</v>
      </c>
      <c r="E125" s="71">
        <v>163.80000000000001</v>
      </c>
      <c r="F125" s="71">
        <v>163.80000000000001</v>
      </c>
      <c r="G125" s="72">
        <v>0</v>
      </c>
      <c r="H125" s="73">
        <v>0</v>
      </c>
      <c r="I125" s="73">
        <v>0</v>
      </c>
      <c r="J125" s="73">
        <v>0</v>
      </c>
      <c r="K125" s="72">
        <v>0</v>
      </c>
      <c r="L125" s="72">
        <f t="shared" si="13"/>
        <v>0</v>
      </c>
      <c r="M125" s="72">
        <v>0</v>
      </c>
      <c r="N125" s="72">
        <v>0</v>
      </c>
      <c r="O125" s="72">
        <v>0</v>
      </c>
      <c r="P125" s="72">
        <f t="shared" si="14"/>
        <v>0</v>
      </c>
      <c r="Q125" s="72">
        <f t="shared" si="15"/>
        <v>0</v>
      </c>
      <c r="R125" s="72"/>
      <c r="S125" s="56"/>
      <c r="T125" s="74">
        <f t="shared" si="16"/>
        <v>0</v>
      </c>
      <c r="U125" s="74">
        <v>0</v>
      </c>
      <c r="V125" s="74">
        <f t="shared" si="17"/>
        <v>0</v>
      </c>
      <c r="W125" s="74">
        <f t="shared" si="18"/>
        <v>0</v>
      </c>
      <c r="X125" s="74">
        <f t="shared" si="19"/>
        <v>0</v>
      </c>
      <c r="Y125" s="74">
        <f t="shared" si="20"/>
        <v>0</v>
      </c>
      <c r="Z125" s="74">
        <f t="shared" si="21"/>
        <v>0</v>
      </c>
      <c r="AA125" s="75">
        <f t="shared" si="26"/>
        <v>0</v>
      </c>
      <c r="AB125" s="75">
        <f t="shared" si="27"/>
        <v>0</v>
      </c>
    </row>
    <row r="126" spans="1:28" ht="24">
      <c r="A126" s="69" t="s">
        <v>238</v>
      </c>
      <c r="B126" s="70" t="s">
        <v>239</v>
      </c>
      <c r="C126" s="69"/>
      <c r="D126" s="70" t="s">
        <v>239</v>
      </c>
      <c r="E126" s="71">
        <v>0</v>
      </c>
      <c r="F126" s="71">
        <v>0</v>
      </c>
      <c r="G126" s="72">
        <v>0</v>
      </c>
      <c r="H126" s="73">
        <v>0</v>
      </c>
      <c r="I126" s="73">
        <v>0</v>
      </c>
      <c r="J126" s="73">
        <v>0</v>
      </c>
      <c r="K126" s="72">
        <v>0</v>
      </c>
      <c r="L126" s="72">
        <f t="shared" si="13"/>
        <v>0</v>
      </c>
      <c r="M126" s="72">
        <v>0</v>
      </c>
      <c r="N126" s="72">
        <v>0</v>
      </c>
      <c r="O126" s="72">
        <v>0</v>
      </c>
      <c r="P126" s="72">
        <f t="shared" si="14"/>
        <v>0</v>
      </c>
      <c r="Q126" s="72">
        <f t="shared" si="15"/>
        <v>0</v>
      </c>
      <c r="R126" s="72"/>
      <c r="S126" s="56"/>
      <c r="T126" s="74">
        <f t="shared" si="16"/>
        <v>0</v>
      </c>
      <c r="U126" s="74">
        <v>0</v>
      </c>
      <c r="V126" s="74">
        <f t="shared" si="17"/>
        <v>0</v>
      </c>
      <c r="W126" s="74">
        <f t="shared" si="18"/>
        <v>0</v>
      </c>
      <c r="X126" s="74">
        <f t="shared" si="19"/>
        <v>0</v>
      </c>
      <c r="Y126" s="74">
        <f t="shared" si="20"/>
        <v>0</v>
      </c>
      <c r="Z126" s="74">
        <f t="shared" si="21"/>
        <v>0</v>
      </c>
      <c r="AA126" s="75">
        <f t="shared" si="26"/>
        <v>0</v>
      </c>
      <c r="AB126" s="75">
        <f t="shared" si="27"/>
        <v>0</v>
      </c>
    </row>
    <row r="127" spans="1:28" ht="36">
      <c r="A127" s="69" t="s">
        <v>240</v>
      </c>
      <c r="B127" s="70" t="s">
        <v>241</v>
      </c>
      <c r="C127" s="69"/>
      <c r="D127" s="70" t="s">
        <v>241</v>
      </c>
      <c r="E127" s="71">
        <v>149.47</v>
      </c>
      <c r="F127" s="71">
        <v>149.47</v>
      </c>
      <c r="G127" s="72">
        <v>50</v>
      </c>
      <c r="H127" s="73">
        <v>0</v>
      </c>
      <c r="I127" s="73">
        <v>0</v>
      </c>
      <c r="J127" s="73">
        <v>0</v>
      </c>
      <c r="K127" s="72">
        <v>0</v>
      </c>
      <c r="L127" s="72">
        <f t="shared" si="13"/>
        <v>50</v>
      </c>
      <c r="M127" s="72">
        <v>50</v>
      </c>
      <c r="N127" s="72">
        <v>0</v>
      </c>
      <c r="O127" s="72">
        <v>0</v>
      </c>
      <c r="P127" s="72">
        <f t="shared" si="14"/>
        <v>50</v>
      </c>
      <c r="Q127" s="72">
        <f t="shared" si="15"/>
        <v>0</v>
      </c>
      <c r="R127" s="72"/>
      <c r="S127" s="56"/>
      <c r="T127" s="74">
        <f t="shared" si="16"/>
        <v>7473.5</v>
      </c>
      <c r="U127" s="74">
        <v>0</v>
      </c>
      <c r="V127" s="74">
        <f t="shared" si="17"/>
        <v>0</v>
      </c>
      <c r="W127" s="74">
        <f t="shared" si="18"/>
        <v>0</v>
      </c>
      <c r="X127" s="74">
        <f t="shared" si="19"/>
        <v>0</v>
      </c>
      <c r="Y127" s="74">
        <f t="shared" si="20"/>
        <v>0</v>
      </c>
      <c r="Z127" s="74">
        <f t="shared" si="21"/>
        <v>7473.5</v>
      </c>
      <c r="AA127" s="75">
        <f t="shared" si="26"/>
        <v>7473.5</v>
      </c>
      <c r="AB127" s="75">
        <f t="shared" si="27"/>
        <v>0</v>
      </c>
    </row>
    <row r="128" spans="1:28" ht="60">
      <c r="A128" s="69" t="s">
        <v>242</v>
      </c>
      <c r="B128" s="140" t="s">
        <v>756</v>
      </c>
      <c r="C128" s="140"/>
      <c r="D128" s="70" t="s">
        <v>809</v>
      </c>
      <c r="E128" s="71">
        <v>66</v>
      </c>
      <c r="F128" s="71">
        <v>66</v>
      </c>
      <c r="G128" s="72">
        <v>50</v>
      </c>
      <c r="H128" s="73">
        <v>0</v>
      </c>
      <c r="I128" s="73">
        <v>0</v>
      </c>
      <c r="J128" s="73">
        <v>0</v>
      </c>
      <c r="K128" s="72">
        <v>0</v>
      </c>
      <c r="L128" s="72">
        <f t="shared" si="13"/>
        <v>50</v>
      </c>
      <c r="M128" s="72">
        <v>50</v>
      </c>
      <c r="N128" s="72">
        <v>0</v>
      </c>
      <c r="O128" s="72">
        <v>0</v>
      </c>
      <c r="P128" s="72">
        <f t="shared" si="14"/>
        <v>50</v>
      </c>
      <c r="Q128" s="72">
        <f t="shared" si="15"/>
        <v>0</v>
      </c>
      <c r="R128" s="72"/>
      <c r="S128" s="56"/>
      <c r="T128" s="74">
        <f t="shared" si="16"/>
        <v>3300</v>
      </c>
      <c r="U128" s="74">
        <v>0</v>
      </c>
      <c r="V128" s="74">
        <f t="shared" si="17"/>
        <v>0</v>
      </c>
      <c r="W128" s="74">
        <f t="shared" si="18"/>
        <v>0</v>
      </c>
      <c r="X128" s="74">
        <f t="shared" si="19"/>
        <v>0</v>
      </c>
      <c r="Y128" s="74">
        <f t="shared" si="20"/>
        <v>0</v>
      </c>
      <c r="Z128" s="74">
        <f t="shared" si="21"/>
        <v>3300</v>
      </c>
      <c r="AA128" s="75">
        <f t="shared" si="26"/>
        <v>3300</v>
      </c>
      <c r="AB128" s="75">
        <f t="shared" si="27"/>
        <v>0</v>
      </c>
    </row>
    <row r="129" spans="1:29">
      <c r="A129" s="69" t="s">
        <v>244</v>
      </c>
      <c r="B129" s="70" t="s">
        <v>245</v>
      </c>
      <c r="C129" s="69"/>
      <c r="D129" s="70" t="s">
        <v>245</v>
      </c>
      <c r="E129" s="71">
        <v>0</v>
      </c>
      <c r="F129" s="71">
        <v>0</v>
      </c>
      <c r="G129" s="72">
        <v>0</v>
      </c>
      <c r="H129" s="73">
        <v>0</v>
      </c>
      <c r="I129" s="73">
        <v>0</v>
      </c>
      <c r="J129" s="73">
        <v>0</v>
      </c>
      <c r="K129" s="72">
        <v>0</v>
      </c>
      <c r="L129" s="72">
        <f t="shared" si="13"/>
        <v>0</v>
      </c>
      <c r="M129" s="72">
        <v>0</v>
      </c>
      <c r="N129" s="72">
        <v>0</v>
      </c>
      <c r="O129" s="72">
        <v>0</v>
      </c>
      <c r="P129" s="72">
        <f t="shared" si="14"/>
        <v>0</v>
      </c>
      <c r="Q129" s="72">
        <f t="shared" si="15"/>
        <v>0</v>
      </c>
      <c r="R129" s="72"/>
      <c r="S129" s="56"/>
      <c r="T129" s="74">
        <f t="shared" si="16"/>
        <v>0</v>
      </c>
      <c r="U129" s="74">
        <v>0</v>
      </c>
      <c r="V129" s="74">
        <f t="shared" si="17"/>
        <v>0</v>
      </c>
      <c r="W129" s="74">
        <f t="shared" si="18"/>
        <v>0</v>
      </c>
      <c r="X129" s="74">
        <f t="shared" si="19"/>
        <v>0</v>
      </c>
      <c r="Y129" s="74">
        <f t="shared" si="20"/>
        <v>0</v>
      </c>
      <c r="Z129" s="74">
        <f t="shared" si="21"/>
        <v>0</v>
      </c>
      <c r="AA129" s="75">
        <f t="shared" si="26"/>
        <v>0</v>
      </c>
      <c r="AB129" s="75">
        <f t="shared" si="27"/>
        <v>0</v>
      </c>
    </row>
    <row r="130" spans="1:29" ht="48">
      <c r="A130" s="69" t="s">
        <v>246</v>
      </c>
      <c r="B130" s="70" t="s">
        <v>247</v>
      </c>
      <c r="C130" s="69"/>
      <c r="D130" s="70" t="s">
        <v>247</v>
      </c>
      <c r="E130" s="71">
        <v>19.5</v>
      </c>
      <c r="F130" s="71">
        <v>19.5</v>
      </c>
      <c r="G130" s="72">
        <v>0</v>
      </c>
      <c r="H130" s="73">
        <v>0</v>
      </c>
      <c r="I130" s="73">
        <v>0</v>
      </c>
      <c r="J130" s="73">
        <v>0</v>
      </c>
      <c r="K130" s="72">
        <v>0</v>
      </c>
      <c r="L130" s="72">
        <f t="shared" si="13"/>
        <v>0</v>
      </c>
      <c r="M130" s="72">
        <v>0</v>
      </c>
      <c r="N130" s="72">
        <v>0</v>
      </c>
      <c r="O130" s="72">
        <v>0</v>
      </c>
      <c r="P130" s="72">
        <f t="shared" si="14"/>
        <v>0</v>
      </c>
      <c r="Q130" s="72">
        <f t="shared" si="15"/>
        <v>0</v>
      </c>
      <c r="R130" s="72"/>
      <c r="S130" s="56"/>
      <c r="T130" s="74">
        <f t="shared" si="16"/>
        <v>0</v>
      </c>
      <c r="U130" s="74">
        <v>0</v>
      </c>
      <c r="V130" s="74">
        <f t="shared" si="17"/>
        <v>0</v>
      </c>
      <c r="W130" s="74">
        <f t="shared" si="18"/>
        <v>0</v>
      </c>
      <c r="X130" s="74">
        <f t="shared" si="19"/>
        <v>0</v>
      </c>
      <c r="Y130" s="74">
        <f t="shared" si="20"/>
        <v>0</v>
      </c>
      <c r="Z130" s="74">
        <f t="shared" si="21"/>
        <v>0</v>
      </c>
      <c r="AA130" s="75">
        <f t="shared" si="26"/>
        <v>0</v>
      </c>
      <c r="AB130" s="75">
        <f t="shared" si="27"/>
        <v>0</v>
      </c>
    </row>
    <row r="131" spans="1:29" ht="24">
      <c r="A131" s="69" t="s">
        <v>248</v>
      </c>
      <c r="B131" s="70" t="s">
        <v>249</v>
      </c>
      <c r="C131" s="69"/>
      <c r="D131" s="70" t="s">
        <v>249</v>
      </c>
      <c r="E131" s="71">
        <v>0</v>
      </c>
      <c r="F131" s="71">
        <v>0</v>
      </c>
      <c r="G131" s="72">
        <v>0</v>
      </c>
      <c r="H131" s="73">
        <v>0</v>
      </c>
      <c r="I131" s="73">
        <v>0</v>
      </c>
      <c r="J131" s="73">
        <v>0</v>
      </c>
      <c r="K131" s="72">
        <v>0</v>
      </c>
      <c r="L131" s="72">
        <f t="shared" si="13"/>
        <v>0</v>
      </c>
      <c r="M131" s="72">
        <v>0</v>
      </c>
      <c r="N131" s="72">
        <v>0</v>
      </c>
      <c r="O131" s="72">
        <v>0</v>
      </c>
      <c r="P131" s="72">
        <f t="shared" si="14"/>
        <v>0</v>
      </c>
      <c r="Q131" s="72">
        <f t="shared" si="15"/>
        <v>0</v>
      </c>
      <c r="R131" s="72"/>
      <c r="S131" s="56"/>
      <c r="T131" s="74">
        <f t="shared" si="16"/>
        <v>0</v>
      </c>
      <c r="U131" s="74">
        <v>0</v>
      </c>
      <c r="V131" s="74">
        <f t="shared" si="17"/>
        <v>0</v>
      </c>
      <c r="W131" s="74">
        <f t="shared" si="18"/>
        <v>0</v>
      </c>
      <c r="X131" s="74">
        <f t="shared" si="19"/>
        <v>0</v>
      </c>
      <c r="Y131" s="74">
        <f t="shared" si="20"/>
        <v>0</v>
      </c>
      <c r="Z131" s="74">
        <f t="shared" si="21"/>
        <v>0</v>
      </c>
      <c r="AA131" s="75">
        <f t="shared" si="26"/>
        <v>0</v>
      </c>
      <c r="AB131" s="75">
        <f t="shared" si="27"/>
        <v>0</v>
      </c>
    </row>
    <row r="132" spans="1:29" ht="24">
      <c r="A132" s="69" t="s">
        <v>250</v>
      </c>
      <c r="B132" s="70" t="s">
        <v>772</v>
      </c>
      <c r="C132" s="69"/>
      <c r="D132" s="70" t="s">
        <v>772</v>
      </c>
      <c r="E132" s="71">
        <v>3875</v>
      </c>
      <c r="F132" s="71">
        <v>3875</v>
      </c>
      <c r="G132" s="72">
        <v>1</v>
      </c>
      <c r="H132" s="73">
        <v>0</v>
      </c>
      <c r="I132" s="73">
        <v>0</v>
      </c>
      <c r="J132" s="73">
        <v>0</v>
      </c>
      <c r="K132" s="72">
        <v>0</v>
      </c>
      <c r="L132" s="72">
        <f t="shared" si="13"/>
        <v>1</v>
      </c>
      <c r="M132" s="72">
        <v>1</v>
      </c>
      <c r="N132" s="72">
        <v>0</v>
      </c>
      <c r="O132" s="72">
        <v>0</v>
      </c>
      <c r="P132" s="72">
        <f t="shared" si="14"/>
        <v>1</v>
      </c>
      <c r="Q132" s="72">
        <f t="shared" si="15"/>
        <v>0</v>
      </c>
      <c r="R132" s="72"/>
      <c r="S132" s="56"/>
      <c r="T132" s="74">
        <f t="shared" si="16"/>
        <v>3875</v>
      </c>
      <c r="U132" s="74">
        <v>0</v>
      </c>
      <c r="V132" s="74">
        <f t="shared" si="17"/>
        <v>0</v>
      </c>
      <c r="W132" s="74">
        <f t="shared" si="18"/>
        <v>0</v>
      </c>
      <c r="X132" s="74">
        <f t="shared" si="19"/>
        <v>0</v>
      </c>
      <c r="Y132" s="74">
        <f t="shared" si="20"/>
        <v>0</v>
      </c>
      <c r="Z132" s="74">
        <f t="shared" si="21"/>
        <v>3875</v>
      </c>
      <c r="AA132" s="75">
        <f t="shared" si="26"/>
        <v>3875</v>
      </c>
      <c r="AB132" s="75">
        <f t="shared" si="27"/>
        <v>0</v>
      </c>
    </row>
    <row r="133" spans="1:29" ht="24">
      <c r="A133" s="69" t="s">
        <v>252</v>
      </c>
      <c r="B133" s="70" t="s">
        <v>253</v>
      </c>
      <c r="C133" s="69"/>
      <c r="D133" s="70" t="s">
        <v>253</v>
      </c>
      <c r="E133" s="71">
        <v>600</v>
      </c>
      <c r="F133" s="71">
        <v>600</v>
      </c>
      <c r="G133" s="72">
        <v>3</v>
      </c>
      <c r="H133" s="73">
        <v>0</v>
      </c>
      <c r="I133" s="73">
        <v>0</v>
      </c>
      <c r="J133" s="73">
        <v>3</v>
      </c>
      <c r="K133" s="72">
        <v>0</v>
      </c>
      <c r="L133" s="72">
        <f t="shared" si="13"/>
        <v>0</v>
      </c>
      <c r="M133" s="72">
        <v>0</v>
      </c>
      <c r="N133" s="72">
        <v>0</v>
      </c>
      <c r="O133" s="72">
        <v>0</v>
      </c>
      <c r="P133" s="72">
        <f t="shared" si="14"/>
        <v>0</v>
      </c>
      <c r="Q133" s="72">
        <f t="shared" si="15"/>
        <v>0</v>
      </c>
      <c r="R133" s="72"/>
      <c r="S133" s="56"/>
      <c r="T133" s="74">
        <f t="shared" si="16"/>
        <v>1800</v>
      </c>
      <c r="U133" s="74">
        <v>0</v>
      </c>
      <c r="V133" s="74">
        <f t="shared" si="17"/>
        <v>0</v>
      </c>
      <c r="W133" s="74">
        <f t="shared" si="18"/>
        <v>0</v>
      </c>
      <c r="X133" s="74">
        <f t="shared" si="19"/>
        <v>1800</v>
      </c>
      <c r="Y133" s="74">
        <f t="shared" si="20"/>
        <v>0</v>
      </c>
      <c r="Z133" s="74">
        <f t="shared" si="21"/>
        <v>0</v>
      </c>
      <c r="AA133" s="75">
        <f t="shared" si="26"/>
        <v>0</v>
      </c>
      <c r="AB133" s="75">
        <f t="shared" si="27"/>
        <v>0</v>
      </c>
    </row>
    <row r="134" spans="1:29" ht="24">
      <c r="A134" s="69" t="s">
        <v>254</v>
      </c>
      <c r="B134" s="140" t="s">
        <v>255</v>
      </c>
      <c r="C134" s="140"/>
      <c r="D134" s="70" t="s">
        <v>810</v>
      </c>
      <c r="E134" s="71">
        <v>92.4</v>
      </c>
      <c r="F134" s="71">
        <v>92.4</v>
      </c>
      <c r="G134" s="72">
        <v>3</v>
      </c>
      <c r="H134" s="73">
        <v>0</v>
      </c>
      <c r="I134" s="73">
        <v>0</v>
      </c>
      <c r="J134" s="73">
        <v>0</v>
      </c>
      <c r="K134" s="72">
        <v>0</v>
      </c>
      <c r="L134" s="72">
        <f t="shared" si="13"/>
        <v>3</v>
      </c>
      <c r="M134" s="72">
        <v>3</v>
      </c>
      <c r="N134" s="72">
        <v>0</v>
      </c>
      <c r="O134" s="72">
        <v>0</v>
      </c>
      <c r="P134" s="72">
        <f t="shared" si="14"/>
        <v>3</v>
      </c>
      <c r="Q134" s="72">
        <f t="shared" si="15"/>
        <v>0</v>
      </c>
      <c r="R134" s="72"/>
      <c r="S134" s="56"/>
      <c r="T134" s="74">
        <f t="shared" si="16"/>
        <v>277.20000000000005</v>
      </c>
      <c r="U134" s="74">
        <v>0</v>
      </c>
      <c r="V134" s="74">
        <f t="shared" si="17"/>
        <v>0</v>
      </c>
      <c r="W134" s="74">
        <f t="shared" si="18"/>
        <v>0</v>
      </c>
      <c r="X134" s="74">
        <f t="shared" si="19"/>
        <v>0</v>
      </c>
      <c r="Y134" s="74">
        <f t="shared" si="20"/>
        <v>0</v>
      </c>
      <c r="Z134" s="74">
        <f t="shared" si="21"/>
        <v>277.20000000000005</v>
      </c>
      <c r="AA134" s="75">
        <f t="shared" si="26"/>
        <v>277.20000000000005</v>
      </c>
      <c r="AB134" s="75">
        <f t="shared" si="27"/>
        <v>0</v>
      </c>
    </row>
    <row r="135" spans="1:29" ht="24">
      <c r="A135" s="69" t="s">
        <v>256</v>
      </c>
      <c r="B135" s="140" t="s">
        <v>714</v>
      </c>
      <c r="C135" s="140"/>
      <c r="D135" s="70" t="s">
        <v>257</v>
      </c>
      <c r="E135" s="71">
        <v>260</v>
      </c>
      <c r="F135" s="71">
        <v>260</v>
      </c>
      <c r="G135" s="72">
        <v>5</v>
      </c>
      <c r="H135" s="73">
        <v>0</v>
      </c>
      <c r="I135" s="73">
        <v>0</v>
      </c>
      <c r="J135" s="73">
        <v>0</v>
      </c>
      <c r="K135" s="72">
        <v>0</v>
      </c>
      <c r="L135" s="72">
        <f t="shared" ref="L135:L198" si="28">G135+H135+I135-J135-K135</f>
        <v>5</v>
      </c>
      <c r="M135" s="72">
        <v>5</v>
      </c>
      <c r="N135" s="72">
        <v>0</v>
      </c>
      <c r="O135" s="72">
        <v>0</v>
      </c>
      <c r="P135" s="72">
        <f t="shared" ref="P135:P198" si="29">M135+N135+O135</f>
        <v>5</v>
      </c>
      <c r="Q135" s="72">
        <f t="shared" ref="Q135:Q198" si="30">P135-L135</f>
        <v>0</v>
      </c>
      <c r="R135" s="72"/>
      <c r="S135" s="56"/>
      <c r="T135" s="74">
        <f t="shared" ref="T135:T198" si="31">E135*G135</f>
        <v>1300</v>
      </c>
      <c r="U135" s="74">
        <v>0</v>
      </c>
      <c r="V135" s="74">
        <f t="shared" ref="V135:V198" si="32">F135*H135</f>
        <v>0</v>
      </c>
      <c r="W135" s="74">
        <f t="shared" ref="W135:W198" si="33">F135*I135</f>
        <v>0</v>
      </c>
      <c r="X135" s="74">
        <f t="shared" ref="X135:X198" si="34">F135*J135</f>
        <v>0</v>
      </c>
      <c r="Y135" s="74">
        <f t="shared" ref="Y135:Y198" si="35">F135*K135</f>
        <v>0</v>
      </c>
      <c r="Z135" s="74">
        <f t="shared" ref="Z135:Z198" si="36">T135+U135+V135+W135-X135-Y135</f>
        <v>1300</v>
      </c>
      <c r="AA135" s="75">
        <f t="shared" si="26"/>
        <v>1300</v>
      </c>
      <c r="AB135" s="75">
        <f t="shared" si="27"/>
        <v>0</v>
      </c>
    </row>
    <row r="136" spans="1:29" ht="36">
      <c r="A136" s="69" t="s">
        <v>258</v>
      </c>
      <c r="B136" s="70" t="s">
        <v>259</v>
      </c>
      <c r="C136" s="69"/>
      <c r="D136" s="70" t="s">
        <v>259</v>
      </c>
      <c r="E136" s="71">
        <v>830</v>
      </c>
      <c r="F136" s="71">
        <v>830</v>
      </c>
      <c r="G136" s="72">
        <v>0</v>
      </c>
      <c r="H136" s="73">
        <v>0</v>
      </c>
      <c r="I136" s="73">
        <v>0</v>
      </c>
      <c r="J136" s="73">
        <v>0</v>
      </c>
      <c r="K136" s="72">
        <v>0</v>
      </c>
      <c r="L136" s="72">
        <f t="shared" si="28"/>
        <v>0</v>
      </c>
      <c r="M136" s="72">
        <v>0</v>
      </c>
      <c r="N136" s="72">
        <v>0</v>
      </c>
      <c r="O136" s="72">
        <v>0</v>
      </c>
      <c r="P136" s="72">
        <f t="shared" si="29"/>
        <v>0</v>
      </c>
      <c r="Q136" s="72">
        <f t="shared" si="30"/>
        <v>0</v>
      </c>
      <c r="R136" s="72"/>
      <c r="S136" s="56"/>
      <c r="T136" s="74">
        <f t="shared" si="31"/>
        <v>0</v>
      </c>
      <c r="U136" s="74">
        <v>0</v>
      </c>
      <c r="V136" s="74">
        <f t="shared" si="32"/>
        <v>0</v>
      </c>
      <c r="W136" s="74">
        <f t="shared" si="33"/>
        <v>0</v>
      </c>
      <c r="X136" s="74">
        <f t="shared" si="34"/>
        <v>0</v>
      </c>
      <c r="Y136" s="74">
        <f t="shared" si="35"/>
        <v>0</v>
      </c>
      <c r="Z136" s="74">
        <f t="shared" si="36"/>
        <v>0</v>
      </c>
      <c r="AA136" s="75">
        <f t="shared" si="26"/>
        <v>0</v>
      </c>
      <c r="AB136" s="75">
        <f t="shared" si="27"/>
        <v>0</v>
      </c>
    </row>
    <row r="137" spans="1:29" ht="24">
      <c r="A137" s="69" t="s">
        <v>260</v>
      </c>
      <c r="B137" s="70" t="s">
        <v>261</v>
      </c>
      <c r="C137" s="69"/>
      <c r="D137" s="70" t="s">
        <v>261</v>
      </c>
      <c r="E137" s="71">
        <v>0</v>
      </c>
      <c r="F137" s="71">
        <v>0</v>
      </c>
      <c r="G137" s="72">
        <v>0</v>
      </c>
      <c r="H137" s="73">
        <v>0</v>
      </c>
      <c r="I137" s="73">
        <v>0</v>
      </c>
      <c r="J137" s="73">
        <v>0</v>
      </c>
      <c r="K137" s="72">
        <v>0</v>
      </c>
      <c r="L137" s="72">
        <f t="shared" si="28"/>
        <v>0</v>
      </c>
      <c r="M137" s="72">
        <v>0</v>
      </c>
      <c r="N137" s="72">
        <v>0</v>
      </c>
      <c r="O137" s="72">
        <v>0</v>
      </c>
      <c r="P137" s="72">
        <f t="shared" si="29"/>
        <v>0</v>
      </c>
      <c r="Q137" s="72">
        <f t="shared" si="30"/>
        <v>0</v>
      </c>
      <c r="R137" s="72"/>
      <c r="S137" s="56"/>
      <c r="T137" s="74">
        <f t="shared" si="31"/>
        <v>0</v>
      </c>
      <c r="U137" s="74">
        <v>0</v>
      </c>
      <c r="V137" s="74">
        <f t="shared" si="32"/>
        <v>0</v>
      </c>
      <c r="W137" s="74">
        <f t="shared" si="33"/>
        <v>0</v>
      </c>
      <c r="X137" s="74">
        <f t="shared" si="34"/>
        <v>0</v>
      </c>
      <c r="Y137" s="74">
        <f t="shared" si="35"/>
        <v>0</v>
      </c>
      <c r="Z137" s="74">
        <f t="shared" si="36"/>
        <v>0</v>
      </c>
      <c r="AA137" s="75">
        <f t="shared" si="26"/>
        <v>0</v>
      </c>
      <c r="AB137" s="75">
        <f t="shared" si="27"/>
        <v>0</v>
      </c>
    </row>
    <row r="138" spans="1:29">
      <c r="A138" s="69" t="s">
        <v>262</v>
      </c>
      <c r="B138" s="70" t="s">
        <v>263</v>
      </c>
      <c r="C138" s="69"/>
      <c r="D138" s="70" t="s">
        <v>263</v>
      </c>
      <c r="E138" s="71">
        <v>252.37</v>
      </c>
      <c r="F138" s="71">
        <v>252.37</v>
      </c>
      <c r="G138" s="72">
        <v>0</v>
      </c>
      <c r="H138" s="73">
        <v>0</v>
      </c>
      <c r="I138" s="73">
        <v>0</v>
      </c>
      <c r="J138" s="73">
        <v>0</v>
      </c>
      <c r="K138" s="72">
        <v>0</v>
      </c>
      <c r="L138" s="72">
        <f t="shared" si="28"/>
        <v>0</v>
      </c>
      <c r="M138" s="72">
        <v>0</v>
      </c>
      <c r="N138" s="72">
        <v>0</v>
      </c>
      <c r="O138" s="72">
        <v>0</v>
      </c>
      <c r="P138" s="72">
        <f t="shared" si="29"/>
        <v>0</v>
      </c>
      <c r="Q138" s="72">
        <f t="shared" si="30"/>
        <v>0</v>
      </c>
      <c r="R138" s="72"/>
      <c r="S138" s="56"/>
      <c r="T138" s="74">
        <f t="shared" si="31"/>
        <v>0</v>
      </c>
      <c r="U138" s="74">
        <v>0</v>
      </c>
      <c r="V138" s="74">
        <f t="shared" si="32"/>
        <v>0</v>
      </c>
      <c r="W138" s="74">
        <f t="shared" si="33"/>
        <v>0</v>
      </c>
      <c r="X138" s="74">
        <f t="shared" si="34"/>
        <v>0</v>
      </c>
      <c r="Y138" s="74">
        <f t="shared" si="35"/>
        <v>0</v>
      </c>
      <c r="Z138" s="74">
        <f t="shared" si="36"/>
        <v>0</v>
      </c>
      <c r="AA138" s="75">
        <f t="shared" si="26"/>
        <v>0</v>
      </c>
      <c r="AB138" s="75">
        <f t="shared" si="27"/>
        <v>0</v>
      </c>
    </row>
    <row r="139" spans="1:29" ht="24">
      <c r="A139" s="69" t="s">
        <v>264</v>
      </c>
      <c r="B139" s="70" t="s">
        <v>265</v>
      </c>
      <c r="C139" s="69"/>
      <c r="D139" s="70" t="s">
        <v>265</v>
      </c>
      <c r="E139" s="71">
        <v>480</v>
      </c>
      <c r="F139" s="71">
        <v>480</v>
      </c>
      <c r="G139" s="72">
        <v>1</v>
      </c>
      <c r="H139" s="73">
        <v>0</v>
      </c>
      <c r="I139" s="73">
        <v>0</v>
      </c>
      <c r="J139" s="73">
        <v>1</v>
      </c>
      <c r="K139" s="72">
        <v>0</v>
      </c>
      <c r="L139" s="72">
        <f t="shared" si="28"/>
        <v>0</v>
      </c>
      <c r="M139" s="72">
        <v>0</v>
      </c>
      <c r="N139" s="72">
        <v>0</v>
      </c>
      <c r="O139" s="72">
        <v>0</v>
      </c>
      <c r="P139" s="72">
        <f t="shared" si="29"/>
        <v>0</v>
      </c>
      <c r="Q139" s="72">
        <f t="shared" si="30"/>
        <v>0</v>
      </c>
      <c r="R139" s="72"/>
      <c r="S139" s="56"/>
      <c r="T139" s="74">
        <f t="shared" si="31"/>
        <v>480</v>
      </c>
      <c r="U139" s="74">
        <v>0</v>
      </c>
      <c r="V139" s="74">
        <f t="shared" si="32"/>
        <v>0</v>
      </c>
      <c r="W139" s="74">
        <f t="shared" si="33"/>
        <v>0</v>
      </c>
      <c r="X139" s="74">
        <f t="shared" si="34"/>
        <v>480</v>
      </c>
      <c r="Y139" s="74">
        <f t="shared" si="35"/>
        <v>0</v>
      </c>
      <c r="Z139" s="74">
        <f t="shared" si="36"/>
        <v>0</v>
      </c>
      <c r="AA139" s="75">
        <f t="shared" si="26"/>
        <v>0</v>
      </c>
      <c r="AB139" s="75">
        <f t="shared" si="27"/>
        <v>0</v>
      </c>
    </row>
    <row r="140" spans="1:29" s="199" customFormat="1" ht="24">
      <c r="A140" s="69" t="s">
        <v>266</v>
      </c>
      <c r="B140" s="70" t="s">
        <v>267</v>
      </c>
      <c r="C140" s="69"/>
      <c r="D140" s="70" t="s">
        <v>267</v>
      </c>
      <c r="E140" s="71">
        <v>1040.52</v>
      </c>
      <c r="F140" s="71">
        <v>1040.52</v>
      </c>
      <c r="G140" s="72">
        <v>0</v>
      </c>
      <c r="H140" s="73">
        <v>0</v>
      </c>
      <c r="I140" s="73">
        <v>0</v>
      </c>
      <c r="J140" s="73">
        <v>0</v>
      </c>
      <c r="K140" s="72">
        <v>0</v>
      </c>
      <c r="L140" s="72">
        <f t="shared" si="28"/>
        <v>0</v>
      </c>
      <c r="M140" s="72">
        <v>0</v>
      </c>
      <c r="N140" s="72">
        <v>0</v>
      </c>
      <c r="O140" s="72">
        <v>0</v>
      </c>
      <c r="P140" s="72">
        <f t="shared" si="29"/>
        <v>0</v>
      </c>
      <c r="Q140" s="72">
        <f t="shared" si="30"/>
        <v>0</v>
      </c>
      <c r="R140" s="72"/>
      <c r="S140" s="56"/>
      <c r="T140" s="74">
        <f t="shared" si="31"/>
        <v>0</v>
      </c>
      <c r="U140" s="74">
        <v>0</v>
      </c>
      <c r="V140" s="74">
        <f t="shared" si="32"/>
        <v>0</v>
      </c>
      <c r="W140" s="74">
        <f t="shared" si="33"/>
        <v>0</v>
      </c>
      <c r="X140" s="74">
        <f t="shared" si="34"/>
        <v>0</v>
      </c>
      <c r="Y140" s="74">
        <f t="shared" si="35"/>
        <v>0</v>
      </c>
      <c r="Z140" s="74">
        <f t="shared" si="36"/>
        <v>0</v>
      </c>
      <c r="AA140" s="75">
        <f t="shared" si="26"/>
        <v>0</v>
      </c>
      <c r="AB140" s="75">
        <f t="shared" si="27"/>
        <v>0</v>
      </c>
      <c r="AC140" s="53"/>
    </row>
    <row r="141" spans="1:29" s="157" customFormat="1" ht="15" customHeight="1">
      <c r="A141" s="69" t="s">
        <v>268</v>
      </c>
      <c r="B141" s="70" t="s">
        <v>269</v>
      </c>
      <c r="C141" s="69"/>
      <c r="D141" s="70" t="s">
        <v>269</v>
      </c>
      <c r="E141" s="71">
        <v>246.5</v>
      </c>
      <c r="F141" s="71">
        <v>246.5</v>
      </c>
      <c r="G141" s="72">
        <v>3</v>
      </c>
      <c r="H141" s="73">
        <v>0</v>
      </c>
      <c r="I141" s="73">
        <v>0</v>
      </c>
      <c r="J141" s="73">
        <v>1</v>
      </c>
      <c r="K141" s="72">
        <v>0</v>
      </c>
      <c r="L141" s="72">
        <f t="shared" si="28"/>
        <v>2</v>
      </c>
      <c r="M141" s="72">
        <v>2</v>
      </c>
      <c r="N141" s="72">
        <v>0</v>
      </c>
      <c r="O141" s="72">
        <v>0</v>
      </c>
      <c r="P141" s="72">
        <f t="shared" si="29"/>
        <v>2</v>
      </c>
      <c r="Q141" s="72">
        <f t="shared" si="30"/>
        <v>0</v>
      </c>
      <c r="R141" s="72"/>
      <c r="S141" s="56"/>
      <c r="T141" s="74">
        <f t="shared" si="31"/>
        <v>739.5</v>
      </c>
      <c r="U141" s="74">
        <v>0</v>
      </c>
      <c r="V141" s="74">
        <f t="shared" si="32"/>
        <v>0</v>
      </c>
      <c r="W141" s="74">
        <f t="shared" si="33"/>
        <v>0</v>
      </c>
      <c r="X141" s="74">
        <f t="shared" si="34"/>
        <v>246.5</v>
      </c>
      <c r="Y141" s="74">
        <f t="shared" si="35"/>
        <v>0</v>
      </c>
      <c r="Z141" s="74">
        <f t="shared" si="36"/>
        <v>493</v>
      </c>
      <c r="AA141" s="75">
        <f t="shared" si="26"/>
        <v>493</v>
      </c>
      <c r="AB141" s="75">
        <f t="shared" si="27"/>
        <v>0</v>
      </c>
      <c r="AC141" s="53"/>
    </row>
    <row r="142" spans="1:29" s="238" customFormat="1" ht="15" customHeight="1">
      <c r="A142" s="228" t="s">
        <v>270</v>
      </c>
      <c r="B142" s="229" t="s">
        <v>273</v>
      </c>
      <c r="C142" s="229" t="s">
        <v>738</v>
      </c>
      <c r="D142" s="230" t="s">
        <v>271</v>
      </c>
      <c r="E142" s="231">
        <v>797.5</v>
      </c>
      <c r="F142" s="231">
        <v>797.5</v>
      </c>
      <c r="G142" s="232">
        <v>1</v>
      </c>
      <c r="H142" s="233">
        <v>0</v>
      </c>
      <c r="I142" s="233">
        <v>0</v>
      </c>
      <c r="J142" s="233">
        <v>0</v>
      </c>
      <c r="K142" s="232">
        <v>0</v>
      </c>
      <c r="L142" s="232">
        <f t="shared" si="28"/>
        <v>1</v>
      </c>
      <c r="M142" s="232">
        <v>1</v>
      </c>
      <c r="N142" s="232">
        <v>0</v>
      </c>
      <c r="O142" s="232">
        <v>0</v>
      </c>
      <c r="P142" s="232">
        <f t="shared" si="29"/>
        <v>1</v>
      </c>
      <c r="Q142" s="232">
        <f t="shared" si="30"/>
        <v>0</v>
      </c>
      <c r="R142" s="232"/>
      <c r="S142" s="234"/>
      <c r="T142" s="235">
        <f t="shared" si="31"/>
        <v>797.5</v>
      </c>
      <c r="U142" s="235"/>
      <c r="V142" s="235">
        <f t="shared" si="32"/>
        <v>0</v>
      </c>
      <c r="W142" s="235">
        <f t="shared" si="33"/>
        <v>0</v>
      </c>
      <c r="X142" s="235">
        <f t="shared" si="34"/>
        <v>0</v>
      </c>
      <c r="Y142" s="235">
        <f t="shared" si="35"/>
        <v>0</v>
      </c>
      <c r="Z142" s="235">
        <f t="shared" si="36"/>
        <v>797.5</v>
      </c>
      <c r="AA142" s="236">
        <f t="shared" si="26"/>
        <v>797.5</v>
      </c>
      <c r="AB142" s="236">
        <f t="shared" ref="AB142:AB173" si="37">AA142-Z142</f>
        <v>0</v>
      </c>
      <c r="AC142" s="237"/>
    </row>
    <row r="143" spans="1:29" s="238" customFormat="1" ht="15" customHeight="1">
      <c r="A143" s="228" t="s">
        <v>272</v>
      </c>
      <c r="B143" s="229" t="s">
        <v>811</v>
      </c>
      <c r="C143" s="229" t="s">
        <v>738</v>
      </c>
      <c r="D143" s="230" t="s">
        <v>273</v>
      </c>
      <c r="E143" s="231">
        <v>165.33</v>
      </c>
      <c r="F143" s="231">
        <v>165.33</v>
      </c>
      <c r="G143" s="232">
        <v>1</v>
      </c>
      <c r="H143" s="233">
        <v>0</v>
      </c>
      <c r="I143" s="233">
        <v>0</v>
      </c>
      <c r="J143" s="233">
        <v>0</v>
      </c>
      <c r="K143" s="232">
        <v>0</v>
      </c>
      <c r="L143" s="232">
        <f t="shared" si="28"/>
        <v>1</v>
      </c>
      <c r="M143" s="232">
        <v>1</v>
      </c>
      <c r="N143" s="232">
        <v>0</v>
      </c>
      <c r="O143" s="232">
        <v>0</v>
      </c>
      <c r="P143" s="232">
        <f t="shared" si="29"/>
        <v>1</v>
      </c>
      <c r="Q143" s="232">
        <f t="shared" si="30"/>
        <v>0</v>
      </c>
      <c r="R143" s="232"/>
      <c r="S143" s="234"/>
      <c r="T143" s="235">
        <f t="shared" si="31"/>
        <v>165.33</v>
      </c>
      <c r="U143" s="235">
        <v>0</v>
      </c>
      <c r="V143" s="235">
        <f t="shared" si="32"/>
        <v>0</v>
      </c>
      <c r="W143" s="235">
        <f t="shared" si="33"/>
        <v>0</v>
      </c>
      <c r="X143" s="235">
        <f t="shared" si="34"/>
        <v>0</v>
      </c>
      <c r="Y143" s="235">
        <f t="shared" si="35"/>
        <v>0</v>
      </c>
      <c r="Z143" s="235">
        <f t="shared" si="36"/>
        <v>165.33</v>
      </c>
      <c r="AA143" s="236">
        <f t="shared" si="26"/>
        <v>165.33</v>
      </c>
      <c r="AB143" s="236">
        <f t="shared" si="37"/>
        <v>0</v>
      </c>
      <c r="AC143" s="237"/>
    </row>
    <row r="144" spans="1:29" ht="36">
      <c r="A144" s="69" t="s">
        <v>274</v>
      </c>
      <c r="B144" s="70" t="s">
        <v>275</v>
      </c>
      <c r="C144" s="69"/>
      <c r="D144" s="70" t="s">
        <v>275</v>
      </c>
      <c r="E144" s="71">
        <v>350</v>
      </c>
      <c r="F144" s="71">
        <v>350</v>
      </c>
      <c r="G144" s="72">
        <v>0</v>
      </c>
      <c r="H144" s="73">
        <v>0</v>
      </c>
      <c r="I144" s="73">
        <v>0</v>
      </c>
      <c r="J144" s="73">
        <v>0</v>
      </c>
      <c r="K144" s="72">
        <v>0</v>
      </c>
      <c r="L144" s="72">
        <f t="shared" si="28"/>
        <v>0</v>
      </c>
      <c r="M144" s="72">
        <v>0</v>
      </c>
      <c r="N144" s="72">
        <v>0</v>
      </c>
      <c r="O144" s="72">
        <v>0</v>
      </c>
      <c r="P144" s="72">
        <f t="shared" si="29"/>
        <v>0</v>
      </c>
      <c r="Q144" s="72">
        <f t="shared" si="30"/>
        <v>0</v>
      </c>
      <c r="R144" s="72"/>
      <c r="S144" s="56"/>
      <c r="T144" s="74">
        <f t="shared" si="31"/>
        <v>0</v>
      </c>
      <c r="U144" s="74">
        <v>0</v>
      </c>
      <c r="V144" s="74">
        <f t="shared" si="32"/>
        <v>0</v>
      </c>
      <c r="W144" s="74">
        <f t="shared" si="33"/>
        <v>0</v>
      </c>
      <c r="X144" s="74">
        <f t="shared" si="34"/>
        <v>0</v>
      </c>
      <c r="Y144" s="74">
        <f t="shared" si="35"/>
        <v>0</v>
      </c>
      <c r="Z144" s="74">
        <f t="shared" si="36"/>
        <v>0</v>
      </c>
      <c r="AA144" s="75">
        <f t="shared" si="26"/>
        <v>0</v>
      </c>
      <c r="AB144" s="75">
        <f t="shared" si="37"/>
        <v>0</v>
      </c>
    </row>
    <row r="145" spans="1:29" ht="36">
      <c r="A145" s="69" t="s">
        <v>276</v>
      </c>
      <c r="B145" s="70" t="s">
        <v>277</v>
      </c>
      <c r="C145" s="69"/>
      <c r="D145" s="70" t="s">
        <v>277</v>
      </c>
      <c r="E145" s="71">
        <v>820</v>
      </c>
      <c r="F145" s="71">
        <v>820</v>
      </c>
      <c r="G145" s="72">
        <v>0</v>
      </c>
      <c r="H145" s="73">
        <v>0</v>
      </c>
      <c r="I145" s="73">
        <v>0</v>
      </c>
      <c r="J145" s="73">
        <v>0</v>
      </c>
      <c r="K145" s="72">
        <v>0</v>
      </c>
      <c r="L145" s="72">
        <f t="shared" si="28"/>
        <v>0</v>
      </c>
      <c r="M145" s="72">
        <v>0</v>
      </c>
      <c r="N145" s="72">
        <v>0</v>
      </c>
      <c r="O145" s="72">
        <v>0</v>
      </c>
      <c r="P145" s="72">
        <f t="shared" si="29"/>
        <v>0</v>
      </c>
      <c r="Q145" s="72">
        <f t="shared" si="30"/>
        <v>0</v>
      </c>
      <c r="R145" s="72"/>
      <c r="S145" s="56"/>
      <c r="T145" s="74">
        <f t="shared" si="31"/>
        <v>0</v>
      </c>
      <c r="U145" s="74">
        <v>0</v>
      </c>
      <c r="V145" s="74">
        <f t="shared" si="32"/>
        <v>0</v>
      </c>
      <c r="W145" s="74">
        <f t="shared" si="33"/>
        <v>0</v>
      </c>
      <c r="X145" s="74">
        <f t="shared" si="34"/>
        <v>0</v>
      </c>
      <c r="Y145" s="74">
        <f t="shared" si="35"/>
        <v>0</v>
      </c>
      <c r="Z145" s="74">
        <f t="shared" si="36"/>
        <v>0</v>
      </c>
      <c r="AA145" s="75">
        <f t="shared" si="26"/>
        <v>0</v>
      </c>
      <c r="AB145" s="75">
        <f t="shared" si="37"/>
        <v>0</v>
      </c>
    </row>
    <row r="146" spans="1:29" ht="36">
      <c r="A146" s="69" t="s">
        <v>278</v>
      </c>
      <c r="B146" s="70" t="s">
        <v>279</v>
      </c>
      <c r="C146" s="69"/>
      <c r="D146" s="70" t="s">
        <v>279</v>
      </c>
      <c r="E146" s="71">
        <v>176.29</v>
      </c>
      <c r="F146" s="71">
        <v>176.29</v>
      </c>
      <c r="G146" s="72">
        <v>0</v>
      </c>
      <c r="H146" s="73">
        <v>0</v>
      </c>
      <c r="I146" s="73">
        <v>0</v>
      </c>
      <c r="J146" s="73">
        <v>0</v>
      </c>
      <c r="K146" s="72">
        <v>0</v>
      </c>
      <c r="L146" s="72">
        <f t="shared" si="28"/>
        <v>0</v>
      </c>
      <c r="M146" s="72">
        <v>0</v>
      </c>
      <c r="N146" s="72">
        <v>0</v>
      </c>
      <c r="O146" s="72">
        <v>0</v>
      </c>
      <c r="P146" s="72">
        <f t="shared" si="29"/>
        <v>0</v>
      </c>
      <c r="Q146" s="72">
        <f t="shared" si="30"/>
        <v>0</v>
      </c>
      <c r="R146" s="72"/>
      <c r="S146" s="56"/>
      <c r="T146" s="74">
        <f t="shared" si="31"/>
        <v>0</v>
      </c>
      <c r="U146" s="74">
        <v>0</v>
      </c>
      <c r="V146" s="74">
        <f t="shared" si="32"/>
        <v>0</v>
      </c>
      <c r="W146" s="74">
        <f t="shared" si="33"/>
        <v>0</v>
      </c>
      <c r="X146" s="74">
        <f t="shared" si="34"/>
        <v>0</v>
      </c>
      <c r="Y146" s="74">
        <f t="shared" si="35"/>
        <v>0</v>
      </c>
      <c r="Z146" s="74">
        <f t="shared" si="36"/>
        <v>0</v>
      </c>
      <c r="AA146" s="75">
        <f t="shared" si="26"/>
        <v>0</v>
      </c>
      <c r="AB146" s="75">
        <f t="shared" si="37"/>
        <v>0</v>
      </c>
    </row>
    <row r="147" spans="1:29" ht="48">
      <c r="A147" s="69" t="s">
        <v>280</v>
      </c>
      <c r="B147" s="70" t="s">
        <v>281</v>
      </c>
      <c r="C147" s="69"/>
      <c r="D147" s="70" t="s">
        <v>281</v>
      </c>
      <c r="E147" s="71">
        <v>159.5</v>
      </c>
      <c r="F147" s="71">
        <v>159.5</v>
      </c>
      <c r="G147" s="72">
        <v>6</v>
      </c>
      <c r="H147" s="73">
        <v>0</v>
      </c>
      <c r="I147" s="73">
        <v>0</v>
      </c>
      <c r="J147" s="73">
        <v>1</v>
      </c>
      <c r="K147" s="72">
        <v>0</v>
      </c>
      <c r="L147" s="72">
        <f t="shared" si="28"/>
        <v>5</v>
      </c>
      <c r="M147" s="72">
        <v>5</v>
      </c>
      <c r="N147" s="72">
        <v>0</v>
      </c>
      <c r="O147" s="72">
        <v>0</v>
      </c>
      <c r="P147" s="72">
        <f t="shared" si="29"/>
        <v>5</v>
      </c>
      <c r="Q147" s="72">
        <f t="shared" si="30"/>
        <v>0</v>
      </c>
      <c r="R147" s="72"/>
      <c r="S147" s="56"/>
      <c r="T147" s="74">
        <f t="shared" si="31"/>
        <v>957</v>
      </c>
      <c r="U147" s="74">
        <v>0</v>
      </c>
      <c r="V147" s="74">
        <f t="shared" si="32"/>
        <v>0</v>
      </c>
      <c r="W147" s="74">
        <f t="shared" si="33"/>
        <v>0</v>
      </c>
      <c r="X147" s="74">
        <f t="shared" si="34"/>
        <v>159.5</v>
      </c>
      <c r="Y147" s="74">
        <f t="shared" si="35"/>
        <v>0</v>
      </c>
      <c r="Z147" s="74">
        <f t="shared" si="36"/>
        <v>797.5</v>
      </c>
      <c r="AA147" s="75">
        <f t="shared" si="26"/>
        <v>797.5</v>
      </c>
      <c r="AB147" s="75">
        <f t="shared" si="37"/>
        <v>0</v>
      </c>
    </row>
    <row r="148" spans="1:29" ht="48">
      <c r="A148" s="69" t="s">
        <v>282</v>
      </c>
      <c r="B148" s="70" t="s">
        <v>283</v>
      </c>
      <c r="C148" s="69"/>
      <c r="D148" s="70" t="s">
        <v>283</v>
      </c>
      <c r="E148" s="71">
        <v>179.8</v>
      </c>
      <c r="F148" s="71">
        <v>179.8</v>
      </c>
      <c r="G148" s="72">
        <v>0</v>
      </c>
      <c r="H148" s="73">
        <v>0</v>
      </c>
      <c r="I148" s="73">
        <v>0</v>
      </c>
      <c r="J148" s="73">
        <v>0</v>
      </c>
      <c r="K148" s="72">
        <v>0</v>
      </c>
      <c r="L148" s="72">
        <f t="shared" si="28"/>
        <v>0</v>
      </c>
      <c r="M148" s="72">
        <v>0</v>
      </c>
      <c r="N148" s="72">
        <v>0</v>
      </c>
      <c r="O148" s="72">
        <v>0</v>
      </c>
      <c r="P148" s="72">
        <f t="shared" si="29"/>
        <v>0</v>
      </c>
      <c r="Q148" s="72">
        <f t="shared" si="30"/>
        <v>0</v>
      </c>
      <c r="R148" s="72"/>
      <c r="S148" s="56"/>
      <c r="T148" s="74">
        <f t="shared" si="31"/>
        <v>0</v>
      </c>
      <c r="U148" s="74">
        <v>0</v>
      </c>
      <c r="V148" s="74">
        <f t="shared" si="32"/>
        <v>0</v>
      </c>
      <c r="W148" s="74">
        <f t="shared" si="33"/>
        <v>0</v>
      </c>
      <c r="X148" s="74">
        <f t="shared" si="34"/>
        <v>0</v>
      </c>
      <c r="Y148" s="74">
        <f t="shared" si="35"/>
        <v>0</v>
      </c>
      <c r="Z148" s="74">
        <f t="shared" si="36"/>
        <v>0</v>
      </c>
      <c r="AA148" s="75">
        <f t="shared" si="26"/>
        <v>0</v>
      </c>
      <c r="AB148" s="75">
        <f t="shared" si="37"/>
        <v>0</v>
      </c>
    </row>
    <row r="149" spans="1:29" ht="24">
      <c r="A149" s="69" t="s">
        <v>284</v>
      </c>
      <c r="B149" s="70" t="s">
        <v>285</v>
      </c>
      <c r="C149" s="69"/>
      <c r="D149" s="70" t="s">
        <v>285</v>
      </c>
      <c r="E149" s="71">
        <v>279.04000000000002</v>
      </c>
      <c r="F149" s="71">
        <v>279.04000000000002</v>
      </c>
      <c r="G149" s="72">
        <v>0</v>
      </c>
      <c r="H149" s="73">
        <v>0</v>
      </c>
      <c r="I149" s="73">
        <v>0</v>
      </c>
      <c r="J149" s="73">
        <v>0</v>
      </c>
      <c r="K149" s="72">
        <v>0</v>
      </c>
      <c r="L149" s="72">
        <f t="shared" si="28"/>
        <v>0</v>
      </c>
      <c r="M149" s="72">
        <v>0</v>
      </c>
      <c r="N149" s="72">
        <v>0</v>
      </c>
      <c r="O149" s="72">
        <v>0</v>
      </c>
      <c r="P149" s="72">
        <f t="shared" si="29"/>
        <v>0</v>
      </c>
      <c r="Q149" s="72">
        <f t="shared" si="30"/>
        <v>0</v>
      </c>
      <c r="R149" s="72"/>
      <c r="S149" s="56"/>
      <c r="T149" s="74">
        <f t="shared" si="31"/>
        <v>0</v>
      </c>
      <c r="U149" s="74">
        <v>0</v>
      </c>
      <c r="V149" s="74">
        <f t="shared" si="32"/>
        <v>0</v>
      </c>
      <c r="W149" s="74">
        <f t="shared" si="33"/>
        <v>0</v>
      </c>
      <c r="X149" s="74">
        <f t="shared" si="34"/>
        <v>0</v>
      </c>
      <c r="Y149" s="74">
        <f t="shared" si="35"/>
        <v>0</v>
      </c>
      <c r="Z149" s="74">
        <f t="shared" si="36"/>
        <v>0</v>
      </c>
      <c r="AA149" s="75">
        <f t="shared" si="26"/>
        <v>0</v>
      </c>
      <c r="AB149" s="75">
        <f t="shared" si="37"/>
        <v>0</v>
      </c>
    </row>
    <row r="150" spans="1:29" ht="24">
      <c r="A150" s="191" t="s">
        <v>286</v>
      </c>
      <c r="B150" s="192" t="s">
        <v>287</v>
      </c>
      <c r="C150" s="191"/>
      <c r="D150" s="192" t="s">
        <v>287</v>
      </c>
      <c r="E150" s="193">
        <v>152.25</v>
      </c>
      <c r="F150" s="193">
        <v>152.25</v>
      </c>
      <c r="G150" s="194">
        <v>7</v>
      </c>
      <c r="H150" s="195">
        <v>0</v>
      </c>
      <c r="I150" s="195">
        <v>0</v>
      </c>
      <c r="J150" s="195">
        <v>0</v>
      </c>
      <c r="K150" s="194">
        <v>0</v>
      </c>
      <c r="L150" s="194">
        <f t="shared" si="28"/>
        <v>7</v>
      </c>
      <c r="M150" s="194">
        <v>7</v>
      </c>
      <c r="N150" s="194">
        <v>0</v>
      </c>
      <c r="O150" s="194">
        <v>0</v>
      </c>
      <c r="P150" s="194">
        <f t="shared" si="29"/>
        <v>7</v>
      </c>
      <c r="Q150" s="194">
        <f t="shared" si="30"/>
        <v>0</v>
      </c>
      <c r="R150" s="194"/>
      <c r="S150" s="196"/>
      <c r="T150" s="197">
        <f t="shared" si="31"/>
        <v>1065.75</v>
      </c>
      <c r="U150" s="197">
        <v>0</v>
      </c>
      <c r="V150" s="197">
        <f t="shared" si="32"/>
        <v>0</v>
      </c>
      <c r="W150" s="197">
        <f t="shared" si="33"/>
        <v>0</v>
      </c>
      <c r="X150" s="197">
        <f t="shared" si="34"/>
        <v>0</v>
      </c>
      <c r="Y150" s="197">
        <f t="shared" si="35"/>
        <v>0</v>
      </c>
      <c r="Z150" s="197">
        <f t="shared" si="36"/>
        <v>1065.75</v>
      </c>
      <c r="AA150" s="198">
        <f t="shared" si="26"/>
        <v>1065.75</v>
      </c>
      <c r="AB150" s="198">
        <f t="shared" si="37"/>
        <v>0</v>
      </c>
      <c r="AC150" s="199"/>
    </row>
    <row r="151" spans="1:29" ht="24">
      <c r="A151" s="69" t="s">
        <v>294</v>
      </c>
      <c r="B151" s="70" t="s">
        <v>295</v>
      </c>
      <c r="C151" s="69"/>
      <c r="D151" s="70" t="s">
        <v>295</v>
      </c>
      <c r="E151" s="71">
        <v>0</v>
      </c>
      <c r="F151" s="71">
        <v>0</v>
      </c>
      <c r="G151" s="72">
        <v>0</v>
      </c>
      <c r="H151" s="73">
        <v>0</v>
      </c>
      <c r="I151" s="73">
        <v>0</v>
      </c>
      <c r="J151" s="73">
        <v>0</v>
      </c>
      <c r="K151" s="72">
        <v>0</v>
      </c>
      <c r="L151" s="72">
        <f t="shared" si="28"/>
        <v>0</v>
      </c>
      <c r="M151" s="72">
        <v>0</v>
      </c>
      <c r="N151" s="72">
        <v>0</v>
      </c>
      <c r="O151" s="72">
        <v>0</v>
      </c>
      <c r="P151" s="72">
        <f t="shared" si="29"/>
        <v>0</v>
      </c>
      <c r="Q151" s="72">
        <f t="shared" si="30"/>
        <v>0</v>
      </c>
      <c r="R151" s="72"/>
      <c r="S151" s="56"/>
      <c r="T151" s="74">
        <f t="shared" si="31"/>
        <v>0</v>
      </c>
      <c r="U151" s="74">
        <v>0</v>
      </c>
      <c r="V151" s="74">
        <f t="shared" si="32"/>
        <v>0</v>
      </c>
      <c r="W151" s="74">
        <f t="shared" si="33"/>
        <v>0</v>
      </c>
      <c r="X151" s="74">
        <f t="shared" si="34"/>
        <v>0</v>
      </c>
      <c r="Y151" s="74">
        <f t="shared" si="35"/>
        <v>0</v>
      </c>
      <c r="Z151" s="74">
        <f t="shared" si="36"/>
        <v>0</v>
      </c>
      <c r="AA151" s="75">
        <f t="shared" si="26"/>
        <v>0</v>
      </c>
      <c r="AB151" s="75">
        <f t="shared" si="37"/>
        <v>0</v>
      </c>
    </row>
    <row r="152" spans="1:29" ht="24">
      <c r="A152" s="69" t="s">
        <v>296</v>
      </c>
      <c r="B152" s="70" t="s">
        <v>297</v>
      </c>
      <c r="C152" s="69"/>
      <c r="D152" s="70" t="s">
        <v>297</v>
      </c>
      <c r="E152" s="71">
        <v>220.17</v>
      </c>
      <c r="F152" s="71">
        <v>220.17</v>
      </c>
      <c r="G152" s="72">
        <v>3</v>
      </c>
      <c r="H152" s="73">
        <v>0</v>
      </c>
      <c r="I152" s="73">
        <v>0</v>
      </c>
      <c r="J152" s="73">
        <v>0</v>
      </c>
      <c r="K152" s="72">
        <v>0</v>
      </c>
      <c r="L152" s="72">
        <f t="shared" si="28"/>
        <v>3</v>
      </c>
      <c r="M152" s="72">
        <v>3</v>
      </c>
      <c r="N152" s="72">
        <v>0</v>
      </c>
      <c r="O152" s="72">
        <v>0</v>
      </c>
      <c r="P152" s="72">
        <f t="shared" si="29"/>
        <v>3</v>
      </c>
      <c r="Q152" s="72">
        <f t="shared" si="30"/>
        <v>0</v>
      </c>
      <c r="R152" s="72"/>
      <c r="S152" s="56"/>
      <c r="T152" s="74">
        <f t="shared" si="31"/>
        <v>660.51</v>
      </c>
      <c r="U152" s="74">
        <v>0</v>
      </c>
      <c r="V152" s="74">
        <f t="shared" si="32"/>
        <v>0</v>
      </c>
      <c r="W152" s="74">
        <f t="shared" si="33"/>
        <v>0</v>
      </c>
      <c r="X152" s="74">
        <f t="shared" si="34"/>
        <v>0</v>
      </c>
      <c r="Y152" s="74">
        <f t="shared" si="35"/>
        <v>0</v>
      </c>
      <c r="Z152" s="74">
        <f t="shared" si="36"/>
        <v>660.51</v>
      </c>
      <c r="AA152" s="75">
        <f t="shared" si="26"/>
        <v>660.51</v>
      </c>
      <c r="AB152" s="75">
        <f t="shared" si="37"/>
        <v>0</v>
      </c>
    </row>
    <row r="153" spans="1:29" ht="24">
      <c r="A153" s="69" t="s">
        <v>298</v>
      </c>
      <c r="B153" s="70" t="s">
        <v>299</v>
      </c>
      <c r="C153" s="69"/>
      <c r="D153" s="70" t="s">
        <v>299</v>
      </c>
      <c r="E153" s="71">
        <v>50</v>
      </c>
      <c r="F153" s="71">
        <v>50</v>
      </c>
      <c r="G153" s="72">
        <v>0</v>
      </c>
      <c r="H153" s="73">
        <v>0</v>
      </c>
      <c r="I153" s="73">
        <v>0</v>
      </c>
      <c r="J153" s="73">
        <v>0</v>
      </c>
      <c r="K153" s="72">
        <v>0</v>
      </c>
      <c r="L153" s="72">
        <f t="shared" si="28"/>
        <v>0</v>
      </c>
      <c r="M153" s="72">
        <v>0</v>
      </c>
      <c r="N153" s="72">
        <v>0</v>
      </c>
      <c r="O153" s="72">
        <v>0</v>
      </c>
      <c r="P153" s="72">
        <f t="shared" si="29"/>
        <v>0</v>
      </c>
      <c r="Q153" s="72">
        <f t="shared" si="30"/>
        <v>0</v>
      </c>
      <c r="R153" s="72"/>
      <c r="S153" s="56"/>
      <c r="T153" s="74">
        <f t="shared" si="31"/>
        <v>0</v>
      </c>
      <c r="U153" s="74">
        <v>0</v>
      </c>
      <c r="V153" s="74">
        <f t="shared" si="32"/>
        <v>0</v>
      </c>
      <c r="W153" s="74">
        <f t="shared" si="33"/>
        <v>0</v>
      </c>
      <c r="X153" s="74">
        <f t="shared" si="34"/>
        <v>0</v>
      </c>
      <c r="Y153" s="74">
        <f t="shared" si="35"/>
        <v>0</v>
      </c>
      <c r="Z153" s="74">
        <f t="shared" si="36"/>
        <v>0</v>
      </c>
      <c r="AA153" s="75">
        <f t="shared" si="26"/>
        <v>0</v>
      </c>
      <c r="AB153" s="75">
        <f t="shared" si="37"/>
        <v>0</v>
      </c>
    </row>
    <row r="154" spans="1:29" ht="36">
      <c r="A154" s="69" t="s">
        <v>300</v>
      </c>
      <c r="B154" s="70" t="s">
        <v>812</v>
      </c>
      <c r="C154" s="69"/>
      <c r="D154" s="70" t="s">
        <v>812</v>
      </c>
      <c r="E154" s="71">
        <v>467.15</v>
      </c>
      <c r="F154" s="71">
        <v>467.15</v>
      </c>
      <c r="G154" s="72">
        <v>0</v>
      </c>
      <c r="H154" s="73">
        <v>0</v>
      </c>
      <c r="I154" s="73">
        <v>0</v>
      </c>
      <c r="J154" s="73">
        <v>0</v>
      </c>
      <c r="K154" s="72">
        <v>0</v>
      </c>
      <c r="L154" s="72">
        <f t="shared" si="28"/>
        <v>0</v>
      </c>
      <c r="M154" s="72">
        <v>0</v>
      </c>
      <c r="N154" s="72">
        <v>0</v>
      </c>
      <c r="O154" s="72">
        <v>0</v>
      </c>
      <c r="P154" s="72">
        <f t="shared" si="29"/>
        <v>0</v>
      </c>
      <c r="Q154" s="72">
        <f t="shared" si="30"/>
        <v>0</v>
      </c>
      <c r="R154" s="72"/>
      <c r="S154" s="56"/>
      <c r="T154" s="74">
        <f t="shared" si="31"/>
        <v>0</v>
      </c>
      <c r="U154" s="74">
        <v>0</v>
      </c>
      <c r="V154" s="74">
        <f t="shared" si="32"/>
        <v>0</v>
      </c>
      <c r="W154" s="74">
        <f t="shared" si="33"/>
        <v>0</v>
      </c>
      <c r="X154" s="74">
        <f t="shared" si="34"/>
        <v>0</v>
      </c>
      <c r="Y154" s="74">
        <f t="shared" si="35"/>
        <v>0</v>
      </c>
      <c r="Z154" s="74">
        <f t="shared" si="36"/>
        <v>0</v>
      </c>
      <c r="AA154" s="75">
        <f t="shared" si="26"/>
        <v>0</v>
      </c>
      <c r="AB154" s="75">
        <f t="shared" si="37"/>
        <v>0</v>
      </c>
    </row>
    <row r="155" spans="1:29" ht="24">
      <c r="A155" s="69" t="s">
        <v>302</v>
      </c>
      <c r="B155" s="140" t="s">
        <v>715</v>
      </c>
      <c r="C155" s="140"/>
      <c r="D155" s="70" t="s">
        <v>303</v>
      </c>
      <c r="E155" s="71">
        <v>680</v>
      </c>
      <c r="F155" s="71">
        <v>680</v>
      </c>
      <c r="G155" s="72">
        <v>1</v>
      </c>
      <c r="H155" s="73">
        <v>0</v>
      </c>
      <c r="I155" s="73">
        <v>0</v>
      </c>
      <c r="J155" s="73">
        <v>0</v>
      </c>
      <c r="K155" s="72">
        <v>0</v>
      </c>
      <c r="L155" s="72">
        <f t="shared" si="28"/>
        <v>1</v>
      </c>
      <c r="M155" s="72">
        <v>1</v>
      </c>
      <c r="N155" s="72">
        <v>0</v>
      </c>
      <c r="O155" s="72">
        <v>0</v>
      </c>
      <c r="P155" s="72">
        <f t="shared" si="29"/>
        <v>1</v>
      </c>
      <c r="Q155" s="72">
        <f t="shared" si="30"/>
        <v>0</v>
      </c>
      <c r="R155" s="72"/>
      <c r="S155" s="56"/>
      <c r="T155" s="74">
        <f t="shared" si="31"/>
        <v>680</v>
      </c>
      <c r="U155" s="74">
        <v>0</v>
      </c>
      <c r="V155" s="74">
        <f t="shared" si="32"/>
        <v>0</v>
      </c>
      <c r="W155" s="74">
        <f t="shared" si="33"/>
        <v>0</v>
      </c>
      <c r="X155" s="74">
        <f t="shared" si="34"/>
        <v>0</v>
      </c>
      <c r="Y155" s="74">
        <f t="shared" si="35"/>
        <v>0</v>
      </c>
      <c r="Z155" s="74">
        <f t="shared" si="36"/>
        <v>680</v>
      </c>
      <c r="AA155" s="75">
        <f t="shared" si="26"/>
        <v>680</v>
      </c>
      <c r="AB155" s="75">
        <f t="shared" si="37"/>
        <v>0</v>
      </c>
    </row>
    <row r="156" spans="1:29" ht="24">
      <c r="A156" s="69" t="s">
        <v>304</v>
      </c>
      <c r="B156" s="70" t="s">
        <v>305</v>
      </c>
      <c r="C156" s="69"/>
      <c r="D156" s="70" t="s">
        <v>305</v>
      </c>
      <c r="E156" s="71">
        <v>0</v>
      </c>
      <c r="F156" s="71">
        <v>0</v>
      </c>
      <c r="G156" s="72">
        <v>0</v>
      </c>
      <c r="H156" s="73">
        <v>0</v>
      </c>
      <c r="I156" s="73">
        <v>0</v>
      </c>
      <c r="J156" s="73">
        <v>0</v>
      </c>
      <c r="K156" s="72">
        <v>0</v>
      </c>
      <c r="L156" s="72">
        <f t="shared" si="28"/>
        <v>0</v>
      </c>
      <c r="M156" s="72">
        <v>0</v>
      </c>
      <c r="N156" s="72">
        <v>0</v>
      </c>
      <c r="O156" s="72">
        <v>0</v>
      </c>
      <c r="P156" s="72">
        <f t="shared" si="29"/>
        <v>0</v>
      </c>
      <c r="Q156" s="72">
        <f t="shared" si="30"/>
        <v>0</v>
      </c>
      <c r="R156" s="72"/>
      <c r="S156" s="56"/>
      <c r="T156" s="74">
        <f t="shared" si="31"/>
        <v>0</v>
      </c>
      <c r="U156" s="74">
        <v>0</v>
      </c>
      <c r="V156" s="74">
        <f t="shared" si="32"/>
        <v>0</v>
      </c>
      <c r="W156" s="74">
        <f t="shared" si="33"/>
        <v>0</v>
      </c>
      <c r="X156" s="74">
        <f t="shared" si="34"/>
        <v>0</v>
      </c>
      <c r="Y156" s="74">
        <f t="shared" si="35"/>
        <v>0</v>
      </c>
      <c r="Z156" s="74">
        <f t="shared" si="36"/>
        <v>0</v>
      </c>
      <c r="AA156" s="75">
        <f t="shared" si="26"/>
        <v>0</v>
      </c>
      <c r="AB156" s="75">
        <f t="shared" si="37"/>
        <v>0</v>
      </c>
    </row>
    <row r="157" spans="1:29" ht="36">
      <c r="A157" s="69" t="s">
        <v>306</v>
      </c>
      <c r="B157" s="70" t="s">
        <v>307</v>
      </c>
      <c r="C157" s="69"/>
      <c r="D157" s="70" t="s">
        <v>307</v>
      </c>
      <c r="E157" s="71">
        <v>1850</v>
      </c>
      <c r="F157" s="71">
        <v>1850</v>
      </c>
      <c r="G157" s="72">
        <v>0</v>
      </c>
      <c r="H157" s="73">
        <v>0</v>
      </c>
      <c r="I157" s="73">
        <v>0</v>
      </c>
      <c r="J157" s="73">
        <v>0</v>
      </c>
      <c r="K157" s="72">
        <v>0</v>
      </c>
      <c r="L157" s="72">
        <f t="shared" si="28"/>
        <v>0</v>
      </c>
      <c r="M157" s="72">
        <v>0</v>
      </c>
      <c r="N157" s="72">
        <v>0</v>
      </c>
      <c r="O157" s="72">
        <v>0</v>
      </c>
      <c r="P157" s="72">
        <f t="shared" si="29"/>
        <v>0</v>
      </c>
      <c r="Q157" s="72">
        <f t="shared" si="30"/>
        <v>0</v>
      </c>
      <c r="R157" s="72"/>
      <c r="S157" s="56"/>
      <c r="T157" s="74">
        <f t="shared" si="31"/>
        <v>0</v>
      </c>
      <c r="U157" s="74">
        <v>0</v>
      </c>
      <c r="V157" s="74">
        <f t="shared" si="32"/>
        <v>0</v>
      </c>
      <c r="W157" s="74">
        <f t="shared" si="33"/>
        <v>0</v>
      </c>
      <c r="X157" s="74">
        <f t="shared" si="34"/>
        <v>0</v>
      </c>
      <c r="Y157" s="74">
        <f t="shared" si="35"/>
        <v>0</v>
      </c>
      <c r="Z157" s="74">
        <f t="shared" si="36"/>
        <v>0</v>
      </c>
      <c r="AA157" s="75">
        <f t="shared" si="26"/>
        <v>0</v>
      </c>
      <c r="AB157" s="75">
        <f t="shared" si="37"/>
        <v>0</v>
      </c>
    </row>
    <row r="158" spans="1:29" ht="24">
      <c r="A158" s="69" t="s">
        <v>308</v>
      </c>
      <c r="B158" s="140" t="s">
        <v>309</v>
      </c>
      <c r="C158" s="140"/>
      <c r="D158" s="70" t="s">
        <v>813</v>
      </c>
      <c r="E158" s="71">
        <v>450</v>
      </c>
      <c r="F158" s="71">
        <v>450</v>
      </c>
      <c r="G158" s="72">
        <v>1</v>
      </c>
      <c r="H158" s="73">
        <v>0</v>
      </c>
      <c r="I158" s="73">
        <v>0</v>
      </c>
      <c r="J158" s="73">
        <v>0</v>
      </c>
      <c r="K158" s="72">
        <v>0</v>
      </c>
      <c r="L158" s="72">
        <f t="shared" si="28"/>
        <v>1</v>
      </c>
      <c r="M158" s="72">
        <v>1</v>
      </c>
      <c r="N158" s="72">
        <v>0</v>
      </c>
      <c r="O158" s="72">
        <v>0</v>
      </c>
      <c r="P158" s="72">
        <f t="shared" si="29"/>
        <v>1</v>
      </c>
      <c r="Q158" s="72">
        <f t="shared" si="30"/>
        <v>0</v>
      </c>
      <c r="R158" s="72"/>
      <c r="S158" s="56"/>
      <c r="T158" s="74">
        <f t="shared" si="31"/>
        <v>450</v>
      </c>
      <c r="U158" s="74">
        <v>0</v>
      </c>
      <c r="V158" s="74">
        <f t="shared" si="32"/>
        <v>0</v>
      </c>
      <c r="W158" s="74">
        <f t="shared" si="33"/>
        <v>0</v>
      </c>
      <c r="X158" s="74">
        <f t="shared" si="34"/>
        <v>0</v>
      </c>
      <c r="Y158" s="74">
        <f t="shared" si="35"/>
        <v>0</v>
      </c>
      <c r="Z158" s="74">
        <f t="shared" si="36"/>
        <v>450</v>
      </c>
      <c r="AA158" s="75">
        <f t="shared" si="26"/>
        <v>450</v>
      </c>
      <c r="AB158" s="75">
        <f t="shared" si="37"/>
        <v>0</v>
      </c>
    </row>
    <row r="159" spans="1:29" ht="36">
      <c r="A159" s="69" t="s">
        <v>310</v>
      </c>
      <c r="B159" s="70" t="s">
        <v>311</v>
      </c>
      <c r="C159" s="69"/>
      <c r="D159" s="70" t="s">
        <v>311</v>
      </c>
      <c r="E159" s="71">
        <v>62.64</v>
      </c>
      <c r="F159" s="71">
        <v>62.64</v>
      </c>
      <c r="G159" s="72">
        <v>0</v>
      </c>
      <c r="H159" s="73">
        <v>0</v>
      </c>
      <c r="I159" s="73">
        <v>0</v>
      </c>
      <c r="J159" s="73">
        <v>0</v>
      </c>
      <c r="K159" s="72">
        <v>0</v>
      </c>
      <c r="L159" s="72">
        <f t="shared" si="28"/>
        <v>0</v>
      </c>
      <c r="M159" s="72">
        <v>0</v>
      </c>
      <c r="N159" s="72">
        <v>0</v>
      </c>
      <c r="O159" s="72">
        <v>0</v>
      </c>
      <c r="P159" s="72">
        <f t="shared" si="29"/>
        <v>0</v>
      </c>
      <c r="Q159" s="72">
        <f t="shared" si="30"/>
        <v>0</v>
      </c>
      <c r="R159" s="72"/>
      <c r="S159" s="56"/>
      <c r="T159" s="74">
        <f t="shared" si="31"/>
        <v>0</v>
      </c>
      <c r="U159" s="74">
        <v>0</v>
      </c>
      <c r="V159" s="74">
        <f t="shared" si="32"/>
        <v>0</v>
      </c>
      <c r="W159" s="74">
        <f t="shared" si="33"/>
        <v>0</v>
      </c>
      <c r="X159" s="74">
        <f t="shared" si="34"/>
        <v>0</v>
      </c>
      <c r="Y159" s="74">
        <f t="shared" si="35"/>
        <v>0</v>
      </c>
      <c r="Z159" s="74">
        <f t="shared" si="36"/>
        <v>0</v>
      </c>
      <c r="AA159" s="75">
        <f t="shared" si="26"/>
        <v>0</v>
      </c>
      <c r="AB159" s="75">
        <f t="shared" si="37"/>
        <v>0</v>
      </c>
    </row>
    <row r="160" spans="1:29" ht="24">
      <c r="A160" s="69" t="s">
        <v>312</v>
      </c>
      <c r="B160" s="70" t="s">
        <v>313</v>
      </c>
      <c r="C160" s="69"/>
      <c r="D160" s="70" t="s">
        <v>313</v>
      </c>
      <c r="E160" s="71">
        <v>420.5</v>
      </c>
      <c r="F160" s="71">
        <v>420.5</v>
      </c>
      <c r="G160" s="72">
        <v>5</v>
      </c>
      <c r="H160" s="73">
        <v>0</v>
      </c>
      <c r="I160" s="73">
        <v>0</v>
      </c>
      <c r="J160" s="73">
        <v>0</v>
      </c>
      <c r="K160" s="72">
        <v>0</v>
      </c>
      <c r="L160" s="72">
        <f t="shared" si="28"/>
        <v>5</v>
      </c>
      <c r="M160" s="72">
        <v>5</v>
      </c>
      <c r="N160" s="72">
        <v>0</v>
      </c>
      <c r="O160" s="72">
        <v>0</v>
      </c>
      <c r="P160" s="72">
        <f t="shared" si="29"/>
        <v>5</v>
      </c>
      <c r="Q160" s="72">
        <f t="shared" si="30"/>
        <v>0</v>
      </c>
      <c r="R160" s="72"/>
      <c r="S160" s="56"/>
      <c r="T160" s="74">
        <f t="shared" si="31"/>
        <v>2102.5</v>
      </c>
      <c r="U160" s="74">
        <v>0</v>
      </c>
      <c r="V160" s="74">
        <f t="shared" si="32"/>
        <v>0</v>
      </c>
      <c r="W160" s="74">
        <f t="shared" si="33"/>
        <v>0</v>
      </c>
      <c r="X160" s="74">
        <f t="shared" si="34"/>
        <v>0</v>
      </c>
      <c r="Y160" s="74">
        <f t="shared" si="35"/>
        <v>0</v>
      </c>
      <c r="Z160" s="74">
        <f t="shared" si="36"/>
        <v>2102.5</v>
      </c>
      <c r="AA160" s="75">
        <f t="shared" si="26"/>
        <v>2102.5</v>
      </c>
      <c r="AB160" s="75">
        <f t="shared" si="37"/>
        <v>0</v>
      </c>
    </row>
    <row r="161" spans="1:29" ht="36">
      <c r="A161" s="69" t="s">
        <v>314</v>
      </c>
      <c r="B161" s="70" t="s">
        <v>315</v>
      </c>
      <c r="C161" s="69"/>
      <c r="D161" s="70" t="s">
        <v>315</v>
      </c>
      <c r="E161" s="71">
        <v>290</v>
      </c>
      <c r="F161" s="71">
        <v>290</v>
      </c>
      <c r="G161" s="72">
        <v>2</v>
      </c>
      <c r="H161" s="73">
        <v>0</v>
      </c>
      <c r="I161" s="73">
        <v>0</v>
      </c>
      <c r="J161" s="73">
        <v>1</v>
      </c>
      <c r="K161" s="72">
        <v>0</v>
      </c>
      <c r="L161" s="72">
        <f t="shared" si="28"/>
        <v>1</v>
      </c>
      <c r="M161" s="72">
        <v>1</v>
      </c>
      <c r="N161" s="72">
        <v>0</v>
      </c>
      <c r="O161" s="72">
        <v>0</v>
      </c>
      <c r="P161" s="72">
        <f t="shared" si="29"/>
        <v>1</v>
      </c>
      <c r="Q161" s="72">
        <f t="shared" si="30"/>
        <v>0</v>
      </c>
      <c r="R161" s="72"/>
      <c r="S161" s="56"/>
      <c r="T161" s="74">
        <f t="shared" si="31"/>
        <v>580</v>
      </c>
      <c r="U161" s="74">
        <v>0</v>
      </c>
      <c r="V161" s="74">
        <f t="shared" si="32"/>
        <v>0</v>
      </c>
      <c r="W161" s="74">
        <f t="shared" si="33"/>
        <v>0</v>
      </c>
      <c r="X161" s="74">
        <f t="shared" si="34"/>
        <v>290</v>
      </c>
      <c r="Y161" s="74">
        <f t="shared" si="35"/>
        <v>0</v>
      </c>
      <c r="Z161" s="74">
        <f t="shared" si="36"/>
        <v>290</v>
      </c>
      <c r="AA161" s="75">
        <f t="shared" si="26"/>
        <v>290</v>
      </c>
      <c r="AB161" s="75">
        <f t="shared" si="37"/>
        <v>0</v>
      </c>
    </row>
    <row r="162" spans="1:29" ht="24">
      <c r="A162" s="69" t="s">
        <v>316</v>
      </c>
      <c r="B162" s="70" t="s">
        <v>317</v>
      </c>
      <c r="C162" s="69"/>
      <c r="D162" s="70" t="s">
        <v>317</v>
      </c>
      <c r="E162" s="71">
        <v>443</v>
      </c>
      <c r="F162" s="71">
        <v>443</v>
      </c>
      <c r="G162" s="72">
        <v>4</v>
      </c>
      <c r="H162" s="73">
        <v>0</v>
      </c>
      <c r="I162" s="73">
        <v>0</v>
      </c>
      <c r="J162" s="73">
        <v>0</v>
      </c>
      <c r="K162" s="72">
        <v>0</v>
      </c>
      <c r="L162" s="72">
        <f t="shared" si="28"/>
        <v>4</v>
      </c>
      <c r="M162" s="72">
        <v>4</v>
      </c>
      <c r="N162" s="72">
        <v>0</v>
      </c>
      <c r="O162" s="72">
        <v>0</v>
      </c>
      <c r="P162" s="72">
        <f t="shared" si="29"/>
        <v>4</v>
      </c>
      <c r="Q162" s="72">
        <f t="shared" si="30"/>
        <v>0</v>
      </c>
      <c r="R162" s="72"/>
      <c r="S162" s="56"/>
      <c r="T162" s="74">
        <f t="shared" si="31"/>
        <v>1772</v>
      </c>
      <c r="U162" s="74">
        <v>0</v>
      </c>
      <c r="V162" s="74">
        <f t="shared" si="32"/>
        <v>0</v>
      </c>
      <c r="W162" s="74">
        <f t="shared" si="33"/>
        <v>0</v>
      </c>
      <c r="X162" s="74">
        <f t="shared" si="34"/>
        <v>0</v>
      </c>
      <c r="Y162" s="74">
        <f t="shared" si="35"/>
        <v>0</v>
      </c>
      <c r="Z162" s="74">
        <f t="shared" si="36"/>
        <v>1772</v>
      </c>
      <c r="AA162" s="75">
        <f t="shared" si="26"/>
        <v>1772</v>
      </c>
      <c r="AB162" s="75">
        <f t="shared" si="37"/>
        <v>0</v>
      </c>
    </row>
    <row r="163" spans="1:29" ht="48">
      <c r="A163" s="69" t="s">
        <v>318</v>
      </c>
      <c r="B163" s="70" t="s">
        <v>319</v>
      </c>
      <c r="C163" s="69"/>
      <c r="D163" s="70" t="s">
        <v>319</v>
      </c>
      <c r="E163" s="71">
        <v>319</v>
      </c>
      <c r="F163" s="71">
        <v>319</v>
      </c>
      <c r="G163" s="72">
        <v>3</v>
      </c>
      <c r="H163" s="73">
        <v>0</v>
      </c>
      <c r="I163" s="73">
        <v>0</v>
      </c>
      <c r="J163" s="73">
        <v>0</v>
      </c>
      <c r="K163" s="72">
        <v>0</v>
      </c>
      <c r="L163" s="72">
        <f t="shared" si="28"/>
        <v>3</v>
      </c>
      <c r="M163" s="72">
        <v>3</v>
      </c>
      <c r="N163" s="72">
        <v>0</v>
      </c>
      <c r="O163" s="72">
        <v>0</v>
      </c>
      <c r="P163" s="72">
        <f t="shared" si="29"/>
        <v>3</v>
      </c>
      <c r="Q163" s="72">
        <f t="shared" si="30"/>
        <v>0</v>
      </c>
      <c r="R163" s="72"/>
      <c r="S163" s="56"/>
      <c r="T163" s="74">
        <f t="shared" si="31"/>
        <v>957</v>
      </c>
      <c r="U163" s="74">
        <v>0</v>
      </c>
      <c r="V163" s="74">
        <f t="shared" si="32"/>
        <v>0</v>
      </c>
      <c r="W163" s="74">
        <f t="shared" si="33"/>
        <v>0</v>
      </c>
      <c r="X163" s="74">
        <f t="shared" si="34"/>
        <v>0</v>
      </c>
      <c r="Y163" s="74">
        <f t="shared" si="35"/>
        <v>0</v>
      </c>
      <c r="Z163" s="74">
        <f t="shared" si="36"/>
        <v>957</v>
      </c>
      <c r="AA163" s="75">
        <f t="shared" si="26"/>
        <v>957</v>
      </c>
      <c r="AB163" s="75">
        <f t="shared" si="37"/>
        <v>0</v>
      </c>
    </row>
    <row r="164" spans="1:29" ht="36">
      <c r="A164" s="69" t="s">
        <v>320</v>
      </c>
      <c r="B164" s="70" t="s">
        <v>321</v>
      </c>
      <c r="C164" s="69"/>
      <c r="D164" s="70" t="s">
        <v>321</v>
      </c>
      <c r="E164" s="71">
        <v>2.35</v>
      </c>
      <c r="F164" s="71">
        <v>2.35</v>
      </c>
      <c r="G164" s="72">
        <v>0</v>
      </c>
      <c r="H164" s="73">
        <v>0</v>
      </c>
      <c r="I164" s="73">
        <v>0</v>
      </c>
      <c r="J164" s="73">
        <v>0</v>
      </c>
      <c r="K164" s="72">
        <v>0</v>
      </c>
      <c r="L164" s="72">
        <f t="shared" si="28"/>
        <v>0</v>
      </c>
      <c r="M164" s="72">
        <v>0</v>
      </c>
      <c r="N164" s="72">
        <v>0</v>
      </c>
      <c r="O164" s="72">
        <v>0</v>
      </c>
      <c r="P164" s="72">
        <f t="shared" si="29"/>
        <v>0</v>
      </c>
      <c r="Q164" s="72">
        <f t="shared" si="30"/>
        <v>0</v>
      </c>
      <c r="R164" s="72"/>
      <c r="S164" s="56"/>
      <c r="T164" s="74">
        <f t="shared" si="31"/>
        <v>0</v>
      </c>
      <c r="U164" s="74">
        <v>0</v>
      </c>
      <c r="V164" s="74">
        <f t="shared" si="32"/>
        <v>0</v>
      </c>
      <c r="W164" s="74">
        <f t="shared" si="33"/>
        <v>0</v>
      </c>
      <c r="X164" s="74">
        <f t="shared" si="34"/>
        <v>0</v>
      </c>
      <c r="Y164" s="74">
        <f t="shared" si="35"/>
        <v>0</v>
      </c>
      <c r="Z164" s="74">
        <f t="shared" si="36"/>
        <v>0</v>
      </c>
      <c r="AA164" s="75">
        <f t="shared" si="26"/>
        <v>0</v>
      </c>
      <c r="AB164" s="75">
        <f t="shared" si="37"/>
        <v>0</v>
      </c>
    </row>
    <row r="165" spans="1:29" ht="24">
      <c r="A165" s="69" t="s">
        <v>322</v>
      </c>
      <c r="B165" s="70" t="s">
        <v>323</v>
      </c>
      <c r="C165" s="69"/>
      <c r="D165" s="70" t="s">
        <v>323</v>
      </c>
      <c r="E165" s="71">
        <v>275.5</v>
      </c>
      <c r="F165" s="71">
        <v>275.5</v>
      </c>
      <c r="G165" s="72">
        <v>2</v>
      </c>
      <c r="H165" s="73">
        <v>0</v>
      </c>
      <c r="I165" s="73">
        <v>0</v>
      </c>
      <c r="J165" s="73">
        <v>1</v>
      </c>
      <c r="K165" s="72">
        <v>0</v>
      </c>
      <c r="L165" s="72">
        <f t="shared" si="28"/>
        <v>1</v>
      </c>
      <c r="M165" s="72">
        <v>1</v>
      </c>
      <c r="N165" s="72">
        <v>0</v>
      </c>
      <c r="O165" s="72">
        <v>0</v>
      </c>
      <c r="P165" s="72">
        <f t="shared" si="29"/>
        <v>1</v>
      </c>
      <c r="Q165" s="72">
        <f t="shared" si="30"/>
        <v>0</v>
      </c>
      <c r="R165" s="72"/>
      <c r="S165" s="56"/>
      <c r="T165" s="74">
        <f t="shared" si="31"/>
        <v>551</v>
      </c>
      <c r="U165" s="74">
        <v>0</v>
      </c>
      <c r="V165" s="74">
        <f t="shared" si="32"/>
        <v>0</v>
      </c>
      <c r="W165" s="74">
        <f t="shared" si="33"/>
        <v>0</v>
      </c>
      <c r="X165" s="74">
        <f t="shared" si="34"/>
        <v>275.5</v>
      </c>
      <c r="Y165" s="74">
        <f t="shared" si="35"/>
        <v>0</v>
      </c>
      <c r="Z165" s="74">
        <f t="shared" si="36"/>
        <v>275.5</v>
      </c>
      <c r="AA165" s="75">
        <f t="shared" si="26"/>
        <v>275.5</v>
      </c>
      <c r="AB165" s="75">
        <f t="shared" si="37"/>
        <v>0</v>
      </c>
    </row>
    <row r="166" spans="1:29" ht="24">
      <c r="A166" s="69" t="s">
        <v>324</v>
      </c>
      <c r="B166" s="69" t="s">
        <v>814</v>
      </c>
      <c r="C166" s="69"/>
      <c r="D166" s="70" t="s">
        <v>325</v>
      </c>
      <c r="E166" s="71">
        <v>418.76</v>
      </c>
      <c r="F166" s="71">
        <v>418.76</v>
      </c>
      <c r="G166" s="72">
        <v>5</v>
      </c>
      <c r="H166" s="73">
        <v>0</v>
      </c>
      <c r="I166" s="73">
        <v>0</v>
      </c>
      <c r="J166" s="73">
        <v>0</v>
      </c>
      <c r="K166" s="72">
        <v>0</v>
      </c>
      <c r="L166" s="72">
        <f t="shared" si="28"/>
        <v>5</v>
      </c>
      <c r="M166" s="72">
        <v>5</v>
      </c>
      <c r="N166" s="72">
        <v>0</v>
      </c>
      <c r="O166" s="72">
        <v>0</v>
      </c>
      <c r="P166" s="72">
        <f t="shared" si="29"/>
        <v>5</v>
      </c>
      <c r="Q166" s="72">
        <f t="shared" si="30"/>
        <v>0</v>
      </c>
      <c r="R166" s="72"/>
      <c r="S166" s="56"/>
      <c r="T166" s="74">
        <f t="shared" si="31"/>
        <v>2093.8000000000002</v>
      </c>
      <c r="U166" s="74">
        <v>0</v>
      </c>
      <c r="V166" s="74">
        <f t="shared" si="32"/>
        <v>0</v>
      </c>
      <c r="W166" s="74">
        <f t="shared" si="33"/>
        <v>0</v>
      </c>
      <c r="X166" s="74">
        <f t="shared" si="34"/>
        <v>0</v>
      </c>
      <c r="Y166" s="74">
        <f t="shared" si="35"/>
        <v>0</v>
      </c>
      <c r="Z166" s="74">
        <f t="shared" si="36"/>
        <v>2093.8000000000002</v>
      </c>
      <c r="AA166" s="75">
        <f t="shared" si="26"/>
        <v>2093.8000000000002</v>
      </c>
      <c r="AB166" s="75">
        <f t="shared" si="37"/>
        <v>0</v>
      </c>
      <c r="AC166" s="153" t="s">
        <v>785</v>
      </c>
    </row>
    <row r="167" spans="1:29" ht="48">
      <c r="A167" s="69" t="s">
        <v>326</v>
      </c>
      <c r="B167" s="70" t="s">
        <v>327</v>
      </c>
      <c r="C167" s="69"/>
      <c r="D167" s="70" t="s">
        <v>327</v>
      </c>
      <c r="E167" s="71">
        <v>1082</v>
      </c>
      <c r="F167" s="71">
        <v>1082</v>
      </c>
      <c r="G167" s="72">
        <v>3</v>
      </c>
      <c r="H167" s="73">
        <v>0</v>
      </c>
      <c r="I167" s="73">
        <v>0</v>
      </c>
      <c r="J167" s="73">
        <v>0</v>
      </c>
      <c r="K167" s="72">
        <v>0</v>
      </c>
      <c r="L167" s="72">
        <f t="shared" si="28"/>
        <v>3</v>
      </c>
      <c r="M167" s="72">
        <v>3</v>
      </c>
      <c r="N167" s="72">
        <v>0</v>
      </c>
      <c r="O167" s="72">
        <v>0</v>
      </c>
      <c r="P167" s="72">
        <f t="shared" si="29"/>
        <v>3</v>
      </c>
      <c r="Q167" s="72">
        <f t="shared" si="30"/>
        <v>0</v>
      </c>
      <c r="R167" s="72"/>
      <c r="S167" s="56"/>
      <c r="T167" s="74">
        <f t="shared" si="31"/>
        <v>3246</v>
      </c>
      <c r="U167" s="74">
        <v>0</v>
      </c>
      <c r="V167" s="74">
        <f t="shared" si="32"/>
        <v>0</v>
      </c>
      <c r="W167" s="74">
        <f t="shared" si="33"/>
        <v>0</v>
      </c>
      <c r="X167" s="74">
        <f t="shared" si="34"/>
        <v>0</v>
      </c>
      <c r="Y167" s="74">
        <f t="shared" si="35"/>
        <v>0</v>
      </c>
      <c r="Z167" s="74">
        <f t="shared" si="36"/>
        <v>3246</v>
      </c>
      <c r="AA167" s="75">
        <f t="shared" si="26"/>
        <v>3246</v>
      </c>
      <c r="AB167" s="75">
        <f t="shared" si="37"/>
        <v>0</v>
      </c>
    </row>
    <row r="168" spans="1:29" ht="24">
      <c r="A168" s="69" t="s">
        <v>328</v>
      </c>
      <c r="B168" s="70" t="s">
        <v>329</v>
      </c>
      <c r="C168" s="69"/>
      <c r="D168" s="70" t="s">
        <v>329</v>
      </c>
      <c r="E168" s="71">
        <v>311.75</v>
      </c>
      <c r="F168" s="71">
        <v>311.75</v>
      </c>
      <c r="G168" s="72">
        <v>3</v>
      </c>
      <c r="H168" s="73">
        <v>0</v>
      </c>
      <c r="I168" s="73">
        <v>0</v>
      </c>
      <c r="J168" s="73">
        <v>0</v>
      </c>
      <c r="K168" s="72">
        <v>0</v>
      </c>
      <c r="L168" s="72">
        <f t="shared" si="28"/>
        <v>3</v>
      </c>
      <c r="M168" s="72">
        <v>3</v>
      </c>
      <c r="N168" s="72">
        <v>0</v>
      </c>
      <c r="O168" s="72">
        <v>0</v>
      </c>
      <c r="P168" s="72">
        <f t="shared" si="29"/>
        <v>3</v>
      </c>
      <c r="Q168" s="72">
        <f t="shared" si="30"/>
        <v>0</v>
      </c>
      <c r="R168" s="72"/>
      <c r="S168" s="56"/>
      <c r="T168" s="74">
        <f t="shared" si="31"/>
        <v>935.25</v>
      </c>
      <c r="U168" s="74">
        <v>0</v>
      </c>
      <c r="V168" s="74">
        <f t="shared" si="32"/>
        <v>0</v>
      </c>
      <c r="W168" s="74">
        <f t="shared" si="33"/>
        <v>0</v>
      </c>
      <c r="X168" s="74">
        <f t="shared" si="34"/>
        <v>0</v>
      </c>
      <c r="Y168" s="74">
        <f t="shared" si="35"/>
        <v>0</v>
      </c>
      <c r="Z168" s="74">
        <f t="shared" si="36"/>
        <v>935.25</v>
      </c>
      <c r="AA168" s="75">
        <f t="shared" si="26"/>
        <v>935.25</v>
      </c>
      <c r="AB168" s="75">
        <f t="shared" si="37"/>
        <v>0</v>
      </c>
    </row>
    <row r="169" spans="1:29" ht="48">
      <c r="A169" s="69" t="s">
        <v>330</v>
      </c>
      <c r="B169" s="70" t="s">
        <v>331</v>
      </c>
      <c r="C169" s="69"/>
      <c r="D169" s="70" t="s">
        <v>331</v>
      </c>
      <c r="E169" s="71">
        <v>662.01</v>
      </c>
      <c r="F169" s="71">
        <v>662.01</v>
      </c>
      <c r="G169" s="72">
        <v>3</v>
      </c>
      <c r="H169" s="73">
        <v>0</v>
      </c>
      <c r="I169" s="73">
        <v>0</v>
      </c>
      <c r="J169" s="73">
        <v>0</v>
      </c>
      <c r="K169" s="72">
        <v>0</v>
      </c>
      <c r="L169" s="72">
        <f t="shared" si="28"/>
        <v>3</v>
      </c>
      <c r="M169" s="72">
        <v>3</v>
      </c>
      <c r="N169" s="72">
        <v>0</v>
      </c>
      <c r="O169" s="72">
        <v>0</v>
      </c>
      <c r="P169" s="72">
        <f t="shared" si="29"/>
        <v>3</v>
      </c>
      <c r="Q169" s="72">
        <f t="shared" si="30"/>
        <v>0</v>
      </c>
      <c r="R169" s="72"/>
      <c r="S169" s="56"/>
      <c r="T169" s="74">
        <f t="shared" si="31"/>
        <v>1986.03</v>
      </c>
      <c r="U169" s="74">
        <v>0</v>
      </c>
      <c r="V169" s="74">
        <f t="shared" si="32"/>
        <v>0</v>
      </c>
      <c r="W169" s="74">
        <f t="shared" si="33"/>
        <v>0</v>
      </c>
      <c r="X169" s="74">
        <f t="shared" si="34"/>
        <v>0</v>
      </c>
      <c r="Y169" s="74">
        <f t="shared" si="35"/>
        <v>0</v>
      </c>
      <c r="Z169" s="74">
        <f t="shared" si="36"/>
        <v>1986.03</v>
      </c>
      <c r="AA169" s="75">
        <f t="shared" si="26"/>
        <v>1986.03</v>
      </c>
      <c r="AB169" s="75">
        <f t="shared" si="37"/>
        <v>0</v>
      </c>
    </row>
    <row r="170" spans="1:29" ht="48">
      <c r="A170" s="69" t="s">
        <v>332</v>
      </c>
      <c r="B170" s="70" t="s">
        <v>333</v>
      </c>
      <c r="C170" s="69"/>
      <c r="D170" s="70" t="s">
        <v>333</v>
      </c>
      <c r="E170" s="71">
        <v>383.5</v>
      </c>
      <c r="F170" s="71">
        <v>383.5</v>
      </c>
      <c r="G170" s="72">
        <v>0</v>
      </c>
      <c r="H170" s="73">
        <v>0</v>
      </c>
      <c r="I170" s="73">
        <v>0</v>
      </c>
      <c r="J170" s="73">
        <v>0</v>
      </c>
      <c r="K170" s="72">
        <v>0</v>
      </c>
      <c r="L170" s="72">
        <f t="shared" si="28"/>
        <v>0</v>
      </c>
      <c r="M170" s="72">
        <v>0</v>
      </c>
      <c r="N170" s="72">
        <v>0</v>
      </c>
      <c r="O170" s="72">
        <v>0</v>
      </c>
      <c r="P170" s="72">
        <f t="shared" si="29"/>
        <v>0</v>
      </c>
      <c r="Q170" s="72">
        <f t="shared" si="30"/>
        <v>0</v>
      </c>
      <c r="R170" s="72"/>
      <c r="S170" s="56"/>
      <c r="T170" s="74">
        <f t="shared" si="31"/>
        <v>0</v>
      </c>
      <c r="U170" s="74">
        <v>0</v>
      </c>
      <c r="V170" s="74">
        <f t="shared" si="32"/>
        <v>0</v>
      </c>
      <c r="W170" s="74">
        <f t="shared" si="33"/>
        <v>0</v>
      </c>
      <c r="X170" s="74">
        <f t="shared" si="34"/>
        <v>0</v>
      </c>
      <c r="Y170" s="74">
        <f t="shared" si="35"/>
        <v>0</v>
      </c>
      <c r="Z170" s="74">
        <f t="shared" si="36"/>
        <v>0</v>
      </c>
      <c r="AA170" s="75">
        <f t="shared" si="26"/>
        <v>0</v>
      </c>
      <c r="AB170" s="75">
        <f t="shared" si="37"/>
        <v>0</v>
      </c>
    </row>
    <row r="171" spans="1:29" ht="48">
      <c r="A171" s="69" t="s">
        <v>334</v>
      </c>
      <c r="B171" s="70" t="s">
        <v>335</v>
      </c>
      <c r="C171" s="69"/>
      <c r="D171" s="70" t="s">
        <v>335</v>
      </c>
      <c r="E171" s="71">
        <v>43.1</v>
      </c>
      <c r="F171" s="71">
        <v>43.1</v>
      </c>
      <c r="G171" s="72">
        <v>1</v>
      </c>
      <c r="H171" s="73">
        <v>0</v>
      </c>
      <c r="I171" s="73">
        <v>0</v>
      </c>
      <c r="J171" s="73">
        <v>0</v>
      </c>
      <c r="K171" s="72">
        <v>0</v>
      </c>
      <c r="L171" s="72">
        <f t="shared" si="28"/>
        <v>1</v>
      </c>
      <c r="M171" s="72">
        <v>1</v>
      </c>
      <c r="N171" s="72">
        <v>0</v>
      </c>
      <c r="O171" s="72">
        <v>0</v>
      </c>
      <c r="P171" s="72">
        <f t="shared" si="29"/>
        <v>1</v>
      </c>
      <c r="Q171" s="72">
        <f t="shared" si="30"/>
        <v>0</v>
      </c>
      <c r="R171" s="72"/>
      <c r="S171" s="56"/>
      <c r="T171" s="74">
        <f t="shared" si="31"/>
        <v>43.1</v>
      </c>
      <c r="U171" s="74">
        <v>0</v>
      </c>
      <c r="V171" s="74">
        <f t="shared" si="32"/>
        <v>0</v>
      </c>
      <c r="W171" s="74">
        <f t="shared" si="33"/>
        <v>0</v>
      </c>
      <c r="X171" s="74">
        <f t="shared" si="34"/>
        <v>0</v>
      </c>
      <c r="Y171" s="74">
        <f t="shared" si="35"/>
        <v>0</v>
      </c>
      <c r="Z171" s="74">
        <f t="shared" si="36"/>
        <v>43.1</v>
      </c>
      <c r="AA171" s="75">
        <f t="shared" si="26"/>
        <v>43.1</v>
      </c>
      <c r="AB171" s="75">
        <f t="shared" si="37"/>
        <v>0</v>
      </c>
    </row>
    <row r="172" spans="1:29" ht="48">
      <c r="A172" s="69" t="s">
        <v>336</v>
      </c>
      <c r="B172" s="70" t="s">
        <v>337</v>
      </c>
      <c r="C172" s="69"/>
      <c r="D172" s="70" t="s">
        <v>337</v>
      </c>
      <c r="E172" s="71">
        <v>41.38</v>
      </c>
      <c r="F172" s="71">
        <v>41.38</v>
      </c>
      <c r="G172" s="72">
        <v>1</v>
      </c>
      <c r="H172" s="73">
        <v>0</v>
      </c>
      <c r="I172" s="73">
        <v>0</v>
      </c>
      <c r="J172" s="73">
        <v>0</v>
      </c>
      <c r="K172" s="72">
        <v>0</v>
      </c>
      <c r="L172" s="72">
        <f t="shared" si="28"/>
        <v>1</v>
      </c>
      <c r="M172" s="72">
        <v>1</v>
      </c>
      <c r="N172" s="72">
        <v>0</v>
      </c>
      <c r="O172" s="72">
        <v>0</v>
      </c>
      <c r="P172" s="72">
        <f t="shared" si="29"/>
        <v>1</v>
      </c>
      <c r="Q172" s="72">
        <f t="shared" si="30"/>
        <v>0</v>
      </c>
      <c r="R172" s="72"/>
      <c r="S172" s="56"/>
      <c r="T172" s="74">
        <f t="shared" si="31"/>
        <v>41.38</v>
      </c>
      <c r="U172" s="74">
        <v>0</v>
      </c>
      <c r="V172" s="74">
        <f t="shared" si="32"/>
        <v>0</v>
      </c>
      <c r="W172" s="74">
        <f t="shared" si="33"/>
        <v>0</v>
      </c>
      <c r="X172" s="74">
        <f t="shared" si="34"/>
        <v>0</v>
      </c>
      <c r="Y172" s="74">
        <f t="shared" si="35"/>
        <v>0</v>
      </c>
      <c r="Z172" s="74">
        <f t="shared" si="36"/>
        <v>41.38</v>
      </c>
      <c r="AA172" s="75">
        <f t="shared" si="26"/>
        <v>41.38</v>
      </c>
      <c r="AB172" s="75">
        <f t="shared" si="37"/>
        <v>0</v>
      </c>
    </row>
    <row r="173" spans="1:29" ht="48">
      <c r="A173" s="69" t="s">
        <v>338</v>
      </c>
      <c r="B173" s="70" t="s">
        <v>339</v>
      </c>
      <c r="C173" s="69"/>
      <c r="D173" s="70" t="s">
        <v>339</v>
      </c>
      <c r="E173" s="71">
        <v>344.52</v>
      </c>
      <c r="F173" s="71">
        <v>344.52</v>
      </c>
      <c r="G173" s="72">
        <v>0</v>
      </c>
      <c r="H173" s="73">
        <v>0</v>
      </c>
      <c r="I173" s="73">
        <v>0</v>
      </c>
      <c r="J173" s="73">
        <v>0</v>
      </c>
      <c r="K173" s="72">
        <v>0</v>
      </c>
      <c r="L173" s="72">
        <f t="shared" si="28"/>
        <v>0</v>
      </c>
      <c r="M173" s="72">
        <v>0</v>
      </c>
      <c r="N173" s="72">
        <v>0</v>
      </c>
      <c r="O173" s="72">
        <v>0</v>
      </c>
      <c r="P173" s="72">
        <f t="shared" si="29"/>
        <v>0</v>
      </c>
      <c r="Q173" s="72">
        <f t="shared" si="30"/>
        <v>0</v>
      </c>
      <c r="R173" s="72"/>
      <c r="S173" s="56"/>
      <c r="T173" s="74">
        <f t="shared" si="31"/>
        <v>0</v>
      </c>
      <c r="U173" s="74">
        <v>0</v>
      </c>
      <c r="V173" s="74">
        <f t="shared" si="32"/>
        <v>0</v>
      </c>
      <c r="W173" s="74">
        <f t="shared" si="33"/>
        <v>0</v>
      </c>
      <c r="X173" s="74">
        <f t="shared" si="34"/>
        <v>0</v>
      </c>
      <c r="Y173" s="74">
        <f t="shared" si="35"/>
        <v>0</v>
      </c>
      <c r="Z173" s="74">
        <f t="shared" si="36"/>
        <v>0</v>
      </c>
      <c r="AA173" s="75">
        <f t="shared" si="26"/>
        <v>0</v>
      </c>
      <c r="AB173" s="75">
        <f t="shared" si="37"/>
        <v>0</v>
      </c>
    </row>
    <row r="174" spans="1:29">
      <c r="A174" s="69" t="s">
        <v>340</v>
      </c>
      <c r="B174" s="70" t="s">
        <v>341</v>
      </c>
      <c r="C174" s="69"/>
      <c r="D174" s="70" t="s">
        <v>341</v>
      </c>
      <c r="E174" s="71">
        <v>1350</v>
      </c>
      <c r="F174" s="71">
        <v>1350</v>
      </c>
      <c r="G174" s="72">
        <v>0</v>
      </c>
      <c r="H174" s="73">
        <v>0</v>
      </c>
      <c r="I174" s="73">
        <v>0</v>
      </c>
      <c r="J174" s="73">
        <v>0</v>
      </c>
      <c r="K174" s="72">
        <v>0</v>
      </c>
      <c r="L174" s="72">
        <f t="shared" si="28"/>
        <v>0</v>
      </c>
      <c r="M174" s="72">
        <v>0</v>
      </c>
      <c r="N174" s="72">
        <v>0</v>
      </c>
      <c r="O174" s="72">
        <v>0</v>
      </c>
      <c r="P174" s="72">
        <f t="shared" si="29"/>
        <v>0</v>
      </c>
      <c r="Q174" s="72">
        <f t="shared" si="30"/>
        <v>0</v>
      </c>
      <c r="R174" s="72"/>
      <c r="S174" s="56"/>
      <c r="T174" s="74">
        <f t="shared" si="31"/>
        <v>0</v>
      </c>
      <c r="U174" s="74">
        <v>0</v>
      </c>
      <c r="V174" s="74">
        <f t="shared" si="32"/>
        <v>0</v>
      </c>
      <c r="W174" s="74">
        <f t="shared" si="33"/>
        <v>0</v>
      </c>
      <c r="X174" s="74">
        <f t="shared" si="34"/>
        <v>0</v>
      </c>
      <c r="Y174" s="74">
        <f t="shared" si="35"/>
        <v>0</v>
      </c>
      <c r="Z174" s="74">
        <f t="shared" si="36"/>
        <v>0</v>
      </c>
      <c r="AA174" s="75">
        <f t="shared" ref="AA174:AA237" si="38">L174*F174</f>
        <v>0</v>
      </c>
      <c r="AB174" s="75">
        <f t="shared" ref="AB174:AB205" si="39">AA174-Z174</f>
        <v>0</v>
      </c>
    </row>
    <row r="175" spans="1:29" ht="48">
      <c r="A175" s="69" t="s">
        <v>342</v>
      </c>
      <c r="B175" s="70" t="s">
        <v>343</v>
      </c>
      <c r="C175" s="69"/>
      <c r="D175" s="70" t="s">
        <v>343</v>
      </c>
      <c r="E175" s="71">
        <v>1083.3399999999999</v>
      </c>
      <c r="F175" s="71">
        <v>1083.3399999999999</v>
      </c>
      <c r="G175" s="72">
        <v>0</v>
      </c>
      <c r="H175" s="73">
        <v>0</v>
      </c>
      <c r="I175" s="73">
        <v>0</v>
      </c>
      <c r="J175" s="73">
        <v>0</v>
      </c>
      <c r="K175" s="72">
        <v>0</v>
      </c>
      <c r="L175" s="72">
        <f t="shared" si="28"/>
        <v>0</v>
      </c>
      <c r="M175" s="72">
        <v>0</v>
      </c>
      <c r="N175" s="72">
        <v>0</v>
      </c>
      <c r="O175" s="72">
        <v>0</v>
      </c>
      <c r="P175" s="72">
        <f t="shared" si="29"/>
        <v>0</v>
      </c>
      <c r="Q175" s="72">
        <f t="shared" si="30"/>
        <v>0</v>
      </c>
      <c r="R175" s="72"/>
      <c r="S175" s="56"/>
      <c r="T175" s="74">
        <f t="shared" si="31"/>
        <v>0</v>
      </c>
      <c r="U175" s="74">
        <v>0</v>
      </c>
      <c r="V175" s="74">
        <f t="shared" si="32"/>
        <v>0</v>
      </c>
      <c r="W175" s="74">
        <f t="shared" si="33"/>
        <v>0</v>
      </c>
      <c r="X175" s="74">
        <f t="shared" si="34"/>
        <v>0</v>
      </c>
      <c r="Y175" s="74">
        <f t="shared" si="35"/>
        <v>0</v>
      </c>
      <c r="Z175" s="74">
        <f t="shared" si="36"/>
        <v>0</v>
      </c>
      <c r="AA175" s="75">
        <f t="shared" si="38"/>
        <v>0</v>
      </c>
      <c r="AB175" s="75">
        <f t="shared" si="39"/>
        <v>0</v>
      </c>
    </row>
    <row r="176" spans="1:29" ht="36">
      <c r="A176" s="69" t="s">
        <v>344</v>
      </c>
      <c r="B176" s="140" t="s">
        <v>716</v>
      </c>
      <c r="C176" s="140"/>
      <c r="D176" s="70" t="s">
        <v>345</v>
      </c>
      <c r="E176" s="71">
        <v>400</v>
      </c>
      <c r="F176" s="71">
        <v>400</v>
      </c>
      <c r="G176" s="72">
        <v>4</v>
      </c>
      <c r="H176" s="73">
        <v>0</v>
      </c>
      <c r="I176" s="73">
        <v>0</v>
      </c>
      <c r="J176" s="73">
        <v>0</v>
      </c>
      <c r="K176" s="72">
        <v>0</v>
      </c>
      <c r="L176" s="72">
        <f t="shared" si="28"/>
        <v>4</v>
      </c>
      <c r="M176" s="72">
        <v>4</v>
      </c>
      <c r="N176" s="72">
        <v>0</v>
      </c>
      <c r="O176" s="72">
        <v>0</v>
      </c>
      <c r="P176" s="72">
        <f t="shared" si="29"/>
        <v>4</v>
      </c>
      <c r="Q176" s="72">
        <f t="shared" si="30"/>
        <v>0</v>
      </c>
      <c r="R176" s="72"/>
      <c r="S176" s="56"/>
      <c r="T176" s="74">
        <f t="shared" si="31"/>
        <v>1600</v>
      </c>
      <c r="U176" s="74">
        <v>0</v>
      </c>
      <c r="V176" s="74">
        <f t="shared" si="32"/>
        <v>0</v>
      </c>
      <c r="W176" s="74">
        <f t="shared" si="33"/>
        <v>0</v>
      </c>
      <c r="X176" s="74">
        <f t="shared" si="34"/>
        <v>0</v>
      </c>
      <c r="Y176" s="74">
        <f t="shared" si="35"/>
        <v>0</v>
      </c>
      <c r="Z176" s="74">
        <f t="shared" si="36"/>
        <v>1600</v>
      </c>
      <c r="AA176" s="75">
        <f t="shared" si="38"/>
        <v>1600</v>
      </c>
      <c r="AB176" s="75">
        <f t="shared" si="39"/>
        <v>0</v>
      </c>
    </row>
    <row r="177" spans="1:29" ht="60">
      <c r="A177" s="69" t="s">
        <v>346</v>
      </c>
      <c r="B177" s="140" t="s">
        <v>717</v>
      </c>
      <c r="C177" s="140"/>
      <c r="D177" s="70" t="s">
        <v>347</v>
      </c>
      <c r="E177" s="71">
        <v>697.5</v>
      </c>
      <c r="F177" s="71">
        <v>697.5</v>
      </c>
      <c r="G177" s="72">
        <v>2</v>
      </c>
      <c r="H177" s="73">
        <v>0</v>
      </c>
      <c r="I177" s="73">
        <v>0</v>
      </c>
      <c r="J177" s="73">
        <v>0</v>
      </c>
      <c r="K177" s="72">
        <v>0</v>
      </c>
      <c r="L177" s="72">
        <f t="shared" si="28"/>
        <v>2</v>
      </c>
      <c r="M177" s="72">
        <v>2</v>
      </c>
      <c r="N177" s="72">
        <v>0</v>
      </c>
      <c r="O177" s="72">
        <v>0</v>
      </c>
      <c r="P177" s="72">
        <f t="shared" si="29"/>
        <v>2</v>
      </c>
      <c r="Q177" s="72">
        <f t="shared" si="30"/>
        <v>0</v>
      </c>
      <c r="R177" s="72"/>
      <c r="S177" s="56"/>
      <c r="T177" s="74">
        <f t="shared" si="31"/>
        <v>1395</v>
      </c>
      <c r="U177" s="74">
        <v>0</v>
      </c>
      <c r="V177" s="74">
        <f t="shared" si="32"/>
        <v>0</v>
      </c>
      <c r="W177" s="74">
        <f t="shared" si="33"/>
        <v>0</v>
      </c>
      <c r="X177" s="74">
        <f t="shared" si="34"/>
        <v>0</v>
      </c>
      <c r="Y177" s="74">
        <f t="shared" si="35"/>
        <v>0</v>
      </c>
      <c r="Z177" s="74">
        <f t="shared" si="36"/>
        <v>1395</v>
      </c>
      <c r="AA177" s="75">
        <f t="shared" si="38"/>
        <v>1395</v>
      </c>
      <c r="AB177" s="75">
        <f t="shared" si="39"/>
        <v>0</v>
      </c>
    </row>
    <row r="178" spans="1:29">
      <c r="A178" s="69" t="s">
        <v>348</v>
      </c>
      <c r="B178" s="70" t="s">
        <v>349</v>
      </c>
      <c r="C178" s="69"/>
      <c r="D178" s="70" t="s">
        <v>349</v>
      </c>
      <c r="E178" s="71">
        <v>0</v>
      </c>
      <c r="F178" s="71">
        <v>0</v>
      </c>
      <c r="G178" s="72">
        <v>0</v>
      </c>
      <c r="H178" s="73">
        <v>0</v>
      </c>
      <c r="I178" s="73">
        <v>0</v>
      </c>
      <c r="J178" s="73">
        <v>0</v>
      </c>
      <c r="K178" s="72">
        <v>0</v>
      </c>
      <c r="L178" s="72">
        <f t="shared" si="28"/>
        <v>0</v>
      </c>
      <c r="M178" s="72">
        <v>0</v>
      </c>
      <c r="N178" s="72">
        <v>0</v>
      </c>
      <c r="O178" s="72">
        <v>0</v>
      </c>
      <c r="P178" s="72">
        <f t="shared" si="29"/>
        <v>0</v>
      </c>
      <c r="Q178" s="72">
        <f t="shared" si="30"/>
        <v>0</v>
      </c>
      <c r="R178" s="72"/>
      <c r="S178" s="56"/>
      <c r="T178" s="74">
        <f t="shared" si="31"/>
        <v>0</v>
      </c>
      <c r="U178" s="74">
        <v>0</v>
      </c>
      <c r="V178" s="74">
        <f t="shared" si="32"/>
        <v>0</v>
      </c>
      <c r="W178" s="74">
        <f t="shared" si="33"/>
        <v>0</v>
      </c>
      <c r="X178" s="74">
        <f t="shared" si="34"/>
        <v>0</v>
      </c>
      <c r="Y178" s="74">
        <f t="shared" si="35"/>
        <v>0</v>
      </c>
      <c r="Z178" s="74">
        <f t="shared" si="36"/>
        <v>0</v>
      </c>
      <c r="AA178" s="75">
        <f t="shared" si="38"/>
        <v>0</v>
      </c>
      <c r="AB178" s="75">
        <f t="shared" si="39"/>
        <v>0</v>
      </c>
    </row>
    <row r="179" spans="1:29">
      <c r="A179" s="69" t="s">
        <v>350</v>
      </c>
      <c r="B179" s="140" t="s">
        <v>718</v>
      </c>
      <c r="C179" s="140"/>
      <c r="D179" s="70" t="s">
        <v>351</v>
      </c>
      <c r="E179" s="71">
        <v>380</v>
      </c>
      <c r="F179" s="71">
        <v>380</v>
      </c>
      <c r="G179" s="72">
        <v>1</v>
      </c>
      <c r="H179" s="73">
        <v>0</v>
      </c>
      <c r="I179" s="73">
        <v>0</v>
      </c>
      <c r="J179" s="73">
        <v>0</v>
      </c>
      <c r="K179" s="72">
        <v>0</v>
      </c>
      <c r="L179" s="72">
        <f t="shared" si="28"/>
        <v>1</v>
      </c>
      <c r="M179" s="72">
        <v>1</v>
      </c>
      <c r="N179" s="72">
        <v>0</v>
      </c>
      <c r="O179" s="72">
        <v>0</v>
      </c>
      <c r="P179" s="72">
        <f t="shared" si="29"/>
        <v>1</v>
      </c>
      <c r="Q179" s="72">
        <f t="shared" si="30"/>
        <v>0</v>
      </c>
      <c r="R179" s="72"/>
      <c r="S179" s="56"/>
      <c r="T179" s="74">
        <f t="shared" si="31"/>
        <v>380</v>
      </c>
      <c r="U179" s="74">
        <v>0</v>
      </c>
      <c r="V179" s="74">
        <f t="shared" si="32"/>
        <v>0</v>
      </c>
      <c r="W179" s="74">
        <f t="shared" si="33"/>
        <v>0</v>
      </c>
      <c r="X179" s="74">
        <f t="shared" si="34"/>
        <v>0</v>
      </c>
      <c r="Y179" s="74">
        <f t="shared" si="35"/>
        <v>0</v>
      </c>
      <c r="Z179" s="74">
        <f t="shared" si="36"/>
        <v>380</v>
      </c>
      <c r="AA179" s="75">
        <f t="shared" si="38"/>
        <v>380</v>
      </c>
      <c r="AB179" s="75">
        <f t="shared" si="39"/>
        <v>0</v>
      </c>
    </row>
    <row r="180" spans="1:29" s="157" customFormat="1" ht="24" customHeight="1">
      <c r="A180" s="69" t="s">
        <v>352</v>
      </c>
      <c r="B180" s="140" t="s">
        <v>719</v>
      </c>
      <c r="C180" s="140"/>
      <c r="D180" s="70" t="s">
        <v>353</v>
      </c>
      <c r="E180" s="71">
        <v>670</v>
      </c>
      <c r="F180" s="71">
        <v>670</v>
      </c>
      <c r="G180" s="72">
        <v>1</v>
      </c>
      <c r="H180" s="73">
        <v>0</v>
      </c>
      <c r="I180" s="73">
        <v>0</v>
      </c>
      <c r="J180" s="73">
        <v>0</v>
      </c>
      <c r="K180" s="72">
        <v>0</v>
      </c>
      <c r="L180" s="72">
        <f t="shared" si="28"/>
        <v>1</v>
      </c>
      <c r="M180" s="72">
        <v>1</v>
      </c>
      <c r="N180" s="72">
        <v>0</v>
      </c>
      <c r="O180" s="72">
        <v>0</v>
      </c>
      <c r="P180" s="72">
        <f t="shared" si="29"/>
        <v>1</v>
      </c>
      <c r="Q180" s="72">
        <f t="shared" si="30"/>
        <v>0</v>
      </c>
      <c r="R180" s="72"/>
      <c r="S180" s="56"/>
      <c r="T180" s="74">
        <f t="shared" si="31"/>
        <v>670</v>
      </c>
      <c r="U180" s="74">
        <v>0</v>
      </c>
      <c r="V180" s="74">
        <f t="shared" si="32"/>
        <v>0</v>
      </c>
      <c r="W180" s="74">
        <f t="shared" si="33"/>
        <v>0</v>
      </c>
      <c r="X180" s="74">
        <f t="shared" si="34"/>
        <v>0</v>
      </c>
      <c r="Y180" s="74">
        <f t="shared" si="35"/>
        <v>0</v>
      </c>
      <c r="Z180" s="74">
        <f t="shared" si="36"/>
        <v>670</v>
      </c>
      <c r="AA180" s="75">
        <f t="shared" si="38"/>
        <v>670</v>
      </c>
      <c r="AB180" s="75">
        <f t="shared" si="39"/>
        <v>0</v>
      </c>
      <c r="AC180" s="53"/>
    </row>
    <row r="181" spans="1:29" s="157" customFormat="1" ht="24" customHeight="1">
      <c r="A181" s="69" t="s">
        <v>354</v>
      </c>
      <c r="B181" s="70" t="s">
        <v>355</v>
      </c>
      <c r="C181" s="69"/>
      <c r="D181" s="70" t="s">
        <v>355</v>
      </c>
      <c r="E181" s="71">
        <v>990</v>
      </c>
      <c r="F181" s="71">
        <v>990</v>
      </c>
      <c r="G181" s="72">
        <v>0</v>
      </c>
      <c r="H181" s="73">
        <v>0</v>
      </c>
      <c r="I181" s="73">
        <v>0</v>
      </c>
      <c r="J181" s="73">
        <v>0</v>
      </c>
      <c r="K181" s="72">
        <v>0</v>
      </c>
      <c r="L181" s="72">
        <f t="shared" si="28"/>
        <v>0</v>
      </c>
      <c r="M181" s="72">
        <v>0</v>
      </c>
      <c r="N181" s="72">
        <v>0</v>
      </c>
      <c r="O181" s="72">
        <v>0</v>
      </c>
      <c r="P181" s="72">
        <f t="shared" si="29"/>
        <v>0</v>
      </c>
      <c r="Q181" s="72">
        <f t="shared" si="30"/>
        <v>0</v>
      </c>
      <c r="R181" s="72"/>
      <c r="S181" s="56"/>
      <c r="T181" s="74">
        <f t="shared" si="31"/>
        <v>0</v>
      </c>
      <c r="U181" s="74">
        <v>0</v>
      </c>
      <c r="V181" s="74">
        <f t="shared" si="32"/>
        <v>0</v>
      </c>
      <c r="W181" s="74">
        <f t="shared" si="33"/>
        <v>0</v>
      </c>
      <c r="X181" s="74">
        <f t="shared" si="34"/>
        <v>0</v>
      </c>
      <c r="Y181" s="74">
        <f t="shared" si="35"/>
        <v>0</v>
      </c>
      <c r="Z181" s="74">
        <f t="shared" si="36"/>
        <v>0</v>
      </c>
      <c r="AA181" s="75">
        <f t="shared" si="38"/>
        <v>0</v>
      </c>
      <c r="AB181" s="75">
        <f t="shared" si="39"/>
        <v>0</v>
      </c>
      <c r="AC181" s="53"/>
    </row>
    <row r="182" spans="1:29" s="157" customFormat="1" ht="24" customHeight="1">
      <c r="A182" s="69" t="s">
        <v>356</v>
      </c>
      <c r="B182" s="70" t="s">
        <v>357</v>
      </c>
      <c r="C182" s="69"/>
      <c r="D182" s="70" t="s">
        <v>357</v>
      </c>
      <c r="E182" s="71">
        <v>400</v>
      </c>
      <c r="F182" s="71">
        <v>400</v>
      </c>
      <c r="G182" s="72">
        <v>0</v>
      </c>
      <c r="H182" s="73">
        <v>0</v>
      </c>
      <c r="I182" s="73">
        <v>0</v>
      </c>
      <c r="J182" s="73">
        <v>0</v>
      </c>
      <c r="K182" s="72">
        <v>0</v>
      </c>
      <c r="L182" s="72">
        <f t="shared" si="28"/>
        <v>0</v>
      </c>
      <c r="M182" s="72">
        <v>0</v>
      </c>
      <c r="N182" s="72">
        <v>0</v>
      </c>
      <c r="O182" s="72">
        <v>0</v>
      </c>
      <c r="P182" s="72">
        <f t="shared" si="29"/>
        <v>0</v>
      </c>
      <c r="Q182" s="72">
        <f t="shared" si="30"/>
        <v>0</v>
      </c>
      <c r="R182" s="72"/>
      <c r="S182" s="56"/>
      <c r="T182" s="74">
        <f t="shared" si="31"/>
        <v>0</v>
      </c>
      <c r="U182" s="74">
        <v>0</v>
      </c>
      <c r="V182" s="74">
        <f t="shared" si="32"/>
        <v>0</v>
      </c>
      <c r="W182" s="74">
        <f t="shared" si="33"/>
        <v>0</v>
      </c>
      <c r="X182" s="74">
        <f t="shared" si="34"/>
        <v>0</v>
      </c>
      <c r="Y182" s="74">
        <f t="shared" si="35"/>
        <v>0</v>
      </c>
      <c r="Z182" s="74">
        <f t="shared" si="36"/>
        <v>0</v>
      </c>
      <c r="AA182" s="75">
        <f t="shared" si="38"/>
        <v>0</v>
      </c>
      <c r="AB182" s="75">
        <f t="shared" si="39"/>
        <v>0</v>
      </c>
      <c r="AC182" s="53"/>
    </row>
    <row r="183" spans="1:29" ht="36">
      <c r="A183" s="69" t="s">
        <v>358</v>
      </c>
      <c r="B183" s="70" t="s">
        <v>359</v>
      </c>
      <c r="C183" s="69"/>
      <c r="D183" s="70" t="s">
        <v>359</v>
      </c>
      <c r="E183" s="71">
        <v>0</v>
      </c>
      <c r="F183" s="71">
        <v>0</v>
      </c>
      <c r="G183" s="72">
        <v>0</v>
      </c>
      <c r="H183" s="73">
        <v>0</v>
      </c>
      <c r="I183" s="73">
        <v>0</v>
      </c>
      <c r="J183" s="73">
        <v>0</v>
      </c>
      <c r="K183" s="72">
        <v>0</v>
      </c>
      <c r="L183" s="72">
        <f t="shared" si="28"/>
        <v>0</v>
      </c>
      <c r="M183" s="72">
        <v>0</v>
      </c>
      <c r="N183" s="72">
        <v>0</v>
      </c>
      <c r="O183" s="72">
        <v>0</v>
      </c>
      <c r="P183" s="72">
        <f t="shared" si="29"/>
        <v>0</v>
      </c>
      <c r="Q183" s="72">
        <f t="shared" si="30"/>
        <v>0</v>
      </c>
      <c r="R183" s="72"/>
      <c r="S183" s="56"/>
      <c r="T183" s="74">
        <f t="shared" si="31"/>
        <v>0</v>
      </c>
      <c r="U183" s="74">
        <v>0</v>
      </c>
      <c r="V183" s="74">
        <f t="shared" si="32"/>
        <v>0</v>
      </c>
      <c r="W183" s="74">
        <f t="shared" si="33"/>
        <v>0</v>
      </c>
      <c r="X183" s="74">
        <f t="shared" si="34"/>
        <v>0</v>
      </c>
      <c r="Y183" s="74">
        <f t="shared" si="35"/>
        <v>0</v>
      </c>
      <c r="Z183" s="74">
        <f t="shared" si="36"/>
        <v>0</v>
      </c>
      <c r="AA183" s="75">
        <f t="shared" si="38"/>
        <v>0</v>
      </c>
      <c r="AB183" s="75">
        <f t="shared" si="39"/>
        <v>0</v>
      </c>
    </row>
    <row r="184" spans="1:29">
      <c r="A184" s="69" t="s">
        <v>360</v>
      </c>
      <c r="B184" s="70" t="s">
        <v>361</v>
      </c>
      <c r="C184" s="69"/>
      <c r="D184" s="70" t="s">
        <v>361</v>
      </c>
      <c r="E184" s="71">
        <v>10.35</v>
      </c>
      <c r="F184" s="71">
        <v>10.35</v>
      </c>
      <c r="G184" s="72">
        <v>1</v>
      </c>
      <c r="H184" s="73">
        <v>0</v>
      </c>
      <c r="I184" s="73">
        <v>0</v>
      </c>
      <c r="J184" s="73">
        <v>0</v>
      </c>
      <c r="K184" s="72">
        <v>0</v>
      </c>
      <c r="L184" s="72">
        <f t="shared" si="28"/>
        <v>1</v>
      </c>
      <c r="M184" s="72">
        <v>1</v>
      </c>
      <c r="N184" s="72">
        <v>0</v>
      </c>
      <c r="O184" s="72">
        <v>0</v>
      </c>
      <c r="P184" s="72">
        <f t="shared" si="29"/>
        <v>1</v>
      </c>
      <c r="Q184" s="72">
        <f t="shared" si="30"/>
        <v>0</v>
      </c>
      <c r="R184" s="72"/>
      <c r="S184" s="56"/>
      <c r="T184" s="74">
        <f t="shared" si="31"/>
        <v>10.35</v>
      </c>
      <c r="U184" s="74">
        <v>0</v>
      </c>
      <c r="V184" s="74">
        <f t="shared" si="32"/>
        <v>0</v>
      </c>
      <c r="W184" s="74">
        <f t="shared" si="33"/>
        <v>0</v>
      </c>
      <c r="X184" s="74">
        <f t="shared" si="34"/>
        <v>0</v>
      </c>
      <c r="Y184" s="74">
        <f t="shared" si="35"/>
        <v>0</v>
      </c>
      <c r="Z184" s="74">
        <f t="shared" si="36"/>
        <v>10.35</v>
      </c>
      <c r="AA184" s="75">
        <f t="shared" si="38"/>
        <v>10.35</v>
      </c>
      <c r="AB184" s="75">
        <f t="shared" si="39"/>
        <v>0</v>
      </c>
    </row>
    <row r="185" spans="1:29" ht="48">
      <c r="A185" s="69" t="s">
        <v>362</v>
      </c>
      <c r="B185" s="70" t="s">
        <v>363</v>
      </c>
      <c r="C185" s="69"/>
      <c r="D185" s="70" t="s">
        <v>363</v>
      </c>
      <c r="E185" s="71">
        <v>34</v>
      </c>
      <c r="F185" s="71">
        <v>34</v>
      </c>
      <c r="G185" s="72">
        <v>0</v>
      </c>
      <c r="H185" s="73">
        <v>0</v>
      </c>
      <c r="I185" s="73">
        <v>0</v>
      </c>
      <c r="J185" s="73">
        <v>0</v>
      </c>
      <c r="K185" s="72">
        <v>0</v>
      </c>
      <c r="L185" s="72">
        <f t="shared" si="28"/>
        <v>0</v>
      </c>
      <c r="M185" s="72">
        <v>0</v>
      </c>
      <c r="N185" s="72">
        <v>0</v>
      </c>
      <c r="O185" s="72">
        <v>0</v>
      </c>
      <c r="P185" s="72">
        <f t="shared" si="29"/>
        <v>0</v>
      </c>
      <c r="Q185" s="72">
        <f t="shared" si="30"/>
        <v>0</v>
      </c>
      <c r="R185" s="72"/>
      <c r="S185" s="56"/>
      <c r="T185" s="74">
        <f t="shared" si="31"/>
        <v>0</v>
      </c>
      <c r="U185" s="74">
        <v>0</v>
      </c>
      <c r="V185" s="74">
        <f t="shared" si="32"/>
        <v>0</v>
      </c>
      <c r="W185" s="74">
        <f t="shared" si="33"/>
        <v>0</v>
      </c>
      <c r="X185" s="74">
        <f t="shared" si="34"/>
        <v>0</v>
      </c>
      <c r="Y185" s="74">
        <f t="shared" si="35"/>
        <v>0</v>
      </c>
      <c r="Z185" s="74">
        <f t="shared" si="36"/>
        <v>0</v>
      </c>
      <c r="AA185" s="75">
        <f t="shared" si="38"/>
        <v>0</v>
      </c>
      <c r="AB185" s="75">
        <f t="shared" si="39"/>
        <v>0</v>
      </c>
    </row>
    <row r="186" spans="1:29" ht="24">
      <c r="A186" s="69" t="s">
        <v>364</v>
      </c>
      <c r="B186" s="70" t="s">
        <v>365</v>
      </c>
      <c r="C186" s="69"/>
      <c r="D186" s="70" t="s">
        <v>365</v>
      </c>
      <c r="E186" s="71">
        <v>12.11</v>
      </c>
      <c r="F186" s="71">
        <v>12.11</v>
      </c>
      <c r="G186" s="72">
        <v>0</v>
      </c>
      <c r="H186" s="73">
        <v>0</v>
      </c>
      <c r="I186" s="73">
        <v>0</v>
      </c>
      <c r="J186" s="73">
        <v>0</v>
      </c>
      <c r="K186" s="72">
        <v>0</v>
      </c>
      <c r="L186" s="72">
        <f t="shared" si="28"/>
        <v>0</v>
      </c>
      <c r="M186" s="72">
        <v>0</v>
      </c>
      <c r="N186" s="72">
        <v>0</v>
      </c>
      <c r="O186" s="72">
        <v>0</v>
      </c>
      <c r="P186" s="72">
        <f t="shared" si="29"/>
        <v>0</v>
      </c>
      <c r="Q186" s="72">
        <f t="shared" si="30"/>
        <v>0</v>
      </c>
      <c r="R186" s="72"/>
      <c r="S186" s="56"/>
      <c r="T186" s="74">
        <f t="shared" si="31"/>
        <v>0</v>
      </c>
      <c r="U186" s="74">
        <v>0</v>
      </c>
      <c r="V186" s="74">
        <f t="shared" si="32"/>
        <v>0</v>
      </c>
      <c r="W186" s="74">
        <f t="shared" si="33"/>
        <v>0</v>
      </c>
      <c r="X186" s="74">
        <f t="shared" si="34"/>
        <v>0</v>
      </c>
      <c r="Y186" s="74">
        <f t="shared" si="35"/>
        <v>0</v>
      </c>
      <c r="Z186" s="74">
        <f t="shared" si="36"/>
        <v>0</v>
      </c>
      <c r="AA186" s="75">
        <f t="shared" si="38"/>
        <v>0</v>
      </c>
      <c r="AB186" s="75">
        <f t="shared" si="39"/>
        <v>0</v>
      </c>
    </row>
    <row r="187" spans="1:29" ht="24">
      <c r="A187" s="69" t="s">
        <v>372</v>
      </c>
      <c r="B187" s="70" t="s">
        <v>373</v>
      </c>
      <c r="C187" s="69"/>
      <c r="D187" s="70" t="s">
        <v>373</v>
      </c>
      <c r="E187" s="71">
        <v>272.31</v>
      </c>
      <c r="F187" s="71">
        <v>272.31</v>
      </c>
      <c r="G187" s="72">
        <v>0</v>
      </c>
      <c r="H187" s="73">
        <v>0</v>
      </c>
      <c r="I187" s="73">
        <v>0</v>
      </c>
      <c r="J187" s="73">
        <v>0</v>
      </c>
      <c r="K187" s="72">
        <v>0</v>
      </c>
      <c r="L187" s="72">
        <f t="shared" si="28"/>
        <v>0</v>
      </c>
      <c r="M187" s="72">
        <v>0</v>
      </c>
      <c r="N187" s="72">
        <v>0</v>
      </c>
      <c r="O187" s="72">
        <v>0</v>
      </c>
      <c r="P187" s="72">
        <f t="shared" si="29"/>
        <v>0</v>
      </c>
      <c r="Q187" s="72">
        <f t="shared" si="30"/>
        <v>0</v>
      </c>
      <c r="R187" s="72"/>
      <c r="S187" s="56"/>
      <c r="T187" s="74">
        <f t="shared" si="31"/>
        <v>0</v>
      </c>
      <c r="U187" s="74">
        <v>0</v>
      </c>
      <c r="V187" s="74">
        <f t="shared" si="32"/>
        <v>0</v>
      </c>
      <c r="W187" s="74">
        <f t="shared" si="33"/>
        <v>0</v>
      </c>
      <c r="X187" s="74">
        <f t="shared" si="34"/>
        <v>0</v>
      </c>
      <c r="Y187" s="74">
        <f t="shared" si="35"/>
        <v>0</v>
      </c>
      <c r="Z187" s="74">
        <f t="shared" si="36"/>
        <v>0</v>
      </c>
      <c r="AA187" s="75">
        <f t="shared" si="38"/>
        <v>0</v>
      </c>
      <c r="AB187" s="75">
        <f t="shared" si="39"/>
        <v>0</v>
      </c>
    </row>
    <row r="188" spans="1:29" ht="36">
      <c r="A188" s="69" t="s">
        <v>374</v>
      </c>
      <c r="B188" s="70" t="s">
        <v>375</v>
      </c>
      <c r="C188" s="69"/>
      <c r="D188" s="70" t="s">
        <v>375</v>
      </c>
      <c r="E188" s="71">
        <v>0</v>
      </c>
      <c r="F188" s="71">
        <v>0</v>
      </c>
      <c r="G188" s="72">
        <v>0</v>
      </c>
      <c r="H188" s="73">
        <v>0</v>
      </c>
      <c r="I188" s="73">
        <v>0</v>
      </c>
      <c r="J188" s="73">
        <v>0</v>
      </c>
      <c r="K188" s="72">
        <v>0</v>
      </c>
      <c r="L188" s="72">
        <f t="shared" si="28"/>
        <v>0</v>
      </c>
      <c r="M188" s="72">
        <v>0</v>
      </c>
      <c r="N188" s="72">
        <v>0</v>
      </c>
      <c r="O188" s="72">
        <v>0</v>
      </c>
      <c r="P188" s="72">
        <f t="shared" si="29"/>
        <v>0</v>
      </c>
      <c r="Q188" s="72">
        <f t="shared" si="30"/>
        <v>0</v>
      </c>
      <c r="R188" s="72"/>
      <c r="S188" s="56"/>
      <c r="T188" s="74">
        <f t="shared" si="31"/>
        <v>0</v>
      </c>
      <c r="U188" s="74">
        <v>0</v>
      </c>
      <c r="V188" s="74">
        <f t="shared" si="32"/>
        <v>0</v>
      </c>
      <c r="W188" s="74">
        <f t="shared" si="33"/>
        <v>0</v>
      </c>
      <c r="X188" s="74">
        <f t="shared" si="34"/>
        <v>0</v>
      </c>
      <c r="Y188" s="74">
        <f t="shared" si="35"/>
        <v>0</v>
      </c>
      <c r="Z188" s="74">
        <f t="shared" si="36"/>
        <v>0</v>
      </c>
      <c r="AA188" s="75">
        <f t="shared" si="38"/>
        <v>0</v>
      </c>
      <c r="AB188" s="75">
        <f t="shared" si="39"/>
        <v>0</v>
      </c>
    </row>
    <row r="189" spans="1:29">
      <c r="A189" s="69" t="s">
        <v>376</v>
      </c>
      <c r="B189" s="69" t="s">
        <v>782</v>
      </c>
      <c r="C189" s="69"/>
      <c r="D189" s="70" t="s">
        <v>781</v>
      </c>
      <c r="E189" s="71">
        <v>4500</v>
      </c>
      <c r="F189" s="71">
        <v>4500</v>
      </c>
      <c r="G189" s="72">
        <v>1</v>
      </c>
      <c r="H189" s="73">
        <v>0</v>
      </c>
      <c r="I189" s="73">
        <v>0</v>
      </c>
      <c r="J189" s="73">
        <v>0</v>
      </c>
      <c r="K189" s="72">
        <v>0</v>
      </c>
      <c r="L189" s="72">
        <f t="shared" si="28"/>
        <v>1</v>
      </c>
      <c r="M189" s="72">
        <v>1</v>
      </c>
      <c r="N189" s="72">
        <v>0</v>
      </c>
      <c r="O189" s="72">
        <v>0</v>
      </c>
      <c r="P189" s="72">
        <f t="shared" si="29"/>
        <v>1</v>
      </c>
      <c r="Q189" s="72">
        <f t="shared" si="30"/>
        <v>0</v>
      </c>
      <c r="R189" s="72"/>
      <c r="S189" s="56"/>
      <c r="T189" s="74">
        <f t="shared" si="31"/>
        <v>4500</v>
      </c>
      <c r="U189" s="74">
        <v>0</v>
      </c>
      <c r="V189" s="74">
        <f t="shared" si="32"/>
        <v>0</v>
      </c>
      <c r="W189" s="74">
        <f t="shared" si="33"/>
        <v>0</v>
      </c>
      <c r="X189" s="74">
        <f t="shared" si="34"/>
        <v>0</v>
      </c>
      <c r="Y189" s="74">
        <f t="shared" si="35"/>
        <v>0</v>
      </c>
      <c r="Z189" s="74">
        <f t="shared" si="36"/>
        <v>4500</v>
      </c>
      <c r="AA189" s="75">
        <f t="shared" si="38"/>
        <v>4500</v>
      </c>
      <c r="AB189" s="75">
        <f t="shared" si="39"/>
        <v>0</v>
      </c>
      <c r="AC189" s="153"/>
    </row>
    <row r="190" spans="1:29" ht="36">
      <c r="A190" s="69" t="s">
        <v>378</v>
      </c>
      <c r="B190" s="70" t="s">
        <v>379</v>
      </c>
      <c r="C190" s="69"/>
      <c r="D190" s="70" t="s">
        <v>379</v>
      </c>
      <c r="E190" s="71">
        <v>1860</v>
      </c>
      <c r="F190" s="71">
        <v>1860</v>
      </c>
      <c r="G190" s="72">
        <v>0</v>
      </c>
      <c r="H190" s="73">
        <v>0</v>
      </c>
      <c r="I190" s="73">
        <v>0</v>
      </c>
      <c r="J190" s="73">
        <v>0</v>
      </c>
      <c r="K190" s="72">
        <v>0</v>
      </c>
      <c r="L190" s="72">
        <f t="shared" si="28"/>
        <v>0</v>
      </c>
      <c r="M190" s="72">
        <v>0</v>
      </c>
      <c r="N190" s="72">
        <v>0</v>
      </c>
      <c r="O190" s="72">
        <v>0</v>
      </c>
      <c r="P190" s="72">
        <f t="shared" si="29"/>
        <v>0</v>
      </c>
      <c r="Q190" s="72">
        <f t="shared" si="30"/>
        <v>0</v>
      </c>
      <c r="R190" s="72"/>
      <c r="S190" s="56"/>
      <c r="T190" s="74">
        <f t="shared" si="31"/>
        <v>0</v>
      </c>
      <c r="U190" s="74">
        <v>0</v>
      </c>
      <c r="V190" s="74">
        <f t="shared" si="32"/>
        <v>0</v>
      </c>
      <c r="W190" s="74">
        <f t="shared" si="33"/>
        <v>0</v>
      </c>
      <c r="X190" s="74">
        <f t="shared" si="34"/>
        <v>0</v>
      </c>
      <c r="Y190" s="74">
        <f t="shared" si="35"/>
        <v>0</v>
      </c>
      <c r="Z190" s="74">
        <f t="shared" si="36"/>
        <v>0</v>
      </c>
      <c r="AA190" s="75">
        <f t="shared" si="38"/>
        <v>0</v>
      </c>
      <c r="AB190" s="75">
        <f t="shared" si="39"/>
        <v>0</v>
      </c>
    </row>
    <row r="191" spans="1:29" ht="48">
      <c r="A191" s="69" t="s">
        <v>380</v>
      </c>
      <c r="B191" s="140" t="s">
        <v>720</v>
      </c>
      <c r="C191" s="140"/>
      <c r="D191" s="70" t="s">
        <v>381</v>
      </c>
      <c r="E191" s="71">
        <v>1780</v>
      </c>
      <c r="F191" s="71">
        <v>1780</v>
      </c>
      <c r="G191" s="72">
        <v>1</v>
      </c>
      <c r="H191" s="73">
        <v>0</v>
      </c>
      <c r="I191" s="73">
        <v>0</v>
      </c>
      <c r="J191" s="73">
        <v>0</v>
      </c>
      <c r="K191" s="72">
        <v>0</v>
      </c>
      <c r="L191" s="72">
        <f t="shared" si="28"/>
        <v>1</v>
      </c>
      <c r="M191" s="72">
        <v>1</v>
      </c>
      <c r="N191" s="72">
        <v>0</v>
      </c>
      <c r="O191" s="72">
        <v>0</v>
      </c>
      <c r="P191" s="72">
        <f t="shared" si="29"/>
        <v>1</v>
      </c>
      <c r="Q191" s="72">
        <f t="shared" si="30"/>
        <v>0</v>
      </c>
      <c r="R191" s="72"/>
      <c r="S191" s="56"/>
      <c r="T191" s="74">
        <f t="shared" si="31"/>
        <v>1780</v>
      </c>
      <c r="U191" s="74">
        <v>0</v>
      </c>
      <c r="V191" s="74">
        <f t="shared" si="32"/>
        <v>0</v>
      </c>
      <c r="W191" s="74">
        <f t="shared" si="33"/>
        <v>0</v>
      </c>
      <c r="X191" s="74">
        <f t="shared" si="34"/>
        <v>0</v>
      </c>
      <c r="Y191" s="74">
        <f t="shared" si="35"/>
        <v>0</v>
      </c>
      <c r="Z191" s="74">
        <f t="shared" si="36"/>
        <v>1780</v>
      </c>
      <c r="AA191" s="75">
        <f t="shared" si="38"/>
        <v>1780</v>
      </c>
      <c r="AB191" s="75">
        <f t="shared" si="39"/>
        <v>0</v>
      </c>
    </row>
    <row r="192" spans="1:29" ht="108">
      <c r="A192" s="69" t="s">
        <v>382</v>
      </c>
      <c r="B192" s="140" t="s">
        <v>721</v>
      </c>
      <c r="C192" s="140"/>
      <c r="D192" s="70" t="s">
        <v>815</v>
      </c>
      <c r="E192" s="71">
        <v>530</v>
      </c>
      <c r="F192" s="71">
        <v>530</v>
      </c>
      <c r="G192" s="72">
        <v>4</v>
      </c>
      <c r="H192" s="73">
        <v>0</v>
      </c>
      <c r="I192" s="73">
        <v>0</v>
      </c>
      <c r="J192" s="73">
        <v>0</v>
      </c>
      <c r="K192" s="72">
        <v>0</v>
      </c>
      <c r="L192" s="72">
        <f t="shared" si="28"/>
        <v>4</v>
      </c>
      <c r="M192" s="72">
        <v>4</v>
      </c>
      <c r="N192" s="72">
        <v>0</v>
      </c>
      <c r="O192" s="72">
        <v>0</v>
      </c>
      <c r="P192" s="72">
        <f t="shared" si="29"/>
        <v>4</v>
      </c>
      <c r="Q192" s="72">
        <f t="shared" si="30"/>
        <v>0</v>
      </c>
      <c r="R192" s="72"/>
      <c r="S192" s="56"/>
      <c r="T192" s="74">
        <f t="shared" si="31"/>
        <v>2120</v>
      </c>
      <c r="U192" s="74">
        <v>0</v>
      </c>
      <c r="V192" s="74">
        <f t="shared" si="32"/>
        <v>0</v>
      </c>
      <c r="W192" s="74">
        <f t="shared" si="33"/>
        <v>0</v>
      </c>
      <c r="X192" s="74">
        <f t="shared" si="34"/>
        <v>0</v>
      </c>
      <c r="Y192" s="74">
        <f t="shared" si="35"/>
        <v>0</v>
      </c>
      <c r="Z192" s="74">
        <f t="shared" si="36"/>
        <v>2120</v>
      </c>
      <c r="AA192" s="75">
        <f t="shared" si="38"/>
        <v>2120</v>
      </c>
      <c r="AB192" s="75">
        <f t="shared" si="39"/>
        <v>0</v>
      </c>
    </row>
    <row r="193" spans="1:28" ht="24">
      <c r="A193" s="69" t="s">
        <v>384</v>
      </c>
      <c r="B193" s="140" t="s">
        <v>722</v>
      </c>
      <c r="C193" s="140"/>
      <c r="D193" s="70" t="s">
        <v>816</v>
      </c>
      <c r="E193" s="71">
        <v>250</v>
      </c>
      <c r="F193" s="71">
        <v>250</v>
      </c>
      <c r="G193" s="72">
        <v>2</v>
      </c>
      <c r="H193" s="73">
        <v>0</v>
      </c>
      <c r="I193" s="73">
        <v>0</v>
      </c>
      <c r="J193" s="73">
        <v>0</v>
      </c>
      <c r="K193" s="72">
        <v>0</v>
      </c>
      <c r="L193" s="72">
        <f t="shared" si="28"/>
        <v>2</v>
      </c>
      <c r="M193" s="72">
        <v>2</v>
      </c>
      <c r="N193" s="72">
        <v>0</v>
      </c>
      <c r="O193" s="72">
        <v>0</v>
      </c>
      <c r="P193" s="72">
        <f t="shared" si="29"/>
        <v>2</v>
      </c>
      <c r="Q193" s="72">
        <f t="shared" si="30"/>
        <v>0</v>
      </c>
      <c r="R193" s="72"/>
      <c r="S193" s="56"/>
      <c r="T193" s="74">
        <f t="shared" si="31"/>
        <v>500</v>
      </c>
      <c r="U193" s="74">
        <v>0</v>
      </c>
      <c r="V193" s="74">
        <f t="shared" si="32"/>
        <v>0</v>
      </c>
      <c r="W193" s="74">
        <f t="shared" si="33"/>
        <v>0</v>
      </c>
      <c r="X193" s="74">
        <f t="shared" si="34"/>
        <v>0</v>
      </c>
      <c r="Y193" s="74">
        <f t="shared" si="35"/>
        <v>0</v>
      </c>
      <c r="Z193" s="74">
        <f t="shared" si="36"/>
        <v>500</v>
      </c>
      <c r="AA193" s="75">
        <f t="shared" si="38"/>
        <v>500</v>
      </c>
      <c r="AB193" s="75">
        <f t="shared" si="39"/>
        <v>0</v>
      </c>
    </row>
    <row r="194" spans="1:28" ht="96">
      <c r="A194" s="69" t="s">
        <v>386</v>
      </c>
      <c r="B194" s="70" t="s">
        <v>387</v>
      </c>
      <c r="C194" s="69"/>
      <c r="D194" s="70" t="s">
        <v>387</v>
      </c>
      <c r="E194" s="71">
        <v>517.89</v>
      </c>
      <c r="F194" s="71">
        <v>517.89</v>
      </c>
      <c r="G194" s="72">
        <v>50</v>
      </c>
      <c r="H194" s="73">
        <v>0</v>
      </c>
      <c r="I194" s="73">
        <v>0</v>
      </c>
      <c r="J194" s="73">
        <v>0</v>
      </c>
      <c r="K194" s="72">
        <v>0</v>
      </c>
      <c r="L194" s="72">
        <f t="shared" si="28"/>
        <v>50</v>
      </c>
      <c r="M194" s="72">
        <v>50</v>
      </c>
      <c r="N194" s="72">
        <v>0</v>
      </c>
      <c r="O194" s="72">
        <v>0</v>
      </c>
      <c r="P194" s="72">
        <f t="shared" si="29"/>
        <v>50</v>
      </c>
      <c r="Q194" s="72">
        <f t="shared" si="30"/>
        <v>0</v>
      </c>
      <c r="R194" s="72"/>
      <c r="S194" s="56"/>
      <c r="T194" s="74">
        <f t="shared" si="31"/>
        <v>25894.5</v>
      </c>
      <c r="U194" s="74">
        <v>0</v>
      </c>
      <c r="V194" s="74">
        <f t="shared" si="32"/>
        <v>0</v>
      </c>
      <c r="W194" s="74">
        <f t="shared" si="33"/>
        <v>0</v>
      </c>
      <c r="X194" s="74">
        <f t="shared" si="34"/>
        <v>0</v>
      </c>
      <c r="Y194" s="74">
        <f t="shared" si="35"/>
        <v>0</v>
      </c>
      <c r="Z194" s="74">
        <f t="shared" si="36"/>
        <v>25894.5</v>
      </c>
      <c r="AA194" s="75">
        <f t="shared" si="38"/>
        <v>25894.5</v>
      </c>
      <c r="AB194" s="75">
        <f t="shared" si="39"/>
        <v>0</v>
      </c>
    </row>
    <row r="195" spans="1:28" ht="24">
      <c r="A195" s="69" t="s">
        <v>388</v>
      </c>
      <c r="B195" s="140" t="s">
        <v>723</v>
      </c>
      <c r="C195" s="140"/>
      <c r="D195" s="70" t="s">
        <v>389</v>
      </c>
      <c r="E195" s="71">
        <v>70</v>
      </c>
      <c r="F195" s="71">
        <v>70</v>
      </c>
      <c r="G195" s="72">
        <v>4</v>
      </c>
      <c r="H195" s="73">
        <v>0</v>
      </c>
      <c r="I195" s="73">
        <v>0</v>
      </c>
      <c r="J195" s="73">
        <v>0</v>
      </c>
      <c r="K195" s="72">
        <v>0</v>
      </c>
      <c r="L195" s="72">
        <f t="shared" si="28"/>
        <v>4</v>
      </c>
      <c r="M195" s="72">
        <v>4</v>
      </c>
      <c r="N195" s="72">
        <v>0</v>
      </c>
      <c r="O195" s="72">
        <v>0</v>
      </c>
      <c r="P195" s="72">
        <f t="shared" si="29"/>
        <v>4</v>
      </c>
      <c r="Q195" s="72">
        <f t="shared" si="30"/>
        <v>0</v>
      </c>
      <c r="R195" s="72"/>
      <c r="S195" s="56"/>
      <c r="T195" s="74">
        <f t="shared" si="31"/>
        <v>280</v>
      </c>
      <c r="U195" s="74">
        <v>0</v>
      </c>
      <c r="V195" s="74">
        <f t="shared" si="32"/>
        <v>0</v>
      </c>
      <c r="W195" s="74">
        <f t="shared" si="33"/>
        <v>0</v>
      </c>
      <c r="X195" s="74">
        <f t="shared" si="34"/>
        <v>0</v>
      </c>
      <c r="Y195" s="74">
        <f t="shared" si="35"/>
        <v>0</v>
      </c>
      <c r="Z195" s="74">
        <f t="shared" si="36"/>
        <v>280</v>
      </c>
      <c r="AA195" s="75">
        <f t="shared" si="38"/>
        <v>280</v>
      </c>
      <c r="AB195" s="75">
        <f t="shared" si="39"/>
        <v>0</v>
      </c>
    </row>
    <row r="196" spans="1:28" ht="24">
      <c r="A196" s="69" t="s">
        <v>390</v>
      </c>
      <c r="B196" s="70" t="s">
        <v>391</v>
      </c>
      <c r="C196" s="69"/>
      <c r="D196" s="70" t="s">
        <v>391</v>
      </c>
      <c r="E196" s="71">
        <v>0</v>
      </c>
      <c r="F196" s="71">
        <v>0</v>
      </c>
      <c r="G196" s="72">
        <v>0</v>
      </c>
      <c r="H196" s="73">
        <v>0</v>
      </c>
      <c r="I196" s="73">
        <v>0</v>
      </c>
      <c r="J196" s="73">
        <v>0</v>
      </c>
      <c r="K196" s="72">
        <v>0</v>
      </c>
      <c r="L196" s="72">
        <f t="shared" si="28"/>
        <v>0</v>
      </c>
      <c r="M196" s="72">
        <v>0</v>
      </c>
      <c r="N196" s="72">
        <v>0</v>
      </c>
      <c r="O196" s="72">
        <v>0</v>
      </c>
      <c r="P196" s="72">
        <f t="shared" si="29"/>
        <v>0</v>
      </c>
      <c r="Q196" s="72">
        <f t="shared" si="30"/>
        <v>0</v>
      </c>
      <c r="R196" s="72"/>
      <c r="S196" s="56"/>
      <c r="T196" s="74">
        <f t="shared" si="31"/>
        <v>0</v>
      </c>
      <c r="U196" s="74">
        <v>0</v>
      </c>
      <c r="V196" s="74">
        <f t="shared" si="32"/>
        <v>0</v>
      </c>
      <c r="W196" s="74">
        <f t="shared" si="33"/>
        <v>0</v>
      </c>
      <c r="X196" s="74">
        <f t="shared" si="34"/>
        <v>0</v>
      </c>
      <c r="Y196" s="74">
        <f t="shared" si="35"/>
        <v>0</v>
      </c>
      <c r="Z196" s="74">
        <f t="shared" si="36"/>
        <v>0</v>
      </c>
      <c r="AA196" s="75">
        <f t="shared" si="38"/>
        <v>0</v>
      </c>
      <c r="AB196" s="75">
        <f t="shared" si="39"/>
        <v>0</v>
      </c>
    </row>
    <row r="197" spans="1:28" ht="24">
      <c r="A197" s="69" t="s">
        <v>392</v>
      </c>
      <c r="B197" s="140" t="s">
        <v>764</v>
      </c>
      <c r="C197" s="140"/>
      <c r="D197" s="70" t="s">
        <v>393</v>
      </c>
      <c r="E197" s="71">
        <v>690</v>
      </c>
      <c r="F197" s="71">
        <v>690</v>
      </c>
      <c r="G197" s="72">
        <v>1</v>
      </c>
      <c r="H197" s="73">
        <v>0</v>
      </c>
      <c r="I197" s="73">
        <v>0</v>
      </c>
      <c r="J197" s="73">
        <v>0</v>
      </c>
      <c r="K197" s="72">
        <v>0</v>
      </c>
      <c r="L197" s="72">
        <f t="shared" si="28"/>
        <v>1</v>
      </c>
      <c r="M197" s="72">
        <v>1</v>
      </c>
      <c r="N197" s="72">
        <v>0</v>
      </c>
      <c r="O197" s="72">
        <v>0</v>
      </c>
      <c r="P197" s="72">
        <f t="shared" si="29"/>
        <v>1</v>
      </c>
      <c r="Q197" s="72">
        <f t="shared" si="30"/>
        <v>0</v>
      </c>
      <c r="R197" s="72"/>
      <c r="S197" s="56"/>
      <c r="T197" s="74">
        <f t="shared" si="31"/>
        <v>690</v>
      </c>
      <c r="U197" s="74">
        <v>0</v>
      </c>
      <c r="V197" s="74">
        <f t="shared" si="32"/>
        <v>0</v>
      </c>
      <c r="W197" s="74">
        <f t="shared" si="33"/>
        <v>0</v>
      </c>
      <c r="X197" s="74">
        <f t="shared" si="34"/>
        <v>0</v>
      </c>
      <c r="Y197" s="74">
        <f t="shared" si="35"/>
        <v>0</v>
      </c>
      <c r="Z197" s="74">
        <f t="shared" si="36"/>
        <v>690</v>
      </c>
      <c r="AA197" s="75">
        <f t="shared" si="38"/>
        <v>690</v>
      </c>
      <c r="AB197" s="75">
        <f t="shared" si="39"/>
        <v>0</v>
      </c>
    </row>
    <row r="198" spans="1:28" ht="24">
      <c r="A198" s="69" t="s">
        <v>394</v>
      </c>
      <c r="B198" s="70" t="s">
        <v>395</v>
      </c>
      <c r="C198" s="69"/>
      <c r="D198" s="70" t="s">
        <v>395</v>
      </c>
      <c r="E198" s="71">
        <v>0</v>
      </c>
      <c r="F198" s="71">
        <v>0</v>
      </c>
      <c r="G198" s="72">
        <v>0</v>
      </c>
      <c r="H198" s="73">
        <v>0</v>
      </c>
      <c r="I198" s="73">
        <v>0</v>
      </c>
      <c r="J198" s="73">
        <v>0</v>
      </c>
      <c r="K198" s="72">
        <v>0</v>
      </c>
      <c r="L198" s="72">
        <f t="shared" si="28"/>
        <v>0</v>
      </c>
      <c r="M198" s="72">
        <v>0</v>
      </c>
      <c r="N198" s="72">
        <v>0</v>
      </c>
      <c r="O198" s="72">
        <v>0</v>
      </c>
      <c r="P198" s="72">
        <f t="shared" si="29"/>
        <v>0</v>
      </c>
      <c r="Q198" s="72">
        <f t="shared" si="30"/>
        <v>0</v>
      </c>
      <c r="R198" s="72"/>
      <c r="S198" s="56"/>
      <c r="T198" s="74">
        <f t="shared" si="31"/>
        <v>0</v>
      </c>
      <c r="U198" s="74">
        <v>0</v>
      </c>
      <c r="V198" s="74">
        <f t="shared" si="32"/>
        <v>0</v>
      </c>
      <c r="W198" s="74">
        <f t="shared" si="33"/>
        <v>0</v>
      </c>
      <c r="X198" s="74">
        <f t="shared" si="34"/>
        <v>0</v>
      </c>
      <c r="Y198" s="74">
        <f t="shared" si="35"/>
        <v>0</v>
      </c>
      <c r="Z198" s="74">
        <f t="shared" si="36"/>
        <v>0</v>
      </c>
      <c r="AA198" s="75">
        <f t="shared" si="38"/>
        <v>0</v>
      </c>
      <c r="AB198" s="75">
        <f t="shared" si="39"/>
        <v>0</v>
      </c>
    </row>
    <row r="199" spans="1:28" ht="60">
      <c r="A199" s="69" t="s">
        <v>396</v>
      </c>
      <c r="B199" s="140" t="s">
        <v>757</v>
      </c>
      <c r="C199" s="140" t="s">
        <v>750</v>
      </c>
      <c r="D199" s="70" t="s">
        <v>397</v>
      </c>
      <c r="E199" s="71">
        <v>60</v>
      </c>
      <c r="F199" s="71">
        <v>60</v>
      </c>
      <c r="G199" s="72">
        <v>9</v>
      </c>
      <c r="H199" s="73">
        <v>0</v>
      </c>
      <c r="I199" s="73">
        <v>0</v>
      </c>
      <c r="J199" s="73">
        <v>5</v>
      </c>
      <c r="K199" s="72">
        <v>0</v>
      </c>
      <c r="L199" s="72">
        <f t="shared" ref="L199:L262" si="40">G199+H199+I199-J199-K199</f>
        <v>4</v>
      </c>
      <c r="M199" s="72">
        <v>4</v>
      </c>
      <c r="N199" s="72">
        <v>0</v>
      </c>
      <c r="O199" s="72">
        <v>0</v>
      </c>
      <c r="P199" s="72">
        <f t="shared" ref="P199:P262" si="41">M199+N199+O199</f>
        <v>4</v>
      </c>
      <c r="Q199" s="72">
        <f t="shared" ref="Q199:Q262" si="42">P199-L199</f>
        <v>0</v>
      </c>
      <c r="R199" s="72"/>
      <c r="S199" s="56"/>
      <c r="T199" s="74">
        <f t="shared" ref="T199:T262" si="43">E199*G199</f>
        <v>540</v>
      </c>
      <c r="U199" s="74">
        <v>0</v>
      </c>
      <c r="V199" s="74">
        <f t="shared" ref="V199:V262" si="44">F199*H199</f>
        <v>0</v>
      </c>
      <c r="W199" s="74">
        <f t="shared" ref="W199:W262" si="45">F199*I199</f>
        <v>0</v>
      </c>
      <c r="X199" s="74">
        <f t="shared" ref="X199:X262" si="46">F199*J199</f>
        <v>300</v>
      </c>
      <c r="Y199" s="74">
        <f t="shared" ref="Y199:Y262" si="47">F199*K199</f>
        <v>0</v>
      </c>
      <c r="Z199" s="74">
        <f t="shared" ref="Z199:Z262" si="48">T199+U199+V199+W199-X199-Y199</f>
        <v>240</v>
      </c>
      <c r="AA199" s="75">
        <f t="shared" si="38"/>
        <v>240</v>
      </c>
      <c r="AB199" s="75">
        <f t="shared" si="39"/>
        <v>0</v>
      </c>
    </row>
    <row r="200" spans="1:28" ht="24">
      <c r="A200" s="69" t="s">
        <v>398</v>
      </c>
      <c r="B200" s="70" t="s">
        <v>399</v>
      </c>
      <c r="C200" s="69"/>
      <c r="D200" s="70" t="s">
        <v>399</v>
      </c>
      <c r="E200" s="71">
        <v>620</v>
      </c>
      <c r="F200" s="71">
        <v>620</v>
      </c>
      <c r="G200" s="72">
        <v>0</v>
      </c>
      <c r="H200" s="73">
        <v>0</v>
      </c>
      <c r="I200" s="73">
        <v>0</v>
      </c>
      <c r="J200" s="73">
        <v>0</v>
      </c>
      <c r="K200" s="72">
        <v>0</v>
      </c>
      <c r="L200" s="72">
        <f t="shared" si="40"/>
        <v>0</v>
      </c>
      <c r="M200" s="72">
        <v>0</v>
      </c>
      <c r="N200" s="72">
        <v>0</v>
      </c>
      <c r="O200" s="72">
        <v>0</v>
      </c>
      <c r="P200" s="72">
        <f t="shared" si="41"/>
        <v>0</v>
      </c>
      <c r="Q200" s="72">
        <f t="shared" si="42"/>
        <v>0</v>
      </c>
      <c r="R200" s="72"/>
      <c r="S200" s="56"/>
      <c r="T200" s="74">
        <f t="shared" si="43"/>
        <v>0</v>
      </c>
      <c r="U200" s="74">
        <v>0</v>
      </c>
      <c r="V200" s="74">
        <f t="shared" si="44"/>
        <v>0</v>
      </c>
      <c r="W200" s="74">
        <f t="shared" si="45"/>
        <v>0</v>
      </c>
      <c r="X200" s="74">
        <f t="shared" si="46"/>
        <v>0</v>
      </c>
      <c r="Y200" s="74">
        <f t="shared" si="47"/>
        <v>0</v>
      </c>
      <c r="Z200" s="74">
        <f t="shared" si="48"/>
        <v>0</v>
      </c>
      <c r="AA200" s="75">
        <f t="shared" si="38"/>
        <v>0</v>
      </c>
      <c r="AB200" s="75">
        <f t="shared" si="39"/>
        <v>0</v>
      </c>
    </row>
    <row r="201" spans="1:28" ht="24">
      <c r="A201" s="69" t="s">
        <v>400</v>
      </c>
      <c r="B201" s="140" t="s">
        <v>724</v>
      </c>
      <c r="C201" s="140"/>
      <c r="D201" s="70" t="s">
        <v>401</v>
      </c>
      <c r="E201" s="71">
        <v>390</v>
      </c>
      <c r="F201" s="71">
        <v>390</v>
      </c>
      <c r="G201" s="72">
        <v>3</v>
      </c>
      <c r="H201" s="73">
        <v>0</v>
      </c>
      <c r="I201" s="73">
        <v>0</v>
      </c>
      <c r="J201" s="73">
        <v>0</v>
      </c>
      <c r="K201" s="72">
        <v>0</v>
      </c>
      <c r="L201" s="72">
        <f t="shared" si="40"/>
        <v>3</v>
      </c>
      <c r="M201" s="72">
        <v>3</v>
      </c>
      <c r="N201" s="72">
        <v>0</v>
      </c>
      <c r="O201" s="72">
        <v>0</v>
      </c>
      <c r="P201" s="72">
        <f t="shared" si="41"/>
        <v>3</v>
      </c>
      <c r="Q201" s="72">
        <f t="shared" si="42"/>
        <v>0</v>
      </c>
      <c r="R201" s="72"/>
      <c r="S201" s="56"/>
      <c r="T201" s="74">
        <f t="shared" si="43"/>
        <v>1170</v>
      </c>
      <c r="U201" s="74">
        <v>0</v>
      </c>
      <c r="V201" s="74">
        <f t="shared" si="44"/>
        <v>0</v>
      </c>
      <c r="W201" s="74">
        <f t="shared" si="45"/>
        <v>0</v>
      </c>
      <c r="X201" s="74">
        <f t="shared" si="46"/>
        <v>0</v>
      </c>
      <c r="Y201" s="74">
        <f t="shared" si="47"/>
        <v>0</v>
      </c>
      <c r="Z201" s="74">
        <f t="shared" si="48"/>
        <v>1170</v>
      </c>
      <c r="AA201" s="75">
        <f t="shared" si="38"/>
        <v>1170</v>
      </c>
      <c r="AB201" s="75">
        <f t="shared" si="39"/>
        <v>0</v>
      </c>
    </row>
    <row r="202" spans="1:28" ht="24">
      <c r="A202" s="69" t="s">
        <v>402</v>
      </c>
      <c r="B202" s="70" t="s">
        <v>403</v>
      </c>
      <c r="C202" s="69"/>
      <c r="D202" s="70" t="s">
        <v>403</v>
      </c>
      <c r="E202" s="71">
        <v>320</v>
      </c>
      <c r="F202" s="71">
        <v>320</v>
      </c>
      <c r="G202" s="72">
        <v>0</v>
      </c>
      <c r="H202" s="73">
        <v>0</v>
      </c>
      <c r="I202" s="73">
        <v>0</v>
      </c>
      <c r="J202" s="73">
        <v>0</v>
      </c>
      <c r="K202" s="72">
        <v>0</v>
      </c>
      <c r="L202" s="72">
        <f t="shared" si="40"/>
        <v>0</v>
      </c>
      <c r="M202" s="72">
        <v>0</v>
      </c>
      <c r="N202" s="72">
        <v>0</v>
      </c>
      <c r="O202" s="72">
        <v>0</v>
      </c>
      <c r="P202" s="72">
        <f t="shared" si="41"/>
        <v>0</v>
      </c>
      <c r="Q202" s="72">
        <f t="shared" si="42"/>
        <v>0</v>
      </c>
      <c r="R202" s="72"/>
      <c r="S202" s="56"/>
      <c r="T202" s="74">
        <f t="shared" si="43"/>
        <v>0</v>
      </c>
      <c r="U202" s="74">
        <v>0</v>
      </c>
      <c r="V202" s="74">
        <f t="shared" si="44"/>
        <v>0</v>
      </c>
      <c r="W202" s="74">
        <f t="shared" si="45"/>
        <v>0</v>
      </c>
      <c r="X202" s="74">
        <f t="shared" si="46"/>
        <v>0</v>
      </c>
      <c r="Y202" s="74">
        <f t="shared" si="47"/>
        <v>0</v>
      </c>
      <c r="Z202" s="74">
        <f t="shared" si="48"/>
        <v>0</v>
      </c>
      <c r="AA202" s="75">
        <f t="shared" si="38"/>
        <v>0</v>
      </c>
      <c r="AB202" s="75">
        <f t="shared" si="39"/>
        <v>0</v>
      </c>
    </row>
    <row r="203" spans="1:28" ht="24">
      <c r="A203" s="69" t="s">
        <v>404</v>
      </c>
      <c r="B203" s="70" t="s">
        <v>817</v>
      </c>
      <c r="C203" s="69"/>
      <c r="D203" s="70" t="s">
        <v>817</v>
      </c>
      <c r="E203" s="71">
        <v>80</v>
      </c>
      <c r="F203" s="71">
        <v>80</v>
      </c>
      <c r="G203" s="72">
        <v>1</v>
      </c>
      <c r="H203" s="73">
        <v>0</v>
      </c>
      <c r="I203" s="73">
        <v>0</v>
      </c>
      <c r="J203" s="73">
        <v>0</v>
      </c>
      <c r="K203" s="72">
        <v>0</v>
      </c>
      <c r="L203" s="72">
        <f t="shared" si="40"/>
        <v>1</v>
      </c>
      <c r="M203" s="72">
        <v>1</v>
      </c>
      <c r="N203" s="72">
        <v>0</v>
      </c>
      <c r="O203" s="72">
        <v>0</v>
      </c>
      <c r="P203" s="72">
        <f t="shared" si="41"/>
        <v>1</v>
      </c>
      <c r="Q203" s="72">
        <f t="shared" si="42"/>
        <v>0</v>
      </c>
      <c r="R203" s="72"/>
      <c r="S203" s="56"/>
      <c r="T203" s="74">
        <f t="shared" si="43"/>
        <v>80</v>
      </c>
      <c r="U203" s="74">
        <v>0</v>
      </c>
      <c r="V203" s="74">
        <f t="shared" si="44"/>
        <v>0</v>
      </c>
      <c r="W203" s="74">
        <f t="shared" si="45"/>
        <v>0</v>
      </c>
      <c r="X203" s="74">
        <f t="shared" si="46"/>
        <v>0</v>
      </c>
      <c r="Y203" s="74">
        <f t="shared" si="47"/>
        <v>0</v>
      </c>
      <c r="Z203" s="74">
        <f t="shared" si="48"/>
        <v>80</v>
      </c>
      <c r="AA203" s="75">
        <f t="shared" si="38"/>
        <v>80</v>
      </c>
      <c r="AB203" s="75">
        <f t="shared" si="39"/>
        <v>0</v>
      </c>
    </row>
    <row r="204" spans="1:28" ht="24">
      <c r="A204" s="69" t="s">
        <v>406</v>
      </c>
      <c r="B204" s="70" t="s">
        <v>407</v>
      </c>
      <c r="C204" s="69"/>
      <c r="D204" s="70" t="s">
        <v>407</v>
      </c>
      <c r="E204" s="71">
        <v>251.92</v>
      </c>
      <c r="F204" s="71">
        <v>251.92</v>
      </c>
      <c r="G204" s="72">
        <v>2</v>
      </c>
      <c r="H204" s="73">
        <v>0</v>
      </c>
      <c r="I204" s="73">
        <v>0</v>
      </c>
      <c r="J204" s="73">
        <v>0</v>
      </c>
      <c r="K204" s="72">
        <v>0</v>
      </c>
      <c r="L204" s="72">
        <f t="shared" si="40"/>
        <v>2</v>
      </c>
      <c r="M204" s="72">
        <v>2</v>
      </c>
      <c r="N204" s="72">
        <v>0</v>
      </c>
      <c r="O204" s="72">
        <v>0</v>
      </c>
      <c r="P204" s="72">
        <f t="shared" si="41"/>
        <v>2</v>
      </c>
      <c r="Q204" s="72">
        <f t="shared" si="42"/>
        <v>0</v>
      </c>
      <c r="R204" s="72"/>
      <c r="S204" s="56"/>
      <c r="T204" s="74">
        <f t="shared" si="43"/>
        <v>503.84</v>
      </c>
      <c r="U204" s="74">
        <v>0</v>
      </c>
      <c r="V204" s="74">
        <f t="shared" si="44"/>
        <v>0</v>
      </c>
      <c r="W204" s="74">
        <f t="shared" si="45"/>
        <v>0</v>
      </c>
      <c r="X204" s="74">
        <f t="shared" si="46"/>
        <v>0</v>
      </c>
      <c r="Y204" s="74">
        <f t="shared" si="47"/>
        <v>0</v>
      </c>
      <c r="Z204" s="74">
        <f t="shared" si="48"/>
        <v>503.84</v>
      </c>
      <c r="AA204" s="75">
        <f t="shared" si="38"/>
        <v>503.84</v>
      </c>
      <c r="AB204" s="75">
        <f t="shared" si="39"/>
        <v>0</v>
      </c>
    </row>
    <row r="205" spans="1:28" ht="24">
      <c r="A205" s="69" t="s">
        <v>408</v>
      </c>
      <c r="B205" s="142" t="s">
        <v>767</v>
      </c>
      <c r="C205" s="69"/>
      <c r="D205" s="70" t="s">
        <v>409</v>
      </c>
      <c r="E205" s="71">
        <v>3400</v>
      </c>
      <c r="F205" s="71">
        <v>3400</v>
      </c>
      <c r="G205" s="72">
        <v>1</v>
      </c>
      <c r="H205" s="73">
        <v>0</v>
      </c>
      <c r="I205" s="73">
        <v>0</v>
      </c>
      <c r="J205" s="73">
        <v>0</v>
      </c>
      <c r="K205" s="72">
        <v>0</v>
      </c>
      <c r="L205" s="72">
        <f t="shared" si="40"/>
        <v>1</v>
      </c>
      <c r="M205" s="72">
        <v>1</v>
      </c>
      <c r="N205" s="72">
        <v>0</v>
      </c>
      <c r="O205" s="72">
        <v>0</v>
      </c>
      <c r="P205" s="72">
        <f t="shared" si="41"/>
        <v>1</v>
      </c>
      <c r="Q205" s="72">
        <f t="shared" si="42"/>
        <v>0</v>
      </c>
      <c r="R205" s="72"/>
      <c r="S205" s="56"/>
      <c r="T205" s="74">
        <f t="shared" si="43"/>
        <v>3400</v>
      </c>
      <c r="U205" s="74">
        <v>0</v>
      </c>
      <c r="V205" s="74">
        <f t="shared" si="44"/>
        <v>0</v>
      </c>
      <c r="W205" s="74">
        <f t="shared" si="45"/>
        <v>0</v>
      </c>
      <c r="X205" s="74">
        <f t="shared" si="46"/>
        <v>0</v>
      </c>
      <c r="Y205" s="74">
        <f t="shared" si="47"/>
        <v>0</v>
      </c>
      <c r="Z205" s="74">
        <f t="shared" si="48"/>
        <v>3400</v>
      </c>
      <c r="AA205" s="75">
        <f t="shared" si="38"/>
        <v>3400</v>
      </c>
      <c r="AB205" s="75">
        <f t="shared" si="39"/>
        <v>0</v>
      </c>
    </row>
    <row r="206" spans="1:28" ht="24">
      <c r="A206" s="69" t="s">
        <v>410</v>
      </c>
      <c r="B206" s="70" t="s">
        <v>411</v>
      </c>
      <c r="C206" s="69"/>
      <c r="D206" s="70" t="s">
        <v>411</v>
      </c>
      <c r="E206" s="71">
        <v>6665.36</v>
      </c>
      <c r="F206" s="71">
        <v>6665.36</v>
      </c>
      <c r="G206" s="72">
        <v>0</v>
      </c>
      <c r="H206" s="73">
        <v>0</v>
      </c>
      <c r="I206" s="73">
        <v>0</v>
      </c>
      <c r="J206" s="73">
        <v>0</v>
      </c>
      <c r="K206" s="72">
        <v>0</v>
      </c>
      <c r="L206" s="72">
        <f t="shared" si="40"/>
        <v>0</v>
      </c>
      <c r="M206" s="72">
        <v>0</v>
      </c>
      <c r="N206" s="72">
        <v>0</v>
      </c>
      <c r="O206" s="72">
        <v>0</v>
      </c>
      <c r="P206" s="72">
        <f t="shared" si="41"/>
        <v>0</v>
      </c>
      <c r="Q206" s="72">
        <f t="shared" si="42"/>
        <v>0</v>
      </c>
      <c r="R206" s="72"/>
      <c r="S206" s="56"/>
      <c r="T206" s="74">
        <f t="shared" si="43"/>
        <v>0</v>
      </c>
      <c r="U206" s="74">
        <v>0</v>
      </c>
      <c r="V206" s="74">
        <f t="shared" si="44"/>
        <v>0</v>
      </c>
      <c r="W206" s="74">
        <f t="shared" si="45"/>
        <v>0</v>
      </c>
      <c r="X206" s="74">
        <f t="shared" si="46"/>
        <v>0</v>
      </c>
      <c r="Y206" s="74">
        <f t="shared" si="47"/>
        <v>0</v>
      </c>
      <c r="Z206" s="74">
        <f t="shared" si="48"/>
        <v>0</v>
      </c>
      <c r="AA206" s="75">
        <f t="shared" si="38"/>
        <v>0</v>
      </c>
      <c r="AB206" s="75">
        <f t="shared" ref="AB206:AB237" si="49">AA206-Z206</f>
        <v>0</v>
      </c>
    </row>
    <row r="207" spans="1:28" ht="36">
      <c r="A207" s="69" t="s">
        <v>412</v>
      </c>
      <c r="B207" s="70" t="s">
        <v>413</v>
      </c>
      <c r="C207" s="69" t="s">
        <v>818</v>
      </c>
      <c r="D207" s="70" t="s">
        <v>413</v>
      </c>
      <c r="E207" s="71">
        <v>0</v>
      </c>
      <c r="F207" s="71">
        <v>0</v>
      </c>
      <c r="G207" s="72">
        <v>0</v>
      </c>
      <c r="H207" s="73">
        <v>0</v>
      </c>
      <c r="I207" s="73">
        <v>0</v>
      </c>
      <c r="J207" s="73">
        <v>0</v>
      </c>
      <c r="K207" s="72">
        <v>0</v>
      </c>
      <c r="L207" s="72">
        <f t="shared" si="40"/>
        <v>0</v>
      </c>
      <c r="M207" s="72">
        <v>0</v>
      </c>
      <c r="N207" s="72">
        <v>0</v>
      </c>
      <c r="O207" s="72">
        <v>0</v>
      </c>
      <c r="P207" s="72">
        <f t="shared" si="41"/>
        <v>0</v>
      </c>
      <c r="Q207" s="72">
        <f t="shared" si="42"/>
        <v>0</v>
      </c>
      <c r="R207" s="72"/>
      <c r="S207" s="56"/>
      <c r="T207" s="74">
        <f t="shared" si="43"/>
        <v>0</v>
      </c>
      <c r="U207" s="74">
        <v>0</v>
      </c>
      <c r="V207" s="74">
        <f t="shared" si="44"/>
        <v>0</v>
      </c>
      <c r="W207" s="74">
        <f t="shared" si="45"/>
        <v>0</v>
      </c>
      <c r="X207" s="74">
        <f t="shared" si="46"/>
        <v>0</v>
      </c>
      <c r="Y207" s="74">
        <f t="shared" si="47"/>
        <v>0</v>
      </c>
      <c r="Z207" s="74">
        <f t="shared" si="48"/>
        <v>0</v>
      </c>
      <c r="AA207" s="75">
        <f t="shared" si="38"/>
        <v>0</v>
      </c>
      <c r="AB207" s="75">
        <f t="shared" si="49"/>
        <v>0</v>
      </c>
    </row>
    <row r="208" spans="1:28" ht="36">
      <c r="A208" s="69" t="s">
        <v>414</v>
      </c>
      <c r="B208" s="140" t="s">
        <v>725</v>
      </c>
      <c r="C208" s="140" t="s">
        <v>759</v>
      </c>
      <c r="D208" s="70" t="s">
        <v>415</v>
      </c>
      <c r="E208" s="71">
        <v>68</v>
      </c>
      <c r="F208" s="71">
        <v>68</v>
      </c>
      <c r="G208" s="72">
        <v>50</v>
      </c>
      <c r="H208" s="73">
        <v>0</v>
      </c>
      <c r="I208" s="73">
        <v>0</v>
      </c>
      <c r="J208" s="73">
        <v>25</v>
      </c>
      <c r="K208" s="72">
        <v>0</v>
      </c>
      <c r="L208" s="72">
        <f t="shared" si="40"/>
        <v>25</v>
      </c>
      <c r="M208" s="72">
        <v>25</v>
      </c>
      <c r="N208" s="72">
        <v>0</v>
      </c>
      <c r="O208" s="72">
        <v>0</v>
      </c>
      <c r="P208" s="72">
        <f t="shared" si="41"/>
        <v>25</v>
      </c>
      <c r="Q208" s="72">
        <f t="shared" si="42"/>
        <v>0</v>
      </c>
      <c r="R208" s="72"/>
      <c r="S208" s="56"/>
      <c r="T208" s="74">
        <f t="shared" si="43"/>
        <v>3400</v>
      </c>
      <c r="U208" s="74">
        <v>0</v>
      </c>
      <c r="V208" s="74">
        <f t="shared" si="44"/>
        <v>0</v>
      </c>
      <c r="W208" s="74">
        <f t="shared" si="45"/>
        <v>0</v>
      </c>
      <c r="X208" s="74">
        <f t="shared" si="46"/>
        <v>1700</v>
      </c>
      <c r="Y208" s="74">
        <f t="shared" si="47"/>
        <v>0</v>
      </c>
      <c r="Z208" s="74">
        <f t="shared" si="48"/>
        <v>1700</v>
      </c>
      <c r="AA208" s="75">
        <f t="shared" si="38"/>
        <v>1700</v>
      </c>
      <c r="AB208" s="75">
        <f t="shared" si="49"/>
        <v>0</v>
      </c>
    </row>
    <row r="209" spans="1:29" ht="24">
      <c r="A209" s="69" t="s">
        <v>416</v>
      </c>
      <c r="B209" s="70" t="s">
        <v>417</v>
      </c>
      <c r="C209" s="69"/>
      <c r="D209" s="70" t="s">
        <v>417</v>
      </c>
      <c r="E209" s="71">
        <v>60</v>
      </c>
      <c r="F209" s="71">
        <v>60</v>
      </c>
      <c r="G209" s="72">
        <v>25</v>
      </c>
      <c r="H209" s="73">
        <v>0</v>
      </c>
      <c r="I209" s="73">
        <v>0</v>
      </c>
      <c r="J209" s="73">
        <v>0</v>
      </c>
      <c r="K209" s="72">
        <v>0</v>
      </c>
      <c r="L209" s="72">
        <f t="shared" si="40"/>
        <v>25</v>
      </c>
      <c r="M209" s="72">
        <v>25</v>
      </c>
      <c r="N209" s="72">
        <v>0</v>
      </c>
      <c r="O209" s="72">
        <v>0</v>
      </c>
      <c r="P209" s="72">
        <f t="shared" si="41"/>
        <v>25</v>
      </c>
      <c r="Q209" s="72">
        <f t="shared" si="42"/>
        <v>0</v>
      </c>
      <c r="R209" s="72"/>
      <c r="S209" s="56"/>
      <c r="T209" s="74">
        <f t="shared" si="43"/>
        <v>1500</v>
      </c>
      <c r="U209" s="74">
        <v>0</v>
      </c>
      <c r="V209" s="74">
        <f t="shared" si="44"/>
        <v>0</v>
      </c>
      <c r="W209" s="74">
        <f t="shared" si="45"/>
        <v>0</v>
      </c>
      <c r="X209" s="74">
        <f t="shared" si="46"/>
        <v>0</v>
      </c>
      <c r="Y209" s="74">
        <f t="shared" si="47"/>
        <v>0</v>
      </c>
      <c r="Z209" s="74">
        <f t="shared" si="48"/>
        <v>1500</v>
      </c>
      <c r="AA209" s="75">
        <f t="shared" si="38"/>
        <v>1500</v>
      </c>
      <c r="AB209" s="75">
        <f t="shared" si="49"/>
        <v>0</v>
      </c>
    </row>
    <row r="210" spans="1:29" ht="36">
      <c r="A210" s="69" t="s">
        <v>418</v>
      </c>
      <c r="B210" s="70" t="s">
        <v>419</v>
      </c>
      <c r="C210" s="69"/>
      <c r="D210" s="70" t="s">
        <v>419</v>
      </c>
      <c r="E210" s="71">
        <v>3900</v>
      </c>
      <c r="F210" s="71">
        <v>3900</v>
      </c>
      <c r="G210" s="72">
        <v>1</v>
      </c>
      <c r="H210" s="73">
        <v>0</v>
      </c>
      <c r="I210" s="73">
        <v>0</v>
      </c>
      <c r="J210" s="73">
        <v>0</v>
      </c>
      <c r="K210" s="72">
        <v>0</v>
      </c>
      <c r="L210" s="72">
        <f t="shared" si="40"/>
        <v>1</v>
      </c>
      <c r="M210" s="72">
        <v>1</v>
      </c>
      <c r="N210" s="72">
        <v>0</v>
      </c>
      <c r="O210" s="72">
        <v>0</v>
      </c>
      <c r="P210" s="72">
        <f t="shared" si="41"/>
        <v>1</v>
      </c>
      <c r="Q210" s="72">
        <f t="shared" si="42"/>
        <v>0</v>
      </c>
      <c r="R210" s="72"/>
      <c r="S210" s="56"/>
      <c r="T210" s="74">
        <f t="shared" si="43"/>
        <v>3900</v>
      </c>
      <c r="U210" s="74">
        <v>0</v>
      </c>
      <c r="V210" s="74">
        <f t="shared" si="44"/>
        <v>0</v>
      </c>
      <c r="W210" s="74">
        <f t="shared" si="45"/>
        <v>0</v>
      </c>
      <c r="X210" s="74">
        <f t="shared" si="46"/>
        <v>0</v>
      </c>
      <c r="Y210" s="74">
        <f t="shared" si="47"/>
        <v>0</v>
      </c>
      <c r="Z210" s="74">
        <f t="shared" si="48"/>
        <v>3900</v>
      </c>
      <c r="AA210" s="75">
        <f t="shared" si="38"/>
        <v>3900</v>
      </c>
      <c r="AB210" s="75">
        <f t="shared" si="49"/>
        <v>0</v>
      </c>
    </row>
    <row r="211" spans="1:29" ht="36">
      <c r="A211" s="69" t="s">
        <v>420</v>
      </c>
      <c r="B211" s="70" t="s">
        <v>421</v>
      </c>
      <c r="C211" s="69"/>
      <c r="D211" s="70" t="s">
        <v>421</v>
      </c>
      <c r="E211" s="71">
        <v>0</v>
      </c>
      <c r="F211" s="71">
        <v>0</v>
      </c>
      <c r="G211" s="72">
        <v>0</v>
      </c>
      <c r="H211" s="73">
        <v>0</v>
      </c>
      <c r="I211" s="73">
        <v>0</v>
      </c>
      <c r="J211" s="73">
        <v>0</v>
      </c>
      <c r="K211" s="72">
        <v>0</v>
      </c>
      <c r="L211" s="72">
        <f t="shared" si="40"/>
        <v>0</v>
      </c>
      <c r="M211" s="72">
        <v>0</v>
      </c>
      <c r="N211" s="72">
        <v>0</v>
      </c>
      <c r="O211" s="72">
        <v>0</v>
      </c>
      <c r="P211" s="72">
        <f t="shared" si="41"/>
        <v>0</v>
      </c>
      <c r="Q211" s="72">
        <f t="shared" si="42"/>
        <v>0</v>
      </c>
      <c r="R211" s="72"/>
      <c r="S211" s="56"/>
      <c r="T211" s="74">
        <f t="shared" si="43"/>
        <v>0</v>
      </c>
      <c r="U211" s="74">
        <v>0</v>
      </c>
      <c r="V211" s="74">
        <f t="shared" si="44"/>
        <v>0</v>
      </c>
      <c r="W211" s="74">
        <f t="shared" si="45"/>
        <v>0</v>
      </c>
      <c r="X211" s="74">
        <f t="shared" si="46"/>
        <v>0</v>
      </c>
      <c r="Y211" s="74">
        <f t="shared" si="47"/>
        <v>0</v>
      </c>
      <c r="Z211" s="74">
        <f t="shared" si="48"/>
        <v>0</v>
      </c>
      <c r="AA211" s="75">
        <f t="shared" si="38"/>
        <v>0</v>
      </c>
      <c r="AB211" s="75">
        <f t="shared" si="49"/>
        <v>0</v>
      </c>
    </row>
    <row r="212" spans="1:29" ht="24">
      <c r="A212" s="69" t="s">
        <v>422</v>
      </c>
      <c r="B212" s="70" t="s">
        <v>423</v>
      </c>
      <c r="C212" s="69"/>
      <c r="D212" s="70" t="s">
        <v>423</v>
      </c>
      <c r="E212" s="71">
        <v>0</v>
      </c>
      <c r="F212" s="71">
        <v>0</v>
      </c>
      <c r="G212" s="72">
        <v>0</v>
      </c>
      <c r="H212" s="73">
        <v>0</v>
      </c>
      <c r="I212" s="73">
        <v>0</v>
      </c>
      <c r="J212" s="73">
        <v>0</v>
      </c>
      <c r="K212" s="72">
        <v>0</v>
      </c>
      <c r="L212" s="72">
        <f t="shared" si="40"/>
        <v>0</v>
      </c>
      <c r="M212" s="72">
        <v>0</v>
      </c>
      <c r="N212" s="72">
        <v>0</v>
      </c>
      <c r="O212" s="72">
        <v>0</v>
      </c>
      <c r="P212" s="72">
        <f t="shared" si="41"/>
        <v>0</v>
      </c>
      <c r="Q212" s="72">
        <f t="shared" si="42"/>
        <v>0</v>
      </c>
      <c r="R212" s="72"/>
      <c r="S212" s="56"/>
      <c r="T212" s="74">
        <f t="shared" si="43"/>
        <v>0</v>
      </c>
      <c r="U212" s="74">
        <v>0</v>
      </c>
      <c r="V212" s="74">
        <f t="shared" si="44"/>
        <v>0</v>
      </c>
      <c r="W212" s="74">
        <f t="shared" si="45"/>
        <v>0</v>
      </c>
      <c r="X212" s="74">
        <f t="shared" si="46"/>
        <v>0</v>
      </c>
      <c r="Y212" s="74">
        <f t="shared" si="47"/>
        <v>0</v>
      </c>
      <c r="Z212" s="74">
        <f t="shared" si="48"/>
        <v>0</v>
      </c>
      <c r="AA212" s="75">
        <f t="shared" si="38"/>
        <v>0</v>
      </c>
      <c r="AB212" s="75">
        <f t="shared" si="49"/>
        <v>0</v>
      </c>
    </row>
    <row r="213" spans="1:29" ht="24">
      <c r="A213" s="69" t="s">
        <v>424</v>
      </c>
      <c r="B213" s="70" t="s">
        <v>425</v>
      </c>
      <c r="C213" s="69"/>
      <c r="D213" s="70" t="s">
        <v>425</v>
      </c>
      <c r="E213" s="71">
        <v>0</v>
      </c>
      <c r="F213" s="71">
        <v>0</v>
      </c>
      <c r="G213" s="72">
        <v>0</v>
      </c>
      <c r="H213" s="73">
        <v>0</v>
      </c>
      <c r="I213" s="73">
        <v>0</v>
      </c>
      <c r="J213" s="73">
        <v>0</v>
      </c>
      <c r="K213" s="72">
        <v>0</v>
      </c>
      <c r="L213" s="72">
        <f t="shared" si="40"/>
        <v>0</v>
      </c>
      <c r="M213" s="72">
        <v>0</v>
      </c>
      <c r="N213" s="72">
        <v>0</v>
      </c>
      <c r="O213" s="72">
        <v>0</v>
      </c>
      <c r="P213" s="72">
        <f t="shared" si="41"/>
        <v>0</v>
      </c>
      <c r="Q213" s="72">
        <f t="shared" si="42"/>
        <v>0</v>
      </c>
      <c r="R213" s="72"/>
      <c r="S213" s="56"/>
      <c r="T213" s="74">
        <f t="shared" si="43"/>
        <v>0</v>
      </c>
      <c r="U213" s="74">
        <v>0</v>
      </c>
      <c r="V213" s="74">
        <f t="shared" si="44"/>
        <v>0</v>
      </c>
      <c r="W213" s="74">
        <f t="shared" si="45"/>
        <v>0</v>
      </c>
      <c r="X213" s="74">
        <f t="shared" si="46"/>
        <v>0</v>
      </c>
      <c r="Y213" s="74">
        <f t="shared" si="47"/>
        <v>0</v>
      </c>
      <c r="Z213" s="74">
        <f t="shared" si="48"/>
        <v>0</v>
      </c>
      <c r="AA213" s="75">
        <f t="shared" si="38"/>
        <v>0</v>
      </c>
      <c r="AB213" s="75">
        <f t="shared" si="49"/>
        <v>0</v>
      </c>
    </row>
    <row r="214" spans="1:29" s="157" customFormat="1" ht="15" customHeight="1">
      <c r="A214" s="69" t="s">
        <v>426</v>
      </c>
      <c r="B214" s="70" t="s">
        <v>427</v>
      </c>
      <c r="C214" s="69"/>
      <c r="D214" s="70" t="s">
        <v>427</v>
      </c>
      <c r="E214" s="71">
        <v>0</v>
      </c>
      <c r="F214" s="71">
        <v>0</v>
      </c>
      <c r="G214" s="72">
        <v>0</v>
      </c>
      <c r="H214" s="73">
        <v>0</v>
      </c>
      <c r="I214" s="73">
        <v>0</v>
      </c>
      <c r="J214" s="73">
        <v>0</v>
      </c>
      <c r="K214" s="72">
        <v>0</v>
      </c>
      <c r="L214" s="72">
        <f t="shared" si="40"/>
        <v>0</v>
      </c>
      <c r="M214" s="72">
        <v>0</v>
      </c>
      <c r="N214" s="72">
        <v>0</v>
      </c>
      <c r="O214" s="72">
        <v>0</v>
      </c>
      <c r="P214" s="72">
        <f t="shared" si="41"/>
        <v>0</v>
      </c>
      <c r="Q214" s="72">
        <f t="shared" si="42"/>
        <v>0</v>
      </c>
      <c r="R214" s="72"/>
      <c r="S214" s="56"/>
      <c r="T214" s="74">
        <f t="shared" si="43"/>
        <v>0</v>
      </c>
      <c r="U214" s="74">
        <v>0</v>
      </c>
      <c r="V214" s="74">
        <f t="shared" si="44"/>
        <v>0</v>
      </c>
      <c r="W214" s="74">
        <f t="shared" si="45"/>
        <v>0</v>
      </c>
      <c r="X214" s="74">
        <f t="shared" si="46"/>
        <v>0</v>
      </c>
      <c r="Y214" s="74">
        <f t="shared" si="47"/>
        <v>0</v>
      </c>
      <c r="Z214" s="74">
        <f t="shared" si="48"/>
        <v>0</v>
      </c>
      <c r="AA214" s="75">
        <f t="shared" si="38"/>
        <v>0</v>
      </c>
      <c r="AB214" s="75">
        <f t="shared" si="49"/>
        <v>0</v>
      </c>
      <c r="AC214" s="53"/>
    </row>
    <row r="215" spans="1:29" ht="24">
      <c r="A215" s="69" t="s">
        <v>428</v>
      </c>
      <c r="B215" s="70" t="s">
        <v>429</v>
      </c>
      <c r="C215" s="69"/>
      <c r="D215" s="70" t="s">
        <v>429</v>
      </c>
      <c r="E215" s="71">
        <v>0</v>
      </c>
      <c r="F215" s="71">
        <v>0</v>
      </c>
      <c r="G215" s="72">
        <v>0</v>
      </c>
      <c r="H215" s="73">
        <v>0</v>
      </c>
      <c r="I215" s="73">
        <v>0</v>
      </c>
      <c r="J215" s="73">
        <v>0</v>
      </c>
      <c r="K215" s="72">
        <v>0</v>
      </c>
      <c r="L215" s="72">
        <f t="shared" si="40"/>
        <v>0</v>
      </c>
      <c r="M215" s="72">
        <v>0</v>
      </c>
      <c r="N215" s="72">
        <v>0</v>
      </c>
      <c r="O215" s="72">
        <v>0</v>
      </c>
      <c r="P215" s="72">
        <f t="shared" si="41"/>
        <v>0</v>
      </c>
      <c r="Q215" s="72">
        <f t="shared" si="42"/>
        <v>0</v>
      </c>
      <c r="R215" s="72"/>
      <c r="S215" s="56"/>
      <c r="T215" s="74">
        <f t="shared" si="43"/>
        <v>0</v>
      </c>
      <c r="U215" s="74">
        <v>0</v>
      </c>
      <c r="V215" s="74">
        <f t="shared" si="44"/>
        <v>0</v>
      </c>
      <c r="W215" s="74">
        <f t="shared" si="45"/>
        <v>0</v>
      </c>
      <c r="X215" s="74">
        <f t="shared" si="46"/>
        <v>0</v>
      </c>
      <c r="Y215" s="74">
        <f t="shared" si="47"/>
        <v>0</v>
      </c>
      <c r="Z215" s="74">
        <f t="shared" si="48"/>
        <v>0</v>
      </c>
      <c r="AA215" s="75">
        <f t="shared" si="38"/>
        <v>0</v>
      </c>
      <c r="AB215" s="75">
        <f t="shared" si="49"/>
        <v>0</v>
      </c>
    </row>
    <row r="216" spans="1:29" s="157" customFormat="1" ht="24">
      <c r="A216" s="69" t="s">
        <v>430</v>
      </c>
      <c r="B216" s="70" t="s">
        <v>431</v>
      </c>
      <c r="C216" s="69"/>
      <c r="D216" s="70" t="s">
        <v>431</v>
      </c>
      <c r="E216" s="71">
        <v>0</v>
      </c>
      <c r="F216" s="71">
        <v>0</v>
      </c>
      <c r="G216" s="72">
        <v>0</v>
      </c>
      <c r="H216" s="73">
        <v>0</v>
      </c>
      <c r="I216" s="73">
        <v>0</v>
      </c>
      <c r="J216" s="73">
        <v>0</v>
      </c>
      <c r="K216" s="72">
        <v>0</v>
      </c>
      <c r="L216" s="72">
        <f t="shared" si="40"/>
        <v>0</v>
      </c>
      <c r="M216" s="72">
        <v>0</v>
      </c>
      <c r="N216" s="72">
        <v>0</v>
      </c>
      <c r="O216" s="72">
        <v>0</v>
      </c>
      <c r="P216" s="72">
        <f t="shared" si="41"/>
        <v>0</v>
      </c>
      <c r="Q216" s="72">
        <f t="shared" si="42"/>
        <v>0</v>
      </c>
      <c r="R216" s="72"/>
      <c r="S216" s="56"/>
      <c r="T216" s="74">
        <f t="shared" si="43"/>
        <v>0</v>
      </c>
      <c r="U216" s="74">
        <v>0</v>
      </c>
      <c r="V216" s="74">
        <f t="shared" si="44"/>
        <v>0</v>
      </c>
      <c r="W216" s="74">
        <f t="shared" si="45"/>
        <v>0</v>
      </c>
      <c r="X216" s="74">
        <f t="shared" si="46"/>
        <v>0</v>
      </c>
      <c r="Y216" s="74">
        <f t="shared" si="47"/>
        <v>0</v>
      </c>
      <c r="Z216" s="74">
        <f t="shared" si="48"/>
        <v>0</v>
      </c>
      <c r="AA216" s="75">
        <f t="shared" si="38"/>
        <v>0</v>
      </c>
      <c r="AB216" s="75">
        <f t="shared" si="49"/>
        <v>0</v>
      </c>
      <c r="AC216" s="53"/>
    </row>
    <row r="217" spans="1:29" ht="36">
      <c r="A217" s="69" t="s">
        <v>432</v>
      </c>
      <c r="B217" s="70" t="s">
        <v>433</v>
      </c>
      <c r="C217" s="69"/>
      <c r="D217" s="70" t="s">
        <v>433</v>
      </c>
      <c r="E217" s="71">
        <v>0</v>
      </c>
      <c r="F217" s="71">
        <v>0</v>
      </c>
      <c r="G217" s="72">
        <v>0</v>
      </c>
      <c r="H217" s="73">
        <v>0</v>
      </c>
      <c r="I217" s="73">
        <v>0</v>
      </c>
      <c r="J217" s="73">
        <v>0</v>
      </c>
      <c r="K217" s="72">
        <v>0</v>
      </c>
      <c r="L217" s="72">
        <f t="shared" si="40"/>
        <v>0</v>
      </c>
      <c r="M217" s="72">
        <v>0</v>
      </c>
      <c r="N217" s="72">
        <v>0</v>
      </c>
      <c r="O217" s="72">
        <v>0</v>
      </c>
      <c r="P217" s="72">
        <f t="shared" si="41"/>
        <v>0</v>
      </c>
      <c r="Q217" s="72">
        <f t="shared" si="42"/>
        <v>0</v>
      </c>
      <c r="R217" s="72"/>
      <c r="S217" s="56"/>
      <c r="T217" s="74">
        <f t="shared" si="43"/>
        <v>0</v>
      </c>
      <c r="U217" s="74">
        <v>0</v>
      </c>
      <c r="V217" s="74">
        <f t="shared" si="44"/>
        <v>0</v>
      </c>
      <c r="W217" s="74">
        <f t="shared" si="45"/>
        <v>0</v>
      </c>
      <c r="X217" s="74">
        <f t="shared" si="46"/>
        <v>0</v>
      </c>
      <c r="Y217" s="74">
        <f t="shared" si="47"/>
        <v>0</v>
      </c>
      <c r="Z217" s="74">
        <f t="shared" si="48"/>
        <v>0</v>
      </c>
      <c r="AA217" s="75">
        <f t="shared" si="38"/>
        <v>0</v>
      </c>
      <c r="AB217" s="75">
        <f t="shared" si="49"/>
        <v>0</v>
      </c>
    </row>
    <row r="218" spans="1:29" ht="60">
      <c r="A218" s="69" t="s">
        <v>436</v>
      </c>
      <c r="B218" s="70" t="s">
        <v>437</v>
      </c>
      <c r="C218" s="69"/>
      <c r="D218" s="70" t="s">
        <v>437</v>
      </c>
      <c r="E218" s="71">
        <v>630</v>
      </c>
      <c r="F218" s="71">
        <v>630</v>
      </c>
      <c r="G218" s="72">
        <v>0</v>
      </c>
      <c r="H218" s="73">
        <v>0</v>
      </c>
      <c r="I218" s="73">
        <v>0</v>
      </c>
      <c r="J218" s="73">
        <v>0</v>
      </c>
      <c r="K218" s="72">
        <v>0</v>
      </c>
      <c r="L218" s="72">
        <f t="shared" si="40"/>
        <v>0</v>
      </c>
      <c r="M218" s="72">
        <v>0</v>
      </c>
      <c r="N218" s="72">
        <v>0</v>
      </c>
      <c r="O218" s="72">
        <v>0</v>
      </c>
      <c r="P218" s="72">
        <f t="shared" si="41"/>
        <v>0</v>
      </c>
      <c r="Q218" s="72">
        <f t="shared" si="42"/>
        <v>0</v>
      </c>
      <c r="R218" s="72"/>
      <c r="S218" s="56"/>
      <c r="T218" s="74">
        <f t="shared" si="43"/>
        <v>0</v>
      </c>
      <c r="U218" s="74">
        <v>0</v>
      </c>
      <c r="V218" s="74">
        <f t="shared" si="44"/>
        <v>0</v>
      </c>
      <c r="W218" s="74">
        <f t="shared" si="45"/>
        <v>0</v>
      </c>
      <c r="X218" s="74">
        <f t="shared" si="46"/>
        <v>0</v>
      </c>
      <c r="Y218" s="74">
        <f t="shared" si="47"/>
        <v>0</v>
      </c>
      <c r="Z218" s="74">
        <f t="shared" si="48"/>
        <v>0</v>
      </c>
      <c r="AA218" s="75">
        <f t="shared" si="38"/>
        <v>0</v>
      </c>
      <c r="AB218" s="75">
        <f t="shared" si="49"/>
        <v>0</v>
      </c>
    </row>
    <row r="219" spans="1:29">
      <c r="A219" s="69" t="s">
        <v>440</v>
      </c>
      <c r="B219" s="70" t="s">
        <v>441</v>
      </c>
      <c r="C219" s="69"/>
      <c r="D219" s="70" t="s">
        <v>441</v>
      </c>
      <c r="E219" s="71">
        <v>93</v>
      </c>
      <c r="F219" s="71">
        <v>93</v>
      </c>
      <c r="G219" s="72">
        <v>0</v>
      </c>
      <c r="H219" s="73">
        <v>0</v>
      </c>
      <c r="I219" s="73">
        <v>0</v>
      </c>
      <c r="J219" s="73">
        <v>0</v>
      </c>
      <c r="K219" s="72">
        <v>0</v>
      </c>
      <c r="L219" s="72">
        <f t="shared" si="40"/>
        <v>0</v>
      </c>
      <c r="M219" s="72">
        <v>0</v>
      </c>
      <c r="N219" s="72">
        <v>0</v>
      </c>
      <c r="O219" s="72">
        <v>0</v>
      </c>
      <c r="P219" s="72">
        <f t="shared" si="41"/>
        <v>0</v>
      </c>
      <c r="Q219" s="72">
        <f t="shared" si="42"/>
        <v>0</v>
      </c>
      <c r="R219" s="72"/>
      <c r="S219" s="56"/>
      <c r="T219" s="74">
        <f t="shared" si="43"/>
        <v>0</v>
      </c>
      <c r="U219" s="74">
        <v>0</v>
      </c>
      <c r="V219" s="74">
        <f t="shared" si="44"/>
        <v>0</v>
      </c>
      <c r="W219" s="74">
        <f t="shared" si="45"/>
        <v>0</v>
      </c>
      <c r="X219" s="74">
        <f t="shared" si="46"/>
        <v>0</v>
      </c>
      <c r="Y219" s="74">
        <f t="shared" si="47"/>
        <v>0</v>
      </c>
      <c r="Z219" s="74">
        <f t="shared" si="48"/>
        <v>0</v>
      </c>
      <c r="AA219" s="75">
        <f t="shared" si="38"/>
        <v>0</v>
      </c>
      <c r="AB219" s="75">
        <f t="shared" si="49"/>
        <v>0</v>
      </c>
    </row>
    <row r="220" spans="1:29" ht="24">
      <c r="A220" s="69" t="s">
        <v>442</v>
      </c>
      <c r="B220" s="70" t="s">
        <v>443</v>
      </c>
      <c r="C220" s="69"/>
      <c r="D220" s="70" t="s">
        <v>443</v>
      </c>
      <c r="E220" s="71">
        <v>46.34</v>
      </c>
      <c r="F220" s="71">
        <v>46.34</v>
      </c>
      <c r="G220" s="72">
        <v>1</v>
      </c>
      <c r="H220" s="73">
        <v>0</v>
      </c>
      <c r="I220" s="73">
        <v>0</v>
      </c>
      <c r="J220" s="73">
        <v>1</v>
      </c>
      <c r="K220" s="72">
        <v>0</v>
      </c>
      <c r="L220" s="72">
        <f t="shared" si="40"/>
        <v>0</v>
      </c>
      <c r="M220" s="72">
        <v>0</v>
      </c>
      <c r="N220" s="72">
        <v>0</v>
      </c>
      <c r="O220" s="72">
        <v>0</v>
      </c>
      <c r="P220" s="72">
        <f t="shared" si="41"/>
        <v>0</v>
      </c>
      <c r="Q220" s="72">
        <f t="shared" si="42"/>
        <v>0</v>
      </c>
      <c r="R220" s="72"/>
      <c r="S220" s="56"/>
      <c r="T220" s="74">
        <f t="shared" si="43"/>
        <v>46.34</v>
      </c>
      <c r="U220" s="74">
        <v>0</v>
      </c>
      <c r="V220" s="74">
        <f t="shared" si="44"/>
        <v>0</v>
      </c>
      <c r="W220" s="74">
        <f t="shared" si="45"/>
        <v>0</v>
      </c>
      <c r="X220" s="74">
        <f t="shared" si="46"/>
        <v>46.34</v>
      </c>
      <c r="Y220" s="74">
        <f t="shared" si="47"/>
        <v>0</v>
      </c>
      <c r="Z220" s="74">
        <f t="shared" si="48"/>
        <v>0</v>
      </c>
      <c r="AA220" s="75">
        <f t="shared" si="38"/>
        <v>0</v>
      </c>
      <c r="AB220" s="75">
        <f t="shared" si="49"/>
        <v>0</v>
      </c>
    </row>
    <row r="221" spans="1:29" ht="24">
      <c r="A221" s="69" t="s">
        <v>444</v>
      </c>
      <c r="B221" s="140" t="s">
        <v>765</v>
      </c>
      <c r="C221" s="140" t="s">
        <v>759</v>
      </c>
      <c r="D221" s="70" t="s">
        <v>445</v>
      </c>
      <c r="E221" s="71">
        <v>570</v>
      </c>
      <c r="F221" s="71">
        <v>570</v>
      </c>
      <c r="G221" s="72">
        <v>1</v>
      </c>
      <c r="H221" s="73">
        <v>0</v>
      </c>
      <c r="I221" s="73">
        <v>0</v>
      </c>
      <c r="J221" s="73">
        <v>0</v>
      </c>
      <c r="K221" s="72">
        <v>0</v>
      </c>
      <c r="L221" s="72">
        <f t="shared" si="40"/>
        <v>1</v>
      </c>
      <c r="M221" s="72">
        <v>1</v>
      </c>
      <c r="N221" s="72">
        <v>0</v>
      </c>
      <c r="O221" s="72">
        <v>0</v>
      </c>
      <c r="P221" s="72">
        <f t="shared" si="41"/>
        <v>1</v>
      </c>
      <c r="Q221" s="72">
        <f t="shared" si="42"/>
        <v>0</v>
      </c>
      <c r="R221" s="72"/>
      <c r="S221" s="56"/>
      <c r="T221" s="74">
        <f t="shared" si="43"/>
        <v>570</v>
      </c>
      <c r="U221" s="74">
        <v>0</v>
      </c>
      <c r="V221" s="74">
        <f t="shared" si="44"/>
        <v>0</v>
      </c>
      <c r="W221" s="74">
        <f t="shared" si="45"/>
        <v>0</v>
      </c>
      <c r="X221" s="74">
        <f t="shared" si="46"/>
        <v>0</v>
      </c>
      <c r="Y221" s="74">
        <f t="shared" si="47"/>
        <v>0</v>
      </c>
      <c r="Z221" s="74">
        <f t="shared" si="48"/>
        <v>570</v>
      </c>
      <c r="AA221" s="75">
        <f t="shared" si="38"/>
        <v>570</v>
      </c>
      <c r="AB221" s="75">
        <f t="shared" si="49"/>
        <v>0</v>
      </c>
    </row>
    <row r="222" spans="1:29" ht="24">
      <c r="A222" s="69" t="s">
        <v>446</v>
      </c>
      <c r="B222" s="140" t="s">
        <v>758</v>
      </c>
      <c r="C222" s="140" t="s">
        <v>737</v>
      </c>
      <c r="D222" s="70" t="s">
        <v>447</v>
      </c>
      <c r="E222" s="71">
        <v>2520</v>
      </c>
      <c r="F222" s="71">
        <v>2520</v>
      </c>
      <c r="G222" s="72">
        <v>1</v>
      </c>
      <c r="H222" s="73">
        <v>0</v>
      </c>
      <c r="I222" s="73">
        <v>0</v>
      </c>
      <c r="J222" s="73">
        <v>0</v>
      </c>
      <c r="K222" s="72">
        <v>0</v>
      </c>
      <c r="L222" s="72">
        <f t="shared" si="40"/>
        <v>1</v>
      </c>
      <c r="M222" s="72">
        <v>1</v>
      </c>
      <c r="N222" s="72">
        <v>0</v>
      </c>
      <c r="O222" s="72">
        <v>0</v>
      </c>
      <c r="P222" s="72">
        <f t="shared" si="41"/>
        <v>1</v>
      </c>
      <c r="Q222" s="72">
        <f t="shared" si="42"/>
        <v>0</v>
      </c>
      <c r="R222" s="72"/>
      <c r="S222" s="56"/>
      <c r="T222" s="74">
        <f t="shared" si="43"/>
        <v>2520</v>
      </c>
      <c r="U222" s="74">
        <v>0</v>
      </c>
      <c r="V222" s="74">
        <f t="shared" si="44"/>
        <v>0</v>
      </c>
      <c r="W222" s="74">
        <f t="shared" si="45"/>
        <v>0</v>
      </c>
      <c r="X222" s="74">
        <f t="shared" si="46"/>
        <v>0</v>
      </c>
      <c r="Y222" s="74">
        <f t="shared" si="47"/>
        <v>0</v>
      </c>
      <c r="Z222" s="74">
        <f t="shared" si="48"/>
        <v>2520</v>
      </c>
      <c r="AA222" s="75">
        <f t="shared" si="38"/>
        <v>2520</v>
      </c>
      <c r="AB222" s="75">
        <f t="shared" si="49"/>
        <v>0</v>
      </c>
    </row>
    <row r="223" spans="1:29" ht="24">
      <c r="A223" s="69" t="s">
        <v>448</v>
      </c>
      <c r="B223" s="140" t="s">
        <v>819</v>
      </c>
      <c r="C223" s="140"/>
      <c r="D223" s="70" t="s">
        <v>449</v>
      </c>
      <c r="E223" s="71">
        <v>1380</v>
      </c>
      <c r="F223" s="71">
        <v>1380</v>
      </c>
      <c r="G223" s="72">
        <v>4</v>
      </c>
      <c r="H223" s="73">
        <v>0</v>
      </c>
      <c r="I223" s="73">
        <v>0</v>
      </c>
      <c r="J223" s="73">
        <v>0</v>
      </c>
      <c r="K223" s="72">
        <v>0</v>
      </c>
      <c r="L223" s="72">
        <f t="shared" si="40"/>
        <v>4</v>
      </c>
      <c r="M223" s="72">
        <v>4</v>
      </c>
      <c r="N223" s="72">
        <v>0</v>
      </c>
      <c r="O223" s="72">
        <v>0</v>
      </c>
      <c r="P223" s="72">
        <f t="shared" si="41"/>
        <v>4</v>
      </c>
      <c r="Q223" s="72">
        <f t="shared" si="42"/>
        <v>0</v>
      </c>
      <c r="R223" s="72"/>
      <c r="S223" s="56"/>
      <c r="T223" s="74">
        <f t="shared" si="43"/>
        <v>5520</v>
      </c>
      <c r="U223" s="74">
        <v>0</v>
      </c>
      <c r="V223" s="74">
        <f t="shared" si="44"/>
        <v>0</v>
      </c>
      <c r="W223" s="74">
        <f t="shared" si="45"/>
        <v>0</v>
      </c>
      <c r="X223" s="74">
        <f t="shared" si="46"/>
        <v>0</v>
      </c>
      <c r="Y223" s="74">
        <f t="shared" si="47"/>
        <v>0</v>
      </c>
      <c r="Z223" s="74">
        <f t="shared" si="48"/>
        <v>5520</v>
      </c>
      <c r="AA223" s="75">
        <f t="shared" si="38"/>
        <v>5520</v>
      </c>
      <c r="AB223" s="75">
        <f t="shared" si="49"/>
        <v>0</v>
      </c>
    </row>
    <row r="224" spans="1:29" ht="48">
      <c r="A224" s="69" t="s">
        <v>450</v>
      </c>
      <c r="B224" s="140" t="s">
        <v>777</v>
      </c>
      <c r="C224" s="140"/>
      <c r="D224" s="70" t="s">
        <v>451</v>
      </c>
      <c r="E224" s="71">
        <v>1380</v>
      </c>
      <c r="F224" s="71">
        <v>1380</v>
      </c>
      <c r="G224" s="72">
        <v>2</v>
      </c>
      <c r="H224" s="73">
        <v>0</v>
      </c>
      <c r="I224" s="73">
        <v>0</v>
      </c>
      <c r="J224" s="73">
        <v>0</v>
      </c>
      <c r="K224" s="72">
        <v>0</v>
      </c>
      <c r="L224" s="72">
        <f t="shared" si="40"/>
        <v>2</v>
      </c>
      <c r="M224" s="72">
        <v>2</v>
      </c>
      <c r="N224" s="72">
        <v>0</v>
      </c>
      <c r="O224" s="72">
        <v>0</v>
      </c>
      <c r="P224" s="72">
        <f t="shared" si="41"/>
        <v>2</v>
      </c>
      <c r="Q224" s="72">
        <f t="shared" si="42"/>
        <v>0</v>
      </c>
      <c r="R224" s="72"/>
      <c r="S224" s="56"/>
      <c r="T224" s="74">
        <f t="shared" si="43"/>
        <v>2760</v>
      </c>
      <c r="U224" s="74">
        <v>0</v>
      </c>
      <c r="V224" s="74">
        <f t="shared" si="44"/>
        <v>0</v>
      </c>
      <c r="W224" s="74">
        <f t="shared" si="45"/>
        <v>0</v>
      </c>
      <c r="X224" s="74">
        <f t="shared" si="46"/>
        <v>0</v>
      </c>
      <c r="Y224" s="74">
        <f t="shared" si="47"/>
        <v>0</v>
      </c>
      <c r="Z224" s="74">
        <f t="shared" si="48"/>
        <v>2760</v>
      </c>
      <c r="AA224" s="75">
        <f t="shared" si="38"/>
        <v>2760</v>
      </c>
      <c r="AB224" s="75">
        <f t="shared" si="49"/>
        <v>0</v>
      </c>
    </row>
    <row r="225" spans="1:29" ht="48">
      <c r="A225" s="69" t="s">
        <v>840</v>
      </c>
      <c r="B225" s="140" t="s">
        <v>778</v>
      </c>
      <c r="C225" s="140"/>
      <c r="D225" s="70" t="s">
        <v>779</v>
      </c>
      <c r="E225" s="71">
        <v>0</v>
      </c>
      <c r="F225" s="71">
        <v>0</v>
      </c>
      <c r="G225" s="72">
        <v>0</v>
      </c>
      <c r="H225" s="73">
        <v>0</v>
      </c>
      <c r="I225" s="73">
        <v>2</v>
      </c>
      <c r="J225" s="73">
        <v>1</v>
      </c>
      <c r="K225" s="72">
        <v>0</v>
      </c>
      <c r="L225" s="72">
        <f t="shared" si="40"/>
        <v>1</v>
      </c>
      <c r="M225" s="72">
        <v>1</v>
      </c>
      <c r="N225" s="72">
        <v>0</v>
      </c>
      <c r="O225" s="72">
        <v>0</v>
      </c>
      <c r="P225" s="72">
        <f t="shared" si="41"/>
        <v>1</v>
      </c>
      <c r="Q225" s="72">
        <f t="shared" si="42"/>
        <v>0</v>
      </c>
      <c r="R225" s="72"/>
      <c r="S225" s="56"/>
      <c r="T225" s="74">
        <f t="shared" si="43"/>
        <v>0</v>
      </c>
      <c r="U225" s="74">
        <v>0</v>
      </c>
      <c r="V225" s="74">
        <f t="shared" si="44"/>
        <v>0</v>
      </c>
      <c r="W225" s="74">
        <f t="shared" si="45"/>
        <v>0</v>
      </c>
      <c r="X225" s="74">
        <f t="shared" si="46"/>
        <v>0</v>
      </c>
      <c r="Y225" s="74">
        <f t="shared" si="47"/>
        <v>0</v>
      </c>
      <c r="Z225" s="74">
        <f t="shared" si="48"/>
        <v>0</v>
      </c>
      <c r="AA225" s="75">
        <f t="shared" si="38"/>
        <v>0</v>
      </c>
      <c r="AB225" s="75"/>
      <c r="AC225" s="153" t="s">
        <v>780</v>
      </c>
    </row>
    <row r="226" spans="1:29" ht="24">
      <c r="A226" s="69" t="s">
        <v>452</v>
      </c>
      <c r="B226" s="70" t="s">
        <v>453</v>
      </c>
      <c r="C226" s="69"/>
      <c r="D226" s="70" t="s">
        <v>453</v>
      </c>
      <c r="E226" s="71">
        <v>16.82</v>
      </c>
      <c r="F226" s="71">
        <v>16.82</v>
      </c>
      <c r="G226" s="72">
        <v>50</v>
      </c>
      <c r="H226" s="73">
        <v>0</v>
      </c>
      <c r="I226" s="73">
        <v>0</v>
      </c>
      <c r="J226" s="73">
        <v>20</v>
      </c>
      <c r="K226" s="72">
        <v>0</v>
      </c>
      <c r="L226" s="72">
        <f t="shared" si="40"/>
        <v>30</v>
      </c>
      <c r="M226" s="72">
        <v>30</v>
      </c>
      <c r="N226" s="72">
        <v>0</v>
      </c>
      <c r="O226" s="72">
        <v>0</v>
      </c>
      <c r="P226" s="72">
        <f t="shared" si="41"/>
        <v>30</v>
      </c>
      <c r="Q226" s="72">
        <f t="shared" si="42"/>
        <v>0</v>
      </c>
      <c r="R226" s="72"/>
      <c r="S226" s="56"/>
      <c r="T226" s="74">
        <f t="shared" si="43"/>
        <v>841</v>
      </c>
      <c r="U226" s="74">
        <v>0</v>
      </c>
      <c r="V226" s="74">
        <f t="shared" si="44"/>
        <v>0</v>
      </c>
      <c r="W226" s="74">
        <f t="shared" si="45"/>
        <v>0</v>
      </c>
      <c r="X226" s="74">
        <f t="shared" si="46"/>
        <v>336.4</v>
      </c>
      <c r="Y226" s="74">
        <f t="shared" si="47"/>
        <v>0</v>
      </c>
      <c r="Z226" s="74">
        <f t="shared" si="48"/>
        <v>504.6</v>
      </c>
      <c r="AA226" s="75">
        <f t="shared" si="38"/>
        <v>504.6</v>
      </c>
      <c r="AB226" s="75">
        <f t="shared" ref="AB226:AB257" si="50">AA226-Z226</f>
        <v>0</v>
      </c>
    </row>
    <row r="227" spans="1:29" ht="24">
      <c r="A227" s="69" t="s">
        <v>454</v>
      </c>
      <c r="B227" s="70" t="s">
        <v>455</v>
      </c>
      <c r="C227" s="69"/>
      <c r="D227" s="70" t="s">
        <v>455</v>
      </c>
      <c r="E227" s="71">
        <v>16.82</v>
      </c>
      <c r="F227" s="71">
        <v>16.82</v>
      </c>
      <c r="G227" s="72">
        <v>50</v>
      </c>
      <c r="H227" s="73">
        <v>0</v>
      </c>
      <c r="I227" s="73">
        <v>0</v>
      </c>
      <c r="J227" s="73">
        <v>20</v>
      </c>
      <c r="K227" s="72">
        <v>0</v>
      </c>
      <c r="L227" s="72">
        <f t="shared" si="40"/>
        <v>30</v>
      </c>
      <c r="M227" s="72">
        <v>30</v>
      </c>
      <c r="N227" s="72">
        <v>0</v>
      </c>
      <c r="O227" s="72">
        <v>0</v>
      </c>
      <c r="P227" s="72">
        <f t="shared" si="41"/>
        <v>30</v>
      </c>
      <c r="Q227" s="72">
        <f t="shared" si="42"/>
        <v>0</v>
      </c>
      <c r="R227" s="72"/>
      <c r="S227" s="56"/>
      <c r="T227" s="74">
        <f t="shared" si="43"/>
        <v>841</v>
      </c>
      <c r="U227" s="74">
        <v>0</v>
      </c>
      <c r="V227" s="74">
        <f t="shared" si="44"/>
        <v>0</v>
      </c>
      <c r="W227" s="74">
        <f t="shared" si="45"/>
        <v>0</v>
      </c>
      <c r="X227" s="74">
        <f t="shared" si="46"/>
        <v>336.4</v>
      </c>
      <c r="Y227" s="74">
        <f t="shared" si="47"/>
        <v>0</v>
      </c>
      <c r="Z227" s="74">
        <f t="shared" si="48"/>
        <v>504.6</v>
      </c>
      <c r="AA227" s="75">
        <f t="shared" si="38"/>
        <v>504.6</v>
      </c>
      <c r="AB227" s="75">
        <f t="shared" si="50"/>
        <v>0</v>
      </c>
    </row>
    <row r="228" spans="1:29" ht="24">
      <c r="A228" s="69" t="s">
        <v>456</v>
      </c>
      <c r="B228" s="70" t="s">
        <v>457</v>
      </c>
      <c r="C228" s="69"/>
      <c r="D228" s="70" t="s">
        <v>457</v>
      </c>
      <c r="E228" s="71">
        <v>16.82</v>
      </c>
      <c r="F228" s="71">
        <v>16.82</v>
      </c>
      <c r="G228" s="72">
        <v>50</v>
      </c>
      <c r="H228" s="73">
        <v>0</v>
      </c>
      <c r="I228" s="73">
        <v>0</v>
      </c>
      <c r="J228" s="73">
        <v>20</v>
      </c>
      <c r="K228" s="72">
        <v>0</v>
      </c>
      <c r="L228" s="72">
        <f t="shared" si="40"/>
        <v>30</v>
      </c>
      <c r="M228" s="72">
        <v>30</v>
      </c>
      <c r="N228" s="72">
        <v>0</v>
      </c>
      <c r="O228" s="72">
        <v>0</v>
      </c>
      <c r="P228" s="72">
        <f t="shared" si="41"/>
        <v>30</v>
      </c>
      <c r="Q228" s="72">
        <f t="shared" si="42"/>
        <v>0</v>
      </c>
      <c r="R228" s="72"/>
      <c r="S228" s="56"/>
      <c r="T228" s="74">
        <f t="shared" si="43"/>
        <v>841</v>
      </c>
      <c r="U228" s="74">
        <v>0</v>
      </c>
      <c r="V228" s="74">
        <f t="shared" si="44"/>
        <v>0</v>
      </c>
      <c r="W228" s="74">
        <f t="shared" si="45"/>
        <v>0</v>
      </c>
      <c r="X228" s="74">
        <f t="shared" si="46"/>
        <v>336.4</v>
      </c>
      <c r="Y228" s="74">
        <f t="shared" si="47"/>
        <v>0</v>
      </c>
      <c r="Z228" s="74">
        <f t="shared" si="48"/>
        <v>504.6</v>
      </c>
      <c r="AA228" s="75">
        <f t="shared" si="38"/>
        <v>504.6</v>
      </c>
      <c r="AB228" s="75">
        <f t="shared" si="50"/>
        <v>0</v>
      </c>
    </row>
    <row r="229" spans="1:29" ht="24">
      <c r="A229" s="69" t="s">
        <v>458</v>
      </c>
      <c r="B229" s="70" t="s">
        <v>459</v>
      </c>
      <c r="C229" s="69"/>
      <c r="D229" s="70" t="s">
        <v>459</v>
      </c>
      <c r="E229" s="71">
        <v>15.6</v>
      </c>
      <c r="F229" s="71">
        <v>15.6</v>
      </c>
      <c r="G229" s="72">
        <v>50</v>
      </c>
      <c r="H229" s="73">
        <v>0</v>
      </c>
      <c r="I229" s="73">
        <v>0</v>
      </c>
      <c r="J229" s="73">
        <v>20</v>
      </c>
      <c r="K229" s="72">
        <v>0</v>
      </c>
      <c r="L229" s="72">
        <f t="shared" si="40"/>
        <v>30</v>
      </c>
      <c r="M229" s="72">
        <v>30</v>
      </c>
      <c r="N229" s="72">
        <v>0</v>
      </c>
      <c r="O229" s="72">
        <v>0</v>
      </c>
      <c r="P229" s="72">
        <f t="shared" si="41"/>
        <v>30</v>
      </c>
      <c r="Q229" s="72">
        <f t="shared" si="42"/>
        <v>0</v>
      </c>
      <c r="R229" s="72"/>
      <c r="S229" s="56"/>
      <c r="T229" s="74">
        <f t="shared" si="43"/>
        <v>780</v>
      </c>
      <c r="U229" s="74">
        <v>0</v>
      </c>
      <c r="V229" s="74">
        <f t="shared" si="44"/>
        <v>0</v>
      </c>
      <c r="W229" s="74">
        <f t="shared" si="45"/>
        <v>0</v>
      </c>
      <c r="X229" s="74">
        <f t="shared" si="46"/>
        <v>312</v>
      </c>
      <c r="Y229" s="74">
        <f t="shared" si="47"/>
        <v>0</v>
      </c>
      <c r="Z229" s="74">
        <f t="shared" si="48"/>
        <v>468</v>
      </c>
      <c r="AA229" s="75">
        <f t="shared" si="38"/>
        <v>468</v>
      </c>
      <c r="AB229" s="75">
        <f t="shared" si="50"/>
        <v>0</v>
      </c>
    </row>
    <row r="230" spans="1:29" ht="24">
      <c r="A230" s="69" t="s">
        <v>460</v>
      </c>
      <c r="B230" s="70" t="s">
        <v>461</v>
      </c>
      <c r="C230" s="69"/>
      <c r="D230" s="70" t="s">
        <v>461</v>
      </c>
      <c r="E230" s="71">
        <v>15.6</v>
      </c>
      <c r="F230" s="71">
        <v>15.6</v>
      </c>
      <c r="G230" s="72">
        <v>50</v>
      </c>
      <c r="H230" s="73">
        <v>0</v>
      </c>
      <c r="I230" s="73">
        <v>0</v>
      </c>
      <c r="J230" s="73">
        <v>20</v>
      </c>
      <c r="K230" s="72">
        <v>0</v>
      </c>
      <c r="L230" s="72">
        <f t="shared" si="40"/>
        <v>30</v>
      </c>
      <c r="M230" s="72">
        <v>30</v>
      </c>
      <c r="N230" s="72">
        <v>0</v>
      </c>
      <c r="O230" s="72">
        <v>0</v>
      </c>
      <c r="P230" s="72">
        <f t="shared" si="41"/>
        <v>30</v>
      </c>
      <c r="Q230" s="72">
        <f t="shared" si="42"/>
        <v>0</v>
      </c>
      <c r="R230" s="72"/>
      <c r="S230" s="56"/>
      <c r="T230" s="74">
        <f t="shared" si="43"/>
        <v>780</v>
      </c>
      <c r="U230" s="74">
        <v>0</v>
      </c>
      <c r="V230" s="74">
        <f t="shared" si="44"/>
        <v>0</v>
      </c>
      <c r="W230" s="74">
        <f t="shared" si="45"/>
        <v>0</v>
      </c>
      <c r="X230" s="74">
        <f t="shared" si="46"/>
        <v>312</v>
      </c>
      <c r="Y230" s="74">
        <f t="shared" si="47"/>
        <v>0</v>
      </c>
      <c r="Z230" s="74">
        <f t="shared" si="48"/>
        <v>468</v>
      </c>
      <c r="AA230" s="75">
        <f t="shared" si="38"/>
        <v>468</v>
      </c>
      <c r="AB230" s="75">
        <f t="shared" si="50"/>
        <v>0</v>
      </c>
    </row>
    <row r="231" spans="1:29" ht="24">
      <c r="A231" s="69" t="s">
        <v>462</v>
      </c>
      <c r="B231" s="70" t="s">
        <v>463</v>
      </c>
      <c r="C231" s="69"/>
      <c r="D231" s="70" t="s">
        <v>463</v>
      </c>
      <c r="E231" s="71">
        <v>15.6</v>
      </c>
      <c r="F231" s="71">
        <v>15.6</v>
      </c>
      <c r="G231" s="72">
        <v>50</v>
      </c>
      <c r="H231" s="73">
        <v>0</v>
      </c>
      <c r="I231" s="73">
        <v>0</v>
      </c>
      <c r="J231" s="73">
        <v>20</v>
      </c>
      <c r="K231" s="72">
        <v>0</v>
      </c>
      <c r="L231" s="72">
        <f t="shared" si="40"/>
        <v>30</v>
      </c>
      <c r="M231" s="72">
        <v>30</v>
      </c>
      <c r="N231" s="72">
        <v>0</v>
      </c>
      <c r="O231" s="72">
        <v>0</v>
      </c>
      <c r="P231" s="72">
        <f t="shared" si="41"/>
        <v>30</v>
      </c>
      <c r="Q231" s="72">
        <f t="shared" si="42"/>
        <v>0</v>
      </c>
      <c r="R231" s="72"/>
      <c r="S231" s="56"/>
      <c r="T231" s="74">
        <f t="shared" si="43"/>
        <v>780</v>
      </c>
      <c r="U231" s="74">
        <v>0</v>
      </c>
      <c r="V231" s="74">
        <f t="shared" si="44"/>
        <v>0</v>
      </c>
      <c r="W231" s="74">
        <f t="shared" si="45"/>
        <v>0</v>
      </c>
      <c r="X231" s="74">
        <f t="shared" si="46"/>
        <v>312</v>
      </c>
      <c r="Y231" s="74">
        <f t="shared" si="47"/>
        <v>0</v>
      </c>
      <c r="Z231" s="74">
        <f t="shared" si="48"/>
        <v>468</v>
      </c>
      <c r="AA231" s="75">
        <f t="shared" si="38"/>
        <v>468</v>
      </c>
      <c r="AB231" s="75">
        <f t="shared" si="50"/>
        <v>0</v>
      </c>
    </row>
    <row r="232" spans="1:29" ht="48">
      <c r="A232" s="69" t="s">
        <v>464</v>
      </c>
      <c r="B232" s="140" t="s">
        <v>760</v>
      </c>
      <c r="C232" s="140"/>
      <c r="D232" s="70" t="s">
        <v>465</v>
      </c>
      <c r="E232" s="71">
        <v>940</v>
      </c>
      <c r="F232" s="71">
        <v>940</v>
      </c>
      <c r="G232" s="72">
        <v>1</v>
      </c>
      <c r="H232" s="73">
        <v>0</v>
      </c>
      <c r="I232" s="73">
        <v>0</v>
      </c>
      <c r="J232" s="73">
        <v>0</v>
      </c>
      <c r="K232" s="72">
        <v>0</v>
      </c>
      <c r="L232" s="72">
        <f t="shared" si="40"/>
        <v>1</v>
      </c>
      <c r="M232" s="72">
        <v>1</v>
      </c>
      <c r="N232" s="72">
        <v>0</v>
      </c>
      <c r="O232" s="72">
        <v>0</v>
      </c>
      <c r="P232" s="72">
        <f t="shared" si="41"/>
        <v>1</v>
      </c>
      <c r="Q232" s="72">
        <f t="shared" si="42"/>
        <v>0</v>
      </c>
      <c r="R232" s="72"/>
      <c r="S232" s="56"/>
      <c r="T232" s="74">
        <f t="shared" si="43"/>
        <v>940</v>
      </c>
      <c r="U232" s="74">
        <v>0</v>
      </c>
      <c r="V232" s="74">
        <f t="shared" si="44"/>
        <v>0</v>
      </c>
      <c r="W232" s="74">
        <f t="shared" si="45"/>
        <v>0</v>
      </c>
      <c r="X232" s="74">
        <f t="shared" si="46"/>
        <v>0</v>
      </c>
      <c r="Y232" s="74">
        <f t="shared" si="47"/>
        <v>0</v>
      </c>
      <c r="Z232" s="74">
        <f t="shared" si="48"/>
        <v>940</v>
      </c>
      <c r="AA232" s="75">
        <f t="shared" si="38"/>
        <v>940</v>
      </c>
      <c r="AB232" s="75">
        <f t="shared" si="50"/>
        <v>0</v>
      </c>
    </row>
    <row r="233" spans="1:29" ht="36">
      <c r="A233" s="69" t="s">
        <v>466</v>
      </c>
      <c r="B233" s="70" t="s">
        <v>467</v>
      </c>
      <c r="C233" s="69"/>
      <c r="D233" s="70" t="s">
        <v>467</v>
      </c>
      <c r="E233" s="71">
        <v>290</v>
      </c>
      <c r="F233" s="71">
        <v>290</v>
      </c>
      <c r="G233" s="72">
        <v>0</v>
      </c>
      <c r="H233" s="73">
        <v>0</v>
      </c>
      <c r="I233" s="73">
        <v>0</v>
      </c>
      <c r="J233" s="73">
        <v>0</v>
      </c>
      <c r="K233" s="72">
        <v>0</v>
      </c>
      <c r="L233" s="72">
        <f t="shared" si="40"/>
        <v>0</v>
      </c>
      <c r="M233" s="72">
        <v>0</v>
      </c>
      <c r="N233" s="72">
        <v>0</v>
      </c>
      <c r="O233" s="72">
        <v>0</v>
      </c>
      <c r="P233" s="72">
        <f t="shared" si="41"/>
        <v>0</v>
      </c>
      <c r="Q233" s="72">
        <f t="shared" si="42"/>
        <v>0</v>
      </c>
      <c r="R233" s="72"/>
      <c r="S233" s="56"/>
      <c r="T233" s="74">
        <f t="shared" si="43"/>
        <v>0</v>
      </c>
      <c r="U233" s="74">
        <v>0</v>
      </c>
      <c r="V233" s="74">
        <f t="shared" si="44"/>
        <v>0</v>
      </c>
      <c r="W233" s="74">
        <f t="shared" si="45"/>
        <v>0</v>
      </c>
      <c r="X233" s="74">
        <f t="shared" si="46"/>
        <v>0</v>
      </c>
      <c r="Y233" s="74">
        <f t="shared" si="47"/>
        <v>0</v>
      </c>
      <c r="Z233" s="74">
        <f t="shared" si="48"/>
        <v>0</v>
      </c>
      <c r="AA233" s="75">
        <f t="shared" si="38"/>
        <v>0</v>
      </c>
      <c r="AB233" s="75">
        <f t="shared" si="50"/>
        <v>0</v>
      </c>
    </row>
    <row r="234" spans="1:29" ht="24">
      <c r="A234" s="69" t="s">
        <v>468</v>
      </c>
      <c r="B234" s="70" t="s">
        <v>469</v>
      </c>
      <c r="C234" s="69"/>
      <c r="D234" s="70" t="s">
        <v>469</v>
      </c>
      <c r="E234" s="71">
        <v>999</v>
      </c>
      <c r="F234" s="71">
        <v>999</v>
      </c>
      <c r="G234" s="72">
        <v>0</v>
      </c>
      <c r="H234" s="73">
        <v>0</v>
      </c>
      <c r="I234" s="73">
        <v>0</v>
      </c>
      <c r="J234" s="73">
        <v>0</v>
      </c>
      <c r="K234" s="72">
        <v>0</v>
      </c>
      <c r="L234" s="72">
        <f t="shared" si="40"/>
        <v>0</v>
      </c>
      <c r="M234" s="72">
        <v>0</v>
      </c>
      <c r="N234" s="72">
        <v>0</v>
      </c>
      <c r="O234" s="72">
        <v>0</v>
      </c>
      <c r="P234" s="72">
        <f t="shared" si="41"/>
        <v>0</v>
      </c>
      <c r="Q234" s="72">
        <f t="shared" si="42"/>
        <v>0</v>
      </c>
      <c r="R234" s="72"/>
      <c r="S234" s="56"/>
      <c r="T234" s="74">
        <f t="shared" si="43"/>
        <v>0</v>
      </c>
      <c r="U234" s="74">
        <v>0</v>
      </c>
      <c r="V234" s="74">
        <f t="shared" si="44"/>
        <v>0</v>
      </c>
      <c r="W234" s="74">
        <f t="shared" si="45"/>
        <v>0</v>
      </c>
      <c r="X234" s="74">
        <f t="shared" si="46"/>
        <v>0</v>
      </c>
      <c r="Y234" s="74">
        <f t="shared" si="47"/>
        <v>0</v>
      </c>
      <c r="Z234" s="74">
        <f t="shared" si="48"/>
        <v>0</v>
      </c>
      <c r="AA234" s="75">
        <f t="shared" si="38"/>
        <v>0</v>
      </c>
      <c r="AB234" s="75">
        <f t="shared" si="50"/>
        <v>0</v>
      </c>
    </row>
    <row r="235" spans="1:29" s="157" customFormat="1" ht="15" customHeight="1">
      <c r="A235" s="69" t="s">
        <v>470</v>
      </c>
      <c r="B235" s="70" t="s">
        <v>471</v>
      </c>
      <c r="C235" s="69"/>
      <c r="D235" s="70" t="s">
        <v>471</v>
      </c>
      <c r="E235" s="71">
        <v>1458.35</v>
      </c>
      <c r="F235" s="71">
        <v>1458.35</v>
      </c>
      <c r="G235" s="72">
        <v>0</v>
      </c>
      <c r="H235" s="73">
        <v>0</v>
      </c>
      <c r="I235" s="73">
        <v>0</v>
      </c>
      <c r="J235" s="73">
        <v>0</v>
      </c>
      <c r="K235" s="72">
        <v>0</v>
      </c>
      <c r="L235" s="72">
        <f t="shared" si="40"/>
        <v>0</v>
      </c>
      <c r="M235" s="72">
        <v>0</v>
      </c>
      <c r="N235" s="72">
        <v>0</v>
      </c>
      <c r="O235" s="72">
        <v>0</v>
      </c>
      <c r="P235" s="72">
        <f t="shared" si="41"/>
        <v>0</v>
      </c>
      <c r="Q235" s="72">
        <f t="shared" si="42"/>
        <v>0</v>
      </c>
      <c r="R235" s="72"/>
      <c r="S235" s="56"/>
      <c r="T235" s="74">
        <f t="shared" si="43"/>
        <v>0</v>
      </c>
      <c r="U235" s="74">
        <v>0</v>
      </c>
      <c r="V235" s="74">
        <f t="shared" si="44"/>
        <v>0</v>
      </c>
      <c r="W235" s="74">
        <f t="shared" si="45"/>
        <v>0</v>
      </c>
      <c r="X235" s="74">
        <f t="shared" si="46"/>
        <v>0</v>
      </c>
      <c r="Y235" s="74">
        <f t="shared" si="47"/>
        <v>0</v>
      </c>
      <c r="Z235" s="74">
        <f t="shared" si="48"/>
        <v>0</v>
      </c>
      <c r="AA235" s="75">
        <f t="shared" si="38"/>
        <v>0</v>
      </c>
      <c r="AB235" s="75">
        <f t="shared" si="50"/>
        <v>0</v>
      </c>
      <c r="AC235" s="53"/>
    </row>
    <row r="236" spans="1:29" ht="24">
      <c r="A236" s="69" t="s">
        <v>472</v>
      </c>
      <c r="B236" s="70" t="s">
        <v>473</v>
      </c>
      <c r="C236" s="69"/>
      <c r="D236" s="70" t="s">
        <v>473</v>
      </c>
      <c r="E236" s="71">
        <v>0</v>
      </c>
      <c r="F236" s="71">
        <v>0</v>
      </c>
      <c r="G236" s="72">
        <v>0</v>
      </c>
      <c r="H236" s="73">
        <v>0</v>
      </c>
      <c r="I236" s="73">
        <v>0</v>
      </c>
      <c r="J236" s="73">
        <v>0</v>
      </c>
      <c r="K236" s="72">
        <v>0</v>
      </c>
      <c r="L236" s="72">
        <f t="shared" si="40"/>
        <v>0</v>
      </c>
      <c r="M236" s="72">
        <v>0</v>
      </c>
      <c r="N236" s="72">
        <v>0</v>
      </c>
      <c r="O236" s="72">
        <v>0</v>
      </c>
      <c r="P236" s="72">
        <f t="shared" si="41"/>
        <v>0</v>
      </c>
      <c r="Q236" s="72">
        <f t="shared" si="42"/>
        <v>0</v>
      </c>
      <c r="R236" s="72"/>
      <c r="S236" s="56"/>
      <c r="T236" s="74">
        <f t="shared" si="43"/>
        <v>0</v>
      </c>
      <c r="U236" s="74">
        <v>0</v>
      </c>
      <c r="V236" s="74">
        <f t="shared" si="44"/>
        <v>0</v>
      </c>
      <c r="W236" s="74">
        <f t="shared" si="45"/>
        <v>0</v>
      </c>
      <c r="X236" s="74">
        <f t="shared" si="46"/>
        <v>0</v>
      </c>
      <c r="Y236" s="74">
        <f t="shared" si="47"/>
        <v>0</v>
      </c>
      <c r="Z236" s="74">
        <f t="shared" si="48"/>
        <v>0</v>
      </c>
      <c r="AA236" s="75">
        <f t="shared" si="38"/>
        <v>0</v>
      </c>
      <c r="AB236" s="75">
        <f t="shared" si="50"/>
        <v>0</v>
      </c>
    </row>
    <row r="237" spans="1:29" ht="24">
      <c r="A237" s="69" t="s">
        <v>476</v>
      </c>
      <c r="B237" s="70" t="s">
        <v>477</v>
      </c>
      <c r="C237" s="69"/>
      <c r="D237" s="70" t="s">
        <v>477</v>
      </c>
      <c r="E237" s="71">
        <v>0</v>
      </c>
      <c r="F237" s="71">
        <v>0</v>
      </c>
      <c r="G237" s="72">
        <v>0</v>
      </c>
      <c r="H237" s="73">
        <v>0</v>
      </c>
      <c r="I237" s="73">
        <v>0</v>
      </c>
      <c r="J237" s="73">
        <v>0</v>
      </c>
      <c r="K237" s="72">
        <v>0</v>
      </c>
      <c r="L237" s="72">
        <f t="shared" si="40"/>
        <v>0</v>
      </c>
      <c r="M237" s="72">
        <v>0</v>
      </c>
      <c r="N237" s="72">
        <v>0</v>
      </c>
      <c r="O237" s="72">
        <v>0</v>
      </c>
      <c r="P237" s="72">
        <f t="shared" si="41"/>
        <v>0</v>
      </c>
      <c r="Q237" s="72">
        <f t="shared" si="42"/>
        <v>0</v>
      </c>
      <c r="R237" s="72"/>
      <c r="S237" s="56"/>
      <c r="T237" s="74">
        <f t="shared" si="43"/>
        <v>0</v>
      </c>
      <c r="U237" s="74">
        <v>0</v>
      </c>
      <c r="V237" s="74">
        <f t="shared" si="44"/>
        <v>0</v>
      </c>
      <c r="W237" s="74">
        <f t="shared" si="45"/>
        <v>0</v>
      </c>
      <c r="X237" s="74">
        <f t="shared" si="46"/>
        <v>0</v>
      </c>
      <c r="Y237" s="74">
        <f t="shared" si="47"/>
        <v>0</v>
      </c>
      <c r="Z237" s="74">
        <f t="shared" si="48"/>
        <v>0</v>
      </c>
      <c r="AA237" s="75">
        <f t="shared" si="38"/>
        <v>0</v>
      </c>
      <c r="AB237" s="75">
        <f t="shared" si="50"/>
        <v>0</v>
      </c>
    </row>
    <row r="238" spans="1:29" ht="24">
      <c r="A238" s="69" t="s">
        <v>478</v>
      </c>
      <c r="B238" s="70" t="s">
        <v>479</v>
      </c>
      <c r="C238" s="69"/>
      <c r="D238" s="70" t="s">
        <v>479</v>
      </c>
      <c r="E238" s="71">
        <v>0</v>
      </c>
      <c r="F238" s="71">
        <v>0</v>
      </c>
      <c r="G238" s="72">
        <v>0</v>
      </c>
      <c r="H238" s="73">
        <v>0</v>
      </c>
      <c r="I238" s="73">
        <v>0</v>
      </c>
      <c r="J238" s="73">
        <v>0</v>
      </c>
      <c r="K238" s="72">
        <v>0</v>
      </c>
      <c r="L238" s="72">
        <f t="shared" si="40"/>
        <v>0</v>
      </c>
      <c r="M238" s="72">
        <v>0</v>
      </c>
      <c r="N238" s="72">
        <v>0</v>
      </c>
      <c r="O238" s="72">
        <v>0</v>
      </c>
      <c r="P238" s="72">
        <f t="shared" si="41"/>
        <v>0</v>
      </c>
      <c r="Q238" s="72">
        <f t="shared" si="42"/>
        <v>0</v>
      </c>
      <c r="R238" s="72"/>
      <c r="S238" s="56"/>
      <c r="T238" s="74">
        <f t="shared" si="43"/>
        <v>0</v>
      </c>
      <c r="U238" s="74">
        <v>0</v>
      </c>
      <c r="V238" s="74">
        <f t="shared" si="44"/>
        <v>0</v>
      </c>
      <c r="W238" s="74">
        <f t="shared" si="45"/>
        <v>0</v>
      </c>
      <c r="X238" s="74">
        <f t="shared" si="46"/>
        <v>0</v>
      </c>
      <c r="Y238" s="74">
        <f t="shared" si="47"/>
        <v>0</v>
      </c>
      <c r="Z238" s="74">
        <f t="shared" si="48"/>
        <v>0</v>
      </c>
      <c r="AA238" s="75">
        <f t="shared" ref="AA238:AA301" si="51">L238*F238</f>
        <v>0</v>
      </c>
      <c r="AB238" s="75">
        <f t="shared" si="50"/>
        <v>0</v>
      </c>
    </row>
    <row r="239" spans="1:29" ht="48">
      <c r="A239" s="69" t="s">
        <v>480</v>
      </c>
      <c r="B239" s="70" t="s">
        <v>786</v>
      </c>
      <c r="C239" s="69"/>
      <c r="D239" s="70" t="s">
        <v>481</v>
      </c>
      <c r="E239" s="71">
        <v>841</v>
      </c>
      <c r="F239" s="71">
        <v>841</v>
      </c>
      <c r="G239" s="72">
        <v>1</v>
      </c>
      <c r="H239" s="73">
        <v>0</v>
      </c>
      <c r="I239" s="73">
        <v>0</v>
      </c>
      <c r="J239" s="73">
        <v>0</v>
      </c>
      <c r="K239" s="72">
        <v>0</v>
      </c>
      <c r="L239" s="72">
        <f t="shared" si="40"/>
        <v>1</v>
      </c>
      <c r="M239" s="72">
        <v>1</v>
      </c>
      <c r="N239" s="72">
        <v>0</v>
      </c>
      <c r="O239" s="72">
        <v>0</v>
      </c>
      <c r="P239" s="72">
        <f t="shared" si="41"/>
        <v>1</v>
      </c>
      <c r="Q239" s="72">
        <f t="shared" si="42"/>
        <v>0</v>
      </c>
      <c r="R239" s="72"/>
      <c r="S239" s="56"/>
      <c r="T239" s="74">
        <f t="shared" si="43"/>
        <v>841</v>
      </c>
      <c r="U239" s="74">
        <v>0</v>
      </c>
      <c r="V239" s="74">
        <f t="shared" si="44"/>
        <v>0</v>
      </c>
      <c r="W239" s="74">
        <f t="shared" si="45"/>
        <v>0</v>
      </c>
      <c r="X239" s="74">
        <f t="shared" si="46"/>
        <v>0</v>
      </c>
      <c r="Y239" s="74">
        <f t="shared" si="47"/>
        <v>0</v>
      </c>
      <c r="Z239" s="74">
        <f t="shared" si="48"/>
        <v>841</v>
      </c>
      <c r="AA239" s="75">
        <f t="shared" si="51"/>
        <v>841</v>
      </c>
      <c r="AB239" s="75">
        <f t="shared" si="50"/>
        <v>0</v>
      </c>
    </row>
    <row r="240" spans="1:29" ht="36">
      <c r="A240" s="69" t="s">
        <v>482</v>
      </c>
      <c r="B240" s="70" t="s">
        <v>483</v>
      </c>
      <c r="C240" s="69"/>
      <c r="D240" s="70" t="s">
        <v>483</v>
      </c>
      <c r="E240" s="71">
        <v>0</v>
      </c>
      <c r="F240" s="71">
        <v>0</v>
      </c>
      <c r="G240" s="72">
        <v>0</v>
      </c>
      <c r="H240" s="73">
        <v>0</v>
      </c>
      <c r="I240" s="73">
        <v>0</v>
      </c>
      <c r="J240" s="73">
        <v>0</v>
      </c>
      <c r="K240" s="72">
        <v>0</v>
      </c>
      <c r="L240" s="72">
        <f t="shared" si="40"/>
        <v>0</v>
      </c>
      <c r="M240" s="72">
        <v>0</v>
      </c>
      <c r="N240" s="72">
        <v>0</v>
      </c>
      <c r="O240" s="72">
        <v>0</v>
      </c>
      <c r="P240" s="72">
        <f t="shared" si="41"/>
        <v>0</v>
      </c>
      <c r="Q240" s="72">
        <f t="shared" si="42"/>
        <v>0</v>
      </c>
      <c r="R240" s="72"/>
      <c r="S240" s="56"/>
      <c r="T240" s="74">
        <f t="shared" si="43"/>
        <v>0</v>
      </c>
      <c r="U240" s="74">
        <v>0</v>
      </c>
      <c r="V240" s="74">
        <f t="shared" si="44"/>
        <v>0</v>
      </c>
      <c r="W240" s="74">
        <f t="shared" si="45"/>
        <v>0</v>
      </c>
      <c r="X240" s="74">
        <f t="shared" si="46"/>
        <v>0</v>
      </c>
      <c r="Y240" s="74">
        <f t="shared" si="47"/>
        <v>0</v>
      </c>
      <c r="Z240" s="74">
        <f t="shared" si="48"/>
        <v>0</v>
      </c>
      <c r="AA240" s="75">
        <f t="shared" si="51"/>
        <v>0</v>
      </c>
      <c r="AB240" s="75">
        <f t="shared" si="50"/>
        <v>0</v>
      </c>
    </row>
    <row r="241" spans="1:28" ht="24">
      <c r="A241" s="69" t="s">
        <v>484</v>
      </c>
      <c r="B241" s="70" t="s">
        <v>773</v>
      </c>
      <c r="C241" s="69"/>
      <c r="D241" s="70" t="s">
        <v>485</v>
      </c>
      <c r="E241" s="71">
        <v>3410</v>
      </c>
      <c r="F241" s="71">
        <v>3410</v>
      </c>
      <c r="G241" s="72">
        <v>0</v>
      </c>
      <c r="H241" s="73">
        <v>0</v>
      </c>
      <c r="I241" s="73">
        <v>0</v>
      </c>
      <c r="J241" s="73">
        <v>0</v>
      </c>
      <c r="K241" s="72">
        <v>0</v>
      </c>
      <c r="L241" s="72">
        <f t="shared" si="40"/>
        <v>0</v>
      </c>
      <c r="M241" s="72">
        <v>0</v>
      </c>
      <c r="N241" s="72">
        <v>0</v>
      </c>
      <c r="O241" s="72">
        <v>0</v>
      </c>
      <c r="P241" s="72">
        <f t="shared" si="41"/>
        <v>0</v>
      </c>
      <c r="Q241" s="72">
        <f t="shared" si="42"/>
        <v>0</v>
      </c>
      <c r="R241" s="72"/>
      <c r="S241" s="56"/>
      <c r="T241" s="74">
        <f t="shared" si="43"/>
        <v>0</v>
      </c>
      <c r="U241" s="74">
        <v>0</v>
      </c>
      <c r="V241" s="74">
        <f t="shared" si="44"/>
        <v>0</v>
      </c>
      <c r="W241" s="74">
        <f t="shared" si="45"/>
        <v>0</v>
      </c>
      <c r="X241" s="74">
        <f t="shared" si="46"/>
        <v>0</v>
      </c>
      <c r="Y241" s="74">
        <f t="shared" si="47"/>
        <v>0</v>
      </c>
      <c r="Z241" s="74">
        <f t="shared" si="48"/>
        <v>0</v>
      </c>
      <c r="AA241" s="75">
        <f t="shared" si="51"/>
        <v>0</v>
      </c>
      <c r="AB241" s="75">
        <f t="shared" si="50"/>
        <v>0</v>
      </c>
    </row>
    <row r="242" spans="1:28" ht="24">
      <c r="A242" s="69" t="s">
        <v>486</v>
      </c>
      <c r="B242" s="70" t="s">
        <v>487</v>
      </c>
      <c r="C242" s="69"/>
      <c r="D242" s="70" t="s">
        <v>487</v>
      </c>
      <c r="E242" s="71">
        <v>99</v>
      </c>
      <c r="F242" s="71">
        <v>99</v>
      </c>
      <c r="G242" s="72">
        <v>1</v>
      </c>
      <c r="H242" s="73">
        <v>0</v>
      </c>
      <c r="I242" s="73">
        <v>0</v>
      </c>
      <c r="J242" s="73">
        <v>0</v>
      </c>
      <c r="K242" s="72">
        <v>0</v>
      </c>
      <c r="L242" s="72">
        <f t="shared" si="40"/>
        <v>1</v>
      </c>
      <c r="M242" s="72">
        <v>1</v>
      </c>
      <c r="N242" s="72">
        <v>0</v>
      </c>
      <c r="O242" s="72">
        <v>0</v>
      </c>
      <c r="P242" s="72">
        <f t="shared" si="41"/>
        <v>1</v>
      </c>
      <c r="Q242" s="72">
        <f t="shared" si="42"/>
        <v>0</v>
      </c>
      <c r="R242" s="72"/>
      <c r="S242" s="56"/>
      <c r="T242" s="74">
        <f t="shared" si="43"/>
        <v>99</v>
      </c>
      <c r="U242" s="74">
        <v>0</v>
      </c>
      <c r="V242" s="74">
        <f t="shared" si="44"/>
        <v>0</v>
      </c>
      <c r="W242" s="74">
        <f t="shared" si="45"/>
        <v>0</v>
      </c>
      <c r="X242" s="74">
        <f t="shared" si="46"/>
        <v>0</v>
      </c>
      <c r="Y242" s="74">
        <f t="shared" si="47"/>
        <v>0</v>
      </c>
      <c r="Z242" s="74">
        <f t="shared" si="48"/>
        <v>99</v>
      </c>
      <c r="AA242" s="75">
        <f t="shared" si="51"/>
        <v>99</v>
      </c>
      <c r="AB242" s="75">
        <f t="shared" si="50"/>
        <v>0</v>
      </c>
    </row>
    <row r="243" spans="1:28" ht="24">
      <c r="A243" s="69" t="s">
        <v>488</v>
      </c>
      <c r="B243" s="70" t="s">
        <v>489</v>
      </c>
      <c r="C243" s="69"/>
      <c r="D243" s="70" t="s">
        <v>489</v>
      </c>
      <c r="E243" s="71">
        <v>113.5</v>
      </c>
      <c r="F243" s="71">
        <v>113.5</v>
      </c>
      <c r="G243" s="72">
        <v>3</v>
      </c>
      <c r="H243" s="73">
        <v>0</v>
      </c>
      <c r="I243" s="73">
        <v>0</v>
      </c>
      <c r="J243" s="73">
        <v>0</v>
      </c>
      <c r="K243" s="72">
        <v>0</v>
      </c>
      <c r="L243" s="72">
        <f t="shared" si="40"/>
        <v>3</v>
      </c>
      <c r="M243" s="72">
        <v>3</v>
      </c>
      <c r="N243" s="72">
        <v>0</v>
      </c>
      <c r="O243" s="72">
        <v>0</v>
      </c>
      <c r="P243" s="72">
        <f t="shared" si="41"/>
        <v>3</v>
      </c>
      <c r="Q243" s="72">
        <f t="shared" si="42"/>
        <v>0</v>
      </c>
      <c r="R243" s="72"/>
      <c r="S243" s="56"/>
      <c r="T243" s="74">
        <f t="shared" si="43"/>
        <v>340.5</v>
      </c>
      <c r="U243" s="74">
        <v>0</v>
      </c>
      <c r="V243" s="74">
        <f t="shared" si="44"/>
        <v>0</v>
      </c>
      <c r="W243" s="74">
        <f t="shared" si="45"/>
        <v>0</v>
      </c>
      <c r="X243" s="74">
        <f t="shared" si="46"/>
        <v>0</v>
      </c>
      <c r="Y243" s="74">
        <f t="shared" si="47"/>
        <v>0</v>
      </c>
      <c r="Z243" s="74">
        <f t="shared" si="48"/>
        <v>340.5</v>
      </c>
      <c r="AA243" s="75">
        <f t="shared" si="51"/>
        <v>340.5</v>
      </c>
      <c r="AB243" s="75">
        <f t="shared" si="50"/>
        <v>0</v>
      </c>
    </row>
    <row r="244" spans="1:28">
      <c r="A244" s="69" t="s">
        <v>490</v>
      </c>
      <c r="B244" s="69" t="s">
        <v>776</v>
      </c>
      <c r="C244" s="69"/>
      <c r="D244" s="70" t="s">
        <v>491</v>
      </c>
      <c r="E244" s="71">
        <v>1536</v>
      </c>
      <c r="F244" s="71">
        <v>1536</v>
      </c>
      <c r="G244" s="72">
        <v>3</v>
      </c>
      <c r="H244" s="73">
        <v>0</v>
      </c>
      <c r="I244" s="73">
        <v>0</v>
      </c>
      <c r="J244" s="73">
        <v>1</v>
      </c>
      <c r="K244" s="72">
        <v>0</v>
      </c>
      <c r="L244" s="72">
        <f t="shared" si="40"/>
        <v>2</v>
      </c>
      <c r="M244" s="72">
        <v>2</v>
      </c>
      <c r="N244" s="72">
        <v>0</v>
      </c>
      <c r="O244" s="72">
        <v>0</v>
      </c>
      <c r="P244" s="72">
        <f t="shared" si="41"/>
        <v>2</v>
      </c>
      <c r="Q244" s="72">
        <f t="shared" si="42"/>
        <v>0</v>
      </c>
      <c r="R244" s="72"/>
      <c r="S244" s="56"/>
      <c r="T244" s="74">
        <f t="shared" si="43"/>
        <v>4608</v>
      </c>
      <c r="U244" s="74">
        <v>0</v>
      </c>
      <c r="V244" s="74">
        <f t="shared" si="44"/>
        <v>0</v>
      </c>
      <c r="W244" s="74">
        <f t="shared" si="45"/>
        <v>0</v>
      </c>
      <c r="X244" s="74">
        <f t="shared" si="46"/>
        <v>1536</v>
      </c>
      <c r="Y244" s="74">
        <f t="shared" si="47"/>
        <v>0</v>
      </c>
      <c r="Z244" s="74">
        <f t="shared" si="48"/>
        <v>3072</v>
      </c>
      <c r="AA244" s="75">
        <f t="shared" si="51"/>
        <v>3072</v>
      </c>
      <c r="AB244" s="75">
        <f t="shared" si="50"/>
        <v>0</v>
      </c>
    </row>
    <row r="245" spans="1:28" ht="36">
      <c r="A245" s="69" t="s">
        <v>492</v>
      </c>
      <c r="B245" s="70" t="s">
        <v>493</v>
      </c>
      <c r="C245" s="69"/>
      <c r="D245" s="70" t="s">
        <v>493</v>
      </c>
      <c r="E245" s="71">
        <v>757.98</v>
      </c>
      <c r="F245" s="71">
        <v>757.98</v>
      </c>
      <c r="G245" s="72">
        <v>1</v>
      </c>
      <c r="H245" s="73">
        <v>0</v>
      </c>
      <c r="I245" s="73">
        <v>0</v>
      </c>
      <c r="J245" s="73">
        <v>0</v>
      </c>
      <c r="K245" s="72">
        <v>0</v>
      </c>
      <c r="L245" s="72">
        <f t="shared" si="40"/>
        <v>1</v>
      </c>
      <c r="M245" s="72">
        <v>1</v>
      </c>
      <c r="N245" s="72">
        <v>0</v>
      </c>
      <c r="O245" s="72">
        <v>0</v>
      </c>
      <c r="P245" s="72">
        <f t="shared" si="41"/>
        <v>1</v>
      </c>
      <c r="Q245" s="72">
        <f t="shared" si="42"/>
        <v>0</v>
      </c>
      <c r="R245" s="72"/>
      <c r="S245" s="56"/>
      <c r="T245" s="74">
        <f t="shared" si="43"/>
        <v>757.98</v>
      </c>
      <c r="U245" s="74">
        <v>0</v>
      </c>
      <c r="V245" s="74">
        <f t="shared" si="44"/>
        <v>0</v>
      </c>
      <c r="W245" s="74">
        <f t="shared" si="45"/>
        <v>0</v>
      </c>
      <c r="X245" s="74">
        <f t="shared" si="46"/>
        <v>0</v>
      </c>
      <c r="Y245" s="74">
        <f t="shared" si="47"/>
        <v>0</v>
      </c>
      <c r="Z245" s="74">
        <f t="shared" si="48"/>
        <v>757.98</v>
      </c>
      <c r="AA245" s="75">
        <f t="shared" si="51"/>
        <v>757.98</v>
      </c>
      <c r="AB245" s="75">
        <f t="shared" si="50"/>
        <v>0</v>
      </c>
    </row>
    <row r="246" spans="1:28" ht="36">
      <c r="A246" s="69" t="s">
        <v>494</v>
      </c>
      <c r="B246" s="70" t="s">
        <v>495</v>
      </c>
      <c r="C246" s="69"/>
      <c r="D246" s="70" t="s">
        <v>495</v>
      </c>
      <c r="E246" s="71">
        <v>36.5</v>
      </c>
      <c r="F246" s="71">
        <v>36.5</v>
      </c>
      <c r="G246" s="72">
        <v>4</v>
      </c>
      <c r="H246" s="73">
        <v>0</v>
      </c>
      <c r="I246" s="73">
        <v>0</v>
      </c>
      <c r="J246" s="73">
        <v>4</v>
      </c>
      <c r="K246" s="72">
        <v>0</v>
      </c>
      <c r="L246" s="72">
        <f t="shared" si="40"/>
        <v>0</v>
      </c>
      <c r="M246" s="72">
        <v>0</v>
      </c>
      <c r="N246" s="72">
        <v>0</v>
      </c>
      <c r="O246" s="72">
        <v>0</v>
      </c>
      <c r="P246" s="72">
        <f t="shared" si="41"/>
        <v>0</v>
      </c>
      <c r="Q246" s="72">
        <f t="shared" si="42"/>
        <v>0</v>
      </c>
      <c r="R246" s="72"/>
      <c r="S246" s="56"/>
      <c r="T246" s="74">
        <f t="shared" si="43"/>
        <v>146</v>
      </c>
      <c r="U246" s="74">
        <v>0</v>
      </c>
      <c r="V246" s="74">
        <f t="shared" si="44"/>
        <v>0</v>
      </c>
      <c r="W246" s="74">
        <f t="shared" si="45"/>
        <v>0</v>
      </c>
      <c r="X246" s="74">
        <f t="shared" si="46"/>
        <v>146</v>
      </c>
      <c r="Y246" s="74">
        <f t="shared" si="47"/>
        <v>0</v>
      </c>
      <c r="Z246" s="74">
        <f t="shared" si="48"/>
        <v>0</v>
      </c>
      <c r="AA246" s="75">
        <f t="shared" si="51"/>
        <v>0</v>
      </c>
      <c r="AB246" s="75">
        <f t="shared" si="50"/>
        <v>0</v>
      </c>
    </row>
    <row r="247" spans="1:28" ht="36">
      <c r="A247" s="69" t="s">
        <v>496</v>
      </c>
      <c r="B247" s="70" t="s">
        <v>497</v>
      </c>
      <c r="C247" s="69"/>
      <c r="D247" s="70" t="s">
        <v>497</v>
      </c>
      <c r="E247" s="71">
        <v>36.5</v>
      </c>
      <c r="F247" s="71">
        <v>36.5</v>
      </c>
      <c r="G247" s="72">
        <v>5</v>
      </c>
      <c r="H247" s="73">
        <v>0</v>
      </c>
      <c r="I247" s="73">
        <v>0</v>
      </c>
      <c r="J247" s="73">
        <v>5</v>
      </c>
      <c r="K247" s="72">
        <v>0</v>
      </c>
      <c r="L247" s="72">
        <f t="shared" si="40"/>
        <v>0</v>
      </c>
      <c r="M247" s="72">
        <v>0</v>
      </c>
      <c r="N247" s="72">
        <v>0</v>
      </c>
      <c r="O247" s="72">
        <v>0</v>
      </c>
      <c r="P247" s="72">
        <f t="shared" si="41"/>
        <v>0</v>
      </c>
      <c r="Q247" s="72">
        <f t="shared" si="42"/>
        <v>0</v>
      </c>
      <c r="R247" s="72"/>
      <c r="S247" s="56"/>
      <c r="T247" s="74">
        <f t="shared" si="43"/>
        <v>182.5</v>
      </c>
      <c r="U247" s="74">
        <v>0</v>
      </c>
      <c r="V247" s="74">
        <f t="shared" si="44"/>
        <v>0</v>
      </c>
      <c r="W247" s="74">
        <f t="shared" si="45"/>
        <v>0</v>
      </c>
      <c r="X247" s="74">
        <f t="shared" si="46"/>
        <v>182.5</v>
      </c>
      <c r="Y247" s="74">
        <f t="shared" si="47"/>
        <v>0</v>
      </c>
      <c r="Z247" s="74">
        <f t="shared" si="48"/>
        <v>0</v>
      </c>
      <c r="AA247" s="75">
        <f t="shared" si="51"/>
        <v>0</v>
      </c>
      <c r="AB247" s="75">
        <f t="shared" si="50"/>
        <v>0</v>
      </c>
    </row>
    <row r="248" spans="1:28" ht="24">
      <c r="A248" s="69" t="s">
        <v>498</v>
      </c>
      <c r="B248" s="70" t="s">
        <v>499</v>
      </c>
      <c r="C248" s="69"/>
      <c r="D248" s="70" t="s">
        <v>499</v>
      </c>
      <c r="E248" s="71">
        <v>0</v>
      </c>
      <c r="F248" s="71">
        <v>0</v>
      </c>
      <c r="G248" s="72">
        <v>0</v>
      </c>
      <c r="H248" s="73">
        <v>0</v>
      </c>
      <c r="I248" s="73">
        <v>0</v>
      </c>
      <c r="J248" s="73">
        <v>0</v>
      </c>
      <c r="K248" s="72">
        <v>0</v>
      </c>
      <c r="L248" s="72">
        <f t="shared" si="40"/>
        <v>0</v>
      </c>
      <c r="M248" s="72">
        <v>0</v>
      </c>
      <c r="N248" s="72">
        <v>0</v>
      </c>
      <c r="O248" s="72">
        <v>0</v>
      </c>
      <c r="P248" s="72">
        <f t="shared" si="41"/>
        <v>0</v>
      </c>
      <c r="Q248" s="72">
        <f t="shared" si="42"/>
        <v>0</v>
      </c>
      <c r="R248" s="72"/>
      <c r="S248" s="56"/>
      <c r="T248" s="74">
        <f t="shared" si="43"/>
        <v>0</v>
      </c>
      <c r="U248" s="74">
        <v>0</v>
      </c>
      <c r="V248" s="74">
        <f t="shared" si="44"/>
        <v>0</v>
      </c>
      <c r="W248" s="74">
        <f t="shared" si="45"/>
        <v>0</v>
      </c>
      <c r="X248" s="74">
        <f t="shared" si="46"/>
        <v>0</v>
      </c>
      <c r="Y248" s="74">
        <f t="shared" si="47"/>
        <v>0</v>
      </c>
      <c r="Z248" s="74">
        <f t="shared" si="48"/>
        <v>0</v>
      </c>
      <c r="AA248" s="75">
        <f t="shared" si="51"/>
        <v>0</v>
      </c>
      <c r="AB248" s="75">
        <f t="shared" si="50"/>
        <v>0</v>
      </c>
    </row>
    <row r="249" spans="1:28" ht="24">
      <c r="A249" s="69" t="s">
        <v>500</v>
      </c>
      <c r="B249" s="70" t="s">
        <v>501</v>
      </c>
      <c r="C249" s="69"/>
      <c r="D249" s="70" t="s">
        <v>501</v>
      </c>
      <c r="E249" s="71">
        <v>46.5</v>
      </c>
      <c r="F249" s="71">
        <v>46.5</v>
      </c>
      <c r="G249" s="72">
        <v>10</v>
      </c>
      <c r="H249" s="73">
        <v>0</v>
      </c>
      <c r="I249" s="73">
        <v>0</v>
      </c>
      <c r="J249" s="73">
        <v>0</v>
      </c>
      <c r="K249" s="72">
        <v>0</v>
      </c>
      <c r="L249" s="72">
        <f t="shared" si="40"/>
        <v>10</v>
      </c>
      <c r="M249" s="72">
        <v>10</v>
      </c>
      <c r="N249" s="72">
        <v>0</v>
      </c>
      <c r="O249" s="72">
        <v>0</v>
      </c>
      <c r="P249" s="72">
        <f t="shared" si="41"/>
        <v>10</v>
      </c>
      <c r="Q249" s="72">
        <f t="shared" si="42"/>
        <v>0</v>
      </c>
      <c r="R249" s="72"/>
      <c r="S249" s="56"/>
      <c r="T249" s="74">
        <f t="shared" si="43"/>
        <v>465</v>
      </c>
      <c r="U249" s="74">
        <v>0</v>
      </c>
      <c r="V249" s="74">
        <f t="shared" si="44"/>
        <v>0</v>
      </c>
      <c r="W249" s="74">
        <f t="shared" si="45"/>
        <v>0</v>
      </c>
      <c r="X249" s="74">
        <f t="shared" si="46"/>
        <v>0</v>
      </c>
      <c r="Y249" s="74">
        <f t="shared" si="47"/>
        <v>0</v>
      </c>
      <c r="Z249" s="74">
        <f t="shared" si="48"/>
        <v>465</v>
      </c>
      <c r="AA249" s="75">
        <f t="shared" si="51"/>
        <v>465</v>
      </c>
      <c r="AB249" s="75">
        <f t="shared" si="50"/>
        <v>0</v>
      </c>
    </row>
    <row r="250" spans="1:28" ht="24">
      <c r="A250" s="69" t="s">
        <v>502</v>
      </c>
      <c r="B250" s="70" t="s">
        <v>503</v>
      </c>
      <c r="C250" s="69"/>
      <c r="D250" s="70" t="s">
        <v>503</v>
      </c>
      <c r="E250" s="71">
        <v>120</v>
      </c>
      <c r="F250" s="71">
        <v>120</v>
      </c>
      <c r="G250" s="72">
        <v>8</v>
      </c>
      <c r="H250" s="73">
        <v>0</v>
      </c>
      <c r="I250" s="73">
        <v>0</v>
      </c>
      <c r="J250" s="73">
        <v>6</v>
      </c>
      <c r="K250" s="72">
        <v>0</v>
      </c>
      <c r="L250" s="72">
        <f t="shared" si="40"/>
        <v>2</v>
      </c>
      <c r="M250" s="72">
        <v>2</v>
      </c>
      <c r="N250" s="72">
        <v>0</v>
      </c>
      <c r="O250" s="72">
        <v>0</v>
      </c>
      <c r="P250" s="72">
        <f t="shared" si="41"/>
        <v>2</v>
      </c>
      <c r="Q250" s="72">
        <f t="shared" si="42"/>
        <v>0</v>
      </c>
      <c r="R250" s="72"/>
      <c r="S250" s="56"/>
      <c r="T250" s="74">
        <f t="shared" si="43"/>
        <v>960</v>
      </c>
      <c r="U250" s="74">
        <v>0</v>
      </c>
      <c r="V250" s="74">
        <f t="shared" si="44"/>
        <v>0</v>
      </c>
      <c r="W250" s="74">
        <f t="shared" si="45"/>
        <v>0</v>
      </c>
      <c r="X250" s="74">
        <f t="shared" si="46"/>
        <v>720</v>
      </c>
      <c r="Y250" s="74">
        <f t="shared" si="47"/>
        <v>0</v>
      </c>
      <c r="Z250" s="74">
        <f t="shared" si="48"/>
        <v>240</v>
      </c>
      <c r="AA250" s="75">
        <f t="shared" si="51"/>
        <v>240</v>
      </c>
      <c r="AB250" s="75">
        <f t="shared" si="50"/>
        <v>0</v>
      </c>
    </row>
    <row r="251" spans="1:28" ht="24">
      <c r="A251" s="69" t="s">
        <v>504</v>
      </c>
      <c r="B251" s="70" t="s">
        <v>505</v>
      </c>
      <c r="C251" s="69"/>
      <c r="D251" s="70" t="s">
        <v>505</v>
      </c>
      <c r="E251" s="71">
        <v>130</v>
      </c>
      <c r="F251" s="71">
        <v>130</v>
      </c>
      <c r="G251" s="72">
        <v>28</v>
      </c>
      <c r="H251" s="73">
        <v>0</v>
      </c>
      <c r="I251" s="73">
        <v>0</v>
      </c>
      <c r="J251" s="73">
        <v>12</v>
      </c>
      <c r="K251" s="72">
        <v>0</v>
      </c>
      <c r="L251" s="72">
        <f t="shared" si="40"/>
        <v>16</v>
      </c>
      <c r="M251" s="72">
        <v>16</v>
      </c>
      <c r="N251" s="72">
        <v>0</v>
      </c>
      <c r="O251" s="72">
        <v>0</v>
      </c>
      <c r="P251" s="72">
        <f t="shared" si="41"/>
        <v>16</v>
      </c>
      <c r="Q251" s="72">
        <f t="shared" si="42"/>
        <v>0</v>
      </c>
      <c r="R251" s="72"/>
      <c r="S251" s="56"/>
      <c r="T251" s="74">
        <f t="shared" si="43"/>
        <v>3640</v>
      </c>
      <c r="U251" s="74">
        <v>0</v>
      </c>
      <c r="V251" s="74">
        <f t="shared" si="44"/>
        <v>0</v>
      </c>
      <c r="W251" s="74">
        <f t="shared" si="45"/>
        <v>0</v>
      </c>
      <c r="X251" s="74">
        <f t="shared" si="46"/>
        <v>1560</v>
      </c>
      <c r="Y251" s="74">
        <f t="shared" si="47"/>
        <v>0</v>
      </c>
      <c r="Z251" s="74">
        <f t="shared" si="48"/>
        <v>2080</v>
      </c>
      <c r="AA251" s="75">
        <f t="shared" si="51"/>
        <v>2080</v>
      </c>
      <c r="AB251" s="75">
        <f t="shared" si="50"/>
        <v>0</v>
      </c>
    </row>
    <row r="252" spans="1:28" ht="24">
      <c r="A252" s="69" t="s">
        <v>506</v>
      </c>
      <c r="B252" s="70" t="s">
        <v>507</v>
      </c>
      <c r="C252" s="69"/>
      <c r="D252" s="70" t="s">
        <v>507</v>
      </c>
      <c r="E252" s="71">
        <v>120</v>
      </c>
      <c r="F252" s="71">
        <v>120</v>
      </c>
      <c r="G252" s="72">
        <v>2</v>
      </c>
      <c r="H252" s="73">
        <v>0</v>
      </c>
      <c r="I252" s="73">
        <v>0</v>
      </c>
      <c r="J252" s="73">
        <v>2</v>
      </c>
      <c r="K252" s="72">
        <v>0</v>
      </c>
      <c r="L252" s="72">
        <f t="shared" si="40"/>
        <v>0</v>
      </c>
      <c r="M252" s="72">
        <v>0</v>
      </c>
      <c r="N252" s="72">
        <v>0</v>
      </c>
      <c r="O252" s="72">
        <v>0</v>
      </c>
      <c r="P252" s="72">
        <f t="shared" si="41"/>
        <v>0</v>
      </c>
      <c r="Q252" s="72">
        <f t="shared" si="42"/>
        <v>0</v>
      </c>
      <c r="R252" s="72"/>
      <c r="S252" s="56"/>
      <c r="T252" s="74">
        <f t="shared" si="43"/>
        <v>240</v>
      </c>
      <c r="U252" s="74">
        <v>0</v>
      </c>
      <c r="V252" s="74">
        <f t="shared" si="44"/>
        <v>0</v>
      </c>
      <c r="W252" s="74">
        <f t="shared" si="45"/>
        <v>0</v>
      </c>
      <c r="X252" s="74">
        <f t="shared" si="46"/>
        <v>240</v>
      </c>
      <c r="Y252" s="74">
        <f t="shared" si="47"/>
        <v>0</v>
      </c>
      <c r="Z252" s="74">
        <f t="shared" si="48"/>
        <v>0</v>
      </c>
      <c r="AA252" s="75">
        <f t="shared" si="51"/>
        <v>0</v>
      </c>
      <c r="AB252" s="75">
        <f t="shared" si="50"/>
        <v>0</v>
      </c>
    </row>
    <row r="253" spans="1:28" ht="36">
      <c r="A253" s="69" t="s">
        <v>508</v>
      </c>
      <c r="B253" s="70" t="s">
        <v>726</v>
      </c>
      <c r="C253" s="140"/>
      <c r="D253" s="70" t="s">
        <v>509</v>
      </c>
      <c r="E253" s="71">
        <v>720</v>
      </c>
      <c r="F253" s="71">
        <v>720</v>
      </c>
      <c r="G253" s="72">
        <v>2</v>
      </c>
      <c r="H253" s="73">
        <v>0</v>
      </c>
      <c r="I253" s="73">
        <v>0</v>
      </c>
      <c r="J253" s="73">
        <v>0</v>
      </c>
      <c r="K253" s="72">
        <v>0</v>
      </c>
      <c r="L253" s="72">
        <f t="shared" si="40"/>
        <v>2</v>
      </c>
      <c r="M253" s="72">
        <v>2</v>
      </c>
      <c r="N253" s="72">
        <v>0</v>
      </c>
      <c r="O253" s="72">
        <v>0</v>
      </c>
      <c r="P253" s="72">
        <f t="shared" si="41"/>
        <v>2</v>
      </c>
      <c r="Q253" s="72">
        <f t="shared" si="42"/>
        <v>0</v>
      </c>
      <c r="R253" s="72"/>
      <c r="S253" s="56"/>
      <c r="T253" s="74">
        <f t="shared" si="43"/>
        <v>1440</v>
      </c>
      <c r="U253" s="74">
        <v>0</v>
      </c>
      <c r="V253" s="74">
        <f t="shared" si="44"/>
        <v>0</v>
      </c>
      <c r="W253" s="74">
        <f t="shared" si="45"/>
        <v>0</v>
      </c>
      <c r="X253" s="74">
        <f t="shared" si="46"/>
        <v>0</v>
      </c>
      <c r="Y253" s="74">
        <f t="shared" si="47"/>
        <v>0</v>
      </c>
      <c r="Z253" s="74">
        <f t="shared" si="48"/>
        <v>1440</v>
      </c>
      <c r="AA253" s="75">
        <f t="shared" si="51"/>
        <v>1440</v>
      </c>
      <c r="AB253" s="75">
        <f t="shared" si="50"/>
        <v>0</v>
      </c>
    </row>
    <row r="254" spans="1:28" ht="48">
      <c r="A254" s="69" t="s">
        <v>510</v>
      </c>
      <c r="B254" s="70" t="s">
        <v>511</v>
      </c>
      <c r="C254" s="69"/>
      <c r="D254" s="70" t="s">
        <v>511</v>
      </c>
      <c r="E254" s="71">
        <v>2151.2199999999998</v>
      </c>
      <c r="F254" s="71">
        <v>2151.2199999999998</v>
      </c>
      <c r="G254" s="72">
        <v>1</v>
      </c>
      <c r="H254" s="73">
        <v>0</v>
      </c>
      <c r="I254" s="73">
        <v>0</v>
      </c>
      <c r="J254" s="73">
        <v>0</v>
      </c>
      <c r="K254" s="72">
        <v>0</v>
      </c>
      <c r="L254" s="72">
        <f t="shared" si="40"/>
        <v>1</v>
      </c>
      <c r="M254" s="73">
        <v>1</v>
      </c>
      <c r="N254" s="73">
        <v>0</v>
      </c>
      <c r="O254" s="72">
        <v>0</v>
      </c>
      <c r="P254" s="73">
        <f t="shared" si="41"/>
        <v>1</v>
      </c>
      <c r="Q254" s="72">
        <f t="shared" si="42"/>
        <v>0</v>
      </c>
      <c r="R254" s="72"/>
      <c r="S254" s="56"/>
      <c r="T254" s="74">
        <f t="shared" si="43"/>
        <v>2151.2199999999998</v>
      </c>
      <c r="U254" s="74">
        <v>0</v>
      </c>
      <c r="V254" s="74">
        <f t="shared" si="44"/>
        <v>0</v>
      </c>
      <c r="W254" s="74">
        <f t="shared" si="45"/>
        <v>0</v>
      </c>
      <c r="X254" s="74">
        <f t="shared" si="46"/>
        <v>0</v>
      </c>
      <c r="Y254" s="74">
        <f t="shared" si="47"/>
        <v>0</v>
      </c>
      <c r="Z254" s="74">
        <f t="shared" si="48"/>
        <v>2151.2199999999998</v>
      </c>
      <c r="AA254" s="75">
        <f t="shared" si="51"/>
        <v>2151.2199999999998</v>
      </c>
      <c r="AB254" s="75">
        <f t="shared" si="50"/>
        <v>0</v>
      </c>
    </row>
    <row r="255" spans="1:28" ht="48">
      <c r="A255" s="69" t="s">
        <v>512</v>
      </c>
      <c r="B255" s="70" t="s">
        <v>513</v>
      </c>
      <c r="C255" s="69"/>
      <c r="D255" s="70" t="s">
        <v>513</v>
      </c>
      <c r="E255" s="71">
        <v>215.76</v>
      </c>
      <c r="F255" s="71">
        <v>215.76</v>
      </c>
      <c r="G255" s="72">
        <v>1</v>
      </c>
      <c r="H255" s="73">
        <v>0</v>
      </c>
      <c r="I255" s="73">
        <v>0</v>
      </c>
      <c r="J255" s="73">
        <v>0</v>
      </c>
      <c r="K255" s="72">
        <v>0</v>
      </c>
      <c r="L255" s="72">
        <f t="shared" si="40"/>
        <v>1</v>
      </c>
      <c r="M255" s="73">
        <v>1</v>
      </c>
      <c r="N255" s="73">
        <v>0</v>
      </c>
      <c r="O255" s="72">
        <v>0</v>
      </c>
      <c r="P255" s="73">
        <f t="shared" si="41"/>
        <v>1</v>
      </c>
      <c r="Q255" s="72">
        <f t="shared" si="42"/>
        <v>0</v>
      </c>
      <c r="R255" s="72"/>
      <c r="S255" s="56"/>
      <c r="T255" s="74">
        <f t="shared" si="43"/>
        <v>215.76</v>
      </c>
      <c r="U255" s="74">
        <v>0</v>
      </c>
      <c r="V255" s="74">
        <f t="shared" si="44"/>
        <v>0</v>
      </c>
      <c r="W255" s="74">
        <f t="shared" si="45"/>
        <v>0</v>
      </c>
      <c r="X255" s="74">
        <f t="shared" si="46"/>
        <v>0</v>
      </c>
      <c r="Y255" s="74">
        <f t="shared" si="47"/>
        <v>0</v>
      </c>
      <c r="Z255" s="74">
        <f t="shared" si="48"/>
        <v>215.76</v>
      </c>
      <c r="AA255" s="75">
        <f t="shared" si="51"/>
        <v>215.76</v>
      </c>
      <c r="AB255" s="75">
        <f t="shared" si="50"/>
        <v>0</v>
      </c>
    </row>
    <row r="256" spans="1:28" ht="48">
      <c r="A256" s="69" t="s">
        <v>514</v>
      </c>
      <c r="B256" s="70" t="s">
        <v>515</v>
      </c>
      <c r="C256" s="69"/>
      <c r="D256" s="70" t="s">
        <v>515</v>
      </c>
      <c r="E256" s="71">
        <v>182.12</v>
      </c>
      <c r="F256" s="71">
        <v>182.12</v>
      </c>
      <c r="G256" s="72">
        <v>1</v>
      </c>
      <c r="H256" s="73">
        <v>0</v>
      </c>
      <c r="I256" s="73">
        <v>0</v>
      </c>
      <c r="J256" s="73">
        <v>0</v>
      </c>
      <c r="K256" s="72">
        <v>0</v>
      </c>
      <c r="L256" s="72">
        <f t="shared" si="40"/>
        <v>1</v>
      </c>
      <c r="M256" s="73">
        <v>1</v>
      </c>
      <c r="N256" s="73">
        <v>0</v>
      </c>
      <c r="O256" s="72">
        <v>0</v>
      </c>
      <c r="P256" s="73">
        <f t="shared" si="41"/>
        <v>1</v>
      </c>
      <c r="Q256" s="72">
        <f t="shared" si="42"/>
        <v>0</v>
      </c>
      <c r="R256" s="72"/>
      <c r="S256" s="56"/>
      <c r="T256" s="74">
        <f t="shared" si="43"/>
        <v>182.12</v>
      </c>
      <c r="U256" s="74">
        <v>0</v>
      </c>
      <c r="V256" s="74">
        <f t="shared" si="44"/>
        <v>0</v>
      </c>
      <c r="W256" s="74">
        <f t="shared" si="45"/>
        <v>0</v>
      </c>
      <c r="X256" s="74">
        <f t="shared" si="46"/>
        <v>0</v>
      </c>
      <c r="Y256" s="74">
        <f t="shared" si="47"/>
        <v>0</v>
      </c>
      <c r="Z256" s="74">
        <f t="shared" si="48"/>
        <v>182.12</v>
      </c>
      <c r="AA256" s="75">
        <f t="shared" si="51"/>
        <v>182.12</v>
      </c>
      <c r="AB256" s="75">
        <f t="shared" si="50"/>
        <v>0</v>
      </c>
    </row>
    <row r="257" spans="1:29" ht="48">
      <c r="A257" s="69" t="s">
        <v>516</v>
      </c>
      <c r="B257" s="70" t="s">
        <v>517</v>
      </c>
      <c r="C257" s="69"/>
      <c r="D257" s="70" t="s">
        <v>517</v>
      </c>
      <c r="E257" s="71">
        <v>192.56</v>
      </c>
      <c r="F257" s="71">
        <v>192.56</v>
      </c>
      <c r="G257" s="72">
        <v>1</v>
      </c>
      <c r="H257" s="73">
        <v>0</v>
      </c>
      <c r="I257" s="73">
        <v>0</v>
      </c>
      <c r="J257" s="73">
        <v>0</v>
      </c>
      <c r="K257" s="72">
        <v>0</v>
      </c>
      <c r="L257" s="72">
        <f t="shared" si="40"/>
        <v>1</v>
      </c>
      <c r="M257" s="73">
        <v>1</v>
      </c>
      <c r="N257" s="73">
        <v>0</v>
      </c>
      <c r="O257" s="72">
        <v>0</v>
      </c>
      <c r="P257" s="73">
        <f t="shared" si="41"/>
        <v>1</v>
      </c>
      <c r="Q257" s="72">
        <f t="shared" si="42"/>
        <v>0</v>
      </c>
      <c r="R257" s="72"/>
      <c r="S257" s="56"/>
      <c r="T257" s="74">
        <f t="shared" si="43"/>
        <v>192.56</v>
      </c>
      <c r="U257" s="74">
        <v>0</v>
      </c>
      <c r="V257" s="74">
        <f t="shared" si="44"/>
        <v>0</v>
      </c>
      <c r="W257" s="74">
        <f t="shared" si="45"/>
        <v>0</v>
      </c>
      <c r="X257" s="74">
        <f t="shared" si="46"/>
        <v>0</v>
      </c>
      <c r="Y257" s="74">
        <f t="shared" si="47"/>
        <v>0</v>
      </c>
      <c r="Z257" s="74">
        <f t="shared" si="48"/>
        <v>192.56</v>
      </c>
      <c r="AA257" s="75">
        <f t="shared" si="51"/>
        <v>192.56</v>
      </c>
      <c r="AB257" s="75">
        <f t="shared" si="50"/>
        <v>0</v>
      </c>
    </row>
    <row r="258" spans="1:29" ht="48">
      <c r="A258" s="69" t="s">
        <v>518</v>
      </c>
      <c r="B258" s="70" t="s">
        <v>519</v>
      </c>
      <c r="C258" s="69"/>
      <c r="D258" s="70" t="s">
        <v>519</v>
      </c>
      <c r="E258" s="71">
        <v>1983.6</v>
      </c>
      <c r="F258" s="71">
        <v>1983.6</v>
      </c>
      <c r="G258" s="72">
        <v>1</v>
      </c>
      <c r="H258" s="73">
        <v>0</v>
      </c>
      <c r="I258" s="73">
        <v>0</v>
      </c>
      <c r="J258" s="73">
        <v>0</v>
      </c>
      <c r="K258" s="72">
        <v>0</v>
      </c>
      <c r="L258" s="72">
        <f t="shared" si="40"/>
        <v>1</v>
      </c>
      <c r="M258" s="73">
        <v>1</v>
      </c>
      <c r="N258" s="73">
        <v>0</v>
      </c>
      <c r="O258" s="72">
        <v>0</v>
      </c>
      <c r="P258" s="73">
        <f t="shared" si="41"/>
        <v>1</v>
      </c>
      <c r="Q258" s="72">
        <f t="shared" si="42"/>
        <v>0</v>
      </c>
      <c r="R258" s="72"/>
      <c r="S258" s="56"/>
      <c r="T258" s="74">
        <f t="shared" si="43"/>
        <v>1983.6</v>
      </c>
      <c r="U258" s="74">
        <v>0</v>
      </c>
      <c r="V258" s="74">
        <f t="shared" si="44"/>
        <v>0</v>
      </c>
      <c r="W258" s="74">
        <f t="shared" si="45"/>
        <v>0</v>
      </c>
      <c r="X258" s="74">
        <f t="shared" si="46"/>
        <v>0</v>
      </c>
      <c r="Y258" s="74">
        <f t="shared" si="47"/>
        <v>0</v>
      </c>
      <c r="Z258" s="74">
        <f t="shared" si="48"/>
        <v>1983.6</v>
      </c>
      <c r="AA258" s="75">
        <f t="shared" si="51"/>
        <v>1983.6</v>
      </c>
      <c r="AB258" s="75">
        <f t="shared" ref="AB258:AB289" si="52">AA258-Z258</f>
        <v>0</v>
      </c>
    </row>
    <row r="259" spans="1:29">
      <c r="A259" s="69" t="s">
        <v>520</v>
      </c>
      <c r="B259" s="70" t="s">
        <v>521</v>
      </c>
      <c r="C259" s="69"/>
      <c r="D259" s="70" t="s">
        <v>521</v>
      </c>
      <c r="E259" s="71">
        <v>0</v>
      </c>
      <c r="F259" s="71">
        <v>0</v>
      </c>
      <c r="G259" s="72">
        <v>0</v>
      </c>
      <c r="H259" s="73">
        <v>0</v>
      </c>
      <c r="I259" s="73">
        <v>0</v>
      </c>
      <c r="J259" s="73">
        <v>0</v>
      </c>
      <c r="K259" s="72">
        <v>0</v>
      </c>
      <c r="L259" s="72">
        <f t="shared" si="40"/>
        <v>0</v>
      </c>
      <c r="M259" s="73">
        <v>0</v>
      </c>
      <c r="N259" s="73">
        <v>0</v>
      </c>
      <c r="O259" s="72">
        <v>0</v>
      </c>
      <c r="P259" s="73">
        <f t="shared" si="41"/>
        <v>0</v>
      </c>
      <c r="Q259" s="72">
        <f t="shared" si="42"/>
        <v>0</v>
      </c>
      <c r="R259" s="72"/>
      <c r="S259" s="56"/>
      <c r="T259" s="74">
        <f t="shared" si="43"/>
        <v>0</v>
      </c>
      <c r="U259" s="74">
        <v>0</v>
      </c>
      <c r="V259" s="74">
        <f t="shared" si="44"/>
        <v>0</v>
      </c>
      <c r="W259" s="74">
        <f t="shared" si="45"/>
        <v>0</v>
      </c>
      <c r="X259" s="74">
        <f t="shared" si="46"/>
        <v>0</v>
      </c>
      <c r="Y259" s="74">
        <f t="shared" si="47"/>
        <v>0</v>
      </c>
      <c r="Z259" s="74">
        <f t="shared" si="48"/>
        <v>0</v>
      </c>
      <c r="AA259" s="75">
        <f t="shared" si="51"/>
        <v>0</v>
      </c>
      <c r="AB259" s="75">
        <f t="shared" si="52"/>
        <v>0</v>
      </c>
    </row>
    <row r="260" spans="1:29" s="157" customFormat="1" ht="36">
      <c r="A260" s="69" t="s">
        <v>522</v>
      </c>
      <c r="B260" s="70" t="s">
        <v>727</v>
      </c>
      <c r="C260" s="140"/>
      <c r="D260" s="70" t="s">
        <v>523</v>
      </c>
      <c r="E260" s="71">
        <v>723.8</v>
      </c>
      <c r="F260" s="71">
        <v>723.8</v>
      </c>
      <c r="G260" s="72">
        <v>2</v>
      </c>
      <c r="H260" s="73">
        <v>0</v>
      </c>
      <c r="I260" s="73">
        <v>0</v>
      </c>
      <c r="J260" s="73">
        <v>0</v>
      </c>
      <c r="K260" s="72">
        <v>0</v>
      </c>
      <c r="L260" s="72">
        <f t="shared" si="40"/>
        <v>2</v>
      </c>
      <c r="M260" s="73">
        <v>2</v>
      </c>
      <c r="N260" s="73">
        <v>0</v>
      </c>
      <c r="O260" s="72">
        <v>0</v>
      </c>
      <c r="P260" s="73">
        <f t="shared" si="41"/>
        <v>2</v>
      </c>
      <c r="Q260" s="72">
        <f t="shared" si="42"/>
        <v>0</v>
      </c>
      <c r="R260" s="72"/>
      <c r="S260" s="56"/>
      <c r="T260" s="74">
        <f t="shared" si="43"/>
        <v>1447.6</v>
      </c>
      <c r="U260" s="74">
        <v>0</v>
      </c>
      <c r="V260" s="74">
        <f t="shared" si="44"/>
        <v>0</v>
      </c>
      <c r="W260" s="74">
        <f t="shared" si="45"/>
        <v>0</v>
      </c>
      <c r="X260" s="74">
        <f t="shared" si="46"/>
        <v>0</v>
      </c>
      <c r="Y260" s="74">
        <f t="shared" si="47"/>
        <v>0</v>
      </c>
      <c r="Z260" s="74">
        <f t="shared" si="48"/>
        <v>1447.6</v>
      </c>
      <c r="AA260" s="75">
        <f t="shared" si="51"/>
        <v>1447.6</v>
      </c>
      <c r="AB260" s="75">
        <f t="shared" si="52"/>
        <v>0</v>
      </c>
      <c r="AC260" s="53"/>
    </row>
    <row r="261" spans="1:29" ht="24">
      <c r="A261" s="69" t="s">
        <v>526</v>
      </c>
      <c r="B261" s="70" t="s">
        <v>527</v>
      </c>
      <c r="C261" s="69"/>
      <c r="D261" s="70" t="s">
        <v>527</v>
      </c>
      <c r="E261" s="71">
        <v>0</v>
      </c>
      <c r="F261" s="71">
        <v>0</v>
      </c>
      <c r="G261" s="72">
        <v>0</v>
      </c>
      <c r="H261" s="73">
        <v>0</v>
      </c>
      <c r="I261" s="73">
        <v>0</v>
      </c>
      <c r="J261" s="73">
        <v>0</v>
      </c>
      <c r="K261" s="72">
        <v>0</v>
      </c>
      <c r="L261" s="72">
        <f t="shared" si="40"/>
        <v>0</v>
      </c>
      <c r="M261" s="73">
        <v>0</v>
      </c>
      <c r="N261" s="73">
        <v>0</v>
      </c>
      <c r="O261" s="72">
        <v>0</v>
      </c>
      <c r="P261" s="73">
        <f t="shared" si="41"/>
        <v>0</v>
      </c>
      <c r="Q261" s="72">
        <f t="shared" si="42"/>
        <v>0</v>
      </c>
      <c r="R261" s="72"/>
      <c r="S261" s="56"/>
      <c r="T261" s="74">
        <f t="shared" si="43"/>
        <v>0</v>
      </c>
      <c r="U261" s="74">
        <v>0</v>
      </c>
      <c r="V261" s="74">
        <f t="shared" si="44"/>
        <v>0</v>
      </c>
      <c r="W261" s="74">
        <f t="shared" si="45"/>
        <v>0</v>
      </c>
      <c r="X261" s="74">
        <f t="shared" si="46"/>
        <v>0</v>
      </c>
      <c r="Y261" s="74">
        <f t="shared" si="47"/>
        <v>0</v>
      </c>
      <c r="Z261" s="74">
        <f t="shared" si="48"/>
        <v>0</v>
      </c>
      <c r="AA261" s="75">
        <f t="shared" si="51"/>
        <v>0</v>
      </c>
      <c r="AB261" s="75">
        <f t="shared" si="52"/>
        <v>0</v>
      </c>
    </row>
    <row r="262" spans="1:29" ht="36">
      <c r="A262" s="69" t="s">
        <v>528</v>
      </c>
      <c r="B262" s="140" t="s">
        <v>761</v>
      </c>
      <c r="C262" s="140"/>
      <c r="D262" s="70" t="s">
        <v>529</v>
      </c>
      <c r="E262" s="71">
        <v>4700</v>
      </c>
      <c r="F262" s="71">
        <v>4700</v>
      </c>
      <c r="G262" s="72">
        <v>0</v>
      </c>
      <c r="H262" s="73">
        <v>0</v>
      </c>
      <c r="I262" s="73">
        <v>0</v>
      </c>
      <c r="J262" s="73">
        <v>0</v>
      </c>
      <c r="K262" s="72">
        <v>0</v>
      </c>
      <c r="L262" s="72">
        <f t="shared" si="40"/>
        <v>0</v>
      </c>
      <c r="M262" s="73">
        <v>0</v>
      </c>
      <c r="N262" s="73">
        <v>0</v>
      </c>
      <c r="O262" s="72">
        <v>0</v>
      </c>
      <c r="P262" s="73">
        <f t="shared" si="41"/>
        <v>0</v>
      </c>
      <c r="Q262" s="72">
        <f t="shared" si="42"/>
        <v>0</v>
      </c>
      <c r="R262" s="72"/>
      <c r="S262" s="56"/>
      <c r="T262" s="74">
        <f t="shared" si="43"/>
        <v>0</v>
      </c>
      <c r="U262" s="74">
        <v>0</v>
      </c>
      <c r="V262" s="74">
        <f t="shared" si="44"/>
        <v>0</v>
      </c>
      <c r="W262" s="74">
        <f t="shared" si="45"/>
        <v>0</v>
      </c>
      <c r="X262" s="74">
        <f t="shared" si="46"/>
        <v>0</v>
      </c>
      <c r="Y262" s="74">
        <f t="shared" si="47"/>
        <v>0</v>
      </c>
      <c r="Z262" s="74">
        <f t="shared" si="48"/>
        <v>0</v>
      </c>
      <c r="AA262" s="75">
        <f t="shared" si="51"/>
        <v>0</v>
      </c>
      <c r="AB262" s="75">
        <f t="shared" si="52"/>
        <v>0</v>
      </c>
    </row>
    <row r="263" spans="1:29" ht="48">
      <c r="A263" s="69" t="s">
        <v>530</v>
      </c>
      <c r="B263" s="140" t="s">
        <v>762</v>
      </c>
      <c r="C263" s="140"/>
      <c r="D263" s="70" t="s">
        <v>531</v>
      </c>
      <c r="E263" s="71">
        <v>9600</v>
      </c>
      <c r="F263" s="71">
        <v>9600</v>
      </c>
      <c r="G263" s="72">
        <v>1</v>
      </c>
      <c r="H263" s="73">
        <v>0</v>
      </c>
      <c r="I263" s="73">
        <v>0</v>
      </c>
      <c r="J263" s="73">
        <v>0</v>
      </c>
      <c r="K263" s="72">
        <v>0</v>
      </c>
      <c r="L263" s="72">
        <f t="shared" ref="L263:L326" si="53">G263+H263+I263-J263-K263</f>
        <v>1</v>
      </c>
      <c r="M263" s="73">
        <v>1</v>
      </c>
      <c r="N263" s="73">
        <v>0</v>
      </c>
      <c r="O263" s="73">
        <v>0</v>
      </c>
      <c r="P263" s="73">
        <f t="shared" ref="P263:P326" si="54">M263+N263+O263</f>
        <v>1</v>
      </c>
      <c r="Q263" s="72">
        <f t="shared" ref="Q263:Q326" si="55">P263-L263</f>
        <v>0</v>
      </c>
      <c r="R263" s="72"/>
      <c r="S263" s="56"/>
      <c r="T263" s="74">
        <f t="shared" ref="T263:T317" si="56">E263*G263</f>
        <v>9600</v>
      </c>
      <c r="U263" s="74">
        <v>0</v>
      </c>
      <c r="V263" s="74">
        <f t="shared" ref="V263:V317" si="57">F263*H263</f>
        <v>0</v>
      </c>
      <c r="W263" s="74">
        <f t="shared" ref="W263:W317" si="58">F263*I263</f>
        <v>0</v>
      </c>
      <c r="X263" s="74">
        <f t="shared" ref="X263:X317" si="59">F263*J263</f>
        <v>0</v>
      </c>
      <c r="Y263" s="74">
        <f t="shared" ref="Y263:Y317" si="60">F263*K263</f>
        <v>0</v>
      </c>
      <c r="Z263" s="74">
        <f t="shared" ref="Z263:Z326" si="61">T263+U263+V263+W263-X263-Y263</f>
        <v>9600</v>
      </c>
      <c r="AA263" s="75">
        <f t="shared" si="51"/>
        <v>9600</v>
      </c>
      <c r="AB263" s="75">
        <f t="shared" si="52"/>
        <v>0</v>
      </c>
    </row>
    <row r="264" spans="1:29" ht="36">
      <c r="A264" s="69" t="s">
        <v>532</v>
      </c>
      <c r="B264" s="70" t="s">
        <v>533</v>
      </c>
      <c r="C264" s="69"/>
      <c r="D264" s="70" t="s">
        <v>533</v>
      </c>
      <c r="E264" s="71">
        <v>652.5</v>
      </c>
      <c r="F264" s="71">
        <v>652.5</v>
      </c>
      <c r="G264" s="72">
        <v>3</v>
      </c>
      <c r="H264" s="73">
        <v>0</v>
      </c>
      <c r="I264" s="73">
        <v>0</v>
      </c>
      <c r="J264" s="73">
        <v>0</v>
      </c>
      <c r="K264" s="72">
        <v>0</v>
      </c>
      <c r="L264" s="72">
        <f t="shared" si="53"/>
        <v>3</v>
      </c>
      <c r="M264" s="73">
        <v>3</v>
      </c>
      <c r="N264" s="73">
        <v>0</v>
      </c>
      <c r="O264" s="72">
        <v>0</v>
      </c>
      <c r="P264" s="73">
        <f t="shared" si="54"/>
        <v>3</v>
      </c>
      <c r="Q264" s="72">
        <f t="shared" si="55"/>
        <v>0</v>
      </c>
      <c r="R264" s="72"/>
      <c r="S264" s="56"/>
      <c r="T264" s="74">
        <f t="shared" si="56"/>
        <v>1957.5</v>
      </c>
      <c r="U264" s="74">
        <v>0</v>
      </c>
      <c r="V264" s="74">
        <f t="shared" si="57"/>
        <v>0</v>
      </c>
      <c r="W264" s="74">
        <f t="shared" si="58"/>
        <v>0</v>
      </c>
      <c r="X264" s="74">
        <f t="shared" si="59"/>
        <v>0</v>
      </c>
      <c r="Y264" s="74">
        <f t="shared" si="60"/>
        <v>0</v>
      </c>
      <c r="Z264" s="74">
        <f t="shared" si="61"/>
        <v>1957.5</v>
      </c>
      <c r="AA264" s="75">
        <f t="shared" si="51"/>
        <v>1957.5</v>
      </c>
      <c r="AB264" s="75">
        <f t="shared" si="52"/>
        <v>0</v>
      </c>
    </row>
    <row r="265" spans="1:29" ht="36">
      <c r="A265" s="69" t="s">
        <v>534</v>
      </c>
      <c r="B265" s="70" t="s">
        <v>535</v>
      </c>
      <c r="C265" s="69"/>
      <c r="D265" s="70" t="s">
        <v>535</v>
      </c>
      <c r="E265" s="71">
        <v>652.5</v>
      </c>
      <c r="F265" s="71">
        <v>652.5</v>
      </c>
      <c r="G265" s="72">
        <v>3</v>
      </c>
      <c r="H265" s="73">
        <v>0</v>
      </c>
      <c r="I265" s="73">
        <v>0</v>
      </c>
      <c r="J265" s="73">
        <v>0</v>
      </c>
      <c r="K265" s="72">
        <v>0</v>
      </c>
      <c r="L265" s="72">
        <f t="shared" si="53"/>
        <v>3</v>
      </c>
      <c r="M265" s="73">
        <v>3</v>
      </c>
      <c r="N265" s="73">
        <v>0</v>
      </c>
      <c r="O265" s="72">
        <v>0</v>
      </c>
      <c r="P265" s="73">
        <f t="shared" si="54"/>
        <v>3</v>
      </c>
      <c r="Q265" s="72">
        <f t="shared" si="55"/>
        <v>0</v>
      </c>
      <c r="R265" s="72"/>
      <c r="S265" s="56"/>
      <c r="T265" s="74">
        <f t="shared" si="56"/>
        <v>1957.5</v>
      </c>
      <c r="U265" s="74">
        <v>0</v>
      </c>
      <c r="V265" s="74">
        <f t="shared" si="57"/>
        <v>0</v>
      </c>
      <c r="W265" s="74">
        <f t="shared" si="58"/>
        <v>0</v>
      </c>
      <c r="X265" s="74">
        <f t="shared" si="59"/>
        <v>0</v>
      </c>
      <c r="Y265" s="74">
        <f t="shared" si="60"/>
        <v>0</v>
      </c>
      <c r="Z265" s="74">
        <f t="shared" si="61"/>
        <v>1957.5</v>
      </c>
      <c r="AA265" s="75">
        <f t="shared" si="51"/>
        <v>1957.5</v>
      </c>
      <c r="AB265" s="75">
        <f t="shared" si="52"/>
        <v>0</v>
      </c>
    </row>
    <row r="266" spans="1:29" ht="36">
      <c r="A266" s="69" t="s">
        <v>536</v>
      </c>
      <c r="B266" s="70" t="s">
        <v>537</v>
      </c>
      <c r="C266" s="69"/>
      <c r="D266" s="70" t="s">
        <v>537</v>
      </c>
      <c r="E266" s="71">
        <v>652.5</v>
      </c>
      <c r="F266" s="71">
        <v>652.5</v>
      </c>
      <c r="G266" s="72">
        <v>3</v>
      </c>
      <c r="H266" s="73">
        <v>0</v>
      </c>
      <c r="I266" s="73">
        <v>0</v>
      </c>
      <c r="J266" s="73">
        <v>0</v>
      </c>
      <c r="K266" s="72">
        <v>0</v>
      </c>
      <c r="L266" s="72">
        <f t="shared" si="53"/>
        <v>3</v>
      </c>
      <c r="M266" s="73">
        <v>3</v>
      </c>
      <c r="N266" s="73">
        <v>0</v>
      </c>
      <c r="O266" s="72">
        <v>0</v>
      </c>
      <c r="P266" s="73">
        <f t="shared" si="54"/>
        <v>3</v>
      </c>
      <c r="Q266" s="72">
        <f t="shared" si="55"/>
        <v>0</v>
      </c>
      <c r="R266" s="72"/>
      <c r="S266" s="56"/>
      <c r="T266" s="74">
        <f t="shared" si="56"/>
        <v>1957.5</v>
      </c>
      <c r="U266" s="74">
        <v>0</v>
      </c>
      <c r="V266" s="74">
        <f t="shared" si="57"/>
        <v>0</v>
      </c>
      <c r="W266" s="74">
        <f t="shared" si="58"/>
        <v>0</v>
      </c>
      <c r="X266" s="74">
        <f t="shared" si="59"/>
        <v>0</v>
      </c>
      <c r="Y266" s="74">
        <f t="shared" si="60"/>
        <v>0</v>
      </c>
      <c r="Z266" s="74">
        <f t="shared" si="61"/>
        <v>1957.5</v>
      </c>
      <c r="AA266" s="75">
        <f t="shared" si="51"/>
        <v>1957.5</v>
      </c>
      <c r="AB266" s="75">
        <f t="shared" si="52"/>
        <v>0</v>
      </c>
    </row>
    <row r="267" spans="1:29" ht="36">
      <c r="A267" s="69" t="s">
        <v>538</v>
      </c>
      <c r="B267" s="70" t="s">
        <v>539</v>
      </c>
      <c r="C267" s="69"/>
      <c r="D267" s="70" t="s">
        <v>539</v>
      </c>
      <c r="E267" s="71">
        <v>652</v>
      </c>
      <c r="F267" s="71">
        <v>652</v>
      </c>
      <c r="G267" s="72">
        <v>3</v>
      </c>
      <c r="H267" s="73">
        <v>0</v>
      </c>
      <c r="I267" s="73">
        <v>0</v>
      </c>
      <c r="J267" s="73">
        <v>0</v>
      </c>
      <c r="K267" s="72">
        <v>0</v>
      </c>
      <c r="L267" s="72">
        <f t="shared" si="53"/>
        <v>3</v>
      </c>
      <c r="M267" s="73">
        <v>3</v>
      </c>
      <c r="N267" s="73">
        <v>0</v>
      </c>
      <c r="O267" s="72">
        <v>0</v>
      </c>
      <c r="P267" s="73">
        <f t="shared" si="54"/>
        <v>3</v>
      </c>
      <c r="Q267" s="72">
        <f t="shared" si="55"/>
        <v>0</v>
      </c>
      <c r="R267" s="72"/>
      <c r="S267" s="56"/>
      <c r="T267" s="74">
        <f t="shared" si="56"/>
        <v>1956</v>
      </c>
      <c r="U267" s="74">
        <v>0</v>
      </c>
      <c r="V267" s="74">
        <f t="shared" si="57"/>
        <v>0</v>
      </c>
      <c r="W267" s="74">
        <f t="shared" si="58"/>
        <v>0</v>
      </c>
      <c r="X267" s="74">
        <f t="shared" si="59"/>
        <v>0</v>
      </c>
      <c r="Y267" s="74">
        <f t="shared" si="60"/>
        <v>0</v>
      </c>
      <c r="Z267" s="74">
        <f t="shared" si="61"/>
        <v>1956</v>
      </c>
      <c r="AA267" s="75">
        <f t="shared" si="51"/>
        <v>1956</v>
      </c>
      <c r="AB267" s="75">
        <f t="shared" si="52"/>
        <v>0</v>
      </c>
    </row>
    <row r="268" spans="1:29" ht="96">
      <c r="A268" s="69" t="s">
        <v>540</v>
      </c>
      <c r="B268" s="70" t="s">
        <v>541</v>
      </c>
      <c r="C268" s="69"/>
      <c r="D268" s="70" t="s">
        <v>541</v>
      </c>
      <c r="E268" s="71">
        <v>1320.89</v>
      </c>
      <c r="F268" s="71">
        <v>1320.89</v>
      </c>
      <c r="G268" s="72">
        <v>0</v>
      </c>
      <c r="H268" s="73">
        <v>0</v>
      </c>
      <c r="I268" s="73">
        <v>0</v>
      </c>
      <c r="J268" s="73">
        <v>0</v>
      </c>
      <c r="K268" s="72">
        <v>0</v>
      </c>
      <c r="L268" s="72">
        <f t="shared" si="53"/>
        <v>0</v>
      </c>
      <c r="M268" s="73">
        <v>0</v>
      </c>
      <c r="N268" s="73">
        <v>0</v>
      </c>
      <c r="O268" s="72">
        <v>0</v>
      </c>
      <c r="P268" s="73">
        <f t="shared" si="54"/>
        <v>0</v>
      </c>
      <c r="Q268" s="72">
        <f t="shared" si="55"/>
        <v>0</v>
      </c>
      <c r="R268" s="72"/>
      <c r="S268" s="56"/>
      <c r="T268" s="74">
        <f t="shared" si="56"/>
        <v>0</v>
      </c>
      <c r="U268" s="74">
        <v>0</v>
      </c>
      <c r="V268" s="74">
        <f t="shared" si="57"/>
        <v>0</v>
      </c>
      <c r="W268" s="74">
        <f t="shared" si="58"/>
        <v>0</v>
      </c>
      <c r="X268" s="74">
        <f t="shared" si="59"/>
        <v>0</v>
      </c>
      <c r="Y268" s="74">
        <f t="shared" si="60"/>
        <v>0</v>
      </c>
      <c r="Z268" s="74">
        <f t="shared" si="61"/>
        <v>0</v>
      </c>
      <c r="AA268" s="75">
        <f t="shared" si="51"/>
        <v>0</v>
      </c>
      <c r="AB268" s="75">
        <f t="shared" si="52"/>
        <v>0</v>
      </c>
    </row>
    <row r="269" spans="1:29" ht="96">
      <c r="A269" s="69" t="s">
        <v>542</v>
      </c>
      <c r="B269" s="70" t="s">
        <v>543</v>
      </c>
      <c r="C269" s="69"/>
      <c r="D269" s="70" t="s">
        <v>543</v>
      </c>
      <c r="E269" s="71">
        <v>2086.2600000000002</v>
      </c>
      <c r="F269" s="71">
        <v>2086.2600000000002</v>
      </c>
      <c r="G269" s="72">
        <v>3</v>
      </c>
      <c r="H269" s="73">
        <v>0</v>
      </c>
      <c r="I269" s="73">
        <v>0</v>
      </c>
      <c r="J269" s="73">
        <v>0</v>
      </c>
      <c r="K269" s="72">
        <v>0</v>
      </c>
      <c r="L269" s="72">
        <f t="shared" si="53"/>
        <v>3</v>
      </c>
      <c r="M269" s="73">
        <v>3</v>
      </c>
      <c r="N269" s="73">
        <v>0</v>
      </c>
      <c r="O269" s="72">
        <v>0</v>
      </c>
      <c r="P269" s="73">
        <f t="shared" si="54"/>
        <v>3</v>
      </c>
      <c r="Q269" s="72">
        <f t="shared" si="55"/>
        <v>0</v>
      </c>
      <c r="R269" s="72"/>
      <c r="S269" s="56"/>
      <c r="T269" s="74">
        <f t="shared" si="56"/>
        <v>6258.7800000000007</v>
      </c>
      <c r="U269" s="74">
        <v>0</v>
      </c>
      <c r="V269" s="74">
        <f t="shared" si="57"/>
        <v>0</v>
      </c>
      <c r="W269" s="74">
        <f t="shared" si="58"/>
        <v>0</v>
      </c>
      <c r="X269" s="74">
        <f t="shared" si="59"/>
        <v>0</v>
      </c>
      <c r="Y269" s="74">
        <f t="shared" si="60"/>
        <v>0</v>
      </c>
      <c r="Z269" s="74">
        <f t="shared" si="61"/>
        <v>6258.7800000000007</v>
      </c>
      <c r="AA269" s="75">
        <f t="shared" si="51"/>
        <v>6258.7800000000007</v>
      </c>
      <c r="AB269" s="75">
        <f t="shared" si="52"/>
        <v>0</v>
      </c>
    </row>
    <row r="270" spans="1:29" ht="96">
      <c r="A270" s="69" t="s">
        <v>544</v>
      </c>
      <c r="B270" s="70" t="s">
        <v>545</v>
      </c>
      <c r="C270" s="69"/>
      <c r="D270" s="70" t="s">
        <v>545</v>
      </c>
      <c r="E270" s="71">
        <v>1462.18</v>
      </c>
      <c r="F270" s="71">
        <v>1462.18</v>
      </c>
      <c r="G270" s="72">
        <v>0</v>
      </c>
      <c r="H270" s="73">
        <v>0</v>
      </c>
      <c r="I270" s="73">
        <v>0</v>
      </c>
      <c r="J270" s="73">
        <v>0</v>
      </c>
      <c r="K270" s="72">
        <v>0</v>
      </c>
      <c r="L270" s="72">
        <f t="shared" si="53"/>
        <v>0</v>
      </c>
      <c r="M270" s="73">
        <v>0</v>
      </c>
      <c r="N270" s="73">
        <v>0</v>
      </c>
      <c r="O270" s="72">
        <v>0</v>
      </c>
      <c r="P270" s="73">
        <f t="shared" si="54"/>
        <v>0</v>
      </c>
      <c r="Q270" s="72">
        <f t="shared" si="55"/>
        <v>0</v>
      </c>
      <c r="R270" s="72"/>
      <c r="S270" s="56"/>
      <c r="T270" s="74">
        <f t="shared" si="56"/>
        <v>0</v>
      </c>
      <c r="U270" s="74">
        <v>0</v>
      </c>
      <c r="V270" s="74">
        <f t="shared" si="57"/>
        <v>0</v>
      </c>
      <c r="W270" s="74">
        <f t="shared" si="58"/>
        <v>0</v>
      </c>
      <c r="X270" s="74">
        <f t="shared" si="59"/>
        <v>0</v>
      </c>
      <c r="Y270" s="74">
        <f t="shared" si="60"/>
        <v>0</v>
      </c>
      <c r="Z270" s="74">
        <f t="shared" si="61"/>
        <v>0</v>
      </c>
      <c r="AA270" s="75">
        <f t="shared" si="51"/>
        <v>0</v>
      </c>
      <c r="AB270" s="75">
        <f t="shared" si="52"/>
        <v>0</v>
      </c>
    </row>
    <row r="271" spans="1:29" ht="96">
      <c r="A271" s="69" t="s">
        <v>546</v>
      </c>
      <c r="B271" s="70" t="s">
        <v>547</v>
      </c>
      <c r="C271" s="69"/>
      <c r="D271" s="70" t="s">
        <v>547</v>
      </c>
      <c r="E271" s="71">
        <v>1981.28</v>
      </c>
      <c r="F271" s="71">
        <v>1981.28</v>
      </c>
      <c r="G271" s="72">
        <v>0</v>
      </c>
      <c r="H271" s="73">
        <v>0</v>
      </c>
      <c r="I271" s="73">
        <v>0</v>
      </c>
      <c r="J271" s="73">
        <v>0</v>
      </c>
      <c r="K271" s="72">
        <v>0</v>
      </c>
      <c r="L271" s="72">
        <f t="shared" si="53"/>
        <v>0</v>
      </c>
      <c r="M271" s="73">
        <v>0</v>
      </c>
      <c r="N271" s="73">
        <v>0</v>
      </c>
      <c r="O271" s="72">
        <v>0</v>
      </c>
      <c r="P271" s="73">
        <f t="shared" si="54"/>
        <v>0</v>
      </c>
      <c r="Q271" s="72">
        <f t="shared" si="55"/>
        <v>0</v>
      </c>
      <c r="R271" s="72"/>
      <c r="S271" s="56"/>
      <c r="T271" s="74">
        <f t="shared" si="56"/>
        <v>0</v>
      </c>
      <c r="U271" s="74">
        <v>0</v>
      </c>
      <c r="V271" s="74">
        <f t="shared" si="57"/>
        <v>0</v>
      </c>
      <c r="W271" s="74">
        <f t="shared" si="58"/>
        <v>0</v>
      </c>
      <c r="X271" s="74">
        <f t="shared" si="59"/>
        <v>0</v>
      </c>
      <c r="Y271" s="74">
        <f t="shared" si="60"/>
        <v>0</v>
      </c>
      <c r="Z271" s="74">
        <f t="shared" si="61"/>
        <v>0</v>
      </c>
      <c r="AA271" s="75">
        <f t="shared" si="51"/>
        <v>0</v>
      </c>
      <c r="AB271" s="75">
        <f t="shared" si="52"/>
        <v>0</v>
      </c>
    </row>
    <row r="272" spans="1:29" ht="60">
      <c r="A272" s="69" t="s">
        <v>548</v>
      </c>
      <c r="B272" s="140" t="s">
        <v>728</v>
      </c>
      <c r="C272" s="140"/>
      <c r="D272" s="70" t="s">
        <v>549</v>
      </c>
      <c r="E272" s="71">
        <v>630</v>
      </c>
      <c r="F272" s="71">
        <v>630</v>
      </c>
      <c r="G272" s="72">
        <v>3</v>
      </c>
      <c r="H272" s="73">
        <v>0</v>
      </c>
      <c r="I272" s="73">
        <v>0</v>
      </c>
      <c r="J272" s="73">
        <v>0</v>
      </c>
      <c r="K272" s="72">
        <v>0</v>
      </c>
      <c r="L272" s="72">
        <f t="shared" si="53"/>
        <v>3</v>
      </c>
      <c r="M272" s="73">
        <v>3</v>
      </c>
      <c r="N272" s="73">
        <v>0</v>
      </c>
      <c r="O272" s="72">
        <v>0</v>
      </c>
      <c r="P272" s="73">
        <f t="shared" si="54"/>
        <v>3</v>
      </c>
      <c r="Q272" s="72">
        <f t="shared" si="55"/>
        <v>0</v>
      </c>
      <c r="R272" s="72"/>
      <c r="S272" s="56"/>
      <c r="T272" s="74">
        <f t="shared" si="56"/>
        <v>1890</v>
      </c>
      <c r="U272" s="74">
        <v>0</v>
      </c>
      <c r="V272" s="74">
        <f t="shared" si="57"/>
        <v>0</v>
      </c>
      <c r="W272" s="74">
        <f t="shared" si="58"/>
        <v>0</v>
      </c>
      <c r="X272" s="74">
        <f t="shared" si="59"/>
        <v>0</v>
      </c>
      <c r="Y272" s="74">
        <f t="shared" si="60"/>
        <v>0</v>
      </c>
      <c r="Z272" s="74">
        <f t="shared" si="61"/>
        <v>1890</v>
      </c>
      <c r="AA272" s="75">
        <f t="shared" si="51"/>
        <v>1890</v>
      </c>
      <c r="AB272" s="75">
        <f t="shared" si="52"/>
        <v>0</v>
      </c>
    </row>
    <row r="273" spans="1:28">
      <c r="A273" s="69" t="s">
        <v>550</v>
      </c>
      <c r="B273" s="70" t="s">
        <v>551</v>
      </c>
      <c r="C273" s="69"/>
      <c r="D273" s="70" t="s">
        <v>551</v>
      </c>
      <c r="E273" s="71">
        <v>60</v>
      </c>
      <c r="F273" s="71">
        <v>60</v>
      </c>
      <c r="G273" s="72">
        <v>191</v>
      </c>
      <c r="H273" s="73">
        <v>0</v>
      </c>
      <c r="I273" s="73">
        <v>0</v>
      </c>
      <c r="J273" s="73">
        <v>4</v>
      </c>
      <c r="K273" s="72">
        <v>0</v>
      </c>
      <c r="L273" s="72">
        <f t="shared" si="53"/>
        <v>187</v>
      </c>
      <c r="M273" s="73">
        <v>87</v>
      </c>
      <c r="N273" s="73">
        <v>100</v>
      </c>
      <c r="O273" s="72">
        <v>0</v>
      </c>
      <c r="P273" s="73">
        <f t="shared" si="54"/>
        <v>187</v>
      </c>
      <c r="Q273" s="72">
        <f t="shared" si="55"/>
        <v>0</v>
      </c>
      <c r="R273" s="72"/>
      <c r="S273" s="56"/>
      <c r="T273" s="74">
        <f t="shared" si="56"/>
        <v>11460</v>
      </c>
      <c r="U273" s="74">
        <v>0</v>
      </c>
      <c r="V273" s="74">
        <f t="shared" si="57"/>
        <v>0</v>
      </c>
      <c r="W273" s="74">
        <f t="shared" si="58"/>
        <v>0</v>
      </c>
      <c r="X273" s="74">
        <f t="shared" si="59"/>
        <v>240</v>
      </c>
      <c r="Y273" s="74">
        <f t="shared" si="60"/>
        <v>0</v>
      </c>
      <c r="Z273" s="74">
        <f t="shared" si="61"/>
        <v>11220</v>
      </c>
      <c r="AA273" s="75">
        <f t="shared" si="51"/>
        <v>11220</v>
      </c>
      <c r="AB273" s="75">
        <f t="shared" si="52"/>
        <v>0</v>
      </c>
    </row>
    <row r="274" spans="1:28" ht="24">
      <c r="A274" s="69" t="s">
        <v>552</v>
      </c>
      <c r="B274" s="70" t="s">
        <v>553</v>
      </c>
      <c r="C274" s="69"/>
      <c r="D274" s="70" t="s">
        <v>553</v>
      </c>
      <c r="E274" s="71">
        <v>120</v>
      </c>
      <c r="F274" s="71">
        <v>120</v>
      </c>
      <c r="G274" s="72">
        <v>1</v>
      </c>
      <c r="H274" s="73">
        <v>0</v>
      </c>
      <c r="I274" s="73">
        <v>0</v>
      </c>
      <c r="J274" s="73">
        <v>0</v>
      </c>
      <c r="K274" s="72">
        <v>0</v>
      </c>
      <c r="L274" s="72">
        <f t="shared" si="53"/>
        <v>1</v>
      </c>
      <c r="M274" s="73">
        <v>1</v>
      </c>
      <c r="N274" s="73">
        <v>0</v>
      </c>
      <c r="O274" s="72">
        <v>0</v>
      </c>
      <c r="P274" s="73">
        <f t="shared" si="54"/>
        <v>1</v>
      </c>
      <c r="Q274" s="72">
        <f t="shared" si="55"/>
        <v>0</v>
      </c>
      <c r="R274" s="72"/>
      <c r="S274" s="56"/>
      <c r="T274" s="74">
        <f t="shared" si="56"/>
        <v>120</v>
      </c>
      <c r="U274" s="74">
        <v>0</v>
      </c>
      <c r="V274" s="74">
        <f t="shared" si="57"/>
        <v>0</v>
      </c>
      <c r="W274" s="74">
        <f t="shared" si="58"/>
        <v>0</v>
      </c>
      <c r="X274" s="74">
        <f t="shared" si="59"/>
        <v>0</v>
      </c>
      <c r="Y274" s="74">
        <f t="shared" si="60"/>
        <v>0</v>
      </c>
      <c r="Z274" s="74">
        <f t="shared" si="61"/>
        <v>120</v>
      </c>
      <c r="AA274" s="75">
        <f t="shared" si="51"/>
        <v>120</v>
      </c>
      <c r="AB274" s="75">
        <f t="shared" si="52"/>
        <v>0</v>
      </c>
    </row>
    <row r="275" spans="1:28" ht="24">
      <c r="A275" s="69" t="s">
        <v>554</v>
      </c>
      <c r="B275" s="70" t="s">
        <v>555</v>
      </c>
      <c r="C275" s="69"/>
      <c r="D275" s="70" t="s">
        <v>555</v>
      </c>
      <c r="E275" s="71">
        <v>0</v>
      </c>
      <c r="F275" s="71">
        <v>0</v>
      </c>
      <c r="G275" s="72">
        <v>0</v>
      </c>
      <c r="H275" s="73">
        <v>0</v>
      </c>
      <c r="I275" s="73">
        <v>0</v>
      </c>
      <c r="J275" s="73">
        <v>0</v>
      </c>
      <c r="K275" s="72">
        <v>0</v>
      </c>
      <c r="L275" s="72">
        <f t="shared" si="53"/>
        <v>0</v>
      </c>
      <c r="M275" s="73">
        <v>0</v>
      </c>
      <c r="N275" s="73">
        <v>0</v>
      </c>
      <c r="O275" s="72">
        <v>0</v>
      </c>
      <c r="P275" s="73">
        <f t="shared" si="54"/>
        <v>0</v>
      </c>
      <c r="Q275" s="72">
        <f t="shared" si="55"/>
        <v>0</v>
      </c>
      <c r="R275" s="72"/>
      <c r="S275" s="56"/>
      <c r="T275" s="74">
        <f t="shared" si="56"/>
        <v>0</v>
      </c>
      <c r="U275" s="74">
        <v>0</v>
      </c>
      <c r="V275" s="74">
        <f t="shared" si="57"/>
        <v>0</v>
      </c>
      <c r="W275" s="74">
        <f t="shared" si="58"/>
        <v>0</v>
      </c>
      <c r="X275" s="74">
        <f t="shared" si="59"/>
        <v>0</v>
      </c>
      <c r="Y275" s="74">
        <f t="shared" si="60"/>
        <v>0</v>
      </c>
      <c r="Z275" s="74">
        <f t="shared" si="61"/>
        <v>0</v>
      </c>
      <c r="AA275" s="75">
        <f t="shared" si="51"/>
        <v>0</v>
      </c>
      <c r="AB275" s="75">
        <f t="shared" si="52"/>
        <v>0</v>
      </c>
    </row>
    <row r="276" spans="1:28" ht="24">
      <c r="A276" s="69" t="s">
        <v>556</v>
      </c>
      <c r="B276" s="70" t="s">
        <v>557</v>
      </c>
      <c r="C276" s="69"/>
      <c r="D276" s="70" t="s">
        <v>557</v>
      </c>
      <c r="E276" s="71">
        <v>48.28</v>
      </c>
      <c r="F276" s="71">
        <v>48.28</v>
      </c>
      <c r="G276" s="72">
        <v>0</v>
      </c>
      <c r="H276" s="73">
        <v>0</v>
      </c>
      <c r="I276" s="73">
        <v>0</v>
      </c>
      <c r="J276" s="73">
        <v>0</v>
      </c>
      <c r="K276" s="72">
        <v>0</v>
      </c>
      <c r="L276" s="72">
        <f t="shared" si="53"/>
        <v>0</v>
      </c>
      <c r="M276" s="73">
        <v>0</v>
      </c>
      <c r="N276" s="73">
        <v>0</v>
      </c>
      <c r="O276" s="72">
        <v>0</v>
      </c>
      <c r="P276" s="73">
        <f t="shared" si="54"/>
        <v>0</v>
      </c>
      <c r="Q276" s="72">
        <f t="shared" si="55"/>
        <v>0</v>
      </c>
      <c r="R276" s="72"/>
      <c r="S276" s="56"/>
      <c r="T276" s="74">
        <f t="shared" si="56"/>
        <v>0</v>
      </c>
      <c r="U276" s="74">
        <v>0</v>
      </c>
      <c r="V276" s="74">
        <f t="shared" si="57"/>
        <v>0</v>
      </c>
      <c r="W276" s="74">
        <f t="shared" si="58"/>
        <v>0</v>
      </c>
      <c r="X276" s="74">
        <f t="shared" si="59"/>
        <v>0</v>
      </c>
      <c r="Y276" s="74">
        <f t="shared" si="60"/>
        <v>0</v>
      </c>
      <c r="Z276" s="74">
        <f t="shared" si="61"/>
        <v>0</v>
      </c>
      <c r="AA276" s="75">
        <f t="shared" si="51"/>
        <v>0</v>
      </c>
      <c r="AB276" s="75">
        <f t="shared" si="52"/>
        <v>0</v>
      </c>
    </row>
    <row r="277" spans="1:28" ht="24">
      <c r="A277" s="69" t="s">
        <v>558</v>
      </c>
      <c r="B277" s="70" t="s">
        <v>559</v>
      </c>
      <c r="C277" s="69"/>
      <c r="D277" s="70" t="s">
        <v>559</v>
      </c>
      <c r="E277" s="71">
        <v>0</v>
      </c>
      <c r="F277" s="71">
        <v>0</v>
      </c>
      <c r="G277" s="72">
        <v>0</v>
      </c>
      <c r="H277" s="73">
        <v>0</v>
      </c>
      <c r="I277" s="73">
        <v>0</v>
      </c>
      <c r="J277" s="73">
        <v>0</v>
      </c>
      <c r="K277" s="72">
        <v>0</v>
      </c>
      <c r="L277" s="72">
        <f t="shared" si="53"/>
        <v>0</v>
      </c>
      <c r="M277" s="73">
        <v>0</v>
      </c>
      <c r="N277" s="73">
        <v>0</v>
      </c>
      <c r="O277" s="72">
        <v>0</v>
      </c>
      <c r="P277" s="73">
        <f t="shared" si="54"/>
        <v>0</v>
      </c>
      <c r="Q277" s="72">
        <f t="shared" si="55"/>
        <v>0</v>
      </c>
      <c r="R277" s="72"/>
      <c r="S277" s="56"/>
      <c r="T277" s="74">
        <f t="shared" si="56"/>
        <v>0</v>
      </c>
      <c r="U277" s="74">
        <v>0</v>
      </c>
      <c r="V277" s="74">
        <f t="shared" si="57"/>
        <v>0</v>
      </c>
      <c r="W277" s="74">
        <f t="shared" si="58"/>
        <v>0</v>
      </c>
      <c r="X277" s="74">
        <f t="shared" si="59"/>
        <v>0</v>
      </c>
      <c r="Y277" s="74">
        <f t="shared" si="60"/>
        <v>0</v>
      </c>
      <c r="Z277" s="74">
        <f t="shared" si="61"/>
        <v>0</v>
      </c>
      <c r="AA277" s="75">
        <f t="shared" si="51"/>
        <v>0</v>
      </c>
      <c r="AB277" s="75">
        <f t="shared" si="52"/>
        <v>0</v>
      </c>
    </row>
    <row r="278" spans="1:28">
      <c r="A278" s="69" t="s">
        <v>560</v>
      </c>
      <c r="B278" s="70" t="s">
        <v>561</v>
      </c>
      <c r="C278" s="69"/>
      <c r="D278" s="70" t="s">
        <v>561</v>
      </c>
      <c r="E278" s="71">
        <v>2250</v>
      </c>
      <c r="F278" s="71">
        <v>2250</v>
      </c>
      <c r="G278" s="72">
        <v>1</v>
      </c>
      <c r="H278" s="73">
        <v>0</v>
      </c>
      <c r="I278" s="73">
        <v>0</v>
      </c>
      <c r="J278" s="73">
        <v>1</v>
      </c>
      <c r="K278" s="72">
        <v>0</v>
      </c>
      <c r="L278" s="72">
        <f t="shared" si="53"/>
        <v>0</v>
      </c>
      <c r="M278" s="73">
        <v>0</v>
      </c>
      <c r="N278" s="73">
        <v>0</v>
      </c>
      <c r="O278" s="72">
        <v>0</v>
      </c>
      <c r="P278" s="73">
        <f t="shared" si="54"/>
        <v>0</v>
      </c>
      <c r="Q278" s="72">
        <f t="shared" si="55"/>
        <v>0</v>
      </c>
      <c r="R278" s="72"/>
      <c r="S278" s="56"/>
      <c r="T278" s="74">
        <f t="shared" si="56"/>
        <v>2250</v>
      </c>
      <c r="U278" s="74">
        <v>0</v>
      </c>
      <c r="V278" s="74">
        <f t="shared" si="57"/>
        <v>0</v>
      </c>
      <c r="W278" s="74">
        <f t="shared" si="58"/>
        <v>0</v>
      </c>
      <c r="X278" s="74">
        <f t="shared" si="59"/>
        <v>2250</v>
      </c>
      <c r="Y278" s="74">
        <f t="shared" si="60"/>
        <v>0</v>
      </c>
      <c r="Z278" s="74">
        <f t="shared" si="61"/>
        <v>0</v>
      </c>
      <c r="AA278" s="75">
        <f t="shared" si="51"/>
        <v>0</v>
      </c>
      <c r="AB278" s="75">
        <f t="shared" si="52"/>
        <v>0</v>
      </c>
    </row>
    <row r="279" spans="1:28">
      <c r="A279" s="69" t="s">
        <v>562</v>
      </c>
      <c r="B279" s="70" t="s">
        <v>563</v>
      </c>
      <c r="C279" s="69"/>
      <c r="D279" s="70" t="s">
        <v>563</v>
      </c>
      <c r="E279" s="71">
        <v>473</v>
      </c>
      <c r="F279" s="71">
        <v>473</v>
      </c>
      <c r="G279" s="72">
        <v>0</v>
      </c>
      <c r="H279" s="73">
        <v>0</v>
      </c>
      <c r="I279" s="73">
        <v>0</v>
      </c>
      <c r="J279" s="73">
        <v>0</v>
      </c>
      <c r="K279" s="72">
        <v>0</v>
      </c>
      <c r="L279" s="72">
        <f t="shared" si="53"/>
        <v>0</v>
      </c>
      <c r="M279" s="73">
        <v>0</v>
      </c>
      <c r="N279" s="73">
        <v>0</v>
      </c>
      <c r="O279" s="72">
        <v>0</v>
      </c>
      <c r="P279" s="73">
        <f t="shared" si="54"/>
        <v>0</v>
      </c>
      <c r="Q279" s="72">
        <f t="shared" si="55"/>
        <v>0</v>
      </c>
      <c r="R279" s="72"/>
      <c r="S279" s="56"/>
      <c r="T279" s="74">
        <f t="shared" si="56"/>
        <v>0</v>
      </c>
      <c r="U279" s="74">
        <v>0</v>
      </c>
      <c r="V279" s="74">
        <f t="shared" si="57"/>
        <v>0</v>
      </c>
      <c r="W279" s="74">
        <f t="shared" si="58"/>
        <v>0</v>
      </c>
      <c r="X279" s="74">
        <f t="shared" si="59"/>
        <v>0</v>
      </c>
      <c r="Y279" s="74">
        <f t="shared" si="60"/>
        <v>0</v>
      </c>
      <c r="Z279" s="74">
        <f t="shared" si="61"/>
        <v>0</v>
      </c>
      <c r="AA279" s="75">
        <f t="shared" si="51"/>
        <v>0</v>
      </c>
      <c r="AB279" s="75">
        <f t="shared" si="52"/>
        <v>0</v>
      </c>
    </row>
    <row r="280" spans="1:28" ht="24">
      <c r="A280" s="69" t="s">
        <v>564</v>
      </c>
      <c r="B280" s="70" t="s">
        <v>565</v>
      </c>
      <c r="C280" s="69"/>
      <c r="D280" s="70" t="s">
        <v>565</v>
      </c>
      <c r="E280" s="71">
        <v>0</v>
      </c>
      <c r="F280" s="71">
        <v>0</v>
      </c>
      <c r="G280" s="72">
        <v>0</v>
      </c>
      <c r="H280" s="73">
        <v>0</v>
      </c>
      <c r="I280" s="73">
        <v>0</v>
      </c>
      <c r="J280" s="73">
        <v>0</v>
      </c>
      <c r="K280" s="72">
        <v>0</v>
      </c>
      <c r="L280" s="72">
        <f t="shared" si="53"/>
        <v>0</v>
      </c>
      <c r="M280" s="73">
        <v>0</v>
      </c>
      <c r="N280" s="73">
        <v>0</v>
      </c>
      <c r="O280" s="72">
        <v>0</v>
      </c>
      <c r="P280" s="73">
        <f t="shared" si="54"/>
        <v>0</v>
      </c>
      <c r="Q280" s="72">
        <f t="shared" si="55"/>
        <v>0</v>
      </c>
      <c r="R280" s="72"/>
      <c r="S280" s="56"/>
      <c r="T280" s="74">
        <f t="shared" si="56"/>
        <v>0</v>
      </c>
      <c r="U280" s="74">
        <v>0</v>
      </c>
      <c r="V280" s="74">
        <f t="shared" si="57"/>
        <v>0</v>
      </c>
      <c r="W280" s="74">
        <f t="shared" si="58"/>
        <v>0</v>
      </c>
      <c r="X280" s="74">
        <f t="shared" si="59"/>
        <v>0</v>
      </c>
      <c r="Y280" s="74">
        <f t="shared" si="60"/>
        <v>0</v>
      </c>
      <c r="Z280" s="74">
        <f t="shared" si="61"/>
        <v>0</v>
      </c>
      <c r="AA280" s="75">
        <f t="shared" si="51"/>
        <v>0</v>
      </c>
      <c r="AB280" s="75">
        <f t="shared" si="52"/>
        <v>0</v>
      </c>
    </row>
    <row r="281" spans="1:28">
      <c r="A281" s="69" t="s">
        <v>566</v>
      </c>
      <c r="B281" s="70" t="s">
        <v>567</v>
      </c>
      <c r="C281" s="69"/>
      <c r="D281" s="70" t="s">
        <v>567</v>
      </c>
      <c r="E281" s="71">
        <v>1850</v>
      </c>
      <c r="F281" s="71">
        <v>1850</v>
      </c>
      <c r="G281" s="72">
        <v>0</v>
      </c>
      <c r="H281" s="73">
        <v>0</v>
      </c>
      <c r="I281" s="73">
        <v>0</v>
      </c>
      <c r="J281" s="73">
        <v>0</v>
      </c>
      <c r="K281" s="72">
        <v>0</v>
      </c>
      <c r="L281" s="72">
        <f t="shared" si="53"/>
        <v>0</v>
      </c>
      <c r="M281" s="73">
        <v>0</v>
      </c>
      <c r="N281" s="73">
        <v>0</v>
      </c>
      <c r="O281" s="72">
        <v>0</v>
      </c>
      <c r="P281" s="73">
        <f t="shared" si="54"/>
        <v>0</v>
      </c>
      <c r="Q281" s="72">
        <f t="shared" si="55"/>
        <v>0</v>
      </c>
      <c r="R281" s="72"/>
      <c r="S281" s="56"/>
      <c r="T281" s="74">
        <f t="shared" si="56"/>
        <v>0</v>
      </c>
      <c r="U281" s="74">
        <v>0</v>
      </c>
      <c r="V281" s="74">
        <f t="shared" si="57"/>
        <v>0</v>
      </c>
      <c r="W281" s="74">
        <f t="shared" si="58"/>
        <v>0</v>
      </c>
      <c r="X281" s="74">
        <f t="shared" si="59"/>
        <v>0</v>
      </c>
      <c r="Y281" s="74">
        <f t="shared" si="60"/>
        <v>0</v>
      </c>
      <c r="Z281" s="74">
        <f t="shared" si="61"/>
        <v>0</v>
      </c>
      <c r="AA281" s="75">
        <f t="shared" si="51"/>
        <v>0</v>
      </c>
      <c r="AB281" s="75">
        <f t="shared" si="52"/>
        <v>0</v>
      </c>
    </row>
    <row r="282" spans="1:28" ht="36">
      <c r="A282" s="69" t="s">
        <v>568</v>
      </c>
      <c r="B282" s="70" t="s">
        <v>569</v>
      </c>
      <c r="C282" s="69"/>
      <c r="D282" s="70" t="s">
        <v>569</v>
      </c>
      <c r="E282" s="71">
        <v>108.9</v>
      </c>
      <c r="F282" s="71">
        <v>108.9</v>
      </c>
      <c r="G282" s="72">
        <v>0</v>
      </c>
      <c r="H282" s="73">
        <v>0</v>
      </c>
      <c r="I282" s="73">
        <v>0</v>
      </c>
      <c r="J282" s="73">
        <v>0</v>
      </c>
      <c r="K282" s="72">
        <v>0</v>
      </c>
      <c r="L282" s="72">
        <f t="shared" si="53"/>
        <v>0</v>
      </c>
      <c r="M282" s="73">
        <v>0</v>
      </c>
      <c r="N282" s="73">
        <v>0</v>
      </c>
      <c r="O282" s="72">
        <v>0</v>
      </c>
      <c r="P282" s="73">
        <f t="shared" si="54"/>
        <v>0</v>
      </c>
      <c r="Q282" s="72">
        <f t="shared" si="55"/>
        <v>0</v>
      </c>
      <c r="R282" s="72"/>
      <c r="S282" s="56"/>
      <c r="T282" s="74">
        <f t="shared" si="56"/>
        <v>0</v>
      </c>
      <c r="U282" s="74">
        <v>0</v>
      </c>
      <c r="V282" s="74">
        <f t="shared" si="57"/>
        <v>0</v>
      </c>
      <c r="W282" s="74">
        <f t="shared" si="58"/>
        <v>0</v>
      </c>
      <c r="X282" s="74">
        <f t="shared" si="59"/>
        <v>0</v>
      </c>
      <c r="Y282" s="74">
        <f t="shared" si="60"/>
        <v>0</v>
      </c>
      <c r="Z282" s="74">
        <f t="shared" si="61"/>
        <v>0</v>
      </c>
      <c r="AA282" s="75">
        <f t="shared" si="51"/>
        <v>0</v>
      </c>
      <c r="AB282" s="75">
        <f t="shared" si="52"/>
        <v>0</v>
      </c>
    </row>
    <row r="283" spans="1:28">
      <c r="A283" s="69" t="s">
        <v>570</v>
      </c>
      <c r="B283" s="70" t="s">
        <v>571</v>
      </c>
      <c r="C283" s="69"/>
      <c r="D283" s="70" t="s">
        <v>571</v>
      </c>
      <c r="E283" s="71">
        <v>0</v>
      </c>
      <c r="F283" s="71">
        <v>0</v>
      </c>
      <c r="G283" s="72">
        <v>0</v>
      </c>
      <c r="H283" s="73">
        <v>0</v>
      </c>
      <c r="I283" s="73">
        <v>0</v>
      </c>
      <c r="J283" s="73">
        <v>0</v>
      </c>
      <c r="K283" s="72">
        <v>0</v>
      </c>
      <c r="L283" s="72">
        <f t="shared" si="53"/>
        <v>0</v>
      </c>
      <c r="M283" s="73">
        <v>0</v>
      </c>
      <c r="N283" s="73">
        <v>0</v>
      </c>
      <c r="O283" s="72">
        <v>0</v>
      </c>
      <c r="P283" s="73">
        <f t="shared" si="54"/>
        <v>0</v>
      </c>
      <c r="Q283" s="72">
        <f t="shared" si="55"/>
        <v>0</v>
      </c>
      <c r="R283" s="72"/>
      <c r="S283" s="56"/>
      <c r="T283" s="74">
        <f t="shared" si="56"/>
        <v>0</v>
      </c>
      <c r="U283" s="74">
        <v>0</v>
      </c>
      <c r="V283" s="74">
        <f t="shared" si="57"/>
        <v>0</v>
      </c>
      <c r="W283" s="74">
        <f t="shared" si="58"/>
        <v>0</v>
      </c>
      <c r="X283" s="74">
        <f t="shared" si="59"/>
        <v>0</v>
      </c>
      <c r="Y283" s="74">
        <f t="shared" si="60"/>
        <v>0</v>
      </c>
      <c r="Z283" s="74">
        <f t="shared" si="61"/>
        <v>0</v>
      </c>
      <c r="AA283" s="75">
        <f t="shared" si="51"/>
        <v>0</v>
      </c>
      <c r="AB283" s="75">
        <f t="shared" si="52"/>
        <v>0</v>
      </c>
    </row>
    <row r="284" spans="1:28" ht="36">
      <c r="A284" s="69" t="s">
        <v>572</v>
      </c>
      <c r="B284" s="70" t="s">
        <v>573</v>
      </c>
      <c r="C284" s="69"/>
      <c r="D284" s="70" t="s">
        <v>573</v>
      </c>
      <c r="E284" s="71">
        <v>12.18</v>
      </c>
      <c r="F284" s="71">
        <v>12.18</v>
      </c>
      <c r="G284" s="72">
        <v>50</v>
      </c>
      <c r="H284" s="73">
        <v>0</v>
      </c>
      <c r="I284" s="73">
        <v>0</v>
      </c>
      <c r="J284" s="73">
        <v>0</v>
      </c>
      <c r="K284" s="72">
        <v>0</v>
      </c>
      <c r="L284" s="72">
        <f t="shared" si="53"/>
        <v>50</v>
      </c>
      <c r="M284" s="73">
        <v>50</v>
      </c>
      <c r="N284" s="73">
        <v>0</v>
      </c>
      <c r="O284" s="72">
        <v>0</v>
      </c>
      <c r="P284" s="73">
        <f t="shared" si="54"/>
        <v>50</v>
      </c>
      <c r="Q284" s="72">
        <f t="shared" si="55"/>
        <v>0</v>
      </c>
      <c r="R284" s="72"/>
      <c r="S284" s="56"/>
      <c r="T284" s="74">
        <f t="shared" si="56"/>
        <v>609</v>
      </c>
      <c r="U284" s="74">
        <v>0</v>
      </c>
      <c r="V284" s="74">
        <f t="shared" si="57"/>
        <v>0</v>
      </c>
      <c r="W284" s="74">
        <f t="shared" si="58"/>
        <v>0</v>
      </c>
      <c r="X284" s="74">
        <f t="shared" si="59"/>
        <v>0</v>
      </c>
      <c r="Y284" s="74">
        <f t="shared" si="60"/>
        <v>0</v>
      </c>
      <c r="Z284" s="74">
        <f t="shared" si="61"/>
        <v>609</v>
      </c>
      <c r="AA284" s="75">
        <f t="shared" si="51"/>
        <v>609</v>
      </c>
      <c r="AB284" s="75">
        <f t="shared" si="52"/>
        <v>0</v>
      </c>
    </row>
    <row r="285" spans="1:28" ht="36">
      <c r="A285" s="69" t="s">
        <v>574</v>
      </c>
      <c r="B285" s="70" t="s">
        <v>575</v>
      </c>
      <c r="C285" s="69"/>
      <c r="D285" s="70" t="s">
        <v>575</v>
      </c>
      <c r="E285" s="71">
        <v>12.18</v>
      </c>
      <c r="F285" s="71">
        <v>12.18</v>
      </c>
      <c r="G285" s="72">
        <v>50</v>
      </c>
      <c r="H285" s="73">
        <v>0</v>
      </c>
      <c r="I285" s="73">
        <v>0</v>
      </c>
      <c r="J285" s="73">
        <v>0</v>
      </c>
      <c r="K285" s="72">
        <v>0</v>
      </c>
      <c r="L285" s="72">
        <f t="shared" si="53"/>
        <v>50</v>
      </c>
      <c r="M285" s="73">
        <v>50</v>
      </c>
      <c r="N285" s="73">
        <v>0</v>
      </c>
      <c r="O285" s="72">
        <v>0</v>
      </c>
      <c r="P285" s="73">
        <f t="shared" si="54"/>
        <v>50</v>
      </c>
      <c r="Q285" s="72">
        <f t="shared" si="55"/>
        <v>0</v>
      </c>
      <c r="R285" s="72"/>
      <c r="S285" s="56"/>
      <c r="T285" s="74">
        <f t="shared" si="56"/>
        <v>609</v>
      </c>
      <c r="U285" s="74">
        <v>0</v>
      </c>
      <c r="V285" s="74">
        <f t="shared" si="57"/>
        <v>0</v>
      </c>
      <c r="W285" s="74">
        <f t="shared" si="58"/>
        <v>0</v>
      </c>
      <c r="X285" s="74">
        <f t="shared" si="59"/>
        <v>0</v>
      </c>
      <c r="Y285" s="74">
        <f t="shared" si="60"/>
        <v>0</v>
      </c>
      <c r="Z285" s="74">
        <f t="shared" si="61"/>
        <v>609</v>
      </c>
      <c r="AA285" s="75">
        <f t="shared" si="51"/>
        <v>609</v>
      </c>
      <c r="AB285" s="75">
        <f t="shared" si="52"/>
        <v>0</v>
      </c>
    </row>
    <row r="286" spans="1:28" ht="24">
      <c r="A286" s="69" t="s">
        <v>576</v>
      </c>
      <c r="B286" s="140" t="s">
        <v>729</v>
      </c>
      <c r="C286" s="140"/>
      <c r="D286" s="70" t="s">
        <v>820</v>
      </c>
      <c r="E286" s="71">
        <v>820</v>
      </c>
      <c r="F286" s="71">
        <v>820</v>
      </c>
      <c r="G286" s="72">
        <v>2</v>
      </c>
      <c r="H286" s="73">
        <v>0</v>
      </c>
      <c r="I286" s="73">
        <v>0</v>
      </c>
      <c r="J286" s="73">
        <v>0</v>
      </c>
      <c r="K286" s="72">
        <v>0</v>
      </c>
      <c r="L286" s="72">
        <f t="shared" si="53"/>
        <v>2</v>
      </c>
      <c r="M286" s="73">
        <v>2</v>
      </c>
      <c r="N286" s="73">
        <v>0</v>
      </c>
      <c r="O286" s="72">
        <v>0</v>
      </c>
      <c r="P286" s="73">
        <f t="shared" si="54"/>
        <v>2</v>
      </c>
      <c r="Q286" s="72">
        <f t="shared" si="55"/>
        <v>0</v>
      </c>
      <c r="R286" s="72"/>
      <c r="S286" s="56"/>
      <c r="T286" s="74">
        <f t="shared" si="56"/>
        <v>1640</v>
      </c>
      <c r="U286" s="74">
        <v>0</v>
      </c>
      <c r="V286" s="74">
        <f t="shared" si="57"/>
        <v>0</v>
      </c>
      <c r="W286" s="74">
        <f t="shared" si="58"/>
        <v>0</v>
      </c>
      <c r="X286" s="74">
        <f t="shared" si="59"/>
        <v>0</v>
      </c>
      <c r="Y286" s="74">
        <f t="shared" si="60"/>
        <v>0</v>
      </c>
      <c r="Z286" s="74">
        <f t="shared" si="61"/>
        <v>1640</v>
      </c>
      <c r="AA286" s="75">
        <f t="shared" si="51"/>
        <v>1640</v>
      </c>
      <c r="AB286" s="75">
        <f t="shared" si="52"/>
        <v>0</v>
      </c>
    </row>
    <row r="287" spans="1:28" ht="24">
      <c r="A287" s="69" t="s">
        <v>578</v>
      </c>
      <c r="B287" s="70" t="s">
        <v>579</v>
      </c>
      <c r="C287" s="69"/>
      <c r="D287" s="70" t="s">
        <v>579</v>
      </c>
      <c r="E287" s="71">
        <v>0</v>
      </c>
      <c r="F287" s="71">
        <v>0</v>
      </c>
      <c r="G287" s="72">
        <v>0</v>
      </c>
      <c r="H287" s="73">
        <v>0</v>
      </c>
      <c r="I287" s="73">
        <v>0</v>
      </c>
      <c r="J287" s="73">
        <v>0</v>
      </c>
      <c r="K287" s="72">
        <v>0</v>
      </c>
      <c r="L287" s="72">
        <f t="shared" si="53"/>
        <v>0</v>
      </c>
      <c r="M287" s="73">
        <v>0</v>
      </c>
      <c r="N287" s="73">
        <v>0</v>
      </c>
      <c r="O287" s="72">
        <v>0</v>
      </c>
      <c r="P287" s="73">
        <f t="shared" si="54"/>
        <v>0</v>
      </c>
      <c r="Q287" s="72">
        <f t="shared" si="55"/>
        <v>0</v>
      </c>
      <c r="R287" s="72"/>
      <c r="S287" s="56"/>
      <c r="T287" s="74">
        <f t="shared" si="56"/>
        <v>0</v>
      </c>
      <c r="U287" s="74">
        <v>0</v>
      </c>
      <c r="V287" s="74">
        <f t="shared" si="57"/>
        <v>0</v>
      </c>
      <c r="W287" s="74">
        <f t="shared" si="58"/>
        <v>0</v>
      </c>
      <c r="X287" s="74">
        <f t="shared" si="59"/>
        <v>0</v>
      </c>
      <c r="Y287" s="74">
        <f t="shared" si="60"/>
        <v>0</v>
      </c>
      <c r="Z287" s="74">
        <f t="shared" si="61"/>
        <v>0</v>
      </c>
      <c r="AA287" s="75">
        <f t="shared" si="51"/>
        <v>0</v>
      </c>
      <c r="AB287" s="75">
        <f t="shared" si="52"/>
        <v>0</v>
      </c>
    </row>
    <row r="288" spans="1:28" ht="48">
      <c r="A288" s="69" t="s">
        <v>580</v>
      </c>
      <c r="B288" s="70" t="s">
        <v>581</v>
      </c>
      <c r="C288" s="69"/>
      <c r="D288" s="70" t="s">
        <v>581</v>
      </c>
      <c r="E288" s="71">
        <v>276.57</v>
      </c>
      <c r="F288" s="71">
        <v>276.57</v>
      </c>
      <c r="G288" s="72">
        <v>17</v>
      </c>
      <c r="H288" s="73">
        <v>0</v>
      </c>
      <c r="I288" s="73">
        <v>0</v>
      </c>
      <c r="J288" s="73">
        <v>0</v>
      </c>
      <c r="K288" s="72">
        <v>0</v>
      </c>
      <c r="L288" s="72">
        <f t="shared" si="53"/>
        <v>17</v>
      </c>
      <c r="M288" s="73">
        <v>17</v>
      </c>
      <c r="N288" s="73">
        <v>0</v>
      </c>
      <c r="O288" s="72">
        <v>0</v>
      </c>
      <c r="P288" s="73">
        <f t="shared" si="54"/>
        <v>17</v>
      </c>
      <c r="Q288" s="72">
        <f t="shared" si="55"/>
        <v>0</v>
      </c>
      <c r="R288" s="72"/>
      <c r="S288" s="56"/>
      <c r="T288" s="74">
        <f t="shared" si="56"/>
        <v>4701.6899999999996</v>
      </c>
      <c r="U288" s="74">
        <v>0</v>
      </c>
      <c r="V288" s="74">
        <f t="shared" si="57"/>
        <v>0</v>
      </c>
      <c r="W288" s="74">
        <f t="shared" si="58"/>
        <v>0</v>
      </c>
      <c r="X288" s="74">
        <f t="shared" si="59"/>
        <v>0</v>
      </c>
      <c r="Y288" s="74">
        <f t="shared" si="60"/>
        <v>0</v>
      </c>
      <c r="Z288" s="74">
        <f t="shared" si="61"/>
        <v>4701.6899999999996</v>
      </c>
      <c r="AA288" s="75">
        <f t="shared" si="51"/>
        <v>4701.6899999999996</v>
      </c>
      <c r="AB288" s="75">
        <f t="shared" si="52"/>
        <v>0</v>
      </c>
    </row>
    <row r="289" spans="1:28" ht="24">
      <c r="A289" s="69" t="s">
        <v>582</v>
      </c>
      <c r="B289" s="70" t="s">
        <v>583</v>
      </c>
      <c r="C289" s="69"/>
      <c r="D289" s="70" t="s">
        <v>583</v>
      </c>
      <c r="E289" s="71">
        <v>34.53</v>
      </c>
      <c r="F289" s="71">
        <v>34.53</v>
      </c>
      <c r="G289" s="72">
        <v>1</v>
      </c>
      <c r="H289" s="73">
        <v>0</v>
      </c>
      <c r="I289" s="73">
        <v>0</v>
      </c>
      <c r="J289" s="73">
        <v>0</v>
      </c>
      <c r="K289" s="72">
        <v>0</v>
      </c>
      <c r="L289" s="72">
        <f t="shared" si="53"/>
        <v>1</v>
      </c>
      <c r="M289" s="73">
        <v>1</v>
      </c>
      <c r="N289" s="73">
        <v>0</v>
      </c>
      <c r="O289" s="72">
        <v>0</v>
      </c>
      <c r="P289" s="73">
        <f t="shared" si="54"/>
        <v>1</v>
      </c>
      <c r="Q289" s="72">
        <f t="shared" si="55"/>
        <v>0</v>
      </c>
      <c r="R289" s="72"/>
      <c r="S289" s="56"/>
      <c r="T289" s="74">
        <f t="shared" si="56"/>
        <v>34.53</v>
      </c>
      <c r="U289" s="74">
        <v>0</v>
      </c>
      <c r="V289" s="74">
        <f t="shared" si="57"/>
        <v>0</v>
      </c>
      <c r="W289" s="74">
        <f t="shared" si="58"/>
        <v>0</v>
      </c>
      <c r="X289" s="74">
        <f t="shared" si="59"/>
        <v>0</v>
      </c>
      <c r="Y289" s="74">
        <f t="shared" si="60"/>
        <v>0</v>
      </c>
      <c r="Z289" s="74">
        <f t="shared" si="61"/>
        <v>34.53</v>
      </c>
      <c r="AA289" s="75">
        <f t="shared" si="51"/>
        <v>34.53</v>
      </c>
      <c r="AB289" s="75">
        <f t="shared" si="52"/>
        <v>0</v>
      </c>
    </row>
    <row r="290" spans="1:28" ht="36">
      <c r="A290" s="69" t="s">
        <v>584</v>
      </c>
      <c r="B290" s="70" t="s">
        <v>585</v>
      </c>
      <c r="C290" s="69"/>
      <c r="D290" s="70" t="s">
        <v>585</v>
      </c>
      <c r="E290" s="71">
        <v>94.83</v>
      </c>
      <c r="F290" s="71">
        <v>94.83</v>
      </c>
      <c r="G290" s="72">
        <v>1</v>
      </c>
      <c r="H290" s="73">
        <v>0</v>
      </c>
      <c r="I290" s="73">
        <v>0</v>
      </c>
      <c r="J290" s="73">
        <v>1</v>
      </c>
      <c r="K290" s="72">
        <v>0</v>
      </c>
      <c r="L290" s="72">
        <f t="shared" si="53"/>
        <v>0</v>
      </c>
      <c r="M290" s="73">
        <v>0</v>
      </c>
      <c r="N290" s="73">
        <v>0</v>
      </c>
      <c r="O290" s="72">
        <v>0</v>
      </c>
      <c r="P290" s="73">
        <f t="shared" si="54"/>
        <v>0</v>
      </c>
      <c r="Q290" s="72">
        <f t="shared" si="55"/>
        <v>0</v>
      </c>
      <c r="R290" s="72"/>
      <c r="S290" s="56"/>
      <c r="T290" s="74">
        <f t="shared" si="56"/>
        <v>94.83</v>
      </c>
      <c r="U290" s="74">
        <v>0</v>
      </c>
      <c r="V290" s="74">
        <f t="shared" si="57"/>
        <v>0</v>
      </c>
      <c r="W290" s="74">
        <f t="shared" si="58"/>
        <v>0</v>
      </c>
      <c r="X290" s="74">
        <f t="shared" si="59"/>
        <v>94.83</v>
      </c>
      <c r="Y290" s="74">
        <f t="shared" si="60"/>
        <v>0</v>
      </c>
      <c r="Z290" s="74">
        <f t="shared" si="61"/>
        <v>0</v>
      </c>
      <c r="AA290" s="75">
        <f t="shared" si="51"/>
        <v>0</v>
      </c>
      <c r="AB290" s="75">
        <f t="shared" ref="AB290:AB321" si="62">AA290-Z290</f>
        <v>0</v>
      </c>
    </row>
    <row r="291" spans="1:28" ht="36">
      <c r="A291" s="69" t="s">
        <v>586</v>
      </c>
      <c r="B291" s="70" t="s">
        <v>587</v>
      </c>
      <c r="C291" s="69"/>
      <c r="D291" s="70" t="s">
        <v>587</v>
      </c>
      <c r="E291" s="71">
        <v>168.1</v>
      </c>
      <c r="F291" s="71">
        <v>168.1</v>
      </c>
      <c r="G291" s="72">
        <v>1</v>
      </c>
      <c r="H291" s="73">
        <v>0</v>
      </c>
      <c r="I291" s="73">
        <v>0</v>
      </c>
      <c r="J291" s="73">
        <v>1</v>
      </c>
      <c r="K291" s="72">
        <v>0</v>
      </c>
      <c r="L291" s="72">
        <f t="shared" si="53"/>
        <v>0</v>
      </c>
      <c r="M291" s="73">
        <v>0</v>
      </c>
      <c r="N291" s="73">
        <v>0</v>
      </c>
      <c r="O291" s="72">
        <v>0</v>
      </c>
      <c r="P291" s="73">
        <f t="shared" si="54"/>
        <v>0</v>
      </c>
      <c r="Q291" s="72">
        <f t="shared" si="55"/>
        <v>0</v>
      </c>
      <c r="R291" s="72"/>
      <c r="S291" s="56"/>
      <c r="T291" s="74">
        <f t="shared" si="56"/>
        <v>168.1</v>
      </c>
      <c r="U291" s="74">
        <v>0</v>
      </c>
      <c r="V291" s="74">
        <f t="shared" si="57"/>
        <v>0</v>
      </c>
      <c r="W291" s="74">
        <f t="shared" si="58"/>
        <v>0</v>
      </c>
      <c r="X291" s="74">
        <f t="shared" si="59"/>
        <v>168.1</v>
      </c>
      <c r="Y291" s="74">
        <f t="shared" si="60"/>
        <v>0</v>
      </c>
      <c r="Z291" s="74">
        <f t="shared" si="61"/>
        <v>0</v>
      </c>
      <c r="AA291" s="75">
        <f t="shared" si="51"/>
        <v>0</v>
      </c>
      <c r="AB291" s="75">
        <f t="shared" si="62"/>
        <v>0</v>
      </c>
    </row>
    <row r="292" spans="1:28" ht="48">
      <c r="A292" s="69" t="s">
        <v>588</v>
      </c>
      <c r="B292" s="70" t="s">
        <v>589</v>
      </c>
      <c r="C292" s="69"/>
      <c r="D292" s="70" t="s">
        <v>589</v>
      </c>
      <c r="E292" s="71">
        <v>652.5</v>
      </c>
      <c r="F292" s="71">
        <v>652.5</v>
      </c>
      <c r="G292" s="72">
        <v>5</v>
      </c>
      <c r="H292" s="73">
        <v>0</v>
      </c>
      <c r="I292" s="73">
        <v>0</v>
      </c>
      <c r="J292" s="73">
        <v>5</v>
      </c>
      <c r="K292" s="72">
        <v>0</v>
      </c>
      <c r="L292" s="72">
        <f t="shared" si="53"/>
        <v>0</v>
      </c>
      <c r="M292" s="73">
        <v>0</v>
      </c>
      <c r="N292" s="73">
        <v>0</v>
      </c>
      <c r="O292" s="72">
        <v>0</v>
      </c>
      <c r="P292" s="73">
        <f t="shared" si="54"/>
        <v>0</v>
      </c>
      <c r="Q292" s="72">
        <f t="shared" si="55"/>
        <v>0</v>
      </c>
      <c r="R292" s="72"/>
      <c r="S292" s="56"/>
      <c r="T292" s="74">
        <f t="shared" si="56"/>
        <v>3262.5</v>
      </c>
      <c r="U292" s="74">
        <v>0</v>
      </c>
      <c r="V292" s="74">
        <f t="shared" si="57"/>
        <v>0</v>
      </c>
      <c r="W292" s="74">
        <f t="shared" si="58"/>
        <v>0</v>
      </c>
      <c r="X292" s="74">
        <f t="shared" si="59"/>
        <v>3262.5</v>
      </c>
      <c r="Y292" s="74">
        <f t="shared" si="60"/>
        <v>0</v>
      </c>
      <c r="Z292" s="74">
        <f t="shared" si="61"/>
        <v>0</v>
      </c>
      <c r="AA292" s="75">
        <f t="shared" si="51"/>
        <v>0</v>
      </c>
      <c r="AB292" s="75">
        <f t="shared" si="62"/>
        <v>0</v>
      </c>
    </row>
    <row r="293" spans="1:28" ht="48">
      <c r="A293" s="69" t="s">
        <v>590</v>
      </c>
      <c r="B293" s="70" t="s">
        <v>591</v>
      </c>
      <c r="C293" s="69"/>
      <c r="D293" s="70" t="s">
        <v>591</v>
      </c>
      <c r="E293" s="71">
        <v>507.5</v>
      </c>
      <c r="F293" s="71">
        <v>507.5</v>
      </c>
      <c r="G293" s="72">
        <v>2</v>
      </c>
      <c r="H293" s="73">
        <v>0</v>
      </c>
      <c r="I293" s="73">
        <v>0</v>
      </c>
      <c r="J293" s="73">
        <v>2</v>
      </c>
      <c r="K293" s="72">
        <v>0</v>
      </c>
      <c r="L293" s="72">
        <f t="shared" si="53"/>
        <v>0</v>
      </c>
      <c r="M293" s="73">
        <v>0</v>
      </c>
      <c r="N293" s="73">
        <v>0</v>
      </c>
      <c r="O293" s="72">
        <v>0</v>
      </c>
      <c r="P293" s="73">
        <f t="shared" si="54"/>
        <v>0</v>
      </c>
      <c r="Q293" s="72">
        <f t="shared" si="55"/>
        <v>0</v>
      </c>
      <c r="R293" s="72"/>
      <c r="S293" s="56"/>
      <c r="T293" s="74">
        <f t="shared" si="56"/>
        <v>1015</v>
      </c>
      <c r="U293" s="74">
        <v>0</v>
      </c>
      <c r="V293" s="74">
        <f t="shared" si="57"/>
        <v>0</v>
      </c>
      <c r="W293" s="74">
        <f t="shared" si="58"/>
        <v>0</v>
      </c>
      <c r="X293" s="74">
        <f t="shared" si="59"/>
        <v>1015</v>
      </c>
      <c r="Y293" s="74">
        <f t="shared" si="60"/>
        <v>0</v>
      </c>
      <c r="Z293" s="74">
        <f t="shared" si="61"/>
        <v>0</v>
      </c>
      <c r="AA293" s="75">
        <f t="shared" si="51"/>
        <v>0</v>
      </c>
      <c r="AB293" s="75">
        <f t="shared" si="62"/>
        <v>0</v>
      </c>
    </row>
    <row r="294" spans="1:28" ht="36">
      <c r="A294" s="69" t="s">
        <v>592</v>
      </c>
      <c r="B294" s="70" t="s">
        <v>593</v>
      </c>
      <c r="C294" s="69"/>
      <c r="D294" s="70" t="s">
        <v>593</v>
      </c>
      <c r="E294" s="71">
        <v>0</v>
      </c>
      <c r="F294" s="71">
        <v>0</v>
      </c>
      <c r="G294" s="72">
        <v>0</v>
      </c>
      <c r="H294" s="73">
        <v>0</v>
      </c>
      <c r="I294" s="73">
        <v>0</v>
      </c>
      <c r="J294" s="73">
        <v>0</v>
      </c>
      <c r="K294" s="72">
        <v>0</v>
      </c>
      <c r="L294" s="72">
        <f t="shared" si="53"/>
        <v>0</v>
      </c>
      <c r="M294" s="73">
        <v>0</v>
      </c>
      <c r="N294" s="73">
        <v>0</v>
      </c>
      <c r="O294" s="72">
        <v>0</v>
      </c>
      <c r="P294" s="73">
        <f t="shared" si="54"/>
        <v>0</v>
      </c>
      <c r="Q294" s="72">
        <f t="shared" si="55"/>
        <v>0</v>
      </c>
      <c r="R294" s="72"/>
      <c r="S294" s="56"/>
      <c r="T294" s="74">
        <f t="shared" si="56"/>
        <v>0</v>
      </c>
      <c r="U294" s="74">
        <v>0</v>
      </c>
      <c r="V294" s="74">
        <f t="shared" si="57"/>
        <v>0</v>
      </c>
      <c r="W294" s="74">
        <f t="shared" si="58"/>
        <v>0</v>
      </c>
      <c r="X294" s="74">
        <f t="shared" si="59"/>
        <v>0</v>
      </c>
      <c r="Y294" s="74">
        <f t="shared" si="60"/>
        <v>0</v>
      </c>
      <c r="Z294" s="74">
        <f t="shared" si="61"/>
        <v>0</v>
      </c>
      <c r="AA294" s="75">
        <f t="shared" si="51"/>
        <v>0</v>
      </c>
      <c r="AB294" s="75">
        <f t="shared" si="62"/>
        <v>0</v>
      </c>
    </row>
    <row r="295" spans="1:28" ht="36">
      <c r="A295" s="69" t="s">
        <v>594</v>
      </c>
      <c r="B295" s="70" t="s">
        <v>595</v>
      </c>
      <c r="C295" s="69"/>
      <c r="D295" s="70" t="s">
        <v>595</v>
      </c>
      <c r="E295" s="71">
        <v>19.510000000000002</v>
      </c>
      <c r="F295" s="71">
        <v>19.510000000000002</v>
      </c>
      <c r="G295" s="72">
        <v>0</v>
      </c>
      <c r="H295" s="73">
        <v>0</v>
      </c>
      <c r="I295" s="73">
        <v>0</v>
      </c>
      <c r="J295" s="73">
        <v>0</v>
      </c>
      <c r="K295" s="72">
        <v>0</v>
      </c>
      <c r="L295" s="72">
        <f t="shared" si="53"/>
        <v>0</v>
      </c>
      <c r="M295" s="73">
        <v>0</v>
      </c>
      <c r="N295" s="73">
        <v>0</v>
      </c>
      <c r="O295" s="72">
        <v>0</v>
      </c>
      <c r="P295" s="73">
        <f t="shared" si="54"/>
        <v>0</v>
      </c>
      <c r="Q295" s="72">
        <f t="shared" si="55"/>
        <v>0</v>
      </c>
      <c r="R295" s="72"/>
      <c r="S295" s="56"/>
      <c r="T295" s="74">
        <f t="shared" si="56"/>
        <v>0</v>
      </c>
      <c r="U295" s="74">
        <v>0</v>
      </c>
      <c r="V295" s="74">
        <f t="shared" si="57"/>
        <v>0</v>
      </c>
      <c r="W295" s="74">
        <f t="shared" si="58"/>
        <v>0</v>
      </c>
      <c r="X295" s="74">
        <f t="shared" si="59"/>
        <v>0</v>
      </c>
      <c r="Y295" s="74">
        <f t="shared" si="60"/>
        <v>0</v>
      </c>
      <c r="Z295" s="74">
        <f t="shared" si="61"/>
        <v>0</v>
      </c>
      <c r="AA295" s="75">
        <f t="shared" si="51"/>
        <v>0</v>
      </c>
      <c r="AB295" s="75">
        <f t="shared" si="62"/>
        <v>0</v>
      </c>
    </row>
    <row r="296" spans="1:28" ht="36">
      <c r="A296" s="69" t="s">
        <v>596</v>
      </c>
      <c r="B296" s="70" t="s">
        <v>597</v>
      </c>
      <c r="C296" s="69"/>
      <c r="D296" s="70" t="s">
        <v>597</v>
      </c>
      <c r="E296" s="71">
        <v>142.65</v>
      </c>
      <c r="F296" s="71">
        <v>142.65</v>
      </c>
      <c r="G296" s="72">
        <v>2</v>
      </c>
      <c r="H296" s="73">
        <v>0</v>
      </c>
      <c r="I296" s="73">
        <v>0</v>
      </c>
      <c r="J296" s="73">
        <v>0</v>
      </c>
      <c r="K296" s="72">
        <v>0</v>
      </c>
      <c r="L296" s="72">
        <f t="shared" si="53"/>
        <v>2</v>
      </c>
      <c r="M296" s="73">
        <v>2</v>
      </c>
      <c r="N296" s="73">
        <v>0</v>
      </c>
      <c r="O296" s="72">
        <v>0</v>
      </c>
      <c r="P296" s="73">
        <f t="shared" si="54"/>
        <v>2</v>
      </c>
      <c r="Q296" s="72">
        <f t="shared" si="55"/>
        <v>0</v>
      </c>
      <c r="R296" s="72"/>
      <c r="S296" s="56"/>
      <c r="T296" s="74">
        <f t="shared" si="56"/>
        <v>285.3</v>
      </c>
      <c r="U296" s="74">
        <v>0</v>
      </c>
      <c r="V296" s="74">
        <f t="shared" si="57"/>
        <v>0</v>
      </c>
      <c r="W296" s="74">
        <f t="shared" si="58"/>
        <v>0</v>
      </c>
      <c r="X296" s="74">
        <f t="shared" si="59"/>
        <v>0</v>
      </c>
      <c r="Y296" s="74">
        <f t="shared" si="60"/>
        <v>0</v>
      </c>
      <c r="Z296" s="74">
        <f t="shared" si="61"/>
        <v>285.3</v>
      </c>
      <c r="AA296" s="75">
        <f t="shared" si="51"/>
        <v>285.3</v>
      </c>
      <c r="AB296" s="75">
        <f t="shared" si="62"/>
        <v>0</v>
      </c>
    </row>
    <row r="297" spans="1:28" ht="24">
      <c r="A297" s="69" t="s">
        <v>598</v>
      </c>
      <c r="B297" s="70" t="s">
        <v>599</v>
      </c>
      <c r="C297" s="69"/>
      <c r="D297" s="70" t="s">
        <v>599</v>
      </c>
      <c r="E297" s="71">
        <v>7.05</v>
      </c>
      <c r="F297" s="71">
        <v>7.05</v>
      </c>
      <c r="G297" s="72">
        <v>0</v>
      </c>
      <c r="H297" s="73">
        <v>0</v>
      </c>
      <c r="I297" s="73">
        <v>0</v>
      </c>
      <c r="J297" s="73">
        <v>0</v>
      </c>
      <c r="K297" s="72">
        <v>0</v>
      </c>
      <c r="L297" s="72">
        <f t="shared" si="53"/>
        <v>0</v>
      </c>
      <c r="M297" s="73">
        <v>0</v>
      </c>
      <c r="N297" s="73">
        <v>0</v>
      </c>
      <c r="O297" s="72">
        <v>0</v>
      </c>
      <c r="P297" s="73">
        <f t="shared" si="54"/>
        <v>0</v>
      </c>
      <c r="Q297" s="72">
        <f t="shared" si="55"/>
        <v>0</v>
      </c>
      <c r="R297" s="72"/>
      <c r="S297" s="56"/>
      <c r="T297" s="74">
        <f t="shared" si="56"/>
        <v>0</v>
      </c>
      <c r="U297" s="74">
        <v>0</v>
      </c>
      <c r="V297" s="74">
        <f t="shared" si="57"/>
        <v>0</v>
      </c>
      <c r="W297" s="74">
        <f t="shared" si="58"/>
        <v>0</v>
      </c>
      <c r="X297" s="74">
        <f t="shared" si="59"/>
        <v>0</v>
      </c>
      <c r="Y297" s="74">
        <f t="shared" si="60"/>
        <v>0</v>
      </c>
      <c r="Z297" s="74">
        <f t="shared" si="61"/>
        <v>0</v>
      </c>
      <c r="AA297" s="75">
        <f t="shared" si="51"/>
        <v>0</v>
      </c>
      <c r="AB297" s="75">
        <f t="shared" si="62"/>
        <v>0</v>
      </c>
    </row>
    <row r="298" spans="1:28" ht="36">
      <c r="A298" s="69" t="s">
        <v>600</v>
      </c>
      <c r="B298" s="70" t="s">
        <v>601</v>
      </c>
      <c r="C298" s="69"/>
      <c r="D298" s="70" t="s">
        <v>601</v>
      </c>
      <c r="E298" s="71">
        <v>522</v>
      </c>
      <c r="F298" s="71">
        <v>522</v>
      </c>
      <c r="G298" s="72">
        <v>18</v>
      </c>
      <c r="H298" s="73">
        <v>0</v>
      </c>
      <c r="I298" s="73">
        <v>0</v>
      </c>
      <c r="J298" s="73">
        <v>5</v>
      </c>
      <c r="K298" s="72">
        <v>0</v>
      </c>
      <c r="L298" s="72">
        <f t="shared" si="53"/>
        <v>13</v>
      </c>
      <c r="M298" s="73">
        <v>13</v>
      </c>
      <c r="N298" s="73">
        <v>0</v>
      </c>
      <c r="O298" s="72">
        <v>0</v>
      </c>
      <c r="P298" s="73">
        <f t="shared" si="54"/>
        <v>13</v>
      </c>
      <c r="Q298" s="72">
        <f t="shared" si="55"/>
        <v>0</v>
      </c>
      <c r="R298" s="72"/>
      <c r="S298" s="56"/>
      <c r="T298" s="74">
        <f t="shared" si="56"/>
        <v>9396</v>
      </c>
      <c r="U298" s="74">
        <v>0</v>
      </c>
      <c r="V298" s="74">
        <f t="shared" si="57"/>
        <v>0</v>
      </c>
      <c r="W298" s="74">
        <f t="shared" si="58"/>
        <v>0</v>
      </c>
      <c r="X298" s="74">
        <f t="shared" si="59"/>
        <v>2610</v>
      </c>
      <c r="Y298" s="74">
        <f t="shared" si="60"/>
        <v>0</v>
      </c>
      <c r="Z298" s="74">
        <f t="shared" si="61"/>
        <v>6786</v>
      </c>
      <c r="AA298" s="75">
        <f t="shared" si="51"/>
        <v>6786</v>
      </c>
      <c r="AB298" s="75">
        <f t="shared" si="62"/>
        <v>0</v>
      </c>
    </row>
    <row r="299" spans="1:28">
      <c r="A299" s="69" t="s">
        <v>602</v>
      </c>
      <c r="B299" s="70" t="s">
        <v>603</v>
      </c>
      <c r="C299" s="69"/>
      <c r="D299" s="70" t="s">
        <v>603</v>
      </c>
      <c r="E299" s="71">
        <v>30.91</v>
      </c>
      <c r="F299" s="71">
        <v>30.91</v>
      </c>
      <c r="G299" s="72">
        <v>0</v>
      </c>
      <c r="H299" s="73">
        <v>0</v>
      </c>
      <c r="I299" s="73">
        <v>0</v>
      </c>
      <c r="J299" s="73">
        <v>0</v>
      </c>
      <c r="K299" s="72">
        <v>0</v>
      </c>
      <c r="L299" s="72">
        <f t="shared" si="53"/>
        <v>0</v>
      </c>
      <c r="M299" s="73">
        <v>0</v>
      </c>
      <c r="N299" s="73">
        <v>0</v>
      </c>
      <c r="O299" s="72">
        <v>0</v>
      </c>
      <c r="P299" s="73">
        <f t="shared" si="54"/>
        <v>0</v>
      </c>
      <c r="Q299" s="72">
        <f t="shared" si="55"/>
        <v>0</v>
      </c>
      <c r="R299" s="72"/>
      <c r="S299" s="56"/>
      <c r="T299" s="74">
        <f t="shared" si="56"/>
        <v>0</v>
      </c>
      <c r="U299" s="74">
        <v>0</v>
      </c>
      <c r="V299" s="74">
        <f t="shared" si="57"/>
        <v>0</v>
      </c>
      <c r="W299" s="74">
        <f t="shared" si="58"/>
        <v>0</v>
      </c>
      <c r="X299" s="74">
        <f t="shared" si="59"/>
        <v>0</v>
      </c>
      <c r="Y299" s="74">
        <f t="shared" si="60"/>
        <v>0</v>
      </c>
      <c r="Z299" s="74">
        <f t="shared" si="61"/>
        <v>0</v>
      </c>
      <c r="AA299" s="75">
        <f t="shared" si="51"/>
        <v>0</v>
      </c>
      <c r="AB299" s="75">
        <f t="shared" si="62"/>
        <v>0</v>
      </c>
    </row>
    <row r="300" spans="1:28" ht="60">
      <c r="A300" s="69" t="s">
        <v>604</v>
      </c>
      <c r="B300" s="140" t="s">
        <v>703</v>
      </c>
      <c r="C300" s="140"/>
      <c r="D300" s="70" t="s">
        <v>605</v>
      </c>
      <c r="E300" s="71">
        <v>570</v>
      </c>
      <c r="F300" s="71">
        <v>570</v>
      </c>
      <c r="G300" s="72">
        <v>4</v>
      </c>
      <c r="H300" s="73">
        <v>0</v>
      </c>
      <c r="I300" s="73">
        <v>0</v>
      </c>
      <c r="J300" s="73">
        <v>0</v>
      </c>
      <c r="K300" s="72">
        <v>0</v>
      </c>
      <c r="L300" s="72">
        <f t="shared" si="53"/>
        <v>4</v>
      </c>
      <c r="M300" s="73">
        <v>4</v>
      </c>
      <c r="N300" s="73">
        <v>0</v>
      </c>
      <c r="O300" s="72">
        <v>0</v>
      </c>
      <c r="P300" s="73">
        <f t="shared" si="54"/>
        <v>4</v>
      </c>
      <c r="Q300" s="72">
        <f t="shared" si="55"/>
        <v>0</v>
      </c>
      <c r="R300" s="72"/>
      <c r="S300" s="56"/>
      <c r="T300" s="74">
        <f t="shared" si="56"/>
        <v>2280</v>
      </c>
      <c r="U300" s="74">
        <v>0</v>
      </c>
      <c r="V300" s="74">
        <f t="shared" si="57"/>
        <v>0</v>
      </c>
      <c r="W300" s="74">
        <f t="shared" si="58"/>
        <v>0</v>
      </c>
      <c r="X300" s="74">
        <f t="shared" si="59"/>
        <v>0</v>
      </c>
      <c r="Y300" s="74">
        <f t="shared" si="60"/>
        <v>0</v>
      </c>
      <c r="Z300" s="74">
        <f t="shared" si="61"/>
        <v>2280</v>
      </c>
      <c r="AA300" s="75">
        <f t="shared" si="51"/>
        <v>2280</v>
      </c>
      <c r="AB300" s="75">
        <f t="shared" si="62"/>
        <v>0</v>
      </c>
    </row>
    <row r="301" spans="1:28" ht="36">
      <c r="A301" s="69" t="s">
        <v>606</v>
      </c>
      <c r="B301" s="70" t="s">
        <v>607</v>
      </c>
      <c r="C301" s="69"/>
      <c r="D301" s="70" t="s">
        <v>607</v>
      </c>
      <c r="E301" s="71">
        <v>380</v>
      </c>
      <c r="F301" s="71">
        <v>380</v>
      </c>
      <c r="G301" s="72">
        <v>0</v>
      </c>
      <c r="H301" s="73">
        <v>0</v>
      </c>
      <c r="I301" s="73">
        <v>0</v>
      </c>
      <c r="J301" s="73">
        <v>0</v>
      </c>
      <c r="K301" s="72">
        <v>0</v>
      </c>
      <c r="L301" s="72">
        <f t="shared" si="53"/>
        <v>0</v>
      </c>
      <c r="M301" s="73">
        <v>0</v>
      </c>
      <c r="N301" s="73">
        <v>0</v>
      </c>
      <c r="O301" s="72">
        <v>0</v>
      </c>
      <c r="P301" s="73">
        <f t="shared" si="54"/>
        <v>0</v>
      </c>
      <c r="Q301" s="72">
        <f t="shared" si="55"/>
        <v>0</v>
      </c>
      <c r="R301" s="72"/>
      <c r="S301" s="56"/>
      <c r="T301" s="74">
        <f t="shared" si="56"/>
        <v>0</v>
      </c>
      <c r="U301" s="74">
        <v>0</v>
      </c>
      <c r="V301" s="74">
        <f t="shared" si="57"/>
        <v>0</v>
      </c>
      <c r="W301" s="74">
        <f t="shared" si="58"/>
        <v>0</v>
      </c>
      <c r="X301" s="74">
        <f t="shared" si="59"/>
        <v>0</v>
      </c>
      <c r="Y301" s="74">
        <f t="shared" si="60"/>
        <v>0</v>
      </c>
      <c r="Z301" s="74">
        <f t="shared" si="61"/>
        <v>0</v>
      </c>
      <c r="AA301" s="75">
        <f t="shared" si="51"/>
        <v>0</v>
      </c>
      <c r="AB301" s="75">
        <f t="shared" si="62"/>
        <v>0</v>
      </c>
    </row>
    <row r="302" spans="1:28" ht="48">
      <c r="A302" s="69" t="s">
        <v>608</v>
      </c>
      <c r="B302" s="140" t="s">
        <v>730</v>
      </c>
      <c r="C302" s="140"/>
      <c r="D302" s="70" t="s">
        <v>609</v>
      </c>
      <c r="E302" s="71">
        <v>985</v>
      </c>
      <c r="F302" s="71">
        <v>985</v>
      </c>
      <c r="G302" s="72">
        <v>0</v>
      </c>
      <c r="H302" s="73">
        <v>0</v>
      </c>
      <c r="I302" s="73">
        <v>0</v>
      </c>
      <c r="J302" s="73">
        <v>0</v>
      </c>
      <c r="K302" s="72">
        <v>0</v>
      </c>
      <c r="L302" s="72">
        <f t="shared" si="53"/>
        <v>0</v>
      </c>
      <c r="M302" s="73">
        <v>0</v>
      </c>
      <c r="N302" s="73">
        <v>0</v>
      </c>
      <c r="O302" s="72">
        <v>0</v>
      </c>
      <c r="P302" s="73">
        <f t="shared" si="54"/>
        <v>0</v>
      </c>
      <c r="Q302" s="72">
        <f t="shared" si="55"/>
        <v>0</v>
      </c>
      <c r="R302" s="72"/>
      <c r="S302" s="56"/>
      <c r="T302" s="74">
        <f t="shared" si="56"/>
        <v>0</v>
      </c>
      <c r="U302" s="74">
        <v>0</v>
      </c>
      <c r="V302" s="74">
        <f t="shared" si="57"/>
        <v>0</v>
      </c>
      <c r="W302" s="74">
        <f t="shared" si="58"/>
        <v>0</v>
      </c>
      <c r="X302" s="74">
        <f t="shared" si="59"/>
        <v>0</v>
      </c>
      <c r="Y302" s="74">
        <f t="shared" si="60"/>
        <v>0</v>
      </c>
      <c r="Z302" s="74">
        <f t="shared" si="61"/>
        <v>0</v>
      </c>
      <c r="AA302" s="75">
        <f t="shared" ref="AA302:AA317" si="63">L302*F302</f>
        <v>0</v>
      </c>
      <c r="AB302" s="75">
        <f t="shared" si="62"/>
        <v>0</v>
      </c>
    </row>
    <row r="303" spans="1:28" ht="36">
      <c r="A303" s="69" t="s">
        <v>610</v>
      </c>
      <c r="B303" s="70" t="s">
        <v>611</v>
      </c>
      <c r="C303" s="69"/>
      <c r="D303" s="70" t="s">
        <v>611</v>
      </c>
      <c r="E303" s="71">
        <v>450</v>
      </c>
      <c r="F303" s="71">
        <v>450</v>
      </c>
      <c r="G303" s="72">
        <v>1</v>
      </c>
      <c r="H303" s="73">
        <v>0</v>
      </c>
      <c r="I303" s="73">
        <v>0</v>
      </c>
      <c r="J303" s="73">
        <v>0</v>
      </c>
      <c r="K303" s="72">
        <v>0</v>
      </c>
      <c r="L303" s="72">
        <f t="shared" si="53"/>
        <v>1</v>
      </c>
      <c r="M303" s="73">
        <v>1</v>
      </c>
      <c r="N303" s="73">
        <v>0</v>
      </c>
      <c r="O303" s="73">
        <v>0</v>
      </c>
      <c r="P303" s="73">
        <f t="shared" si="54"/>
        <v>1</v>
      </c>
      <c r="Q303" s="72">
        <f t="shared" si="55"/>
        <v>0</v>
      </c>
      <c r="R303" s="72"/>
      <c r="S303" s="56"/>
      <c r="T303" s="74">
        <f t="shared" si="56"/>
        <v>450</v>
      </c>
      <c r="U303" s="74">
        <v>0</v>
      </c>
      <c r="V303" s="74">
        <f t="shared" si="57"/>
        <v>0</v>
      </c>
      <c r="W303" s="74">
        <f t="shared" si="58"/>
        <v>0</v>
      </c>
      <c r="X303" s="74">
        <f t="shared" si="59"/>
        <v>0</v>
      </c>
      <c r="Y303" s="74">
        <f t="shared" si="60"/>
        <v>0</v>
      </c>
      <c r="Z303" s="74">
        <f t="shared" si="61"/>
        <v>450</v>
      </c>
      <c r="AA303" s="75">
        <f t="shared" si="63"/>
        <v>450</v>
      </c>
      <c r="AB303" s="75">
        <f t="shared" si="62"/>
        <v>0</v>
      </c>
    </row>
    <row r="304" spans="1:28" ht="24">
      <c r="A304" s="69" t="s">
        <v>612</v>
      </c>
      <c r="B304" s="140" t="s">
        <v>731</v>
      </c>
      <c r="C304" s="140"/>
      <c r="D304" s="70" t="s">
        <v>613</v>
      </c>
      <c r="E304" s="71">
        <v>888</v>
      </c>
      <c r="F304" s="71">
        <v>888</v>
      </c>
      <c r="G304" s="72">
        <v>1</v>
      </c>
      <c r="H304" s="73">
        <v>0</v>
      </c>
      <c r="I304" s="73">
        <v>0</v>
      </c>
      <c r="J304" s="73">
        <v>0</v>
      </c>
      <c r="K304" s="72">
        <v>0</v>
      </c>
      <c r="L304" s="72">
        <f t="shared" si="53"/>
        <v>1</v>
      </c>
      <c r="M304" s="73">
        <v>1</v>
      </c>
      <c r="N304" s="73">
        <v>0</v>
      </c>
      <c r="O304" s="72">
        <v>0</v>
      </c>
      <c r="P304" s="73">
        <f t="shared" si="54"/>
        <v>1</v>
      </c>
      <c r="Q304" s="72">
        <f t="shared" si="55"/>
        <v>0</v>
      </c>
      <c r="R304" s="72"/>
      <c r="S304" s="56"/>
      <c r="T304" s="74">
        <f t="shared" si="56"/>
        <v>888</v>
      </c>
      <c r="U304" s="74">
        <v>0</v>
      </c>
      <c r="V304" s="74">
        <f t="shared" si="57"/>
        <v>0</v>
      </c>
      <c r="W304" s="74">
        <f t="shared" si="58"/>
        <v>0</v>
      </c>
      <c r="X304" s="74">
        <f t="shared" si="59"/>
        <v>0</v>
      </c>
      <c r="Y304" s="74">
        <f t="shared" si="60"/>
        <v>0</v>
      </c>
      <c r="Z304" s="74">
        <f t="shared" si="61"/>
        <v>888</v>
      </c>
      <c r="AA304" s="75">
        <f t="shared" si="63"/>
        <v>888</v>
      </c>
      <c r="AB304" s="75">
        <f t="shared" si="62"/>
        <v>0</v>
      </c>
    </row>
    <row r="305" spans="1:28" ht="24">
      <c r="A305" s="69" t="s">
        <v>614</v>
      </c>
      <c r="B305" s="140" t="s">
        <v>732</v>
      </c>
      <c r="C305" s="140"/>
      <c r="D305" s="70" t="s">
        <v>821</v>
      </c>
      <c r="E305" s="71">
        <v>1204.43</v>
      </c>
      <c r="F305" s="71">
        <v>1204.43</v>
      </c>
      <c r="G305" s="72">
        <v>1</v>
      </c>
      <c r="H305" s="73">
        <v>0</v>
      </c>
      <c r="I305" s="73">
        <v>0</v>
      </c>
      <c r="J305" s="73">
        <v>0</v>
      </c>
      <c r="K305" s="72">
        <v>0</v>
      </c>
      <c r="L305" s="72">
        <f t="shared" si="53"/>
        <v>1</v>
      </c>
      <c r="M305" s="73">
        <v>1</v>
      </c>
      <c r="N305" s="73">
        <v>0</v>
      </c>
      <c r="O305" s="72">
        <v>0</v>
      </c>
      <c r="P305" s="73">
        <f t="shared" si="54"/>
        <v>1</v>
      </c>
      <c r="Q305" s="72">
        <f t="shared" si="55"/>
        <v>0</v>
      </c>
      <c r="R305" s="72"/>
      <c r="S305" s="56"/>
      <c r="T305" s="74">
        <f t="shared" si="56"/>
        <v>1204.43</v>
      </c>
      <c r="U305" s="74">
        <v>0</v>
      </c>
      <c r="V305" s="74">
        <f t="shared" si="57"/>
        <v>0</v>
      </c>
      <c r="W305" s="74">
        <f t="shared" si="58"/>
        <v>0</v>
      </c>
      <c r="X305" s="74">
        <f t="shared" si="59"/>
        <v>0</v>
      </c>
      <c r="Y305" s="74">
        <f t="shared" si="60"/>
        <v>0</v>
      </c>
      <c r="Z305" s="74">
        <f t="shared" si="61"/>
        <v>1204.43</v>
      </c>
      <c r="AA305" s="75">
        <f t="shared" si="63"/>
        <v>1204.43</v>
      </c>
      <c r="AB305" s="75">
        <f t="shared" si="62"/>
        <v>0</v>
      </c>
    </row>
    <row r="306" spans="1:28" ht="24">
      <c r="A306" s="69" t="s">
        <v>616</v>
      </c>
      <c r="B306" s="70" t="s">
        <v>617</v>
      </c>
      <c r="C306" s="69"/>
      <c r="D306" s="70" t="s">
        <v>617</v>
      </c>
      <c r="E306" s="71">
        <v>890</v>
      </c>
      <c r="F306" s="71">
        <v>890</v>
      </c>
      <c r="G306" s="72">
        <v>2</v>
      </c>
      <c r="H306" s="73">
        <v>0</v>
      </c>
      <c r="I306" s="73">
        <v>0</v>
      </c>
      <c r="J306" s="73">
        <v>0</v>
      </c>
      <c r="K306" s="72">
        <v>0</v>
      </c>
      <c r="L306" s="72">
        <f t="shared" si="53"/>
        <v>2</v>
      </c>
      <c r="M306" s="73">
        <v>2</v>
      </c>
      <c r="N306" s="73">
        <v>0</v>
      </c>
      <c r="O306" s="72">
        <v>0</v>
      </c>
      <c r="P306" s="73">
        <f t="shared" si="54"/>
        <v>2</v>
      </c>
      <c r="Q306" s="72">
        <f t="shared" si="55"/>
        <v>0</v>
      </c>
      <c r="R306" s="72"/>
      <c r="S306" s="56"/>
      <c r="T306" s="74">
        <f t="shared" si="56"/>
        <v>1780</v>
      </c>
      <c r="U306" s="74">
        <v>0</v>
      </c>
      <c r="V306" s="74">
        <f t="shared" si="57"/>
        <v>0</v>
      </c>
      <c r="W306" s="74">
        <f t="shared" si="58"/>
        <v>0</v>
      </c>
      <c r="X306" s="74">
        <f t="shared" si="59"/>
        <v>0</v>
      </c>
      <c r="Y306" s="74">
        <f t="shared" si="60"/>
        <v>0</v>
      </c>
      <c r="Z306" s="74">
        <f t="shared" si="61"/>
        <v>1780</v>
      </c>
      <c r="AA306" s="75">
        <f t="shared" si="63"/>
        <v>1780</v>
      </c>
      <c r="AB306" s="75">
        <f t="shared" si="62"/>
        <v>0</v>
      </c>
    </row>
    <row r="307" spans="1:28">
      <c r="A307" s="69" t="s">
        <v>618</v>
      </c>
      <c r="B307" s="70" t="s">
        <v>619</v>
      </c>
      <c r="C307" s="69"/>
      <c r="D307" s="70" t="s">
        <v>619</v>
      </c>
      <c r="E307" s="71">
        <v>695</v>
      </c>
      <c r="F307" s="71">
        <v>695</v>
      </c>
      <c r="G307" s="72">
        <v>14</v>
      </c>
      <c r="H307" s="73">
        <v>0</v>
      </c>
      <c r="I307" s="73">
        <v>0</v>
      </c>
      <c r="J307" s="73">
        <v>0</v>
      </c>
      <c r="K307" s="72">
        <v>0</v>
      </c>
      <c r="L307" s="72">
        <f t="shared" si="53"/>
        <v>14</v>
      </c>
      <c r="M307" s="73">
        <v>14</v>
      </c>
      <c r="N307" s="73">
        <v>0</v>
      </c>
      <c r="O307" s="72">
        <v>0</v>
      </c>
      <c r="P307" s="73">
        <f t="shared" si="54"/>
        <v>14</v>
      </c>
      <c r="Q307" s="72">
        <f t="shared" si="55"/>
        <v>0</v>
      </c>
      <c r="R307" s="72"/>
      <c r="S307" s="56"/>
      <c r="T307" s="74">
        <f t="shared" si="56"/>
        <v>9730</v>
      </c>
      <c r="U307" s="74">
        <v>0</v>
      </c>
      <c r="V307" s="74">
        <f t="shared" si="57"/>
        <v>0</v>
      </c>
      <c r="W307" s="74">
        <f t="shared" si="58"/>
        <v>0</v>
      </c>
      <c r="X307" s="74">
        <f t="shared" si="59"/>
        <v>0</v>
      </c>
      <c r="Y307" s="74">
        <f t="shared" si="60"/>
        <v>0</v>
      </c>
      <c r="Z307" s="74">
        <f t="shared" si="61"/>
        <v>9730</v>
      </c>
      <c r="AA307" s="75">
        <f t="shared" si="63"/>
        <v>9730</v>
      </c>
      <c r="AB307" s="75">
        <f t="shared" si="62"/>
        <v>0</v>
      </c>
    </row>
    <row r="308" spans="1:28" s="157" customFormat="1" ht="30">
      <c r="A308" s="69" t="s">
        <v>830</v>
      </c>
      <c r="B308" s="163" t="s">
        <v>789</v>
      </c>
      <c r="C308" s="158"/>
      <c r="D308" s="70" t="s">
        <v>692</v>
      </c>
      <c r="E308" s="71">
        <v>0</v>
      </c>
      <c r="F308" s="71">
        <v>596.15</v>
      </c>
      <c r="G308" s="76">
        <v>0</v>
      </c>
      <c r="H308" s="169">
        <v>0</v>
      </c>
      <c r="I308" s="169">
        <v>2</v>
      </c>
      <c r="J308" s="169">
        <v>0</v>
      </c>
      <c r="K308" s="76">
        <v>0</v>
      </c>
      <c r="L308" s="76">
        <f t="shared" si="53"/>
        <v>2</v>
      </c>
      <c r="M308" s="169"/>
      <c r="N308" s="169"/>
      <c r="O308" s="76"/>
      <c r="P308" s="169">
        <f t="shared" si="54"/>
        <v>0</v>
      </c>
      <c r="Q308" s="76">
        <f t="shared" si="55"/>
        <v>-2</v>
      </c>
      <c r="R308" s="76"/>
      <c r="S308" s="56"/>
      <c r="T308" s="74">
        <f t="shared" si="56"/>
        <v>0</v>
      </c>
      <c r="U308" s="74">
        <v>0</v>
      </c>
      <c r="V308" s="74">
        <f t="shared" si="57"/>
        <v>0</v>
      </c>
      <c r="W308" s="239">
        <f t="shared" si="58"/>
        <v>1192.3</v>
      </c>
      <c r="X308" s="74">
        <f t="shared" si="59"/>
        <v>0</v>
      </c>
      <c r="Y308" s="74">
        <f t="shared" si="60"/>
        <v>0</v>
      </c>
      <c r="Z308" s="74">
        <f t="shared" si="61"/>
        <v>1192.3</v>
      </c>
      <c r="AA308" s="75">
        <f t="shared" si="63"/>
        <v>1192.3</v>
      </c>
      <c r="AB308" s="75">
        <f t="shared" si="62"/>
        <v>0</v>
      </c>
    </row>
    <row r="309" spans="1:28" s="157" customFormat="1" ht="36">
      <c r="A309" s="69" t="s">
        <v>831</v>
      </c>
      <c r="B309" s="163" t="s">
        <v>790</v>
      </c>
      <c r="C309" s="158"/>
      <c r="D309" s="70" t="s">
        <v>693</v>
      </c>
      <c r="E309" s="71">
        <v>0</v>
      </c>
      <c r="F309" s="71">
        <v>651.6</v>
      </c>
      <c r="G309" s="76">
        <v>0</v>
      </c>
      <c r="H309" s="169">
        <v>0</v>
      </c>
      <c r="I309" s="169">
        <v>2</v>
      </c>
      <c r="J309" s="169">
        <v>0</v>
      </c>
      <c r="K309" s="76">
        <v>0</v>
      </c>
      <c r="L309" s="76">
        <f t="shared" si="53"/>
        <v>2</v>
      </c>
      <c r="M309" s="169"/>
      <c r="N309" s="169"/>
      <c r="O309" s="76"/>
      <c r="P309" s="169">
        <f t="shared" si="54"/>
        <v>0</v>
      </c>
      <c r="Q309" s="76">
        <f t="shared" si="55"/>
        <v>-2</v>
      </c>
      <c r="R309" s="76"/>
      <c r="S309" s="56"/>
      <c r="T309" s="74">
        <f t="shared" si="56"/>
        <v>0</v>
      </c>
      <c r="U309" s="74">
        <v>0</v>
      </c>
      <c r="V309" s="74">
        <f t="shared" si="57"/>
        <v>0</v>
      </c>
      <c r="W309" s="239">
        <f t="shared" si="58"/>
        <v>1303.2</v>
      </c>
      <c r="X309" s="74">
        <f t="shared" si="59"/>
        <v>0</v>
      </c>
      <c r="Y309" s="74">
        <f t="shared" si="60"/>
        <v>0</v>
      </c>
      <c r="Z309" s="74">
        <f t="shared" si="61"/>
        <v>1303.2</v>
      </c>
      <c r="AA309" s="75">
        <f t="shared" si="63"/>
        <v>1303.2</v>
      </c>
      <c r="AB309" s="75">
        <f t="shared" si="62"/>
        <v>0</v>
      </c>
    </row>
    <row r="310" spans="1:28" s="157" customFormat="1" ht="36">
      <c r="A310" s="69" t="s">
        <v>832</v>
      </c>
      <c r="B310" s="163" t="s">
        <v>791</v>
      </c>
      <c r="C310" s="158"/>
      <c r="D310" s="70" t="s">
        <v>696</v>
      </c>
      <c r="E310" s="71">
        <v>0</v>
      </c>
      <c r="F310" s="71">
        <v>867.24</v>
      </c>
      <c r="G310" s="76">
        <v>0</v>
      </c>
      <c r="H310" s="169">
        <v>0</v>
      </c>
      <c r="I310" s="169">
        <v>2</v>
      </c>
      <c r="J310" s="169">
        <v>0</v>
      </c>
      <c r="K310" s="76">
        <v>0</v>
      </c>
      <c r="L310" s="76">
        <f t="shared" si="53"/>
        <v>2</v>
      </c>
      <c r="M310" s="169"/>
      <c r="N310" s="169"/>
      <c r="O310" s="76"/>
      <c r="P310" s="169">
        <f t="shared" si="54"/>
        <v>0</v>
      </c>
      <c r="Q310" s="76">
        <f t="shared" si="55"/>
        <v>-2</v>
      </c>
      <c r="R310" s="76"/>
      <c r="S310" s="56"/>
      <c r="T310" s="74">
        <f t="shared" si="56"/>
        <v>0</v>
      </c>
      <c r="U310" s="74">
        <v>0</v>
      </c>
      <c r="V310" s="74">
        <f t="shared" si="57"/>
        <v>0</v>
      </c>
      <c r="W310" s="239">
        <f t="shared" si="58"/>
        <v>1734.48</v>
      </c>
      <c r="X310" s="74">
        <f t="shared" si="59"/>
        <v>0</v>
      </c>
      <c r="Y310" s="74">
        <f t="shared" si="60"/>
        <v>0</v>
      </c>
      <c r="Z310" s="74">
        <f t="shared" si="61"/>
        <v>1734.48</v>
      </c>
      <c r="AA310" s="75">
        <f t="shared" si="63"/>
        <v>1734.48</v>
      </c>
      <c r="AB310" s="75">
        <f t="shared" si="62"/>
        <v>0</v>
      </c>
    </row>
    <row r="311" spans="1:28" s="157" customFormat="1" ht="36">
      <c r="A311" s="69" t="s">
        <v>833</v>
      </c>
      <c r="B311" s="163" t="s">
        <v>792</v>
      </c>
      <c r="C311" s="158"/>
      <c r="D311" s="70" t="s">
        <v>695</v>
      </c>
      <c r="E311" s="71">
        <v>0</v>
      </c>
      <c r="F311" s="71">
        <v>160</v>
      </c>
      <c r="G311" s="76">
        <v>0</v>
      </c>
      <c r="H311" s="169">
        <v>0</v>
      </c>
      <c r="I311" s="169">
        <v>2</v>
      </c>
      <c r="J311" s="169">
        <v>0</v>
      </c>
      <c r="K311" s="76">
        <v>0</v>
      </c>
      <c r="L311" s="76">
        <f t="shared" si="53"/>
        <v>2</v>
      </c>
      <c r="M311" s="169"/>
      <c r="N311" s="169"/>
      <c r="O311" s="76"/>
      <c r="P311" s="169">
        <f t="shared" si="54"/>
        <v>0</v>
      </c>
      <c r="Q311" s="76">
        <f t="shared" si="55"/>
        <v>-2</v>
      </c>
      <c r="R311" s="76"/>
      <c r="S311" s="56"/>
      <c r="T311" s="74">
        <f t="shared" si="56"/>
        <v>0</v>
      </c>
      <c r="U311" s="74">
        <v>0</v>
      </c>
      <c r="V311" s="74">
        <f t="shared" si="57"/>
        <v>0</v>
      </c>
      <c r="W311" s="239">
        <f t="shared" si="58"/>
        <v>320</v>
      </c>
      <c r="X311" s="74">
        <f t="shared" si="59"/>
        <v>0</v>
      </c>
      <c r="Y311" s="74">
        <f t="shared" si="60"/>
        <v>0</v>
      </c>
      <c r="Z311" s="74">
        <f t="shared" si="61"/>
        <v>320</v>
      </c>
      <c r="AA311" s="75">
        <f t="shared" si="63"/>
        <v>320</v>
      </c>
      <c r="AB311" s="75">
        <f t="shared" si="62"/>
        <v>0</v>
      </c>
    </row>
    <row r="312" spans="1:28" s="157" customFormat="1" ht="30">
      <c r="A312" s="69" t="s">
        <v>834</v>
      </c>
      <c r="B312" s="163" t="s">
        <v>787</v>
      </c>
      <c r="C312" s="158"/>
      <c r="D312" s="70" t="s">
        <v>694</v>
      </c>
      <c r="E312" s="71">
        <v>0</v>
      </c>
      <c r="F312" s="71">
        <v>1400</v>
      </c>
      <c r="G312" s="76">
        <v>0</v>
      </c>
      <c r="H312" s="169">
        <v>0</v>
      </c>
      <c r="I312" s="169">
        <v>3</v>
      </c>
      <c r="J312" s="169">
        <v>0</v>
      </c>
      <c r="K312" s="76">
        <v>0</v>
      </c>
      <c r="L312" s="76">
        <f t="shared" si="53"/>
        <v>3</v>
      </c>
      <c r="M312" s="169"/>
      <c r="N312" s="169"/>
      <c r="O312" s="76"/>
      <c r="P312" s="169">
        <f t="shared" si="54"/>
        <v>0</v>
      </c>
      <c r="Q312" s="76">
        <f t="shared" si="55"/>
        <v>-3</v>
      </c>
      <c r="R312" s="76"/>
      <c r="S312" s="56"/>
      <c r="T312" s="74">
        <f t="shared" si="56"/>
        <v>0</v>
      </c>
      <c r="U312" s="74">
        <v>0</v>
      </c>
      <c r="V312" s="74">
        <f t="shared" si="57"/>
        <v>0</v>
      </c>
      <c r="W312" s="239">
        <f t="shared" si="58"/>
        <v>4200</v>
      </c>
      <c r="X312" s="74">
        <f t="shared" si="59"/>
        <v>0</v>
      </c>
      <c r="Y312" s="74">
        <f t="shared" si="60"/>
        <v>0</v>
      </c>
      <c r="Z312" s="74">
        <f t="shared" si="61"/>
        <v>4200</v>
      </c>
      <c r="AA312" s="75">
        <f t="shared" si="63"/>
        <v>4200</v>
      </c>
      <c r="AB312" s="75">
        <f t="shared" si="62"/>
        <v>0</v>
      </c>
    </row>
    <row r="313" spans="1:28" s="157" customFormat="1" ht="36">
      <c r="A313" s="69" t="s">
        <v>835</v>
      </c>
      <c r="B313" s="163" t="s">
        <v>788</v>
      </c>
      <c r="C313" s="158"/>
      <c r="D313" s="70" t="s">
        <v>697</v>
      </c>
      <c r="E313" s="71">
        <v>0</v>
      </c>
      <c r="F313" s="71">
        <v>370</v>
      </c>
      <c r="G313" s="76">
        <v>0</v>
      </c>
      <c r="H313" s="169">
        <v>0</v>
      </c>
      <c r="I313" s="169">
        <v>6</v>
      </c>
      <c r="J313" s="169">
        <v>0</v>
      </c>
      <c r="K313" s="76">
        <v>0</v>
      </c>
      <c r="L313" s="76">
        <f t="shared" si="53"/>
        <v>6</v>
      </c>
      <c r="M313" s="169">
        <v>6</v>
      </c>
      <c r="N313" s="169"/>
      <c r="O313" s="76"/>
      <c r="P313" s="169">
        <f t="shared" si="54"/>
        <v>6</v>
      </c>
      <c r="Q313" s="76">
        <f t="shared" si="55"/>
        <v>0</v>
      </c>
      <c r="R313" s="76"/>
      <c r="S313" s="56"/>
      <c r="T313" s="74">
        <f t="shared" si="56"/>
        <v>0</v>
      </c>
      <c r="U313" s="74">
        <v>0</v>
      </c>
      <c r="V313" s="74">
        <f t="shared" si="57"/>
        <v>0</v>
      </c>
      <c r="W313" s="239">
        <f t="shared" si="58"/>
        <v>2220</v>
      </c>
      <c r="X313" s="74">
        <f t="shared" si="59"/>
        <v>0</v>
      </c>
      <c r="Y313" s="74">
        <f t="shared" si="60"/>
        <v>0</v>
      </c>
      <c r="Z313" s="74">
        <f t="shared" si="61"/>
        <v>2220</v>
      </c>
      <c r="AA313" s="75">
        <f t="shared" si="63"/>
        <v>2220</v>
      </c>
      <c r="AB313" s="75">
        <f t="shared" si="62"/>
        <v>0</v>
      </c>
    </row>
    <row r="314" spans="1:28" s="157" customFormat="1" ht="48">
      <c r="A314" s="69" t="s">
        <v>836</v>
      </c>
      <c r="B314" s="163" t="s">
        <v>793</v>
      </c>
      <c r="C314" s="158"/>
      <c r="D314" s="70" t="s">
        <v>698</v>
      </c>
      <c r="E314" s="71">
        <v>0</v>
      </c>
      <c r="F314" s="71">
        <v>372.5</v>
      </c>
      <c r="G314" s="76">
        <v>0</v>
      </c>
      <c r="H314" s="169">
        <v>0</v>
      </c>
      <c r="I314" s="169">
        <v>1</v>
      </c>
      <c r="J314" s="169">
        <v>0</v>
      </c>
      <c r="K314" s="76">
        <v>0</v>
      </c>
      <c r="L314" s="76">
        <f t="shared" si="53"/>
        <v>1</v>
      </c>
      <c r="M314" s="169">
        <v>1</v>
      </c>
      <c r="N314" s="169"/>
      <c r="O314" s="76"/>
      <c r="P314" s="169">
        <f t="shared" si="54"/>
        <v>1</v>
      </c>
      <c r="Q314" s="76">
        <f t="shared" si="55"/>
        <v>0</v>
      </c>
      <c r="R314" s="76"/>
      <c r="S314" s="56"/>
      <c r="T314" s="74">
        <f t="shared" si="56"/>
        <v>0</v>
      </c>
      <c r="U314" s="74">
        <v>0</v>
      </c>
      <c r="V314" s="74">
        <f t="shared" si="57"/>
        <v>0</v>
      </c>
      <c r="W314" s="239">
        <f t="shared" si="58"/>
        <v>372.5</v>
      </c>
      <c r="X314" s="74">
        <f t="shared" si="59"/>
        <v>0</v>
      </c>
      <c r="Y314" s="74">
        <f t="shared" si="60"/>
        <v>0</v>
      </c>
      <c r="Z314" s="74">
        <f t="shared" si="61"/>
        <v>372.5</v>
      </c>
      <c r="AA314" s="75">
        <f t="shared" si="63"/>
        <v>372.5</v>
      </c>
      <c r="AB314" s="75">
        <f t="shared" si="62"/>
        <v>0</v>
      </c>
    </row>
    <row r="315" spans="1:28" s="157" customFormat="1" ht="36">
      <c r="A315" s="69" t="s">
        <v>837</v>
      </c>
      <c r="B315" s="163" t="s">
        <v>794</v>
      </c>
      <c r="C315" s="158"/>
      <c r="D315" s="70" t="s">
        <v>699</v>
      </c>
      <c r="E315" s="71">
        <v>0</v>
      </c>
      <c r="F315" s="71">
        <v>801.22</v>
      </c>
      <c r="G315" s="76">
        <v>0</v>
      </c>
      <c r="H315" s="169">
        <v>0</v>
      </c>
      <c r="I315" s="169">
        <v>7</v>
      </c>
      <c r="J315" s="169">
        <v>0</v>
      </c>
      <c r="K315" s="76">
        <v>0</v>
      </c>
      <c r="L315" s="76">
        <f t="shared" si="53"/>
        <v>7</v>
      </c>
      <c r="M315" s="169"/>
      <c r="N315" s="169"/>
      <c r="O315" s="76"/>
      <c r="P315" s="169">
        <f t="shared" si="54"/>
        <v>0</v>
      </c>
      <c r="Q315" s="76">
        <f t="shared" si="55"/>
        <v>-7</v>
      </c>
      <c r="R315" s="76"/>
      <c r="S315" s="56"/>
      <c r="T315" s="74">
        <f t="shared" si="56"/>
        <v>0</v>
      </c>
      <c r="U315" s="74">
        <v>0</v>
      </c>
      <c r="V315" s="74">
        <f t="shared" si="57"/>
        <v>0</v>
      </c>
      <c r="W315" s="239">
        <f t="shared" si="58"/>
        <v>5608.54</v>
      </c>
      <c r="X315" s="74">
        <f t="shared" si="59"/>
        <v>0</v>
      </c>
      <c r="Y315" s="74">
        <f t="shared" si="60"/>
        <v>0</v>
      </c>
      <c r="Z315" s="74">
        <f t="shared" si="61"/>
        <v>5608.54</v>
      </c>
      <c r="AA315" s="75">
        <f t="shared" si="63"/>
        <v>5608.54</v>
      </c>
      <c r="AB315" s="75">
        <f t="shared" si="62"/>
        <v>0</v>
      </c>
    </row>
    <row r="316" spans="1:28" s="157" customFormat="1" ht="36">
      <c r="A316" s="69" t="s">
        <v>838</v>
      </c>
      <c r="B316" s="163" t="s">
        <v>795</v>
      </c>
      <c r="C316" s="158"/>
      <c r="D316" s="70" t="s">
        <v>700</v>
      </c>
      <c r="E316" s="71">
        <v>0</v>
      </c>
      <c r="F316" s="71">
        <v>999.98</v>
      </c>
      <c r="G316" s="76">
        <v>0</v>
      </c>
      <c r="H316" s="169">
        <v>0</v>
      </c>
      <c r="I316" s="169">
        <v>1</v>
      </c>
      <c r="J316" s="169">
        <v>0</v>
      </c>
      <c r="K316" s="76">
        <v>0</v>
      </c>
      <c r="L316" s="76">
        <f t="shared" si="53"/>
        <v>1</v>
      </c>
      <c r="M316" s="169">
        <v>1</v>
      </c>
      <c r="N316" s="169"/>
      <c r="O316" s="76"/>
      <c r="P316" s="169">
        <f t="shared" si="54"/>
        <v>1</v>
      </c>
      <c r="Q316" s="76">
        <f t="shared" si="55"/>
        <v>0</v>
      </c>
      <c r="R316" s="76"/>
      <c r="S316" s="56"/>
      <c r="T316" s="74">
        <f t="shared" si="56"/>
        <v>0</v>
      </c>
      <c r="U316" s="74">
        <v>0</v>
      </c>
      <c r="V316" s="74">
        <f t="shared" si="57"/>
        <v>0</v>
      </c>
      <c r="W316" s="239">
        <f t="shared" si="58"/>
        <v>999.98</v>
      </c>
      <c r="X316" s="74">
        <f t="shared" si="59"/>
        <v>0</v>
      </c>
      <c r="Y316" s="74">
        <f t="shared" si="60"/>
        <v>0</v>
      </c>
      <c r="Z316" s="74">
        <f t="shared" si="61"/>
        <v>999.98</v>
      </c>
      <c r="AA316" s="75">
        <f t="shared" si="63"/>
        <v>999.98</v>
      </c>
      <c r="AB316" s="75">
        <f t="shared" si="62"/>
        <v>0</v>
      </c>
    </row>
    <row r="317" spans="1:28" s="157" customFormat="1" ht="48">
      <c r="A317" s="69" t="s">
        <v>839</v>
      </c>
      <c r="B317" s="70" t="s">
        <v>735</v>
      </c>
      <c r="C317" s="158"/>
      <c r="D317" s="70" t="s">
        <v>735</v>
      </c>
      <c r="E317" s="71">
        <v>0</v>
      </c>
      <c r="F317" s="71">
        <v>204</v>
      </c>
      <c r="G317" s="76">
        <v>0</v>
      </c>
      <c r="H317" s="169">
        <v>1</v>
      </c>
      <c r="I317" s="169">
        <v>0</v>
      </c>
      <c r="J317" s="169">
        <v>0</v>
      </c>
      <c r="K317" s="76">
        <v>0</v>
      </c>
      <c r="L317" s="76">
        <f t="shared" si="53"/>
        <v>1</v>
      </c>
      <c r="M317" s="169"/>
      <c r="N317" s="169"/>
      <c r="O317" s="76"/>
      <c r="P317" s="169"/>
      <c r="Q317" s="76">
        <f t="shared" si="55"/>
        <v>-1</v>
      </c>
      <c r="R317" s="76"/>
      <c r="S317" s="56"/>
      <c r="T317" s="74">
        <f t="shared" si="56"/>
        <v>0</v>
      </c>
      <c r="U317" s="74">
        <v>0</v>
      </c>
      <c r="V317" s="74">
        <f t="shared" si="57"/>
        <v>204</v>
      </c>
      <c r="W317" s="74">
        <f t="shared" si="58"/>
        <v>0</v>
      </c>
      <c r="X317" s="74">
        <f t="shared" si="59"/>
        <v>0</v>
      </c>
      <c r="Y317" s="74">
        <f t="shared" si="60"/>
        <v>0</v>
      </c>
      <c r="Z317" s="74">
        <f t="shared" si="61"/>
        <v>204</v>
      </c>
      <c r="AA317" s="75">
        <f t="shared" si="63"/>
        <v>204</v>
      </c>
      <c r="AB317" s="75">
        <f t="shared" si="62"/>
        <v>0</v>
      </c>
    </row>
    <row r="318" spans="1:28">
      <c r="A318" s="133" t="s">
        <v>16</v>
      </c>
      <c r="B318" s="141"/>
      <c r="C318" s="141"/>
      <c r="D318" s="133"/>
      <c r="E318" s="134"/>
      <c r="F318" s="134"/>
      <c r="G318" s="135">
        <f>SUM(G7:G317)</f>
        <v>1630</v>
      </c>
      <c r="H318" s="135">
        <f>SUM(H302:H306)</f>
        <v>0</v>
      </c>
      <c r="I318" s="135">
        <f>SUM(I302:I306)</f>
        <v>0</v>
      </c>
      <c r="J318" s="135">
        <f>SUM(J7:J317)</f>
        <v>259</v>
      </c>
      <c r="K318" s="135">
        <f>SUM(K302:K306)</f>
        <v>0</v>
      </c>
      <c r="L318" s="135">
        <f>SUM(L7:L316)</f>
        <v>1351</v>
      </c>
      <c r="M318" s="138">
        <f>SUM(M302:M306)</f>
        <v>5</v>
      </c>
      <c r="N318" s="138">
        <f>SUM(N302:N306)</f>
        <v>0</v>
      </c>
      <c r="O318" s="137">
        <f>SUM(O302:O306)</f>
        <v>0</v>
      </c>
      <c r="P318" s="138">
        <f>SUM(P302:P306)</f>
        <v>5</v>
      </c>
      <c r="Q318" s="137">
        <f>SUM(Q302:Q306)</f>
        <v>0</v>
      </c>
      <c r="R318" s="137"/>
      <c r="S318" s="56"/>
      <c r="T318" s="136">
        <f t="shared" ref="T318:Z318" si="64">SUM(T7:T317)</f>
        <v>407268.76</v>
      </c>
      <c r="U318" s="136">
        <f t="shared" si="64"/>
        <v>0</v>
      </c>
      <c r="V318" s="136">
        <f t="shared" si="64"/>
        <v>204</v>
      </c>
      <c r="W318" s="136">
        <f t="shared" si="64"/>
        <v>55886.020000000011</v>
      </c>
      <c r="X318" s="136">
        <f t="shared" si="64"/>
        <v>46616.94000000001</v>
      </c>
      <c r="Y318" s="136">
        <f t="shared" si="64"/>
        <v>56108.729999999996</v>
      </c>
      <c r="Z318" s="136">
        <f t="shared" si="64"/>
        <v>360633.10999999993</v>
      </c>
      <c r="AA318" s="77"/>
      <c r="AB318" s="77"/>
    </row>
    <row r="319" spans="1:28" s="78" customFormat="1">
      <c r="D319" s="79"/>
      <c r="E319" s="80"/>
      <c r="F319" s="81"/>
      <c r="G319" s="81"/>
      <c r="H319" s="82"/>
      <c r="Q319" s="83"/>
      <c r="R319" s="83"/>
      <c r="S319" s="83"/>
      <c r="T319" s="83"/>
      <c r="U319" s="83"/>
      <c r="V319" s="83"/>
      <c r="W319" s="83"/>
      <c r="X319" s="83"/>
    </row>
    <row r="320" spans="1:28" s="78" customFormat="1">
      <c r="D320" s="79"/>
      <c r="E320" s="80"/>
      <c r="F320" s="81"/>
      <c r="G320" s="81"/>
      <c r="H320" s="82"/>
      <c r="Q320" s="84"/>
      <c r="R320" s="84"/>
      <c r="S320" s="83"/>
      <c r="T320" s="83"/>
      <c r="U320" s="83"/>
      <c r="V320" s="83"/>
      <c r="W320" s="83"/>
      <c r="X320" s="83"/>
    </row>
    <row r="321" spans="2:29" s="78" customFormat="1">
      <c r="D321" s="79"/>
      <c r="E321" s="80"/>
      <c r="G321" s="85" t="s">
        <v>667</v>
      </c>
      <c r="H321" s="82"/>
      <c r="Q321" s="83"/>
      <c r="R321" s="83"/>
      <c r="S321" s="83"/>
      <c r="T321" s="86"/>
      <c r="U321" s="83"/>
      <c r="V321" s="83"/>
      <c r="W321" s="83"/>
      <c r="X321" s="83"/>
      <c r="Y321" s="164">
        <f>W318-Y318</f>
        <v>-222.70999999998457</v>
      </c>
    </row>
    <row r="322" spans="2:29" s="78" customFormat="1">
      <c r="D322" s="79"/>
      <c r="E322" s="80"/>
      <c r="F322" s="81"/>
      <c r="G322" s="81"/>
      <c r="H322" s="82"/>
      <c r="Q322" s="84"/>
      <c r="R322" s="83"/>
      <c r="S322" s="83"/>
      <c r="T322" s="83"/>
      <c r="U322" s="83"/>
      <c r="V322" s="83"/>
      <c r="W322" s="83"/>
      <c r="X322" s="83"/>
      <c r="Z322" s="164"/>
    </row>
    <row r="323" spans="2:29" ht="15.75" customHeight="1">
      <c r="D323" s="251" t="s">
        <v>668</v>
      </c>
      <c r="E323" s="251"/>
      <c r="F323" s="251"/>
      <c r="G323" s="251"/>
      <c r="H323" s="87"/>
      <c r="J323" s="252" t="s">
        <v>669</v>
      </c>
      <c r="K323" s="252"/>
      <c r="L323" s="252"/>
      <c r="M323" s="252"/>
      <c r="N323" s="252"/>
      <c r="O323" s="252"/>
      <c r="P323" s="88"/>
      <c r="Q323" s="89"/>
      <c r="R323" s="89"/>
      <c r="S323" s="90"/>
      <c r="T323" s="90"/>
      <c r="U323" s="252" t="s">
        <v>670</v>
      </c>
      <c r="V323" s="252"/>
      <c r="W323" s="252"/>
      <c r="X323" s="252"/>
      <c r="AC323" s="100"/>
    </row>
    <row r="324" spans="2:29" ht="53.25" customHeight="1">
      <c r="D324" s="242"/>
      <c r="E324" s="242"/>
      <c r="F324" s="242"/>
      <c r="G324" s="242"/>
      <c r="H324" s="91"/>
      <c r="J324" s="243"/>
      <c r="K324" s="243"/>
      <c r="L324" s="243"/>
      <c r="M324" s="243"/>
      <c r="N324" s="243"/>
      <c r="O324" s="92"/>
      <c r="P324" s="93"/>
      <c r="Q324" s="94"/>
      <c r="R324" s="94"/>
      <c r="S324" s="90"/>
      <c r="T324" s="90"/>
      <c r="U324" s="95"/>
      <c r="V324" s="95"/>
      <c r="W324" s="95"/>
      <c r="X324" s="95"/>
    </row>
    <row r="325" spans="2:29" ht="16.5" customHeight="1">
      <c r="D325" s="244" t="s">
        <v>671</v>
      </c>
      <c r="E325" s="244"/>
      <c r="F325" s="244"/>
      <c r="G325" s="244"/>
      <c r="H325" s="91"/>
      <c r="J325" s="245" t="s">
        <v>672</v>
      </c>
      <c r="K325" s="245"/>
      <c r="L325" s="245"/>
      <c r="M325" s="245"/>
      <c r="N325" s="245"/>
      <c r="O325" s="245"/>
      <c r="P325" s="96"/>
      <c r="Q325" s="94"/>
      <c r="R325" s="94"/>
      <c r="S325" s="90"/>
      <c r="T325" s="90"/>
      <c r="U325" s="246" t="s">
        <v>673</v>
      </c>
      <c r="V325" s="246"/>
      <c r="W325" s="246"/>
      <c r="X325" s="246"/>
      <c r="Y325" s="97"/>
    </row>
    <row r="326" spans="2:29" ht="32.25" customHeight="1">
      <c r="D326" s="247" t="s">
        <v>674</v>
      </c>
      <c r="E326" s="247"/>
      <c r="F326" s="247"/>
      <c r="G326" s="247"/>
      <c r="H326" s="91"/>
      <c r="J326" s="247" t="s">
        <v>675</v>
      </c>
      <c r="K326" s="247"/>
      <c r="L326" s="247"/>
      <c r="M326" s="247"/>
      <c r="N326" s="247"/>
      <c r="O326" s="247"/>
      <c r="P326" s="98"/>
      <c r="Q326" s="94"/>
      <c r="R326" s="94"/>
      <c r="S326" s="90"/>
      <c r="T326" s="90"/>
      <c r="U326" s="247" t="s">
        <v>676</v>
      </c>
      <c r="V326" s="247"/>
      <c r="W326" s="247"/>
      <c r="X326" s="247"/>
    </row>
    <row r="327" spans="2:29">
      <c r="J327" s="99"/>
    </row>
    <row r="328" spans="2:29">
      <c r="B328" s="201"/>
      <c r="C328" s="202" t="s">
        <v>822</v>
      </c>
    </row>
    <row r="329" spans="2:29">
      <c r="B329" s="212"/>
      <c r="C329" s="202" t="s">
        <v>823</v>
      </c>
    </row>
    <row r="330" spans="2:29">
      <c r="B330" s="224"/>
      <c r="C330" s="202" t="s">
        <v>824</v>
      </c>
    </row>
    <row r="331" spans="2:29">
      <c r="B331" s="241" t="s">
        <v>827</v>
      </c>
      <c r="C331" s="202" t="s">
        <v>825</v>
      </c>
    </row>
    <row r="332" spans="2:29">
      <c r="B332" s="240"/>
      <c r="C332" s="202" t="s">
        <v>826</v>
      </c>
    </row>
    <row r="334" spans="2:29">
      <c r="Q334" s="57"/>
    </row>
    <row r="335" spans="2:29">
      <c r="Q335" s="100"/>
    </row>
    <row r="339" spans="4:4">
      <c r="D339" s="85"/>
    </row>
  </sheetData>
  <autoFilter ref="A6:AC318" xr:uid="{364CD9CB-5E9F-4555-9EE0-84EBF2385370}">
    <sortState xmlns:xlrd2="http://schemas.microsoft.com/office/spreadsheetml/2017/richdata2" ref="A7:AC318">
      <sortCondition sortBy="cellColor" ref="Y6:Y318" dxfId="27"/>
    </sortState>
  </autoFilter>
  <mergeCells count="15">
    <mergeCell ref="D326:G326"/>
    <mergeCell ref="J326:O326"/>
    <mergeCell ref="U326:X326"/>
    <mergeCell ref="A1:Z1"/>
    <mergeCell ref="A2:Z2"/>
    <mergeCell ref="A3:Z3"/>
    <mergeCell ref="T4:W4"/>
    <mergeCell ref="D323:G323"/>
    <mergeCell ref="J323:O323"/>
    <mergeCell ref="U323:X323"/>
    <mergeCell ref="D324:G324"/>
    <mergeCell ref="J324:N324"/>
    <mergeCell ref="D325:G325"/>
    <mergeCell ref="J325:O325"/>
    <mergeCell ref="U325:X325"/>
  </mergeCells>
  <conditionalFormatting sqref="A1:C5 A22:B22 A240 A118:B118 A62:B63 A61 A239:B239 A241:B241 A6:A21 A29:B31 A23:A28 A33:B33 A32 A35:B36 A34 A44:B44 A37:A43 A48:B48 A45:A47 A52:B60 A49:A51 A65:B65 A64 A71:B71 A66:A70 A73:B75 A72 A80:B80 A76:A79 A82:B82 A81 A90:B90 A83:A89 A103:B105 A91:A102 A108 A120:B121 A119 A123:B124 A122 A128:B128 A125:A127 A134:B135 A129:A133 A142:B143 A136:A141 A155:B155 A144:A154 A158:B158 A156:A157 A166:B166 A159:A165 A176:B177 A167:A175 A179:B180 A178 A189:B189 A181:A188 A191:B193 A190 A195:B195 A194 A197:B197 A196 A199:B199 A198 A201:B201 A200 A205:B205 A202:A204 A208:B208 A206:A207 A221:B224 A209:A220 A232:B232 A226:A231 A233:A238 A244:B244 A242:A243 A262:B263 A245:A261 A272:B272 A264:A271 A286:B286 A273:A285 A300:B300 A287:A299 A302:B302 A301 A304:B305 A303 B308:B316 A306:A307 A318:B1048576 C8:C1048576 B225 A107:B107 B106 A110:A117">
    <cfRule type="duplicateValues" dxfId="12" priority="5"/>
  </conditionalFormatting>
  <conditionalFormatting sqref="A308:A317">
    <cfRule type="duplicateValues" dxfId="5" priority="4"/>
  </conditionalFormatting>
  <conditionalFormatting sqref="A225">
    <cfRule type="duplicateValues" dxfId="4" priority="3"/>
  </conditionalFormatting>
  <conditionalFormatting sqref="A106">
    <cfRule type="duplicateValues" dxfId="1" priority="2"/>
  </conditionalFormatting>
  <conditionalFormatting sqref="A109">
    <cfRule type="duplicateValues" dxfId="0" priority="1"/>
  </conditionalFormatting>
  <pageMargins left="0.25" right="0.25" top="0.75" bottom="0.75" header="0.3" footer="0.3"/>
  <pageSetup scale="4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701E-2FEA-414C-881D-3AE5884BADD4}">
  <dimension ref="G2:J313"/>
  <sheetViews>
    <sheetView topLeftCell="A286" workbookViewId="0">
      <selection activeCell="G295" sqref="G295"/>
    </sheetView>
  </sheetViews>
  <sheetFormatPr baseColWidth="10" defaultRowHeight="15"/>
  <sheetData>
    <row r="2" spans="7:8">
      <c r="G2" s="60" t="s">
        <v>3</v>
      </c>
      <c r="H2" s="60" t="s">
        <v>733</v>
      </c>
    </row>
    <row r="3" spans="7:8" ht="24">
      <c r="G3" s="69" t="s">
        <v>556</v>
      </c>
      <c r="H3" s="70" t="s">
        <v>557</v>
      </c>
    </row>
    <row r="4" spans="7:8" ht="36">
      <c r="G4" s="69" t="s">
        <v>554</v>
      </c>
      <c r="H4" s="70" t="s">
        <v>555</v>
      </c>
    </row>
    <row r="5" spans="7:8" ht="36">
      <c r="G5" s="69" t="s">
        <v>552</v>
      </c>
      <c r="H5" s="70" t="s">
        <v>553</v>
      </c>
    </row>
    <row r="6" spans="7:8" ht="60">
      <c r="G6" s="69" t="s">
        <v>64</v>
      </c>
      <c r="H6" s="70" t="s">
        <v>65</v>
      </c>
    </row>
    <row r="7" spans="7:8" ht="72">
      <c r="G7" s="69" t="s">
        <v>62</v>
      </c>
      <c r="H7" s="70" t="s">
        <v>63</v>
      </c>
    </row>
    <row r="8" spans="7:8" ht="36">
      <c r="G8" s="69" t="s">
        <v>586</v>
      </c>
      <c r="H8" s="70" t="s">
        <v>587</v>
      </c>
    </row>
    <row r="9" spans="7:8" ht="36">
      <c r="G9" s="69" t="s">
        <v>584</v>
      </c>
      <c r="H9" s="70" t="s">
        <v>585</v>
      </c>
    </row>
    <row r="10" spans="7:8" ht="22.5">
      <c r="G10" s="69" t="s">
        <v>130</v>
      </c>
      <c r="H10" s="140" t="s">
        <v>709</v>
      </c>
    </row>
    <row r="11" spans="7:8" ht="48">
      <c r="G11" s="69" t="s">
        <v>588</v>
      </c>
      <c r="H11" s="70" t="s">
        <v>589</v>
      </c>
    </row>
    <row r="12" spans="7:8" ht="48">
      <c r="G12" s="69" t="s">
        <v>590</v>
      </c>
      <c r="H12" s="70" t="s">
        <v>591</v>
      </c>
    </row>
    <row r="13" spans="7:8" ht="60">
      <c r="G13" s="69" t="s">
        <v>480</v>
      </c>
      <c r="H13" s="70" t="s">
        <v>786</v>
      </c>
    </row>
    <row r="14" spans="7:8" ht="48">
      <c r="G14" s="158" t="s">
        <v>370</v>
      </c>
      <c r="H14" s="70" t="s">
        <v>371</v>
      </c>
    </row>
    <row r="15" spans="7:8" ht="48">
      <c r="G15" s="158" t="s">
        <v>368</v>
      </c>
      <c r="H15" s="70" t="s">
        <v>369</v>
      </c>
    </row>
    <row r="16" spans="7:8" ht="48">
      <c r="G16" s="158" t="s">
        <v>366</v>
      </c>
      <c r="H16" s="70" t="s">
        <v>367</v>
      </c>
    </row>
    <row r="17" spans="7:8" ht="60">
      <c r="G17" s="69" t="s">
        <v>326</v>
      </c>
      <c r="H17" s="70" t="s">
        <v>327</v>
      </c>
    </row>
    <row r="18" spans="7:8" ht="60">
      <c r="G18" s="69" t="s">
        <v>318</v>
      </c>
      <c r="H18" s="70" t="s">
        <v>319</v>
      </c>
    </row>
    <row r="19" spans="7:8" ht="48">
      <c r="G19" s="69" t="s">
        <v>314</v>
      </c>
      <c r="H19" s="70" t="s">
        <v>315</v>
      </c>
    </row>
    <row r="20" spans="7:8" ht="48">
      <c r="G20" s="69" t="s">
        <v>280</v>
      </c>
      <c r="H20" s="70" t="s">
        <v>281</v>
      </c>
    </row>
    <row r="21" spans="7:8" ht="22.5">
      <c r="G21" s="228" t="s">
        <v>270</v>
      </c>
      <c r="H21" s="229" t="s">
        <v>273</v>
      </c>
    </row>
    <row r="22" spans="7:8" ht="48">
      <c r="G22" s="69" t="s">
        <v>538</v>
      </c>
      <c r="H22" s="70" t="s">
        <v>539</v>
      </c>
    </row>
    <row r="23" spans="7:8" ht="48">
      <c r="G23" s="69" t="s">
        <v>536</v>
      </c>
      <c r="H23" s="70" t="s">
        <v>537</v>
      </c>
    </row>
    <row r="24" spans="7:8" ht="48">
      <c r="G24" s="69" t="s">
        <v>534</v>
      </c>
      <c r="H24" s="70" t="s">
        <v>535</v>
      </c>
    </row>
    <row r="25" spans="7:8" ht="48">
      <c r="G25" s="69" t="s">
        <v>532</v>
      </c>
      <c r="H25" s="70" t="s">
        <v>533</v>
      </c>
    </row>
    <row r="26" spans="7:8" ht="24">
      <c r="G26" s="69" t="s">
        <v>232</v>
      </c>
      <c r="H26" s="70" t="s">
        <v>769</v>
      </c>
    </row>
    <row r="27" spans="7:8" ht="45">
      <c r="G27" s="158" t="s">
        <v>78</v>
      </c>
      <c r="H27" s="140" t="s">
        <v>768</v>
      </c>
    </row>
    <row r="28" spans="7:8" ht="48">
      <c r="G28" s="69" t="s">
        <v>236</v>
      </c>
      <c r="H28" s="70" t="s">
        <v>237</v>
      </c>
    </row>
    <row r="29" spans="7:8" ht="48">
      <c r="G29" s="69" t="s">
        <v>568</v>
      </c>
      <c r="H29" s="70" t="s">
        <v>569</v>
      </c>
    </row>
    <row r="30" spans="7:8" ht="48">
      <c r="G30" s="69" t="s">
        <v>320</v>
      </c>
      <c r="H30" s="70" t="s">
        <v>321</v>
      </c>
    </row>
    <row r="31" spans="7:8" ht="60">
      <c r="G31" s="69" t="s">
        <v>362</v>
      </c>
      <c r="H31" s="70" t="s">
        <v>363</v>
      </c>
    </row>
    <row r="32" spans="7:8" ht="96">
      <c r="G32" s="69" t="s">
        <v>386</v>
      </c>
      <c r="H32" s="70" t="s">
        <v>387</v>
      </c>
    </row>
    <row r="33" spans="7:8" ht="36">
      <c r="G33" s="69" t="s">
        <v>164</v>
      </c>
      <c r="H33" s="70" t="s">
        <v>165</v>
      </c>
    </row>
    <row r="34" spans="7:8">
      <c r="G34" s="69" t="s">
        <v>170</v>
      </c>
      <c r="H34" s="70" t="s">
        <v>171</v>
      </c>
    </row>
    <row r="35" spans="7:8" ht="24">
      <c r="G35" s="69" t="s">
        <v>410</v>
      </c>
      <c r="H35" s="70" t="s">
        <v>411</v>
      </c>
    </row>
    <row r="36" spans="7:8" ht="60">
      <c r="G36" s="69" t="s">
        <v>510</v>
      </c>
      <c r="H36" s="70" t="s">
        <v>511</v>
      </c>
    </row>
    <row r="37" spans="7:8" ht="60">
      <c r="G37" s="69" t="s">
        <v>518</v>
      </c>
      <c r="H37" s="70" t="s">
        <v>519</v>
      </c>
    </row>
    <row r="38" spans="7:8" ht="60">
      <c r="G38" s="69" t="s">
        <v>516</v>
      </c>
      <c r="H38" s="70" t="s">
        <v>517</v>
      </c>
    </row>
    <row r="39" spans="7:8" ht="60">
      <c r="G39" s="69" t="s">
        <v>514</v>
      </c>
      <c r="H39" s="70" t="s">
        <v>515</v>
      </c>
    </row>
    <row r="40" spans="7:8" ht="60">
      <c r="G40" s="69" t="s">
        <v>512</v>
      </c>
      <c r="H40" s="70" t="s">
        <v>513</v>
      </c>
    </row>
    <row r="41" spans="7:8" ht="36">
      <c r="G41" s="69" t="s">
        <v>122</v>
      </c>
      <c r="H41" s="70" t="s">
        <v>123</v>
      </c>
    </row>
    <row r="42" spans="7:8" ht="36">
      <c r="G42" s="69" t="s">
        <v>120</v>
      </c>
      <c r="H42" s="70" t="s">
        <v>121</v>
      </c>
    </row>
    <row r="43" spans="7:8" ht="36">
      <c r="G43" s="69" t="s">
        <v>118</v>
      </c>
      <c r="H43" s="70" t="s">
        <v>119</v>
      </c>
    </row>
    <row r="44" spans="7:8" ht="36">
      <c r="G44" s="69" t="s">
        <v>116</v>
      </c>
      <c r="H44" s="70" t="s">
        <v>117</v>
      </c>
    </row>
    <row r="45" spans="7:8" ht="48">
      <c r="G45" s="69" t="s">
        <v>342</v>
      </c>
      <c r="H45" s="70" t="s">
        <v>343</v>
      </c>
    </row>
    <row r="46" spans="7:8">
      <c r="G46" s="69" t="s">
        <v>42</v>
      </c>
      <c r="H46" s="69" t="s">
        <v>740</v>
      </c>
    </row>
    <row r="47" spans="7:8" ht="36">
      <c r="G47" s="69" t="s">
        <v>596</v>
      </c>
      <c r="H47" s="70" t="s">
        <v>597</v>
      </c>
    </row>
    <row r="48" spans="7:8" ht="24">
      <c r="G48" s="69" t="s">
        <v>30</v>
      </c>
      <c r="H48" s="70" t="s">
        <v>31</v>
      </c>
    </row>
    <row r="49" spans="7:8" ht="24">
      <c r="G49" s="69" t="s">
        <v>28</v>
      </c>
      <c r="H49" s="70" t="s">
        <v>29</v>
      </c>
    </row>
    <row r="50" spans="7:8" ht="48">
      <c r="G50" s="69" t="s">
        <v>330</v>
      </c>
      <c r="H50" s="70" t="s">
        <v>331</v>
      </c>
    </row>
    <row r="51" spans="7:8" ht="48">
      <c r="G51" s="69" t="s">
        <v>332</v>
      </c>
      <c r="H51" s="70" t="s">
        <v>333</v>
      </c>
    </row>
    <row r="52" spans="7:8" ht="36">
      <c r="G52" s="69" t="s">
        <v>310</v>
      </c>
      <c r="H52" s="70" t="s">
        <v>311</v>
      </c>
    </row>
    <row r="53" spans="7:8" ht="48">
      <c r="G53" s="69" t="s">
        <v>336</v>
      </c>
      <c r="H53" s="70" t="s">
        <v>337</v>
      </c>
    </row>
    <row r="54" spans="7:8" ht="48">
      <c r="G54" s="69" t="s">
        <v>334</v>
      </c>
      <c r="H54" s="70" t="s">
        <v>335</v>
      </c>
    </row>
    <row r="55" spans="7:8" ht="48">
      <c r="G55" s="69" t="s">
        <v>282</v>
      </c>
      <c r="H55" s="70" t="s">
        <v>283</v>
      </c>
    </row>
    <row r="56" spans="7:8" ht="24">
      <c r="G56" s="69" t="s">
        <v>182</v>
      </c>
      <c r="H56" s="70" t="s">
        <v>183</v>
      </c>
    </row>
    <row r="57" spans="7:8" ht="24">
      <c r="G57" s="69" t="s">
        <v>190</v>
      </c>
      <c r="H57" s="70" t="s">
        <v>191</v>
      </c>
    </row>
    <row r="58" spans="7:8" ht="24">
      <c r="G58" s="69" t="s">
        <v>188</v>
      </c>
      <c r="H58" s="70" t="s">
        <v>189</v>
      </c>
    </row>
    <row r="59" spans="7:8">
      <c r="G59" s="69" t="s">
        <v>84</v>
      </c>
      <c r="H59" s="70" t="s">
        <v>85</v>
      </c>
    </row>
    <row r="60" spans="7:8" ht="24">
      <c r="G60" s="69" t="s">
        <v>578</v>
      </c>
      <c r="H60" s="70" t="s">
        <v>579</v>
      </c>
    </row>
    <row r="61" spans="7:8">
      <c r="G61" s="69" t="s">
        <v>360</v>
      </c>
      <c r="H61" s="70" t="s">
        <v>361</v>
      </c>
    </row>
    <row r="62" spans="7:8" ht="36">
      <c r="G62" s="69" t="s">
        <v>140</v>
      </c>
      <c r="H62" s="70" t="s">
        <v>141</v>
      </c>
    </row>
    <row r="63" spans="7:8" ht="24">
      <c r="G63" s="69" t="s">
        <v>146</v>
      </c>
      <c r="H63" s="70" t="s">
        <v>147</v>
      </c>
    </row>
    <row r="64" spans="7:8" ht="36">
      <c r="G64" s="69" t="s">
        <v>492</v>
      </c>
      <c r="H64" s="70" t="s">
        <v>493</v>
      </c>
    </row>
    <row r="65" spans="7:8" ht="36">
      <c r="G65" s="69" t="s">
        <v>574</v>
      </c>
      <c r="H65" s="70" t="s">
        <v>575</v>
      </c>
    </row>
    <row r="66" spans="7:8" ht="36">
      <c r="G66" s="69" t="s">
        <v>572</v>
      </c>
      <c r="H66" s="70" t="s">
        <v>573</v>
      </c>
    </row>
    <row r="67" spans="7:8" ht="36">
      <c r="G67" s="69" t="s">
        <v>472</v>
      </c>
      <c r="H67" s="70" t="s">
        <v>473</v>
      </c>
    </row>
    <row r="68" spans="7:8" ht="24">
      <c r="G68" s="69" t="s">
        <v>442</v>
      </c>
      <c r="H68" s="70" t="s">
        <v>443</v>
      </c>
    </row>
    <row r="69" spans="7:8" ht="24">
      <c r="G69" s="69" t="s">
        <v>174</v>
      </c>
      <c r="H69" s="70" t="s">
        <v>175</v>
      </c>
    </row>
    <row r="70" spans="7:8" ht="24">
      <c r="G70" s="69" t="s">
        <v>390</v>
      </c>
      <c r="H70" s="70" t="s">
        <v>391</v>
      </c>
    </row>
    <row r="71" spans="7:8" ht="36">
      <c r="G71" s="69" t="s">
        <v>420</v>
      </c>
      <c r="H71" s="70" t="s">
        <v>421</v>
      </c>
    </row>
    <row r="72" spans="7:8" ht="24">
      <c r="G72" s="69" t="s">
        <v>426</v>
      </c>
      <c r="H72" s="70" t="s">
        <v>427</v>
      </c>
    </row>
    <row r="73" spans="7:8" ht="24">
      <c r="G73" s="69" t="s">
        <v>424</v>
      </c>
      <c r="H73" s="70" t="s">
        <v>425</v>
      </c>
    </row>
    <row r="74" spans="7:8" ht="24">
      <c r="G74" s="69" t="s">
        <v>422</v>
      </c>
      <c r="H74" s="70" t="s">
        <v>423</v>
      </c>
    </row>
    <row r="75" spans="7:8" ht="24">
      <c r="G75" s="69" t="s">
        <v>172</v>
      </c>
      <c r="H75" s="70" t="s">
        <v>173</v>
      </c>
    </row>
    <row r="76" spans="7:8" ht="36">
      <c r="G76" s="69" t="s">
        <v>600</v>
      </c>
      <c r="H76" s="70" t="s">
        <v>601</v>
      </c>
    </row>
    <row r="77" spans="7:8" ht="24">
      <c r="G77" s="69" t="s">
        <v>598</v>
      </c>
      <c r="H77" s="70" t="s">
        <v>599</v>
      </c>
    </row>
    <row r="78" spans="7:8" ht="36">
      <c r="G78" s="69" t="s">
        <v>594</v>
      </c>
      <c r="H78" s="70" t="s">
        <v>595</v>
      </c>
    </row>
    <row r="79" spans="7:8">
      <c r="G79" s="69" t="s">
        <v>602</v>
      </c>
      <c r="H79" s="70" t="s">
        <v>603</v>
      </c>
    </row>
    <row r="80" spans="7:8" ht="24">
      <c r="G80" s="69" t="s">
        <v>582</v>
      </c>
      <c r="H80" s="70" t="s">
        <v>583</v>
      </c>
    </row>
    <row r="81" spans="7:8" ht="24">
      <c r="G81" s="69" t="s">
        <v>564</v>
      </c>
      <c r="H81" s="70" t="s">
        <v>565</v>
      </c>
    </row>
    <row r="82" spans="7:8" ht="24">
      <c r="G82" s="69" t="s">
        <v>550</v>
      </c>
      <c r="H82" s="70" t="s">
        <v>551</v>
      </c>
    </row>
    <row r="83" spans="7:8" ht="24">
      <c r="G83" s="69" t="s">
        <v>506</v>
      </c>
      <c r="H83" s="70" t="s">
        <v>507</v>
      </c>
    </row>
    <row r="84" spans="7:8" ht="24">
      <c r="G84" s="69" t="s">
        <v>502</v>
      </c>
      <c r="H84" s="70" t="s">
        <v>503</v>
      </c>
    </row>
    <row r="85" spans="7:8" ht="24">
      <c r="G85" s="69" t="s">
        <v>500</v>
      </c>
      <c r="H85" s="70" t="s">
        <v>501</v>
      </c>
    </row>
    <row r="86" spans="7:8" ht="24">
      <c r="G86" s="69" t="s">
        <v>504</v>
      </c>
      <c r="H86" s="70" t="s">
        <v>505</v>
      </c>
    </row>
    <row r="87" spans="7:8" ht="36">
      <c r="G87" s="69" t="s">
        <v>496</v>
      </c>
      <c r="H87" s="70" t="s">
        <v>497</v>
      </c>
    </row>
    <row r="88" spans="7:8" ht="36">
      <c r="G88" s="69" t="s">
        <v>494</v>
      </c>
      <c r="H88" s="70" t="s">
        <v>495</v>
      </c>
    </row>
    <row r="89" spans="7:8" ht="24">
      <c r="G89" s="69" t="s">
        <v>488</v>
      </c>
      <c r="H89" s="70" t="s">
        <v>489</v>
      </c>
    </row>
    <row r="90" spans="7:8" ht="24">
      <c r="G90" s="69" t="s">
        <v>486</v>
      </c>
      <c r="H90" s="70" t="s">
        <v>487</v>
      </c>
    </row>
    <row r="91" spans="7:8" ht="24">
      <c r="G91" s="69" t="s">
        <v>462</v>
      </c>
      <c r="H91" s="70" t="s">
        <v>463</v>
      </c>
    </row>
    <row r="92" spans="7:8" ht="24">
      <c r="G92" s="69" t="s">
        <v>460</v>
      </c>
      <c r="H92" s="70" t="s">
        <v>461</v>
      </c>
    </row>
    <row r="93" spans="7:8" ht="24">
      <c r="G93" s="69" t="s">
        <v>458</v>
      </c>
      <c r="H93" s="70" t="s">
        <v>459</v>
      </c>
    </row>
    <row r="94" spans="7:8" ht="24">
      <c r="G94" s="69" t="s">
        <v>456</v>
      </c>
      <c r="H94" s="70" t="s">
        <v>457</v>
      </c>
    </row>
    <row r="95" spans="7:8" ht="24">
      <c r="G95" s="69" t="s">
        <v>454</v>
      </c>
      <c r="H95" s="70" t="s">
        <v>455</v>
      </c>
    </row>
    <row r="96" spans="7:8" ht="24">
      <c r="G96" s="69" t="s">
        <v>452</v>
      </c>
      <c r="H96" s="70" t="s">
        <v>453</v>
      </c>
    </row>
    <row r="97" spans="7:8" ht="24">
      <c r="G97" s="69" t="s">
        <v>430</v>
      </c>
      <c r="H97" s="70" t="s">
        <v>431</v>
      </c>
    </row>
    <row r="98" spans="7:8" ht="24">
      <c r="G98" s="69" t="s">
        <v>428</v>
      </c>
      <c r="H98" s="70" t="s">
        <v>429</v>
      </c>
    </row>
    <row r="99" spans="7:8" ht="24.75">
      <c r="G99" s="69" t="s">
        <v>408</v>
      </c>
      <c r="H99" s="142" t="s">
        <v>767</v>
      </c>
    </row>
    <row r="100" spans="7:8" ht="36">
      <c r="G100" s="69" t="s">
        <v>374</v>
      </c>
      <c r="H100" s="70" t="s">
        <v>375</v>
      </c>
    </row>
    <row r="101" spans="7:8" ht="48">
      <c r="G101" s="69" t="s">
        <v>338</v>
      </c>
      <c r="H101" s="70" t="s">
        <v>339</v>
      </c>
    </row>
    <row r="102" spans="7:8">
      <c r="G102" s="69" t="s">
        <v>324</v>
      </c>
      <c r="H102" s="69" t="s">
        <v>814</v>
      </c>
    </row>
    <row r="103" spans="7:8" ht="24">
      <c r="G103" s="69" t="s">
        <v>322</v>
      </c>
      <c r="H103" s="70" t="s">
        <v>323</v>
      </c>
    </row>
    <row r="104" spans="7:8" ht="24">
      <c r="G104" s="69" t="s">
        <v>316</v>
      </c>
      <c r="H104" s="70" t="s">
        <v>317</v>
      </c>
    </row>
    <row r="105" spans="7:8" ht="24">
      <c r="G105" s="69" t="s">
        <v>328</v>
      </c>
      <c r="H105" s="70" t="s">
        <v>329</v>
      </c>
    </row>
    <row r="106" spans="7:8" ht="36">
      <c r="G106" s="69" t="s">
        <v>312</v>
      </c>
      <c r="H106" s="70" t="s">
        <v>313</v>
      </c>
    </row>
    <row r="107" spans="7:8" ht="24">
      <c r="G107" s="69" t="s">
        <v>298</v>
      </c>
      <c r="H107" s="70" t="s">
        <v>299</v>
      </c>
    </row>
    <row r="108" spans="7:8" ht="24">
      <c r="G108" s="69" t="s">
        <v>296</v>
      </c>
      <c r="H108" s="70" t="s">
        <v>297</v>
      </c>
    </row>
    <row r="109" spans="7:8" ht="48">
      <c r="G109" s="69" t="s">
        <v>300</v>
      </c>
      <c r="H109" s="70" t="s">
        <v>812</v>
      </c>
    </row>
    <row r="110" spans="7:8" ht="36">
      <c r="G110" s="191" t="s">
        <v>286</v>
      </c>
      <c r="H110" s="192" t="s">
        <v>287</v>
      </c>
    </row>
    <row r="111" spans="7:8" ht="36">
      <c r="G111" s="69" t="s">
        <v>284</v>
      </c>
      <c r="H111" s="70" t="s">
        <v>285</v>
      </c>
    </row>
    <row r="112" spans="7:8" ht="36">
      <c r="G112" s="69" t="s">
        <v>274</v>
      </c>
      <c r="H112" s="70" t="s">
        <v>275</v>
      </c>
    </row>
    <row r="113" spans="7:8" ht="22.5">
      <c r="G113" s="228" t="s">
        <v>272</v>
      </c>
      <c r="H113" s="229" t="s">
        <v>811</v>
      </c>
    </row>
    <row r="114" spans="7:8" ht="24">
      <c r="G114" s="69" t="s">
        <v>268</v>
      </c>
      <c r="H114" s="70" t="s">
        <v>269</v>
      </c>
    </row>
    <row r="115" spans="7:8" ht="24">
      <c r="G115" s="69" t="s">
        <v>266</v>
      </c>
      <c r="H115" s="70" t="s">
        <v>267</v>
      </c>
    </row>
    <row r="116" spans="7:8">
      <c r="G116" s="69" t="s">
        <v>254</v>
      </c>
      <c r="H116" s="140" t="s">
        <v>255</v>
      </c>
    </row>
    <row r="117" spans="7:8" ht="36">
      <c r="G117" s="69" t="s">
        <v>208</v>
      </c>
      <c r="H117" s="70" t="s">
        <v>209</v>
      </c>
    </row>
    <row r="118" spans="7:8" ht="24">
      <c r="G118" s="69" t="s">
        <v>204</v>
      </c>
      <c r="H118" s="70" t="s">
        <v>205</v>
      </c>
    </row>
    <row r="119" spans="7:8" ht="36">
      <c r="G119" s="69" t="s">
        <v>192</v>
      </c>
      <c r="H119" s="70" t="s">
        <v>193</v>
      </c>
    </row>
    <row r="120" spans="7:8" ht="24">
      <c r="G120" s="69" t="s">
        <v>186</v>
      </c>
      <c r="H120" s="70" t="s">
        <v>187</v>
      </c>
    </row>
    <row r="121" spans="7:8" ht="24">
      <c r="G121" s="69" t="s">
        <v>184</v>
      </c>
      <c r="H121" s="70" t="s">
        <v>185</v>
      </c>
    </row>
    <row r="122" spans="7:8" ht="22.5">
      <c r="G122" s="69" t="s">
        <v>112</v>
      </c>
      <c r="H122" s="140" t="s">
        <v>707</v>
      </c>
    </row>
    <row r="123" spans="7:8" ht="24">
      <c r="G123" s="69" t="s">
        <v>110</v>
      </c>
      <c r="H123" s="70" t="s">
        <v>111</v>
      </c>
    </row>
    <row r="124" spans="7:8" ht="36">
      <c r="G124" s="69" t="s">
        <v>82</v>
      </c>
      <c r="H124" s="70" t="s">
        <v>83</v>
      </c>
    </row>
    <row r="125" spans="7:8" ht="24">
      <c r="G125" s="69" t="s">
        <v>74</v>
      </c>
      <c r="H125" s="70" t="s">
        <v>75</v>
      </c>
    </row>
    <row r="126" spans="7:8" ht="96">
      <c r="G126" s="69" t="s">
        <v>546</v>
      </c>
      <c r="H126" s="70" t="s">
        <v>547</v>
      </c>
    </row>
    <row r="127" spans="7:8" ht="96">
      <c r="G127" s="69" t="s">
        <v>544</v>
      </c>
      <c r="H127" s="70" t="s">
        <v>545</v>
      </c>
    </row>
    <row r="128" spans="7:8" ht="96">
      <c r="G128" s="69" t="s">
        <v>542</v>
      </c>
      <c r="H128" s="70" t="s">
        <v>543</v>
      </c>
    </row>
    <row r="129" spans="7:8" ht="96">
      <c r="G129" s="69" t="s">
        <v>540</v>
      </c>
      <c r="H129" s="70" t="s">
        <v>541</v>
      </c>
    </row>
    <row r="130" spans="7:8" ht="36">
      <c r="G130" s="69" t="s">
        <v>44</v>
      </c>
      <c r="H130" s="70" t="s">
        <v>45</v>
      </c>
    </row>
    <row r="131" spans="7:8">
      <c r="G131" s="69" t="s">
        <v>40</v>
      </c>
      <c r="H131" s="69" t="s">
        <v>739</v>
      </c>
    </row>
    <row r="132" spans="7:8" ht="24">
      <c r="G132" s="69" t="s">
        <v>32</v>
      </c>
      <c r="H132" s="70" t="s">
        <v>33</v>
      </c>
    </row>
    <row r="133" spans="7:8" ht="24">
      <c r="G133" s="69" t="s">
        <v>34</v>
      </c>
      <c r="H133" s="70" t="s">
        <v>35</v>
      </c>
    </row>
    <row r="134" spans="7:8" ht="48">
      <c r="G134" s="158" t="s">
        <v>24</v>
      </c>
      <c r="H134" s="70" t="s">
        <v>796</v>
      </c>
    </row>
    <row r="135" spans="7:8" ht="36">
      <c r="G135" s="69" t="s">
        <v>80</v>
      </c>
      <c r="H135" s="70" t="s">
        <v>81</v>
      </c>
    </row>
    <row r="136" spans="7:8" ht="24">
      <c r="G136" s="69" t="s">
        <v>26</v>
      </c>
      <c r="H136" s="70" t="s">
        <v>27</v>
      </c>
    </row>
    <row r="137" spans="7:8" ht="24">
      <c r="G137" s="69" t="s">
        <v>364</v>
      </c>
      <c r="H137" s="70" t="s">
        <v>365</v>
      </c>
    </row>
    <row r="138" spans="7:8" ht="36">
      <c r="G138" s="69" t="s">
        <v>592</v>
      </c>
      <c r="H138" s="70" t="s">
        <v>593</v>
      </c>
    </row>
    <row r="139" spans="7:8" ht="24">
      <c r="G139" s="69" t="s">
        <v>248</v>
      </c>
      <c r="H139" s="70" t="s">
        <v>249</v>
      </c>
    </row>
    <row r="140" spans="7:8" ht="24">
      <c r="G140" s="69" t="s">
        <v>238</v>
      </c>
      <c r="H140" s="70" t="s">
        <v>239</v>
      </c>
    </row>
    <row r="141" spans="7:8" ht="24">
      <c r="G141" s="69" t="s">
        <v>558</v>
      </c>
      <c r="H141" s="70" t="s">
        <v>559</v>
      </c>
    </row>
    <row r="142" spans="7:8" ht="36">
      <c r="G142" s="69" t="s">
        <v>150</v>
      </c>
      <c r="H142" s="70" t="s">
        <v>151</v>
      </c>
    </row>
    <row r="143" spans="7:8" ht="36">
      <c r="G143" s="69" t="s">
        <v>114</v>
      </c>
      <c r="H143" s="70" t="s">
        <v>115</v>
      </c>
    </row>
    <row r="144" spans="7:8" ht="60">
      <c r="G144" s="69" t="s">
        <v>224</v>
      </c>
      <c r="H144" s="70" t="s">
        <v>225</v>
      </c>
    </row>
    <row r="145" spans="7:8" ht="36">
      <c r="G145" s="69" t="s">
        <v>132</v>
      </c>
      <c r="H145" s="70" t="s">
        <v>784</v>
      </c>
    </row>
    <row r="146" spans="7:8" ht="36">
      <c r="G146" s="69" t="s">
        <v>142</v>
      </c>
      <c r="H146" s="70" t="s">
        <v>143</v>
      </c>
    </row>
    <row r="147" spans="7:8" ht="22.5">
      <c r="G147" s="69" t="s">
        <v>450</v>
      </c>
      <c r="H147" s="140" t="s">
        <v>777</v>
      </c>
    </row>
    <row r="148" spans="7:8" ht="36">
      <c r="G148" s="158" t="s">
        <v>474</v>
      </c>
      <c r="H148" s="70" t="s">
        <v>475</v>
      </c>
    </row>
    <row r="149" spans="7:8" ht="48">
      <c r="G149" s="69" t="s">
        <v>466</v>
      </c>
      <c r="H149" s="70" t="s">
        <v>467</v>
      </c>
    </row>
    <row r="150" spans="7:8" ht="36">
      <c r="G150" s="69" t="s">
        <v>138</v>
      </c>
      <c r="H150" s="70" t="s">
        <v>139</v>
      </c>
    </row>
    <row r="151" spans="7:8" ht="24">
      <c r="G151" s="158" t="s">
        <v>290</v>
      </c>
      <c r="H151" s="70" t="s">
        <v>291</v>
      </c>
    </row>
    <row r="152" spans="7:8" ht="24">
      <c r="G152" s="158" t="s">
        <v>136</v>
      </c>
      <c r="H152" s="70" t="s">
        <v>137</v>
      </c>
    </row>
    <row r="153" spans="7:8">
      <c r="G153" s="158" t="s">
        <v>434</v>
      </c>
      <c r="H153" s="70" t="s">
        <v>435</v>
      </c>
    </row>
    <row r="154" spans="7:8" ht="22.5">
      <c r="G154" s="69" t="s">
        <v>612</v>
      </c>
      <c r="H154" s="140" t="s">
        <v>731</v>
      </c>
    </row>
    <row r="155" spans="7:8">
      <c r="G155" s="69" t="s">
        <v>508</v>
      </c>
      <c r="H155" s="70" t="s">
        <v>726</v>
      </c>
    </row>
    <row r="156" spans="7:8" ht="22.5">
      <c r="G156" s="69" t="s">
        <v>388</v>
      </c>
      <c r="H156" s="140" t="s">
        <v>723</v>
      </c>
    </row>
    <row r="157" spans="7:8">
      <c r="G157" s="69" t="s">
        <v>302</v>
      </c>
      <c r="H157" s="140" t="s">
        <v>715</v>
      </c>
    </row>
    <row r="158" spans="7:8" ht="24">
      <c r="G158" s="158" t="s">
        <v>292</v>
      </c>
      <c r="H158" s="70" t="s">
        <v>293</v>
      </c>
    </row>
    <row r="159" spans="7:8" ht="24">
      <c r="G159" s="69" t="s">
        <v>230</v>
      </c>
      <c r="H159" s="70" t="s">
        <v>231</v>
      </c>
    </row>
    <row r="160" spans="7:8" ht="24">
      <c r="G160" s="158" t="s">
        <v>288</v>
      </c>
      <c r="H160" s="70" t="s">
        <v>289</v>
      </c>
    </row>
    <row r="161" spans="7:8" ht="24">
      <c r="G161" s="69" t="s">
        <v>218</v>
      </c>
      <c r="H161" s="70" t="s">
        <v>219</v>
      </c>
    </row>
    <row r="162" spans="7:8" ht="24">
      <c r="G162" s="214" t="s">
        <v>202</v>
      </c>
      <c r="H162" s="215" t="s">
        <v>203</v>
      </c>
    </row>
    <row r="163" spans="7:8">
      <c r="G163" s="69" t="s">
        <v>400</v>
      </c>
      <c r="H163" s="140" t="s">
        <v>724</v>
      </c>
    </row>
    <row r="164" spans="7:8" ht="24">
      <c r="G164" s="158" t="s">
        <v>438</v>
      </c>
      <c r="H164" s="70" t="s">
        <v>439</v>
      </c>
    </row>
    <row r="165" spans="7:8" ht="48">
      <c r="G165" s="69" t="s">
        <v>210</v>
      </c>
      <c r="H165" s="70" t="s">
        <v>211</v>
      </c>
    </row>
    <row r="166" spans="7:8" ht="24">
      <c r="G166" s="69" t="s">
        <v>206</v>
      </c>
      <c r="H166" s="70" t="s">
        <v>207</v>
      </c>
    </row>
    <row r="167" spans="7:8" ht="24">
      <c r="G167" s="69" t="s">
        <v>60</v>
      </c>
      <c r="H167" s="70" t="s">
        <v>61</v>
      </c>
    </row>
    <row r="168" spans="7:8" ht="22.5">
      <c r="G168" s="69" t="s">
        <v>350</v>
      </c>
      <c r="H168" s="140" t="s">
        <v>718</v>
      </c>
    </row>
    <row r="169" spans="7:8" ht="22.5">
      <c r="G169" s="69" t="s">
        <v>308</v>
      </c>
      <c r="H169" s="140" t="s">
        <v>309</v>
      </c>
    </row>
    <row r="170" spans="7:8" ht="22.5">
      <c r="G170" s="69" t="s">
        <v>384</v>
      </c>
      <c r="H170" s="140" t="s">
        <v>722</v>
      </c>
    </row>
    <row r="171" spans="7:8" ht="24">
      <c r="G171" s="69" t="s">
        <v>264</v>
      </c>
      <c r="H171" s="70" t="s">
        <v>265</v>
      </c>
    </row>
    <row r="172" spans="7:8">
      <c r="G172" s="158" t="s">
        <v>220</v>
      </c>
      <c r="H172" s="70" t="s">
        <v>221</v>
      </c>
    </row>
    <row r="173" spans="7:8" ht="22.5">
      <c r="G173" s="69" t="s">
        <v>52</v>
      </c>
      <c r="H173" s="140" t="s">
        <v>766</v>
      </c>
    </row>
    <row r="174" spans="7:8" ht="33.75">
      <c r="G174" s="69" t="s">
        <v>444</v>
      </c>
      <c r="H174" s="140" t="s">
        <v>765</v>
      </c>
    </row>
    <row r="175" spans="7:8" ht="22.5">
      <c r="G175" s="69" t="s">
        <v>446</v>
      </c>
      <c r="H175" s="140" t="s">
        <v>758</v>
      </c>
    </row>
    <row r="176" spans="7:8" ht="22.5">
      <c r="G176" s="69" t="s">
        <v>392</v>
      </c>
      <c r="H176" s="140" t="s">
        <v>764</v>
      </c>
    </row>
    <row r="177" spans="7:8" ht="33.75">
      <c r="G177" s="69" t="s">
        <v>144</v>
      </c>
      <c r="H177" s="140" t="s">
        <v>763</v>
      </c>
    </row>
    <row r="178" spans="7:8" ht="22.5">
      <c r="G178" s="69" t="s">
        <v>200</v>
      </c>
      <c r="H178" s="140" t="s">
        <v>753</v>
      </c>
    </row>
    <row r="179" spans="7:8" ht="33.75">
      <c r="G179" s="69" t="s">
        <v>100</v>
      </c>
      <c r="H179" s="140" t="s">
        <v>747</v>
      </c>
    </row>
    <row r="180" spans="7:8" ht="33.75">
      <c r="G180" s="69" t="s">
        <v>98</v>
      </c>
      <c r="H180" s="140" t="s">
        <v>746</v>
      </c>
    </row>
    <row r="181" spans="7:8" ht="24">
      <c r="G181" s="69" t="s">
        <v>54</v>
      </c>
      <c r="H181" s="70" t="s">
        <v>55</v>
      </c>
    </row>
    <row r="182" spans="7:8" ht="36">
      <c r="G182" s="69" t="s">
        <v>126</v>
      </c>
      <c r="H182" s="70" t="s">
        <v>127</v>
      </c>
    </row>
    <row r="183" spans="7:8">
      <c r="G183" s="69" t="s">
        <v>618</v>
      </c>
      <c r="H183" s="70" t="s">
        <v>619</v>
      </c>
    </row>
    <row r="184" spans="7:8" ht="24">
      <c r="G184" s="69" t="s">
        <v>468</v>
      </c>
      <c r="H184" s="70" t="s">
        <v>469</v>
      </c>
    </row>
    <row r="185" spans="7:8" ht="22.5">
      <c r="G185" s="69" t="s">
        <v>352</v>
      </c>
      <c r="H185" s="140" t="s">
        <v>719</v>
      </c>
    </row>
    <row r="186" spans="7:8">
      <c r="G186" s="69" t="s">
        <v>376</v>
      </c>
      <c r="H186" s="69" t="s">
        <v>782</v>
      </c>
    </row>
    <row r="187" spans="7:8">
      <c r="G187" s="69" t="s">
        <v>344</v>
      </c>
      <c r="H187" s="140" t="s">
        <v>716</v>
      </c>
    </row>
    <row r="188" spans="7:8" ht="24">
      <c r="G188" s="69" t="s">
        <v>402</v>
      </c>
      <c r="H188" s="70" t="s">
        <v>403</v>
      </c>
    </row>
    <row r="189" spans="7:8" ht="36">
      <c r="G189" s="69" t="s">
        <v>276</v>
      </c>
      <c r="H189" s="70" t="s">
        <v>277</v>
      </c>
    </row>
    <row r="190" spans="7:8" ht="33.75">
      <c r="G190" s="69" t="s">
        <v>86</v>
      </c>
      <c r="H190" s="140" t="s">
        <v>743</v>
      </c>
    </row>
    <row r="191" spans="7:8" ht="24">
      <c r="G191" s="69" t="s">
        <v>214</v>
      </c>
      <c r="H191" s="70" t="s">
        <v>215</v>
      </c>
    </row>
    <row r="192" spans="7:8" ht="33.75">
      <c r="G192" s="69" t="s">
        <v>128</v>
      </c>
      <c r="H192" s="140" t="s">
        <v>749</v>
      </c>
    </row>
    <row r="193" spans="7:8" ht="36">
      <c r="G193" s="69" t="s">
        <v>610</v>
      </c>
      <c r="H193" s="70" t="s">
        <v>611</v>
      </c>
    </row>
    <row r="194" spans="7:8" ht="33.75">
      <c r="G194" s="69" t="s">
        <v>528</v>
      </c>
      <c r="H194" s="140" t="s">
        <v>761</v>
      </c>
    </row>
    <row r="195" spans="7:8" ht="60">
      <c r="G195" s="69" t="s">
        <v>436</v>
      </c>
      <c r="H195" s="70" t="s">
        <v>437</v>
      </c>
    </row>
    <row r="196" spans="7:8" ht="36">
      <c r="G196" s="69" t="s">
        <v>418</v>
      </c>
      <c r="H196" s="70" t="s">
        <v>419</v>
      </c>
    </row>
    <row r="197" spans="7:8">
      <c r="G197" s="69" t="s">
        <v>196</v>
      </c>
      <c r="H197" s="140" t="s">
        <v>711</v>
      </c>
    </row>
    <row r="198" spans="7:8" ht="22.5">
      <c r="G198" s="69" t="s">
        <v>90</v>
      </c>
      <c r="H198" s="140" t="s">
        <v>800</v>
      </c>
    </row>
    <row r="199" spans="7:8" ht="33.75">
      <c r="G199" s="69" t="s">
        <v>530</v>
      </c>
      <c r="H199" s="140" t="s">
        <v>762</v>
      </c>
    </row>
    <row r="200" spans="7:8" ht="33.75">
      <c r="G200" s="69" t="s">
        <v>148</v>
      </c>
      <c r="H200" s="140" t="s">
        <v>751</v>
      </c>
    </row>
    <row r="201" spans="7:8" ht="33.75">
      <c r="G201" s="69" t="s">
        <v>70</v>
      </c>
      <c r="H201" s="139" t="s">
        <v>742</v>
      </c>
    </row>
    <row r="202" spans="7:8">
      <c r="G202" s="69" t="s">
        <v>38</v>
      </c>
      <c r="H202" s="139" t="s">
        <v>701</v>
      </c>
    </row>
    <row r="203" spans="7:8" ht="22.5">
      <c r="G203" s="69" t="s">
        <v>92</v>
      </c>
      <c r="H203" s="140" t="s">
        <v>801</v>
      </c>
    </row>
    <row r="204" spans="7:8" ht="60">
      <c r="G204" s="69" t="s">
        <v>212</v>
      </c>
      <c r="H204" s="70" t="s">
        <v>213</v>
      </c>
    </row>
    <row r="205" spans="7:8">
      <c r="G205" s="69" t="s">
        <v>566</v>
      </c>
      <c r="H205" s="70" t="s">
        <v>567</v>
      </c>
    </row>
    <row r="206" spans="7:8" ht="36">
      <c r="G206" s="69" t="s">
        <v>606</v>
      </c>
      <c r="H206" s="70" t="s">
        <v>607</v>
      </c>
    </row>
    <row r="207" spans="7:8">
      <c r="G207" s="69" t="s">
        <v>340</v>
      </c>
      <c r="H207" s="70" t="s">
        <v>341</v>
      </c>
    </row>
    <row r="208" spans="7:8" ht="36">
      <c r="G208" s="69" t="s">
        <v>522</v>
      </c>
      <c r="H208" s="70" t="s">
        <v>727</v>
      </c>
    </row>
    <row r="209" spans="7:8" ht="33.75">
      <c r="G209" s="69" t="s">
        <v>242</v>
      </c>
      <c r="H209" s="140" t="s">
        <v>756</v>
      </c>
    </row>
    <row r="210" spans="7:8" ht="36">
      <c r="G210" s="158" t="s">
        <v>162</v>
      </c>
      <c r="H210" s="70" t="s">
        <v>163</v>
      </c>
    </row>
    <row r="211" spans="7:8" ht="48">
      <c r="G211" s="69" t="s">
        <v>246</v>
      </c>
      <c r="H211" s="70" t="s">
        <v>247</v>
      </c>
    </row>
    <row r="212" spans="7:8" ht="48">
      <c r="G212" s="69" t="s">
        <v>180</v>
      </c>
      <c r="H212" s="70" t="s">
        <v>181</v>
      </c>
    </row>
    <row r="213" spans="7:8" ht="60">
      <c r="G213" s="69" t="s">
        <v>154</v>
      </c>
      <c r="H213" s="70" t="s">
        <v>155</v>
      </c>
    </row>
    <row r="214" spans="7:8" ht="36">
      <c r="G214" s="69" t="s">
        <v>278</v>
      </c>
      <c r="H214" s="70" t="s">
        <v>279</v>
      </c>
    </row>
    <row r="215" spans="7:8" ht="36">
      <c r="G215" s="69" t="s">
        <v>72</v>
      </c>
      <c r="H215" s="70" t="s">
        <v>73</v>
      </c>
    </row>
    <row r="216" spans="7:8" ht="36">
      <c r="G216" s="69" t="s">
        <v>258</v>
      </c>
      <c r="H216" s="70" t="s">
        <v>259</v>
      </c>
    </row>
    <row r="217" spans="7:8" ht="48">
      <c r="G217" s="69" t="s">
        <v>158</v>
      </c>
      <c r="H217" s="70" t="s">
        <v>159</v>
      </c>
    </row>
    <row r="218" spans="7:8" ht="36">
      <c r="G218" s="69" t="s">
        <v>358</v>
      </c>
      <c r="H218" s="70" t="s">
        <v>359</v>
      </c>
    </row>
    <row r="219" spans="7:8" ht="36">
      <c r="G219" s="69" t="s">
        <v>304</v>
      </c>
      <c r="H219" s="70" t="s">
        <v>305</v>
      </c>
    </row>
    <row r="220" spans="7:8" ht="48">
      <c r="G220" s="69" t="s">
        <v>580</v>
      </c>
      <c r="H220" s="70" t="s">
        <v>581</v>
      </c>
    </row>
    <row r="221" spans="7:8" ht="48">
      <c r="G221" s="69" t="s">
        <v>160</v>
      </c>
      <c r="H221" s="70" t="s">
        <v>161</v>
      </c>
    </row>
    <row r="222" spans="7:8" ht="33.75">
      <c r="G222" s="69" t="s">
        <v>382</v>
      </c>
      <c r="H222" s="140" t="s">
        <v>721</v>
      </c>
    </row>
    <row r="223" spans="7:8" ht="24">
      <c r="G223" s="69" t="s">
        <v>526</v>
      </c>
      <c r="H223" s="70" t="s">
        <v>527</v>
      </c>
    </row>
    <row r="224" spans="7:8">
      <c r="G224" s="69" t="s">
        <v>562</v>
      </c>
      <c r="H224" s="70" t="s">
        <v>563</v>
      </c>
    </row>
    <row r="225" spans="7:8" ht="33.75">
      <c r="G225" s="69" t="s">
        <v>228</v>
      </c>
      <c r="H225" s="140" t="s">
        <v>754</v>
      </c>
    </row>
    <row r="226" spans="7:8" ht="33.75">
      <c r="G226" s="69" t="s">
        <v>226</v>
      </c>
      <c r="H226" s="140" t="s">
        <v>755</v>
      </c>
    </row>
    <row r="227" spans="7:8" ht="22.5">
      <c r="G227" s="69" t="s">
        <v>396</v>
      </c>
      <c r="H227" s="140" t="s">
        <v>757</v>
      </c>
    </row>
    <row r="228" spans="7:8" ht="24">
      <c r="G228" s="69" t="s">
        <v>416</v>
      </c>
      <c r="H228" s="70" t="s">
        <v>417</v>
      </c>
    </row>
    <row r="229" spans="7:8" ht="36">
      <c r="G229" s="69" t="s">
        <v>412</v>
      </c>
      <c r="H229" s="70" t="s">
        <v>413</v>
      </c>
    </row>
    <row r="230" spans="7:8" ht="24">
      <c r="G230" s="69" t="s">
        <v>404</v>
      </c>
      <c r="H230" s="70" t="s">
        <v>817</v>
      </c>
    </row>
    <row r="231" spans="7:8" ht="24">
      <c r="G231" s="69" t="s">
        <v>356</v>
      </c>
      <c r="H231" s="70" t="s">
        <v>357</v>
      </c>
    </row>
    <row r="232" spans="7:8" ht="24">
      <c r="G232" s="69" t="s">
        <v>354</v>
      </c>
      <c r="H232" s="70" t="s">
        <v>355</v>
      </c>
    </row>
    <row r="233" spans="7:8">
      <c r="G233" s="69" t="s">
        <v>256</v>
      </c>
      <c r="H233" s="140" t="s">
        <v>714</v>
      </c>
    </row>
    <row r="234" spans="7:8" ht="24">
      <c r="G234" s="69" t="s">
        <v>252</v>
      </c>
      <c r="H234" s="70" t="s">
        <v>253</v>
      </c>
    </row>
    <row r="235" spans="7:8" ht="22.5">
      <c r="G235" s="203" t="s">
        <v>198</v>
      </c>
      <c r="H235" s="204" t="s">
        <v>770</v>
      </c>
    </row>
    <row r="236" spans="7:8" ht="33.75">
      <c r="G236" s="69" t="s">
        <v>96</v>
      </c>
      <c r="H236" s="140" t="s">
        <v>745</v>
      </c>
    </row>
    <row r="237" spans="7:8" ht="36">
      <c r="G237" s="69" t="s">
        <v>616</v>
      </c>
      <c r="H237" s="70" t="s">
        <v>617</v>
      </c>
    </row>
    <row r="238" spans="7:8" ht="22.5">
      <c r="G238" s="69" t="s">
        <v>576</v>
      </c>
      <c r="H238" s="140" t="s">
        <v>729</v>
      </c>
    </row>
    <row r="239" spans="7:8">
      <c r="G239" s="69" t="s">
        <v>440</v>
      </c>
      <c r="H239" s="70" t="s">
        <v>441</v>
      </c>
    </row>
    <row r="240" spans="7:8" ht="22.5">
      <c r="G240" s="69" t="s">
        <v>94</v>
      </c>
      <c r="H240" s="140" t="s">
        <v>744</v>
      </c>
    </row>
    <row r="241" spans="7:8" ht="33.75">
      <c r="G241" s="69" t="s">
        <v>548</v>
      </c>
      <c r="H241" s="140" t="s">
        <v>728</v>
      </c>
    </row>
    <row r="242" spans="7:8">
      <c r="G242" s="69" t="s">
        <v>520</v>
      </c>
      <c r="H242" s="70" t="s">
        <v>521</v>
      </c>
    </row>
    <row r="243" spans="7:8">
      <c r="G243" s="69" t="s">
        <v>490</v>
      </c>
      <c r="H243" s="69" t="s">
        <v>776</v>
      </c>
    </row>
    <row r="244" spans="7:8" ht="24">
      <c r="G244" s="69" t="s">
        <v>484</v>
      </c>
      <c r="H244" s="70" t="s">
        <v>773</v>
      </c>
    </row>
    <row r="245" spans="7:8">
      <c r="G245" s="69" t="s">
        <v>608</v>
      </c>
      <c r="H245" s="140" t="s">
        <v>730</v>
      </c>
    </row>
    <row r="246" spans="7:8" ht="36">
      <c r="G246" s="69" t="s">
        <v>478</v>
      </c>
      <c r="H246" s="70" t="s">
        <v>479</v>
      </c>
    </row>
    <row r="247" spans="7:8" ht="36">
      <c r="G247" s="69" t="s">
        <v>476</v>
      </c>
      <c r="H247" s="70" t="s">
        <v>477</v>
      </c>
    </row>
    <row r="248" spans="7:8">
      <c r="G248" s="69" t="s">
        <v>570</v>
      </c>
      <c r="H248" s="70" t="s">
        <v>571</v>
      </c>
    </row>
    <row r="249" spans="7:8" ht="22.5">
      <c r="G249" s="69" t="s">
        <v>448</v>
      </c>
      <c r="H249" s="140" t="s">
        <v>819</v>
      </c>
    </row>
    <row r="250" spans="7:8" ht="36">
      <c r="G250" s="69" t="s">
        <v>482</v>
      </c>
      <c r="H250" s="70" t="s">
        <v>483</v>
      </c>
    </row>
    <row r="251" spans="7:8" ht="24">
      <c r="G251" s="69" t="s">
        <v>470</v>
      </c>
      <c r="H251" s="70" t="s">
        <v>471</v>
      </c>
    </row>
    <row r="252" spans="7:8" ht="22.5">
      <c r="G252" s="69" t="s">
        <v>464</v>
      </c>
      <c r="H252" s="140" t="s">
        <v>760</v>
      </c>
    </row>
    <row r="253" spans="7:8" ht="36">
      <c r="G253" s="69" t="s">
        <v>432</v>
      </c>
      <c r="H253" s="70" t="s">
        <v>433</v>
      </c>
    </row>
    <row r="254" spans="7:8" ht="22.5">
      <c r="G254" s="69" t="s">
        <v>414</v>
      </c>
      <c r="H254" s="140" t="s">
        <v>725</v>
      </c>
    </row>
    <row r="255" spans="7:8" ht="24">
      <c r="G255" s="69" t="s">
        <v>398</v>
      </c>
      <c r="H255" s="70" t="s">
        <v>399</v>
      </c>
    </row>
    <row r="256" spans="7:8" ht="22.5">
      <c r="G256" s="69" t="s">
        <v>380</v>
      </c>
      <c r="H256" s="140" t="s">
        <v>720</v>
      </c>
    </row>
    <row r="257" spans="7:8" ht="24">
      <c r="G257" s="69" t="s">
        <v>406</v>
      </c>
      <c r="H257" s="70" t="s">
        <v>407</v>
      </c>
    </row>
    <row r="258" spans="7:8" ht="36">
      <c r="G258" s="69" t="s">
        <v>378</v>
      </c>
      <c r="H258" s="70" t="s">
        <v>379</v>
      </c>
    </row>
    <row r="259" spans="7:8">
      <c r="G259" s="69" t="s">
        <v>348</v>
      </c>
      <c r="H259" s="70" t="s">
        <v>349</v>
      </c>
    </row>
    <row r="260" spans="7:8" ht="45">
      <c r="G260" s="69" t="s">
        <v>346</v>
      </c>
      <c r="H260" s="140" t="s">
        <v>717</v>
      </c>
    </row>
    <row r="261" spans="7:8" ht="36">
      <c r="G261" s="69" t="s">
        <v>260</v>
      </c>
      <c r="H261" s="70" t="s">
        <v>261</v>
      </c>
    </row>
    <row r="262" spans="7:8" ht="36">
      <c r="G262" s="69" t="s">
        <v>306</v>
      </c>
      <c r="H262" s="70" t="s">
        <v>307</v>
      </c>
    </row>
    <row r="263" spans="7:8" ht="24">
      <c r="G263" s="69" t="s">
        <v>294</v>
      </c>
      <c r="H263" s="70" t="s">
        <v>295</v>
      </c>
    </row>
    <row r="264" spans="7:8">
      <c r="G264" s="69" t="s">
        <v>262</v>
      </c>
      <c r="H264" s="70" t="s">
        <v>263</v>
      </c>
    </row>
    <row r="265" spans="7:8" ht="24">
      <c r="G265" s="69" t="s">
        <v>250</v>
      </c>
      <c r="H265" s="70" t="s">
        <v>772</v>
      </c>
    </row>
    <row r="266" spans="7:8" ht="36">
      <c r="G266" s="69" t="s">
        <v>240</v>
      </c>
      <c r="H266" s="70" t="s">
        <v>241</v>
      </c>
    </row>
    <row r="267" spans="7:8" ht="22.5">
      <c r="G267" s="69" t="s">
        <v>222</v>
      </c>
      <c r="H267" s="140" t="s">
        <v>712</v>
      </c>
    </row>
    <row r="268" spans="7:8">
      <c r="G268" s="69" t="s">
        <v>216</v>
      </c>
      <c r="H268" s="70" t="s">
        <v>217</v>
      </c>
    </row>
    <row r="269" spans="7:8">
      <c r="G269" s="69" t="s">
        <v>244</v>
      </c>
      <c r="H269" s="70" t="s">
        <v>245</v>
      </c>
    </row>
    <row r="270" spans="7:8" ht="22.5">
      <c r="G270" s="69" t="s">
        <v>604</v>
      </c>
      <c r="H270" s="140" t="s">
        <v>703</v>
      </c>
    </row>
    <row r="271" spans="7:8" ht="22.5">
      <c r="G271" s="69" t="s">
        <v>194</v>
      </c>
      <c r="H271" s="140" t="s">
        <v>710</v>
      </c>
    </row>
    <row r="272" spans="7:8" ht="22.5">
      <c r="G272" s="69" t="s">
        <v>234</v>
      </c>
      <c r="H272" s="140" t="s">
        <v>713</v>
      </c>
    </row>
    <row r="273" spans="7:8" ht="24">
      <c r="G273" s="69" t="s">
        <v>178</v>
      </c>
      <c r="H273" s="70" t="s">
        <v>179</v>
      </c>
    </row>
    <row r="274" spans="7:8" ht="48">
      <c r="G274" s="69" t="s">
        <v>176</v>
      </c>
      <c r="H274" s="70" t="s">
        <v>177</v>
      </c>
    </row>
    <row r="275" spans="7:8" ht="33.75">
      <c r="G275" s="69" t="s">
        <v>168</v>
      </c>
      <c r="H275" s="140" t="s">
        <v>752</v>
      </c>
    </row>
    <row r="276" spans="7:8" ht="24">
      <c r="G276" s="158" t="s">
        <v>166</v>
      </c>
      <c r="H276" s="70" t="s">
        <v>167</v>
      </c>
    </row>
    <row r="277" spans="7:8" ht="24">
      <c r="G277" s="69" t="s">
        <v>152</v>
      </c>
      <c r="H277" s="70" t="s">
        <v>153</v>
      </c>
    </row>
    <row r="278" spans="7:8" ht="36">
      <c r="G278" s="69" t="s">
        <v>156</v>
      </c>
      <c r="H278" s="70" t="s">
        <v>157</v>
      </c>
    </row>
    <row r="279" spans="7:8" ht="24">
      <c r="G279" s="69" t="s">
        <v>134</v>
      </c>
      <c r="H279" s="70" t="s">
        <v>135</v>
      </c>
    </row>
    <row r="280" spans="7:8">
      <c r="G280" s="69" t="s">
        <v>104</v>
      </c>
      <c r="H280" s="140" t="s">
        <v>705</v>
      </c>
    </row>
    <row r="281" spans="7:8" ht="24.75">
      <c r="G281" s="69" t="s">
        <v>108</v>
      </c>
      <c r="H281" s="142" t="s">
        <v>748</v>
      </c>
    </row>
    <row r="282" spans="7:8" ht="36">
      <c r="G282" s="69" t="s">
        <v>68</v>
      </c>
      <c r="H282" s="70" t="s">
        <v>69</v>
      </c>
    </row>
    <row r="283" spans="7:8" ht="22.5">
      <c r="G283" s="69" t="s">
        <v>102</v>
      </c>
      <c r="H283" s="140" t="s">
        <v>704</v>
      </c>
    </row>
    <row r="284" spans="7:8" ht="33.75">
      <c r="G284" s="69" t="s">
        <v>88</v>
      </c>
      <c r="H284" s="140" t="s">
        <v>799</v>
      </c>
    </row>
    <row r="285" spans="7:8">
      <c r="G285" s="69" t="s">
        <v>36</v>
      </c>
      <c r="H285" s="70" t="s">
        <v>37</v>
      </c>
    </row>
    <row r="286" spans="7:8" ht="36">
      <c r="G286" s="69" t="s">
        <v>58</v>
      </c>
      <c r="H286" s="70" t="s">
        <v>59</v>
      </c>
    </row>
    <row r="287" spans="7:8" ht="22.5">
      <c r="G287" s="69" t="s">
        <v>50</v>
      </c>
      <c r="H287" s="140" t="s">
        <v>797</v>
      </c>
    </row>
    <row r="288" spans="7:8" ht="33.75">
      <c r="G288" s="158" t="s">
        <v>56</v>
      </c>
      <c r="H288" s="140" t="s">
        <v>741</v>
      </c>
    </row>
    <row r="289" spans="7:10" ht="45">
      <c r="G289" s="69" t="s">
        <v>46</v>
      </c>
      <c r="H289" s="140" t="s">
        <v>702</v>
      </c>
    </row>
    <row r="290" spans="7:10" ht="36">
      <c r="G290" s="69" t="s">
        <v>498</v>
      </c>
      <c r="H290" s="70" t="s">
        <v>499</v>
      </c>
    </row>
    <row r="291" spans="7:10">
      <c r="G291" s="69" t="s">
        <v>560</v>
      </c>
      <c r="H291" s="70" t="s">
        <v>561</v>
      </c>
    </row>
    <row r="292" spans="7:10" ht="22.5">
      <c r="G292" s="69" t="s">
        <v>614</v>
      </c>
      <c r="H292" s="140" t="s">
        <v>732</v>
      </c>
    </row>
    <row r="293" spans="7:10" ht="22.5">
      <c r="G293" s="69" t="s">
        <v>124</v>
      </c>
      <c r="H293" s="140" t="s">
        <v>708</v>
      </c>
    </row>
    <row r="294" spans="7:10">
      <c r="G294" s="69" t="s">
        <v>48</v>
      </c>
      <c r="H294" s="70" t="s">
        <v>49</v>
      </c>
    </row>
    <row r="295" spans="7:10" ht="22.5">
      <c r="G295" s="69" t="s">
        <v>828</v>
      </c>
      <c r="H295" s="204" t="s">
        <v>771</v>
      </c>
      <c r="J295" s="69"/>
    </row>
    <row r="296" spans="7:10" ht="24">
      <c r="G296" s="69" t="s">
        <v>829</v>
      </c>
      <c r="H296" s="215" t="s">
        <v>774</v>
      </c>
    </row>
    <row r="297" spans="7:10" ht="24">
      <c r="G297" s="158" t="s">
        <v>524</v>
      </c>
      <c r="H297" s="70" t="s">
        <v>525</v>
      </c>
    </row>
    <row r="298" spans="7:10" ht="24">
      <c r="G298" s="69" t="s">
        <v>372</v>
      </c>
      <c r="H298" s="70" t="s">
        <v>373</v>
      </c>
    </row>
    <row r="299" spans="7:10" ht="22.5">
      <c r="G299" s="69" t="s">
        <v>106</v>
      </c>
      <c r="H299" s="140" t="s">
        <v>706</v>
      </c>
    </row>
    <row r="300" spans="7:10" ht="24">
      <c r="G300" s="69" t="s">
        <v>76</v>
      </c>
      <c r="H300" s="70" t="s">
        <v>77</v>
      </c>
    </row>
    <row r="301" spans="7:10" ht="24">
      <c r="G301" s="69" t="s">
        <v>66</v>
      </c>
      <c r="H301" s="70" t="s">
        <v>67</v>
      </c>
    </row>
    <row r="302" spans="7:10" ht="24">
      <c r="G302" s="69" t="s">
        <v>394</v>
      </c>
      <c r="H302" s="70" t="s">
        <v>395</v>
      </c>
    </row>
    <row r="303" spans="7:10" ht="60">
      <c r="G303" s="69" t="s">
        <v>830</v>
      </c>
      <c r="H303" s="163" t="s">
        <v>789</v>
      </c>
    </row>
    <row r="304" spans="7:10" ht="60">
      <c r="G304" s="69" t="s">
        <v>831</v>
      </c>
      <c r="H304" s="163" t="s">
        <v>790</v>
      </c>
    </row>
    <row r="305" spans="7:8" ht="45">
      <c r="G305" s="69" t="s">
        <v>832</v>
      </c>
      <c r="H305" s="163" t="s">
        <v>791</v>
      </c>
    </row>
    <row r="306" spans="7:8" ht="30">
      <c r="G306" s="69" t="s">
        <v>833</v>
      </c>
      <c r="H306" s="163" t="s">
        <v>792</v>
      </c>
    </row>
    <row r="307" spans="7:8" ht="60">
      <c r="G307" s="69" t="s">
        <v>834</v>
      </c>
      <c r="H307" s="163" t="s">
        <v>787</v>
      </c>
    </row>
    <row r="308" spans="7:8" ht="30">
      <c r="G308" s="69" t="s">
        <v>835</v>
      </c>
      <c r="H308" s="163" t="s">
        <v>788</v>
      </c>
    </row>
    <row r="309" spans="7:8" ht="30">
      <c r="G309" s="69" t="s">
        <v>836</v>
      </c>
      <c r="H309" s="163" t="s">
        <v>793</v>
      </c>
    </row>
    <row r="310" spans="7:8" ht="105">
      <c r="G310" s="69" t="s">
        <v>837</v>
      </c>
      <c r="H310" s="163" t="s">
        <v>794</v>
      </c>
    </row>
    <row r="311" spans="7:8" ht="30">
      <c r="G311" s="69" t="s">
        <v>838</v>
      </c>
      <c r="H311" s="163" t="s">
        <v>795</v>
      </c>
    </row>
    <row r="312" spans="7:8" ht="48">
      <c r="G312" s="69" t="s">
        <v>839</v>
      </c>
      <c r="H312" s="70" t="s">
        <v>735</v>
      </c>
    </row>
    <row r="313" spans="7:8" ht="22.5">
      <c r="G313" s="69" t="s">
        <v>840</v>
      </c>
      <c r="H313" s="140" t="s">
        <v>778</v>
      </c>
    </row>
  </sheetData>
  <autoFilter ref="G2:H2" xr:uid="{EF7C701E-2FEA-414C-881D-3AE5884BADD4}">
    <sortState xmlns:xlrd2="http://schemas.microsoft.com/office/spreadsheetml/2017/richdata2" ref="G3:H313">
      <sortCondition descending="1" ref="G2"/>
    </sortState>
  </autoFilter>
  <phoneticPr fontId="43" type="noConversion"/>
  <conditionalFormatting sqref="G18:H18 G236 G114:H114 G58:H59 G57 G235:H235 G237:H237 G3:G17 G25:H27 G19:G24 G29:H29 G28 G31:H32 G30 G40:H40 G33:G39 G44:H44 G41:G43 G48:H56 G45:G47 G61:H61 G60 G67:H67 G62:G66 G69:H71 G68 G76:H76 G72:G75 G78:H78 G77 G86:H86 G79:G85 G99:H103 G87:G98 G104:G113 G116:H117 G115 G119:H120 G118 G124:H124 G121:G123 G130:H131 G125:G129 G138:H139 G132:G137 G151:H151 G140:G150 G154:H154 G152:G153 G162:H162 G155:G161 G172:H173 G163:G171 G175:H176 G174 G185:H185 G177:G184 G187:H189 G186 G191:H191 G190 G193:H193 G192 G195:H195 G194 G197:H197 G196 G201:H201 G198:G200 G204:H204 G202:G203 G217:H221 G205:G216 G228:H228 G222:G227 G229:G234 G240:H240 G238:G239 G258:H259 G241:G257 G268:H268 G260:G267 G282:H282 G269:G281 H296 G298:H298 G297 G300:H301 G299 G302 G283:G295 H304:H312">
    <cfRule type="duplicateValues" dxfId="9" priority="5"/>
  </conditionalFormatting>
  <conditionalFormatting sqref="G2">
    <cfRule type="duplicateValues" dxfId="11" priority="4"/>
  </conditionalFormatting>
  <conditionalFormatting sqref="J295">
    <cfRule type="duplicateValues" dxfId="8" priority="3"/>
  </conditionalFormatting>
  <conditionalFormatting sqref="G296">
    <cfRule type="duplicateValues" dxfId="7" priority="2"/>
  </conditionalFormatting>
  <conditionalFormatting sqref="G303:G313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>
      <pane ySplit="6" topLeftCell="A29" activePane="bottomLeft" state="frozen"/>
      <selection pane="bottomLeft" activeCell="L41" sqref="L41"/>
    </sheetView>
  </sheetViews>
  <sheetFormatPr baseColWidth="10" defaultColWidth="14.42578125" defaultRowHeight="15" customHeight="1"/>
  <cols>
    <col min="1" max="1" width="10.7109375" customWidth="1"/>
    <col min="2" max="2" width="31.28515625" customWidth="1"/>
    <col min="3" max="3" width="12.5703125" hidden="1" customWidth="1"/>
    <col min="4" max="4" width="13.7109375" hidden="1" customWidth="1"/>
    <col min="5" max="7" width="11.42578125" hidden="1" customWidth="1"/>
    <col min="8" max="8" width="12.7109375" hidden="1" customWidth="1"/>
    <col min="9" max="10" width="11.42578125" hidden="1" customWidth="1"/>
    <col min="11" max="14" width="11.42578125" customWidth="1"/>
    <col min="15" max="15" width="14.85546875" customWidth="1"/>
    <col min="16" max="16" width="5" customWidth="1"/>
    <col min="17" max="17" width="13.7109375" customWidth="1"/>
    <col min="18" max="22" width="11.42578125" customWidth="1"/>
    <col min="23" max="23" width="15.28515625" customWidth="1"/>
    <col min="24" max="25" width="11.42578125" hidden="1" customWidth="1"/>
    <col min="26" max="26" width="10.7109375" customWidth="1"/>
  </cols>
  <sheetData>
    <row r="1" spans="1:25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</row>
    <row r="2" spans="1:25">
      <c r="A2" s="255" t="s">
        <v>0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</row>
    <row r="3" spans="1:25">
      <c r="A3" s="253" t="s">
        <v>1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</row>
    <row r="4" spans="1:25">
      <c r="A4" s="1"/>
      <c r="B4" s="1"/>
      <c r="C4" s="2"/>
      <c r="D4" s="2"/>
      <c r="E4" s="2"/>
      <c r="F4" s="1"/>
      <c r="K4" s="1"/>
      <c r="L4" s="1"/>
      <c r="M4" s="1"/>
      <c r="N4" s="1"/>
      <c r="O4" s="1"/>
      <c r="P4" s="3"/>
      <c r="Q4" s="256">
        <v>46113</v>
      </c>
      <c r="R4" s="254"/>
      <c r="S4" s="254"/>
      <c r="T4" s="254"/>
      <c r="U4" s="4"/>
      <c r="V4" s="4"/>
      <c r="W4" s="4"/>
    </row>
    <row r="5" spans="1:25" ht="14.25" customHeight="1">
      <c r="C5" s="4"/>
      <c r="D5" s="4"/>
      <c r="F5" s="3"/>
      <c r="G5" s="3"/>
      <c r="H5" s="3"/>
      <c r="I5" s="3"/>
      <c r="J5" s="3"/>
      <c r="K5" s="3"/>
      <c r="L5" s="5"/>
      <c r="M5" s="3"/>
      <c r="N5" s="3"/>
      <c r="O5" s="6" t="s">
        <v>2</v>
      </c>
      <c r="P5" s="3"/>
      <c r="Q5" s="4"/>
      <c r="R5" s="4"/>
      <c r="S5" s="4"/>
      <c r="T5" s="4"/>
      <c r="U5" s="4"/>
      <c r="V5" s="4"/>
      <c r="W5" s="4"/>
    </row>
    <row r="6" spans="1:25" ht="38.25">
      <c r="A6" s="7" t="s">
        <v>3</v>
      </c>
      <c r="B6" s="7" t="s">
        <v>4</v>
      </c>
      <c r="C6" s="8" t="s">
        <v>5</v>
      </c>
      <c r="D6" s="8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10"/>
      <c r="Q6" s="11" t="s">
        <v>18</v>
      </c>
      <c r="R6" s="12" t="s">
        <v>19</v>
      </c>
      <c r="S6" s="11" t="s">
        <v>20</v>
      </c>
      <c r="T6" s="11" t="s">
        <v>21</v>
      </c>
      <c r="U6" s="11" t="s">
        <v>22</v>
      </c>
      <c r="V6" s="11" t="s">
        <v>23</v>
      </c>
      <c r="W6" s="11" t="s">
        <v>16</v>
      </c>
      <c r="X6" s="13"/>
      <c r="Y6" s="13"/>
    </row>
    <row r="7" spans="1:25">
      <c r="A7" s="14" t="s">
        <v>24</v>
      </c>
      <c r="B7" s="15" t="s">
        <v>25</v>
      </c>
      <c r="C7" s="16">
        <v>125</v>
      </c>
      <c r="D7" s="16">
        <v>125</v>
      </c>
      <c r="E7" s="17">
        <v>5</v>
      </c>
      <c r="F7" s="18">
        <v>0</v>
      </c>
      <c r="G7" s="18">
        <v>0</v>
      </c>
      <c r="H7" s="18">
        <v>0</v>
      </c>
      <c r="I7" s="17">
        <v>0</v>
      </c>
      <c r="J7" s="17">
        <f t="shared" ref="J7:J261" si="0">E7+F7+G7-H7-I7</f>
        <v>5</v>
      </c>
      <c r="K7" s="17">
        <v>5</v>
      </c>
      <c r="L7" s="17">
        <v>0</v>
      </c>
      <c r="M7" s="17">
        <v>0</v>
      </c>
      <c r="N7" s="17">
        <f t="shared" ref="N7:N261" si="1">K7+L7+M7</f>
        <v>5</v>
      </c>
      <c r="O7" s="17">
        <f t="shared" ref="O7:O261" si="2">N7-J7</f>
        <v>0</v>
      </c>
      <c r="P7" s="3"/>
      <c r="Q7" s="19">
        <f t="shared" ref="Q7:Q261" si="3">C7*E7</f>
        <v>625</v>
      </c>
      <c r="R7" s="19">
        <v>0</v>
      </c>
      <c r="S7" s="19">
        <f t="shared" ref="S7:S261" si="4">D7*F7</f>
        <v>0</v>
      </c>
      <c r="T7" s="19">
        <f t="shared" ref="T7:T261" si="5">D7*G7</f>
        <v>0</v>
      </c>
      <c r="U7" s="19">
        <f t="shared" ref="U7:U261" si="6">D7*H7</f>
        <v>0</v>
      </c>
      <c r="V7" s="19">
        <f t="shared" ref="V7:V261" si="7">D7*I7</f>
        <v>0</v>
      </c>
      <c r="W7" s="19">
        <f t="shared" ref="W7:W261" si="8">Q7+R7+S7+T7-U7-V7</f>
        <v>625</v>
      </c>
      <c r="X7" s="20">
        <f t="shared" ref="X7:X261" si="9">J7*D7</f>
        <v>625</v>
      </c>
      <c r="Y7" s="20">
        <f t="shared" ref="Y7:Y261" si="10">X7-W7</f>
        <v>0</v>
      </c>
    </row>
    <row r="8" spans="1:25">
      <c r="A8" s="14" t="s">
        <v>26</v>
      </c>
      <c r="B8" s="15" t="s">
        <v>27</v>
      </c>
      <c r="C8" s="16">
        <v>325</v>
      </c>
      <c r="D8" s="16">
        <v>325</v>
      </c>
      <c r="E8" s="17">
        <v>0</v>
      </c>
      <c r="F8" s="18">
        <v>0</v>
      </c>
      <c r="G8" s="18">
        <v>0</v>
      </c>
      <c r="H8" s="18">
        <v>0</v>
      </c>
      <c r="I8" s="17">
        <v>0</v>
      </c>
      <c r="J8" s="17">
        <f t="shared" si="0"/>
        <v>0</v>
      </c>
      <c r="K8" s="17">
        <v>0</v>
      </c>
      <c r="L8" s="17">
        <v>0</v>
      </c>
      <c r="M8" s="17">
        <v>0</v>
      </c>
      <c r="N8" s="17">
        <f t="shared" si="1"/>
        <v>0</v>
      </c>
      <c r="O8" s="17">
        <f t="shared" si="2"/>
        <v>0</v>
      </c>
      <c r="P8" s="3"/>
      <c r="Q8" s="19">
        <f t="shared" si="3"/>
        <v>0</v>
      </c>
      <c r="R8" s="19">
        <v>0</v>
      </c>
      <c r="S8" s="19">
        <f t="shared" si="4"/>
        <v>0</v>
      </c>
      <c r="T8" s="19">
        <f t="shared" si="5"/>
        <v>0</v>
      </c>
      <c r="U8" s="19">
        <f t="shared" si="6"/>
        <v>0</v>
      </c>
      <c r="V8" s="19">
        <f t="shared" si="7"/>
        <v>0</v>
      </c>
      <c r="W8" s="19">
        <f t="shared" si="8"/>
        <v>0</v>
      </c>
      <c r="X8" s="20">
        <f t="shared" si="9"/>
        <v>0</v>
      </c>
      <c r="Y8" s="20">
        <f t="shared" si="10"/>
        <v>0</v>
      </c>
    </row>
    <row r="9" spans="1:25">
      <c r="A9" s="14" t="s">
        <v>28</v>
      </c>
      <c r="B9" s="15" t="s">
        <v>29</v>
      </c>
      <c r="C9" s="16">
        <v>105.56</v>
      </c>
      <c r="D9" s="16">
        <v>105.56</v>
      </c>
      <c r="E9" s="17">
        <v>0</v>
      </c>
      <c r="F9" s="18">
        <v>0</v>
      </c>
      <c r="G9" s="18">
        <v>0</v>
      </c>
      <c r="H9" s="18">
        <v>0</v>
      </c>
      <c r="I9" s="17">
        <v>0</v>
      </c>
      <c r="J9" s="17">
        <f t="shared" si="0"/>
        <v>0</v>
      </c>
      <c r="K9" s="17">
        <v>0</v>
      </c>
      <c r="L9" s="17">
        <v>0</v>
      </c>
      <c r="M9" s="17">
        <v>0</v>
      </c>
      <c r="N9" s="17">
        <f t="shared" si="1"/>
        <v>0</v>
      </c>
      <c r="O9" s="17">
        <f t="shared" si="2"/>
        <v>0</v>
      </c>
      <c r="P9" s="3"/>
      <c r="Q9" s="19">
        <f t="shared" si="3"/>
        <v>0</v>
      </c>
      <c r="R9" s="19">
        <v>0</v>
      </c>
      <c r="S9" s="19">
        <f t="shared" si="4"/>
        <v>0</v>
      </c>
      <c r="T9" s="19">
        <f t="shared" si="5"/>
        <v>0</v>
      </c>
      <c r="U9" s="19">
        <f t="shared" si="6"/>
        <v>0</v>
      </c>
      <c r="V9" s="19">
        <f t="shared" si="7"/>
        <v>0</v>
      </c>
      <c r="W9" s="19">
        <f t="shared" si="8"/>
        <v>0</v>
      </c>
      <c r="X9" s="20">
        <f t="shared" si="9"/>
        <v>0</v>
      </c>
      <c r="Y9" s="20">
        <f t="shared" si="10"/>
        <v>0</v>
      </c>
    </row>
    <row r="10" spans="1:25">
      <c r="A10" s="14" t="s">
        <v>30</v>
      </c>
      <c r="B10" s="15" t="s">
        <v>31</v>
      </c>
      <c r="C10" s="16">
        <v>105.56</v>
      </c>
      <c r="D10" s="16">
        <v>105.56</v>
      </c>
      <c r="E10" s="17">
        <v>0</v>
      </c>
      <c r="F10" s="18">
        <v>0</v>
      </c>
      <c r="G10" s="18">
        <v>0</v>
      </c>
      <c r="H10" s="18">
        <v>0</v>
      </c>
      <c r="I10" s="17">
        <v>0</v>
      </c>
      <c r="J10" s="17">
        <f t="shared" si="0"/>
        <v>0</v>
      </c>
      <c r="K10" s="17">
        <v>0</v>
      </c>
      <c r="L10" s="17">
        <v>0</v>
      </c>
      <c r="M10" s="17">
        <v>0</v>
      </c>
      <c r="N10" s="17">
        <f t="shared" si="1"/>
        <v>0</v>
      </c>
      <c r="O10" s="17">
        <f t="shared" si="2"/>
        <v>0</v>
      </c>
      <c r="P10" s="3"/>
      <c r="Q10" s="19">
        <f t="shared" si="3"/>
        <v>0</v>
      </c>
      <c r="R10" s="19">
        <v>0</v>
      </c>
      <c r="S10" s="19">
        <f t="shared" si="4"/>
        <v>0</v>
      </c>
      <c r="T10" s="19">
        <f t="shared" si="5"/>
        <v>0</v>
      </c>
      <c r="U10" s="19">
        <f t="shared" si="6"/>
        <v>0</v>
      </c>
      <c r="V10" s="19">
        <f t="shared" si="7"/>
        <v>0</v>
      </c>
      <c r="W10" s="19">
        <f t="shared" si="8"/>
        <v>0</v>
      </c>
      <c r="X10" s="20">
        <f t="shared" si="9"/>
        <v>0</v>
      </c>
      <c r="Y10" s="20">
        <f t="shared" si="10"/>
        <v>0</v>
      </c>
    </row>
    <row r="11" spans="1:25">
      <c r="A11" s="14" t="s">
        <v>32</v>
      </c>
      <c r="B11" s="15" t="s">
        <v>33</v>
      </c>
      <c r="C11" s="16">
        <v>325</v>
      </c>
      <c r="D11" s="16">
        <v>325</v>
      </c>
      <c r="E11" s="17">
        <v>0</v>
      </c>
      <c r="F11" s="18">
        <v>0</v>
      </c>
      <c r="G11" s="18">
        <v>0</v>
      </c>
      <c r="H11" s="18">
        <v>0</v>
      </c>
      <c r="I11" s="17">
        <v>0</v>
      </c>
      <c r="J11" s="17">
        <f t="shared" si="0"/>
        <v>0</v>
      </c>
      <c r="K11" s="17">
        <v>0</v>
      </c>
      <c r="L11" s="17">
        <v>0</v>
      </c>
      <c r="M11" s="17">
        <v>0</v>
      </c>
      <c r="N11" s="17">
        <f t="shared" si="1"/>
        <v>0</v>
      </c>
      <c r="O11" s="17">
        <f t="shared" si="2"/>
        <v>0</v>
      </c>
      <c r="P11" s="3"/>
      <c r="Q11" s="19">
        <f t="shared" si="3"/>
        <v>0</v>
      </c>
      <c r="R11" s="19">
        <v>0</v>
      </c>
      <c r="S11" s="19">
        <f t="shared" si="4"/>
        <v>0</v>
      </c>
      <c r="T11" s="19">
        <f t="shared" si="5"/>
        <v>0</v>
      </c>
      <c r="U11" s="19">
        <f t="shared" si="6"/>
        <v>0</v>
      </c>
      <c r="V11" s="19">
        <f t="shared" si="7"/>
        <v>0</v>
      </c>
      <c r="W11" s="19">
        <f t="shared" si="8"/>
        <v>0</v>
      </c>
      <c r="X11" s="20">
        <f t="shared" si="9"/>
        <v>0</v>
      </c>
      <c r="Y11" s="20">
        <f t="shared" si="10"/>
        <v>0</v>
      </c>
    </row>
    <row r="12" spans="1:25">
      <c r="A12" s="14" t="s">
        <v>34</v>
      </c>
      <c r="B12" s="15" t="s">
        <v>35</v>
      </c>
      <c r="C12" s="16">
        <v>263.58</v>
      </c>
      <c r="D12" s="16">
        <v>263.58</v>
      </c>
      <c r="E12" s="17">
        <v>15</v>
      </c>
      <c r="F12" s="18">
        <v>0</v>
      </c>
      <c r="G12" s="18">
        <v>0</v>
      </c>
      <c r="H12" s="18">
        <v>0</v>
      </c>
      <c r="I12" s="17">
        <v>0</v>
      </c>
      <c r="J12" s="17">
        <f t="shared" si="0"/>
        <v>15</v>
      </c>
      <c r="K12" s="17">
        <v>15</v>
      </c>
      <c r="L12" s="17">
        <v>0</v>
      </c>
      <c r="M12" s="17">
        <v>0</v>
      </c>
      <c r="N12" s="17">
        <f t="shared" si="1"/>
        <v>15</v>
      </c>
      <c r="O12" s="17">
        <f t="shared" si="2"/>
        <v>0</v>
      </c>
      <c r="P12" s="3"/>
      <c r="Q12" s="19">
        <f t="shared" si="3"/>
        <v>3953.7</v>
      </c>
      <c r="R12" s="19">
        <v>0</v>
      </c>
      <c r="S12" s="19">
        <f t="shared" si="4"/>
        <v>0</v>
      </c>
      <c r="T12" s="19">
        <f t="shared" si="5"/>
        <v>0</v>
      </c>
      <c r="U12" s="19">
        <f t="shared" si="6"/>
        <v>0</v>
      </c>
      <c r="V12" s="19">
        <f t="shared" si="7"/>
        <v>0</v>
      </c>
      <c r="W12" s="19">
        <f t="shared" si="8"/>
        <v>3953.7</v>
      </c>
      <c r="X12" s="20">
        <f t="shared" si="9"/>
        <v>3953.7</v>
      </c>
      <c r="Y12" s="20">
        <f t="shared" si="10"/>
        <v>0</v>
      </c>
    </row>
    <row r="13" spans="1:25">
      <c r="A13" s="14" t="s">
        <v>36</v>
      </c>
      <c r="B13" s="15" t="s">
        <v>37</v>
      </c>
      <c r="C13" s="16">
        <v>0</v>
      </c>
      <c r="D13" s="16">
        <v>0</v>
      </c>
      <c r="E13" s="17">
        <v>0</v>
      </c>
      <c r="F13" s="18">
        <v>0</v>
      </c>
      <c r="G13" s="18">
        <v>0</v>
      </c>
      <c r="H13" s="18">
        <v>0</v>
      </c>
      <c r="I13" s="17">
        <v>0</v>
      </c>
      <c r="J13" s="17">
        <f t="shared" si="0"/>
        <v>0</v>
      </c>
      <c r="K13" s="17">
        <v>0</v>
      </c>
      <c r="L13" s="17">
        <v>0</v>
      </c>
      <c r="M13" s="17">
        <v>0</v>
      </c>
      <c r="N13" s="17">
        <f t="shared" si="1"/>
        <v>0</v>
      </c>
      <c r="O13" s="17">
        <f t="shared" si="2"/>
        <v>0</v>
      </c>
      <c r="P13" s="3"/>
      <c r="Q13" s="19">
        <f t="shared" si="3"/>
        <v>0</v>
      </c>
      <c r="R13" s="19">
        <v>0</v>
      </c>
      <c r="S13" s="19">
        <f t="shared" si="4"/>
        <v>0</v>
      </c>
      <c r="T13" s="19">
        <f t="shared" si="5"/>
        <v>0</v>
      </c>
      <c r="U13" s="19">
        <f t="shared" si="6"/>
        <v>0</v>
      </c>
      <c r="V13" s="19">
        <f t="shared" si="7"/>
        <v>0</v>
      </c>
      <c r="W13" s="19">
        <f t="shared" si="8"/>
        <v>0</v>
      </c>
      <c r="X13" s="20">
        <f t="shared" si="9"/>
        <v>0</v>
      </c>
      <c r="Y13" s="20">
        <f t="shared" si="10"/>
        <v>0</v>
      </c>
    </row>
    <row r="14" spans="1:25">
      <c r="A14" s="14" t="s">
        <v>38</v>
      </c>
      <c r="B14" s="15" t="s">
        <v>39</v>
      </c>
      <c r="C14" s="16">
        <v>1010</v>
      </c>
      <c r="D14" s="16">
        <v>1010</v>
      </c>
      <c r="E14" s="17">
        <v>1</v>
      </c>
      <c r="F14" s="18">
        <v>0</v>
      </c>
      <c r="G14" s="18">
        <v>0</v>
      </c>
      <c r="H14" s="18">
        <v>0</v>
      </c>
      <c r="I14" s="17">
        <v>0</v>
      </c>
      <c r="J14" s="17">
        <f t="shared" si="0"/>
        <v>1</v>
      </c>
      <c r="K14" s="17">
        <v>1</v>
      </c>
      <c r="L14" s="17">
        <v>0</v>
      </c>
      <c r="M14" s="17">
        <v>0</v>
      </c>
      <c r="N14" s="17">
        <f t="shared" si="1"/>
        <v>1</v>
      </c>
      <c r="O14" s="17">
        <f t="shared" si="2"/>
        <v>0</v>
      </c>
      <c r="P14" s="3"/>
      <c r="Q14" s="19">
        <f t="shared" si="3"/>
        <v>1010</v>
      </c>
      <c r="R14" s="19">
        <v>0</v>
      </c>
      <c r="S14" s="19">
        <f t="shared" si="4"/>
        <v>0</v>
      </c>
      <c r="T14" s="19">
        <f t="shared" si="5"/>
        <v>0</v>
      </c>
      <c r="U14" s="19">
        <f t="shared" si="6"/>
        <v>0</v>
      </c>
      <c r="V14" s="19">
        <f t="shared" si="7"/>
        <v>0</v>
      </c>
      <c r="W14" s="19">
        <f t="shared" si="8"/>
        <v>1010</v>
      </c>
      <c r="X14" s="20">
        <f t="shared" si="9"/>
        <v>1010</v>
      </c>
      <c r="Y14" s="20">
        <f t="shared" si="10"/>
        <v>0</v>
      </c>
    </row>
    <row r="15" spans="1:25">
      <c r="A15" s="14" t="s">
        <v>40</v>
      </c>
      <c r="B15" s="15" t="s">
        <v>41</v>
      </c>
      <c r="C15" s="16">
        <v>320</v>
      </c>
      <c r="D15" s="16">
        <v>320</v>
      </c>
      <c r="E15" s="17">
        <v>2</v>
      </c>
      <c r="F15" s="18">
        <v>0</v>
      </c>
      <c r="G15" s="18">
        <v>0</v>
      </c>
      <c r="H15" s="18">
        <v>0</v>
      </c>
      <c r="I15" s="17">
        <v>0</v>
      </c>
      <c r="J15" s="17">
        <f t="shared" si="0"/>
        <v>2</v>
      </c>
      <c r="K15" s="17">
        <v>2</v>
      </c>
      <c r="L15" s="17">
        <v>0</v>
      </c>
      <c r="M15" s="17">
        <v>0</v>
      </c>
      <c r="N15" s="17">
        <f t="shared" si="1"/>
        <v>2</v>
      </c>
      <c r="O15" s="17">
        <f t="shared" si="2"/>
        <v>0</v>
      </c>
      <c r="P15" s="3"/>
      <c r="Q15" s="19">
        <f t="shared" si="3"/>
        <v>640</v>
      </c>
      <c r="R15" s="19">
        <v>0</v>
      </c>
      <c r="S15" s="19">
        <f t="shared" si="4"/>
        <v>0</v>
      </c>
      <c r="T15" s="19">
        <f t="shared" si="5"/>
        <v>0</v>
      </c>
      <c r="U15" s="19">
        <f t="shared" si="6"/>
        <v>0</v>
      </c>
      <c r="V15" s="19">
        <f t="shared" si="7"/>
        <v>0</v>
      </c>
      <c r="W15" s="19">
        <f t="shared" si="8"/>
        <v>640</v>
      </c>
      <c r="X15" s="20">
        <f t="shared" si="9"/>
        <v>640</v>
      </c>
      <c r="Y15" s="20">
        <f t="shared" si="10"/>
        <v>0</v>
      </c>
    </row>
    <row r="16" spans="1:25">
      <c r="A16" s="14" t="s">
        <v>42</v>
      </c>
      <c r="B16" s="15" t="s">
        <v>43</v>
      </c>
      <c r="C16" s="16">
        <v>1</v>
      </c>
      <c r="D16" s="16">
        <v>1</v>
      </c>
      <c r="E16" s="17">
        <v>10</v>
      </c>
      <c r="F16" s="18">
        <v>0</v>
      </c>
      <c r="G16" s="18">
        <v>0</v>
      </c>
      <c r="H16" s="18">
        <v>0</v>
      </c>
      <c r="I16" s="17">
        <v>0</v>
      </c>
      <c r="J16" s="17">
        <f t="shared" si="0"/>
        <v>10</v>
      </c>
      <c r="K16" s="17">
        <v>10</v>
      </c>
      <c r="L16" s="17">
        <v>0</v>
      </c>
      <c r="M16" s="17">
        <v>0</v>
      </c>
      <c r="N16" s="17">
        <f t="shared" si="1"/>
        <v>10</v>
      </c>
      <c r="O16" s="17">
        <f t="shared" si="2"/>
        <v>0</v>
      </c>
      <c r="P16" s="3"/>
      <c r="Q16" s="19">
        <f t="shared" si="3"/>
        <v>10</v>
      </c>
      <c r="R16" s="19">
        <v>0</v>
      </c>
      <c r="S16" s="19">
        <f t="shared" si="4"/>
        <v>0</v>
      </c>
      <c r="T16" s="19">
        <f t="shared" si="5"/>
        <v>0</v>
      </c>
      <c r="U16" s="19">
        <f t="shared" si="6"/>
        <v>0</v>
      </c>
      <c r="V16" s="19">
        <f t="shared" si="7"/>
        <v>0</v>
      </c>
      <c r="W16" s="19">
        <f t="shared" si="8"/>
        <v>10</v>
      </c>
      <c r="X16" s="20">
        <f t="shared" si="9"/>
        <v>10</v>
      </c>
      <c r="Y16" s="20">
        <f t="shared" si="10"/>
        <v>0</v>
      </c>
    </row>
    <row r="17" spans="1:25">
      <c r="A17" s="14" t="s">
        <v>44</v>
      </c>
      <c r="B17" s="15" t="s">
        <v>45</v>
      </c>
      <c r="C17" s="16">
        <v>217.5</v>
      </c>
      <c r="D17" s="16">
        <v>217.5</v>
      </c>
      <c r="E17" s="17">
        <v>4</v>
      </c>
      <c r="F17" s="18">
        <v>0</v>
      </c>
      <c r="G17" s="18">
        <v>0</v>
      </c>
      <c r="H17" s="18">
        <v>0</v>
      </c>
      <c r="I17" s="17">
        <v>0</v>
      </c>
      <c r="J17" s="17">
        <f t="shared" si="0"/>
        <v>4</v>
      </c>
      <c r="K17" s="17">
        <v>4</v>
      </c>
      <c r="L17" s="17">
        <v>0</v>
      </c>
      <c r="M17" s="17">
        <v>0</v>
      </c>
      <c r="N17" s="17">
        <f t="shared" si="1"/>
        <v>4</v>
      </c>
      <c r="O17" s="17">
        <f t="shared" si="2"/>
        <v>0</v>
      </c>
      <c r="P17" s="3"/>
      <c r="Q17" s="19">
        <f t="shared" si="3"/>
        <v>870</v>
      </c>
      <c r="R17" s="19">
        <v>0</v>
      </c>
      <c r="S17" s="19">
        <f t="shared" si="4"/>
        <v>0</v>
      </c>
      <c r="T17" s="19">
        <f t="shared" si="5"/>
        <v>0</v>
      </c>
      <c r="U17" s="19">
        <f t="shared" si="6"/>
        <v>0</v>
      </c>
      <c r="V17" s="19">
        <f t="shared" si="7"/>
        <v>0</v>
      </c>
      <c r="W17" s="19">
        <f t="shared" si="8"/>
        <v>870</v>
      </c>
      <c r="X17" s="20">
        <f t="shared" si="9"/>
        <v>870</v>
      </c>
      <c r="Y17" s="20">
        <f t="shared" si="10"/>
        <v>0</v>
      </c>
    </row>
    <row r="18" spans="1:25">
      <c r="A18" s="14" t="s">
        <v>46</v>
      </c>
      <c r="B18" s="15" t="s">
        <v>47</v>
      </c>
      <c r="C18" s="16">
        <v>1193.5</v>
      </c>
      <c r="D18" s="16">
        <v>1193.5</v>
      </c>
      <c r="E18" s="17">
        <v>1</v>
      </c>
      <c r="F18" s="18">
        <v>0</v>
      </c>
      <c r="G18" s="18">
        <v>0</v>
      </c>
      <c r="H18" s="18">
        <v>0</v>
      </c>
      <c r="I18" s="17">
        <v>0</v>
      </c>
      <c r="J18" s="17">
        <f t="shared" si="0"/>
        <v>1</v>
      </c>
      <c r="K18" s="17">
        <v>1</v>
      </c>
      <c r="L18" s="17">
        <v>0</v>
      </c>
      <c r="M18" s="17">
        <v>0</v>
      </c>
      <c r="N18" s="17">
        <f t="shared" si="1"/>
        <v>1</v>
      </c>
      <c r="O18" s="17">
        <f t="shared" si="2"/>
        <v>0</v>
      </c>
      <c r="P18" s="3"/>
      <c r="Q18" s="19">
        <f t="shared" si="3"/>
        <v>1193.5</v>
      </c>
      <c r="R18" s="19">
        <v>0</v>
      </c>
      <c r="S18" s="19">
        <f t="shared" si="4"/>
        <v>0</v>
      </c>
      <c r="T18" s="19">
        <f t="shared" si="5"/>
        <v>0</v>
      </c>
      <c r="U18" s="19">
        <f t="shared" si="6"/>
        <v>0</v>
      </c>
      <c r="V18" s="19">
        <f t="shared" si="7"/>
        <v>0</v>
      </c>
      <c r="W18" s="19">
        <f t="shared" si="8"/>
        <v>1193.5</v>
      </c>
      <c r="X18" s="20">
        <f t="shared" si="9"/>
        <v>1193.5</v>
      </c>
      <c r="Y18" s="20">
        <f t="shared" si="10"/>
        <v>0</v>
      </c>
    </row>
    <row r="19" spans="1:25">
      <c r="A19" s="14" t="s">
        <v>48</v>
      </c>
      <c r="B19" s="15" t="s">
        <v>49</v>
      </c>
      <c r="C19" s="16">
        <v>580</v>
      </c>
      <c r="D19" s="16">
        <v>580</v>
      </c>
      <c r="E19" s="17">
        <v>0</v>
      </c>
      <c r="F19" s="18">
        <v>0</v>
      </c>
      <c r="G19" s="18">
        <v>0</v>
      </c>
      <c r="H19" s="18">
        <v>0</v>
      </c>
      <c r="I19" s="17">
        <v>0</v>
      </c>
      <c r="J19" s="17">
        <f t="shared" si="0"/>
        <v>0</v>
      </c>
      <c r="K19" s="17">
        <v>0</v>
      </c>
      <c r="L19" s="17">
        <v>0</v>
      </c>
      <c r="M19" s="17">
        <v>0</v>
      </c>
      <c r="N19" s="17">
        <f t="shared" si="1"/>
        <v>0</v>
      </c>
      <c r="O19" s="17">
        <f t="shared" si="2"/>
        <v>0</v>
      </c>
      <c r="P19" s="3"/>
      <c r="Q19" s="19">
        <f t="shared" si="3"/>
        <v>0</v>
      </c>
      <c r="R19" s="19">
        <v>0</v>
      </c>
      <c r="S19" s="19">
        <f t="shared" si="4"/>
        <v>0</v>
      </c>
      <c r="T19" s="19">
        <f t="shared" si="5"/>
        <v>0</v>
      </c>
      <c r="U19" s="19">
        <f t="shared" si="6"/>
        <v>0</v>
      </c>
      <c r="V19" s="19">
        <f t="shared" si="7"/>
        <v>0</v>
      </c>
      <c r="W19" s="19">
        <f t="shared" si="8"/>
        <v>0</v>
      </c>
      <c r="X19" s="20">
        <f t="shared" si="9"/>
        <v>0</v>
      </c>
      <c r="Y19" s="20">
        <f t="shared" si="10"/>
        <v>0</v>
      </c>
    </row>
    <row r="20" spans="1:25">
      <c r="A20" s="14" t="s">
        <v>50</v>
      </c>
      <c r="B20" s="15" t="s">
        <v>51</v>
      </c>
      <c r="C20" s="16">
        <v>700</v>
      </c>
      <c r="D20" s="16">
        <v>700</v>
      </c>
      <c r="E20" s="17">
        <v>2</v>
      </c>
      <c r="F20" s="18">
        <v>0</v>
      </c>
      <c r="G20" s="18">
        <v>0</v>
      </c>
      <c r="H20" s="18">
        <v>0</v>
      </c>
      <c r="I20" s="17">
        <v>0</v>
      </c>
      <c r="J20" s="17">
        <f t="shared" si="0"/>
        <v>2</v>
      </c>
      <c r="K20" s="17">
        <v>2</v>
      </c>
      <c r="L20" s="17">
        <v>0</v>
      </c>
      <c r="M20" s="17">
        <v>0</v>
      </c>
      <c r="N20" s="17">
        <f t="shared" si="1"/>
        <v>2</v>
      </c>
      <c r="O20" s="17">
        <f t="shared" si="2"/>
        <v>0</v>
      </c>
      <c r="P20" s="3"/>
      <c r="Q20" s="19">
        <f t="shared" si="3"/>
        <v>1400</v>
      </c>
      <c r="R20" s="19">
        <v>0</v>
      </c>
      <c r="S20" s="19">
        <f t="shared" si="4"/>
        <v>0</v>
      </c>
      <c r="T20" s="19">
        <f t="shared" si="5"/>
        <v>0</v>
      </c>
      <c r="U20" s="19">
        <f t="shared" si="6"/>
        <v>0</v>
      </c>
      <c r="V20" s="19">
        <f t="shared" si="7"/>
        <v>0</v>
      </c>
      <c r="W20" s="19">
        <f t="shared" si="8"/>
        <v>1400</v>
      </c>
      <c r="X20" s="20">
        <f t="shared" si="9"/>
        <v>1400</v>
      </c>
      <c r="Y20" s="20">
        <f t="shared" si="10"/>
        <v>0</v>
      </c>
    </row>
    <row r="21" spans="1:25" ht="15.75" customHeight="1">
      <c r="A21" s="14" t="s">
        <v>52</v>
      </c>
      <c r="B21" s="15" t="s">
        <v>53</v>
      </c>
      <c r="C21" s="16">
        <v>1020</v>
      </c>
      <c r="D21" s="16">
        <v>1020</v>
      </c>
      <c r="E21" s="17">
        <v>1</v>
      </c>
      <c r="F21" s="18">
        <v>0</v>
      </c>
      <c r="G21" s="18">
        <v>0</v>
      </c>
      <c r="H21" s="18">
        <v>0</v>
      </c>
      <c r="I21" s="17">
        <v>0</v>
      </c>
      <c r="J21" s="17">
        <f t="shared" si="0"/>
        <v>1</v>
      </c>
      <c r="K21" s="17">
        <v>1</v>
      </c>
      <c r="L21" s="17">
        <v>0</v>
      </c>
      <c r="M21" s="17">
        <v>0</v>
      </c>
      <c r="N21" s="17">
        <f t="shared" si="1"/>
        <v>1</v>
      </c>
      <c r="O21" s="17">
        <f t="shared" si="2"/>
        <v>0</v>
      </c>
      <c r="P21" s="3"/>
      <c r="Q21" s="19">
        <f t="shared" si="3"/>
        <v>1020</v>
      </c>
      <c r="R21" s="19">
        <v>0</v>
      </c>
      <c r="S21" s="19">
        <f t="shared" si="4"/>
        <v>0</v>
      </c>
      <c r="T21" s="19">
        <f t="shared" si="5"/>
        <v>0</v>
      </c>
      <c r="U21" s="19">
        <f t="shared" si="6"/>
        <v>0</v>
      </c>
      <c r="V21" s="19">
        <f t="shared" si="7"/>
        <v>0</v>
      </c>
      <c r="W21" s="19">
        <f t="shared" si="8"/>
        <v>1020</v>
      </c>
      <c r="X21" s="20">
        <f t="shared" si="9"/>
        <v>1020</v>
      </c>
      <c r="Y21" s="20">
        <f t="shared" si="10"/>
        <v>0</v>
      </c>
    </row>
    <row r="22" spans="1:25" ht="15.75" customHeight="1">
      <c r="A22" s="14" t="s">
        <v>54</v>
      </c>
      <c r="B22" s="15" t="s">
        <v>55</v>
      </c>
      <c r="C22" s="16">
        <v>253</v>
      </c>
      <c r="D22" s="16">
        <v>253</v>
      </c>
      <c r="E22" s="17">
        <v>0</v>
      </c>
      <c r="F22" s="18">
        <v>0</v>
      </c>
      <c r="G22" s="18">
        <v>0</v>
      </c>
      <c r="H22" s="18">
        <v>0</v>
      </c>
      <c r="I22" s="17">
        <v>0</v>
      </c>
      <c r="J22" s="17">
        <f t="shared" si="0"/>
        <v>0</v>
      </c>
      <c r="K22" s="17">
        <v>0</v>
      </c>
      <c r="L22" s="17">
        <v>0</v>
      </c>
      <c r="M22" s="17">
        <v>0</v>
      </c>
      <c r="N22" s="17">
        <f t="shared" si="1"/>
        <v>0</v>
      </c>
      <c r="O22" s="17">
        <f t="shared" si="2"/>
        <v>0</v>
      </c>
      <c r="P22" s="3"/>
      <c r="Q22" s="19">
        <f t="shared" si="3"/>
        <v>0</v>
      </c>
      <c r="R22" s="19">
        <v>0</v>
      </c>
      <c r="S22" s="19">
        <f t="shared" si="4"/>
        <v>0</v>
      </c>
      <c r="T22" s="19">
        <f t="shared" si="5"/>
        <v>0</v>
      </c>
      <c r="U22" s="19">
        <f t="shared" si="6"/>
        <v>0</v>
      </c>
      <c r="V22" s="19">
        <f t="shared" si="7"/>
        <v>0</v>
      </c>
      <c r="W22" s="19">
        <f t="shared" si="8"/>
        <v>0</v>
      </c>
      <c r="X22" s="20">
        <f t="shared" si="9"/>
        <v>0</v>
      </c>
      <c r="Y22" s="20">
        <f t="shared" si="10"/>
        <v>0</v>
      </c>
    </row>
    <row r="23" spans="1:25" ht="15.75" customHeight="1">
      <c r="A23" s="14" t="s">
        <v>56</v>
      </c>
      <c r="B23" s="15" t="s">
        <v>57</v>
      </c>
      <c r="C23" s="16">
        <v>1222.73</v>
      </c>
      <c r="D23" s="16">
        <v>1222.73</v>
      </c>
      <c r="E23" s="17">
        <v>8</v>
      </c>
      <c r="F23" s="18">
        <v>0</v>
      </c>
      <c r="G23" s="18">
        <v>0</v>
      </c>
      <c r="H23" s="18">
        <v>0</v>
      </c>
      <c r="I23" s="17">
        <v>0</v>
      </c>
      <c r="J23" s="17">
        <f t="shared" si="0"/>
        <v>8</v>
      </c>
      <c r="K23" s="17">
        <v>7</v>
      </c>
      <c r="L23" s="17">
        <v>0</v>
      </c>
      <c r="M23" s="17">
        <v>1</v>
      </c>
      <c r="N23" s="17">
        <f t="shared" si="1"/>
        <v>8</v>
      </c>
      <c r="O23" s="17">
        <f t="shared" si="2"/>
        <v>0</v>
      </c>
      <c r="P23" s="3"/>
      <c r="Q23" s="19">
        <f t="shared" si="3"/>
        <v>9781.84</v>
      </c>
      <c r="R23" s="19">
        <v>0</v>
      </c>
      <c r="S23" s="19">
        <f t="shared" si="4"/>
        <v>0</v>
      </c>
      <c r="T23" s="19">
        <f t="shared" si="5"/>
        <v>0</v>
      </c>
      <c r="U23" s="19">
        <f t="shared" si="6"/>
        <v>0</v>
      </c>
      <c r="V23" s="19">
        <f t="shared" si="7"/>
        <v>0</v>
      </c>
      <c r="W23" s="19">
        <f t="shared" si="8"/>
        <v>9781.84</v>
      </c>
      <c r="X23" s="20">
        <f t="shared" si="9"/>
        <v>9781.84</v>
      </c>
      <c r="Y23" s="20">
        <f t="shared" si="10"/>
        <v>0</v>
      </c>
    </row>
    <row r="24" spans="1:25" ht="15.75" customHeight="1">
      <c r="A24" s="14" t="s">
        <v>58</v>
      </c>
      <c r="B24" s="15" t="s">
        <v>59</v>
      </c>
      <c r="C24" s="16">
        <v>190.5</v>
      </c>
      <c r="D24" s="16">
        <v>190.5</v>
      </c>
      <c r="E24" s="17">
        <v>0</v>
      </c>
      <c r="F24" s="18">
        <v>0</v>
      </c>
      <c r="G24" s="18">
        <v>0</v>
      </c>
      <c r="H24" s="18">
        <v>0</v>
      </c>
      <c r="I24" s="17">
        <v>0</v>
      </c>
      <c r="J24" s="17">
        <f t="shared" si="0"/>
        <v>0</v>
      </c>
      <c r="K24" s="17">
        <v>0</v>
      </c>
      <c r="L24" s="17">
        <v>0</v>
      </c>
      <c r="M24" s="17">
        <v>0</v>
      </c>
      <c r="N24" s="17">
        <f t="shared" si="1"/>
        <v>0</v>
      </c>
      <c r="O24" s="17">
        <f t="shared" si="2"/>
        <v>0</v>
      </c>
      <c r="P24" s="3"/>
      <c r="Q24" s="19">
        <f t="shared" si="3"/>
        <v>0</v>
      </c>
      <c r="R24" s="19">
        <v>0</v>
      </c>
      <c r="S24" s="19">
        <f t="shared" si="4"/>
        <v>0</v>
      </c>
      <c r="T24" s="19">
        <f t="shared" si="5"/>
        <v>0</v>
      </c>
      <c r="U24" s="19">
        <f t="shared" si="6"/>
        <v>0</v>
      </c>
      <c r="V24" s="19">
        <f t="shared" si="7"/>
        <v>0</v>
      </c>
      <c r="W24" s="19">
        <f t="shared" si="8"/>
        <v>0</v>
      </c>
      <c r="X24" s="20">
        <f t="shared" si="9"/>
        <v>0</v>
      </c>
      <c r="Y24" s="20">
        <f t="shared" si="10"/>
        <v>0</v>
      </c>
    </row>
    <row r="25" spans="1:25" ht="15.75" customHeight="1">
      <c r="A25" s="14" t="s">
        <v>60</v>
      </c>
      <c r="B25" s="15" t="s">
        <v>61</v>
      </c>
      <c r="C25" s="16">
        <v>440</v>
      </c>
      <c r="D25" s="16">
        <v>440</v>
      </c>
      <c r="E25" s="17">
        <v>0</v>
      </c>
      <c r="F25" s="18">
        <v>0</v>
      </c>
      <c r="G25" s="18">
        <v>0</v>
      </c>
      <c r="H25" s="18">
        <v>0</v>
      </c>
      <c r="I25" s="17">
        <v>0</v>
      </c>
      <c r="J25" s="17">
        <f t="shared" si="0"/>
        <v>0</v>
      </c>
      <c r="K25" s="17">
        <v>0</v>
      </c>
      <c r="L25" s="17">
        <v>0</v>
      </c>
      <c r="M25" s="17">
        <v>0</v>
      </c>
      <c r="N25" s="17">
        <f t="shared" si="1"/>
        <v>0</v>
      </c>
      <c r="O25" s="17">
        <f t="shared" si="2"/>
        <v>0</v>
      </c>
      <c r="P25" s="3"/>
      <c r="Q25" s="19">
        <f t="shared" si="3"/>
        <v>0</v>
      </c>
      <c r="R25" s="19">
        <v>0</v>
      </c>
      <c r="S25" s="19">
        <f t="shared" si="4"/>
        <v>0</v>
      </c>
      <c r="T25" s="19">
        <f t="shared" si="5"/>
        <v>0</v>
      </c>
      <c r="U25" s="19">
        <f t="shared" si="6"/>
        <v>0</v>
      </c>
      <c r="V25" s="19">
        <f t="shared" si="7"/>
        <v>0</v>
      </c>
      <c r="W25" s="19">
        <f t="shared" si="8"/>
        <v>0</v>
      </c>
      <c r="X25" s="20">
        <f t="shared" si="9"/>
        <v>0</v>
      </c>
      <c r="Y25" s="20">
        <f t="shared" si="10"/>
        <v>0</v>
      </c>
    </row>
    <row r="26" spans="1:25" ht="15.75" customHeight="1">
      <c r="A26" s="14" t="s">
        <v>62</v>
      </c>
      <c r="B26" s="15" t="s">
        <v>63</v>
      </c>
      <c r="C26" s="16">
        <v>34.4</v>
      </c>
      <c r="D26" s="16">
        <v>34.4</v>
      </c>
      <c r="E26" s="17">
        <v>2</v>
      </c>
      <c r="F26" s="18">
        <v>0</v>
      </c>
      <c r="G26" s="18">
        <v>0</v>
      </c>
      <c r="H26" s="18">
        <v>0</v>
      </c>
      <c r="I26" s="17">
        <v>0</v>
      </c>
      <c r="J26" s="17">
        <f t="shared" si="0"/>
        <v>2</v>
      </c>
      <c r="K26" s="17">
        <v>2</v>
      </c>
      <c r="L26" s="17">
        <v>0</v>
      </c>
      <c r="M26" s="17">
        <v>0</v>
      </c>
      <c r="N26" s="17">
        <f t="shared" si="1"/>
        <v>2</v>
      </c>
      <c r="O26" s="17">
        <f t="shared" si="2"/>
        <v>0</v>
      </c>
      <c r="P26" s="3"/>
      <c r="Q26" s="19">
        <f t="shared" si="3"/>
        <v>68.8</v>
      </c>
      <c r="R26" s="19">
        <v>0</v>
      </c>
      <c r="S26" s="19">
        <f t="shared" si="4"/>
        <v>0</v>
      </c>
      <c r="T26" s="19">
        <f t="shared" si="5"/>
        <v>0</v>
      </c>
      <c r="U26" s="19">
        <f t="shared" si="6"/>
        <v>0</v>
      </c>
      <c r="V26" s="19">
        <f t="shared" si="7"/>
        <v>0</v>
      </c>
      <c r="W26" s="19">
        <f t="shared" si="8"/>
        <v>68.8</v>
      </c>
      <c r="X26" s="20">
        <f t="shared" si="9"/>
        <v>68.8</v>
      </c>
      <c r="Y26" s="20">
        <f t="shared" si="10"/>
        <v>0</v>
      </c>
    </row>
    <row r="27" spans="1:25" ht="15.75" customHeight="1">
      <c r="A27" s="14" t="s">
        <v>64</v>
      </c>
      <c r="B27" s="15" t="s">
        <v>65</v>
      </c>
      <c r="C27" s="16">
        <v>34.479999999999997</v>
      </c>
      <c r="D27" s="16">
        <v>34.479999999999997</v>
      </c>
      <c r="E27" s="17">
        <v>2</v>
      </c>
      <c r="F27" s="18">
        <v>0</v>
      </c>
      <c r="G27" s="18">
        <v>0</v>
      </c>
      <c r="H27" s="18">
        <v>0</v>
      </c>
      <c r="I27" s="17">
        <v>0</v>
      </c>
      <c r="J27" s="17">
        <f t="shared" si="0"/>
        <v>2</v>
      </c>
      <c r="K27" s="17">
        <v>2</v>
      </c>
      <c r="L27" s="17">
        <v>0</v>
      </c>
      <c r="M27" s="17">
        <v>0</v>
      </c>
      <c r="N27" s="17">
        <f t="shared" si="1"/>
        <v>2</v>
      </c>
      <c r="O27" s="17">
        <f t="shared" si="2"/>
        <v>0</v>
      </c>
      <c r="P27" s="3"/>
      <c r="Q27" s="19">
        <f t="shared" si="3"/>
        <v>68.959999999999994</v>
      </c>
      <c r="R27" s="19">
        <v>0</v>
      </c>
      <c r="S27" s="19">
        <f t="shared" si="4"/>
        <v>0</v>
      </c>
      <c r="T27" s="19">
        <f t="shared" si="5"/>
        <v>0</v>
      </c>
      <c r="U27" s="19">
        <f t="shared" si="6"/>
        <v>0</v>
      </c>
      <c r="V27" s="19">
        <f t="shared" si="7"/>
        <v>0</v>
      </c>
      <c r="W27" s="19">
        <f t="shared" si="8"/>
        <v>68.959999999999994</v>
      </c>
      <c r="X27" s="20">
        <f t="shared" si="9"/>
        <v>68.959999999999994</v>
      </c>
      <c r="Y27" s="20">
        <f t="shared" si="10"/>
        <v>0</v>
      </c>
    </row>
    <row r="28" spans="1:25" ht="15.75" customHeight="1">
      <c r="A28" s="14" t="s">
        <v>66</v>
      </c>
      <c r="B28" s="15" t="s">
        <v>67</v>
      </c>
      <c r="C28" s="16">
        <v>0</v>
      </c>
      <c r="D28" s="16">
        <v>0</v>
      </c>
      <c r="E28" s="17">
        <v>0</v>
      </c>
      <c r="F28" s="18">
        <v>0</v>
      </c>
      <c r="G28" s="18">
        <v>0</v>
      </c>
      <c r="H28" s="18">
        <v>0</v>
      </c>
      <c r="I28" s="17">
        <v>0</v>
      </c>
      <c r="J28" s="17">
        <f t="shared" si="0"/>
        <v>0</v>
      </c>
      <c r="K28" s="17">
        <v>0</v>
      </c>
      <c r="L28" s="17">
        <v>0</v>
      </c>
      <c r="M28" s="17">
        <v>0</v>
      </c>
      <c r="N28" s="17">
        <f t="shared" si="1"/>
        <v>0</v>
      </c>
      <c r="O28" s="17">
        <f t="shared" si="2"/>
        <v>0</v>
      </c>
      <c r="P28" s="3"/>
      <c r="Q28" s="19">
        <f t="shared" si="3"/>
        <v>0</v>
      </c>
      <c r="R28" s="19">
        <v>0</v>
      </c>
      <c r="S28" s="19">
        <f t="shared" si="4"/>
        <v>0</v>
      </c>
      <c r="T28" s="19">
        <f t="shared" si="5"/>
        <v>0</v>
      </c>
      <c r="U28" s="19">
        <f t="shared" si="6"/>
        <v>0</v>
      </c>
      <c r="V28" s="19">
        <f t="shared" si="7"/>
        <v>0</v>
      </c>
      <c r="W28" s="19">
        <f t="shared" si="8"/>
        <v>0</v>
      </c>
      <c r="X28" s="20">
        <f t="shared" si="9"/>
        <v>0</v>
      </c>
      <c r="Y28" s="20">
        <f t="shared" si="10"/>
        <v>0</v>
      </c>
    </row>
    <row r="29" spans="1:25" ht="15.75" customHeight="1">
      <c r="A29" s="14" t="s">
        <v>68</v>
      </c>
      <c r="B29" s="15" t="s">
        <v>69</v>
      </c>
      <c r="C29" s="16">
        <v>4500</v>
      </c>
      <c r="D29" s="16">
        <v>4500</v>
      </c>
      <c r="E29" s="17">
        <v>0</v>
      </c>
      <c r="F29" s="18">
        <v>0</v>
      </c>
      <c r="G29" s="18">
        <v>0</v>
      </c>
      <c r="H29" s="18">
        <v>0</v>
      </c>
      <c r="I29" s="17">
        <v>0</v>
      </c>
      <c r="J29" s="17">
        <f t="shared" si="0"/>
        <v>0</v>
      </c>
      <c r="K29" s="17">
        <v>0</v>
      </c>
      <c r="L29" s="17">
        <v>0</v>
      </c>
      <c r="M29" s="17">
        <v>0</v>
      </c>
      <c r="N29" s="17">
        <f t="shared" si="1"/>
        <v>0</v>
      </c>
      <c r="O29" s="17">
        <f t="shared" si="2"/>
        <v>0</v>
      </c>
      <c r="P29" s="3"/>
      <c r="Q29" s="19">
        <f t="shared" si="3"/>
        <v>0</v>
      </c>
      <c r="R29" s="19">
        <v>0</v>
      </c>
      <c r="S29" s="19">
        <f t="shared" si="4"/>
        <v>0</v>
      </c>
      <c r="T29" s="19">
        <f t="shared" si="5"/>
        <v>0</v>
      </c>
      <c r="U29" s="19">
        <f t="shared" si="6"/>
        <v>0</v>
      </c>
      <c r="V29" s="19">
        <f t="shared" si="7"/>
        <v>0</v>
      </c>
      <c r="W29" s="19">
        <f t="shared" si="8"/>
        <v>0</v>
      </c>
      <c r="X29" s="20">
        <f t="shared" si="9"/>
        <v>0</v>
      </c>
      <c r="Y29" s="20">
        <f t="shared" si="10"/>
        <v>0</v>
      </c>
    </row>
    <row r="30" spans="1:25" ht="15.75" customHeight="1">
      <c r="A30" s="14" t="s">
        <v>70</v>
      </c>
      <c r="B30" s="15" t="s">
        <v>71</v>
      </c>
      <c r="C30" s="16">
        <v>250</v>
      </c>
      <c r="D30" s="16">
        <v>250</v>
      </c>
      <c r="E30" s="17">
        <v>1</v>
      </c>
      <c r="F30" s="18">
        <v>0</v>
      </c>
      <c r="G30" s="18">
        <v>0</v>
      </c>
      <c r="H30" s="18">
        <v>0</v>
      </c>
      <c r="I30" s="17">
        <v>0</v>
      </c>
      <c r="J30" s="17">
        <f t="shared" si="0"/>
        <v>1</v>
      </c>
      <c r="K30" s="17">
        <v>1</v>
      </c>
      <c r="L30" s="17">
        <v>0</v>
      </c>
      <c r="M30" s="17">
        <v>0</v>
      </c>
      <c r="N30" s="17">
        <f t="shared" si="1"/>
        <v>1</v>
      </c>
      <c r="O30" s="17">
        <f t="shared" si="2"/>
        <v>0</v>
      </c>
      <c r="P30" s="3"/>
      <c r="Q30" s="19">
        <f t="shared" si="3"/>
        <v>250</v>
      </c>
      <c r="R30" s="19">
        <v>0</v>
      </c>
      <c r="S30" s="19">
        <f t="shared" si="4"/>
        <v>0</v>
      </c>
      <c r="T30" s="19">
        <f t="shared" si="5"/>
        <v>0</v>
      </c>
      <c r="U30" s="19">
        <f t="shared" si="6"/>
        <v>0</v>
      </c>
      <c r="V30" s="19">
        <f t="shared" si="7"/>
        <v>0</v>
      </c>
      <c r="W30" s="19">
        <f t="shared" si="8"/>
        <v>250</v>
      </c>
      <c r="X30" s="20">
        <f t="shared" si="9"/>
        <v>250</v>
      </c>
      <c r="Y30" s="20">
        <f t="shared" si="10"/>
        <v>0</v>
      </c>
    </row>
    <row r="31" spans="1:25" ht="15.75" customHeight="1">
      <c r="A31" s="14" t="s">
        <v>72</v>
      </c>
      <c r="B31" s="15" t="s">
        <v>73</v>
      </c>
      <c r="C31" s="16">
        <v>420.61275000000001</v>
      </c>
      <c r="D31" s="16">
        <v>420.61275000000001</v>
      </c>
      <c r="E31" s="17">
        <v>0</v>
      </c>
      <c r="F31" s="18">
        <v>0</v>
      </c>
      <c r="G31" s="18">
        <v>0</v>
      </c>
      <c r="H31" s="18">
        <v>0</v>
      </c>
      <c r="I31" s="17">
        <v>0</v>
      </c>
      <c r="J31" s="17">
        <f t="shared" si="0"/>
        <v>0</v>
      </c>
      <c r="K31" s="17">
        <v>0</v>
      </c>
      <c r="L31" s="17">
        <v>0</v>
      </c>
      <c r="M31" s="17">
        <v>0</v>
      </c>
      <c r="N31" s="17">
        <f t="shared" si="1"/>
        <v>0</v>
      </c>
      <c r="O31" s="17">
        <f t="shared" si="2"/>
        <v>0</v>
      </c>
      <c r="P31" s="3"/>
      <c r="Q31" s="19">
        <f t="shared" si="3"/>
        <v>0</v>
      </c>
      <c r="R31" s="19">
        <v>0</v>
      </c>
      <c r="S31" s="19">
        <f t="shared" si="4"/>
        <v>0</v>
      </c>
      <c r="T31" s="19">
        <f t="shared" si="5"/>
        <v>0</v>
      </c>
      <c r="U31" s="19">
        <f t="shared" si="6"/>
        <v>0</v>
      </c>
      <c r="V31" s="19">
        <f t="shared" si="7"/>
        <v>0</v>
      </c>
      <c r="W31" s="19">
        <f t="shared" si="8"/>
        <v>0</v>
      </c>
      <c r="X31" s="20">
        <f t="shared" si="9"/>
        <v>0</v>
      </c>
      <c r="Y31" s="20">
        <f t="shared" si="10"/>
        <v>0</v>
      </c>
    </row>
    <row r="32" spans="1:25" ht="15.75" customHeight="1">
      <c r="A32" s="14" t="s">
        <v>74</v>
      </c>
      <c r="B32" s="15" t="s">
        <v>75</v>
      </c>
      <c r="C32" s="16">
        <v>0</v>
      </c>
      <c r="D32" s="16">
        <v>0</v>
      </c>
      <c r="E32" s="17">
        <v>0</v>
      </c>
      <c r="F32" s="18">
        <v>0</v>
      </c>
      <c r="G32" s="18">
        <v>0</v>
      </c>
      <c r="H32" s="18">
        <v>0</v>
      </c>
      <c r="I32" s="17">
        <v>0</v>
      </c>
      <c r="J32" s="17">
        <f t="shared" si="0"/>
        <v>0</v>
      </c>
      <c r="K32" s="17">
        <v>0</v>
      </c>
      <c r="L32" s="17">
        <v>0</v>
      </c>
      <c r="M32" s="17">
        <v>0</v>
      </c>
      <c r="N32" s="17">
        <f t="shared" si="1"/>
        <v>0</v>
      </c>
      <c r="O32" s="17">
        <f t="shared" si="2"/>
        <v>0</v>
      </c>
      <c r="P32" s="3"/>
      <c r="Q32" s="19">
        <f t="shared" si="3"/>
        <v>0</v>
      </c>
      <c r="R32" s="19">
        <v>0</v>
      </c>
      <c r="S32" s="19">
        <f t="shared" si="4"/>
        <v>0</v>
      </c>
      <c r="T32" s="19">
        <f t="shared" si="5"/>
        <v>0</v>
      </c>
      <c r="U32" s="19">
        <f t="shared" si="6"/>
        <v>0</v>
      </c>
      <c r="V32" s="19">
        <f t="shared" si="7"/>
        <v>0</v>
      </c>
      <c r="W32" s="19">
        <f t="shared" si="8"/>
        <v>0</v>
      </c>
      <c r="X32" s="20">
        <f t="shared" si="9"/>
        <v>0</v>
      </c>
      <c r="Y32" s="20">
        <f t="shared" si="10"/>
        <v>0</v>
      </c>
    </row>
    <row r="33" spans="1:25" ht="15.75" customHeight="1">
      <c r="A33" s="14" t="s">
        <v>76</v>
      </c>
      <c r="B33" s="15" t="s">
        <v>77</v>
      </c>
      <c r="C33" s="16">
        <v>0</v>
      </c>
      <c r="D33" s="16">
        <v>0</v>
      </c>
      <c r="E33" s="17">
        <v>0</v>
      </c>
      <c r="F33" s="18">
        <v>0</v>
      </c>
      <c r="G33" s="18">
        <v>0</v>
      </c>
      <c r="H33" s="18">
        <v>0</v>
      </c>
      <c r="I33" s="17">
        <v>0</v>
      </c>
      <c r="J33" s="17">
        <f t="shared" si="0"/>
        <v>0</v>
      </c>
      <c r="K33" s="17">
        <v>0</v>
      </c>
      <c r="L33" s="17">
        <v>0</v>
      </c>
      <c r="M33" s="17">
        <v>0</v>
      </c>
      <c r="N33" s="17">
        <f t="shared" si="1"/>
        <v>0</v>
      </c>
      <c r="O33" s="17">
        <f t="shared" si="2"/>
        <v>0</v>
      </c>
      <c r="P33" s="3"/>
      <c r="Q33" s="19">
        <f t="shared" si="3"/>
        <v>0</v>
      </c>
      <c r="R33" s="19">
        <v>0</v>
      </c>
      <c r="S33" s="19">
        <f t="shared" si="4"/>
        <v>0</v>
      </c>
      <c r="T33" s="19">
        <f t="shared" si="5"/>
        <v>0</v>
      </c>
      <c r="U33" s="19">
        <f t="shared" si="6"/>
        <v>0</v>
      </c>
      <c r="V33" s="19">
        <f t="shared" si="7"/>
        <v>0</v>
      </c>
      <c r="W33" s="19">
        <f t="shared" si="8"/>
        <v>0</v>
      </c>
      <c r="X33" s="20">
        <f t="shared" si="9"/>
        <v>0</v>
      </c>
      <c r="Y33" s="20">
        <f t="shared" si="10"/>
        <v>0</v>
      </c>
    </row>
    <row r="34" spans="1:25" ht="15.75" customHeight="1">
      <c r="A34" s="14" t="s">
        <v>78</v>
      </c>
      <c r="B34" s="15" t="s">
        <v>79</v>
      </c>
      <c r="C34" s="16">
        <v>350</v>
      </c>
      <c r="D34" s="16">
        <v>350</v>
      </c>
      <c r="E34" s="17">
        <v>2</v>
      </c>
      <c r="F34" s="18">
        <v>0</v>
      </c>
      <c r="G34" s="18">
        <v>0</v>
      </c>
      <c r="H34" s="18">
        <v>0</v>
      </c>
      <c r="I34" s="17">
        <v>0</v>
      </c>
      <c r="J34" s="17">
        <f t="shared" si="0"/>
        <v>2</v>
      </c>
      <c r="K34" s="17">
        <v>2</v>
      </c>
      <c r="L34" s="17">
        <v>0</v>
      </c>
      <c r="M34" s="17">
        <v>0</v>
      </c>
      <c r="N34" s="17">
        <f t="shared" si="1"/>
        <v>2</v>
      </c>
      <c r="O34" s="17">
        <f t="shared" si="2"/>
        <v>0</v>
      </c>
      <c r="P34" s="3"/>
      <c r="Q34" s="19">
        <f t="shared" si="3"/>
        <v>700</v>
      </c>
      <c r="R34" s="19">
        <v>0</v>
      </c>
      <c r="S34" s="19">
        <f t="shared" si="4"/>
        <v>0</v>
      </c>
      <c r="T34" s="19">
        <f t="shared" si="5"/>
        <v>0</v>
      </c>
      <c r="U34" s="19">
        <f t="shared" si="6"/>
        <v>0</v>
      </c>
      <c r="V34" s="19">
        <f t="shared" si="7"/>
        <v>0</v>
      </c>
      <c r="W34" s="19">
        <f t="shared" si="8"/>
        <v>700</v>
      </c>
      <c r="X34" s="20">
        <f t="shared" si="9"/>
        <v>700</v>
      </c>
      <c r="Y34" s="20">
        <f t="shared" si="10"/>
        <v>0</v>
      </c>
    </row>
    <row r="35" spans="1:25" ht="15.75" customHeight="1">
      <c r="A35" s="14" t="s">
        <v>80</v>
      </c>
      <c r="B35" s="15" t="s">
        <v>81</v>
      </c>
      <c r="C35" s="16">
        <v>0</v>
      </c>
      <c r="D35" s="16">
        <v>0</v>
      </c>
      <c r="E35" s="17">
        <v>0</v>
      </c>
      <c r="F35" s="18">
        <v>0</v>
      </c>
      <c r="G35" s="18">
        <v>0</v>
      </c>
      <c r="H35" s="18">
        <v>0</v>
      </c>
      <c r="I35" s="17">
        <v>0</v>
      </c>
      <c r="J35" s="17">
        <f t="shared" si="0"/>
        <v>0</v>
      </c>
      <c r="K35" s="17">
        <v>0</v>
      </c>
      <c r="L35" s="17">
        <v>0</v>
      </c>
      <c r="M35" s="17">
        <v>0</v>
      </c>
      <c r="N35" s="17">
        <f t="shared" si="1"/>
        <v>0</v>
      </c>
      <c r="O35" s="17">
        <f t="shared" si="2"/>
        <v>0</v>
      </c>
      <c r="P35" s="3"/>
      <c r="Q35" s="19">
        <f t="shared" si="3"/>
        <v>0</v>
      </c>
      <c r="R35" s="19">
        <v>0</v>
      </c>
      <c r="S35" s="19">
        <f t="shared" si="4"/>
        <v>0</v>
      </c>
      <c r="T35" s="19">
        <f t="shared" si="5"/>
        <v>0</v>
      </c>
      <c r="U35" s="19">
        <f t="shared" si="6"/>
        <v>0</v>
      </c>
      <c r="V35" s="19">
        <f t="shared" si="7"/>
        <v>0</v>
      </c>
      <c r="W35" s="19">
        <f t="shared" si="8"/>
        <v>0</v>
      </c>
      <c r="X35" s="20">
        <f t="shared" si="9"/>
        <v>0</v>
      </c>
      <c r="Y35" s="20">
        <f t="shared" si="10"/>
        <v>0</v>
      </c>
    </row>
    <row r="36" spans="1:25" ht="15.75" customHeight="1">
      <c r="A36" s="14" t="s">
        <v>82</v>
      </c>
      <c r="B36" s="15" t="s">
        <v>83</v>
      </c>
      <c r="C36" s="16">
        <v>19</v>
      </c>
      <c r="D36" s="16">
        <v>19</v>
      </c>
      <c r="E36" s="17">
        <v>2</v>
      </c>
      <c r="F36" s="18">
        <v>0</v>
      </c>
      <c r="G36" s="18">
        <v>0</v>
      </c>
      <c r="H36" s="18">
        <v>0</v>
      </c>
      <c r="I36" s="17">
        <v>0</v>
      </c>
      <c r="J36" s="17">
        <f t="shared" si="0"/>
        <v>2</v>
      </c>
      <c r="K36" s="17">
        <v>2</v>
      </c>
      <c r="L36" s="17">
        <v>0</v>
      </c>
      <c r="M36" s="17">
        <v>0</v>
      </c>
      <c r="N36" s="17">
        <f t="shared" si="1"/>
        <v>2</v>
      </c>
      <c r="O36" s="17">
        <f t="shared" si="2"/>
        <v>0</v>
      </c>
      <c r="P36" s="3"/>
      <c r="Q36" s="19">
        <f t="shared" si="3"/>
        <v>38</v>
      </c>
      <c r="R36" s="19">
        <v>0</v>
      </c>
      <c r="S36" s="19">
        <f t="shared" si="4"/>
        <v>0</v>
      </c>
      <c r="T36" s="19">
        <f t="shared" si="5"/>
        <v>0</v>
      </c>
      <c r="U36" s="19">
        <f t="shared" si="6"/>
        <v>0</v>
      </c>
      <c r="V36" s="19">
        <f t="shared" si="7"/>
        <v>0</v>
      </c>
      <c r="W36" s="19">
        <f t="shared" si="8"/>
        <v>38</v>
      </c>
      <c r="X36" s="20">
        <f t="shared" si="9"/>
        <v>38</v>
      </c>
      <c r="Y36" s="20">
        <f t="shared" si="10"/>
        <v>0</v>
      </c>
    </row>
    <row r="37" spans="1:25" ht="15.75" customHeight="1">
      <c r="A37" s="14" t="s">
        <v>84</v>
      </c>
      <c r="B37" s="15" t="s">
        <v>85</v>
      </c>
      <c r="C37" s="16">
        <v>262.36</v>
      </c>
      <c r="D37" s="16">
        <v>262.36</v>
      </c>
      <c r="E37" s="17">
        <v>3</v>
      </c>
      <c r="F37" s="18">
        <v>0</v>
      </c>
      <c r="G37" s="18">
        <v>0</v>
      </c>
      <c r="H37" s="18">
        <v>0</v>
      </c>
      <c r="I37" s="17">
        <v>0</v>
      </c>
      <c r="J37" s="17">
        <f t="shared" si="0"/>
        <v>3</v>
      </c>
      <c r="K37" s="17">
        <v>3</v>
      </c>
      <c r="L37" s="17">
        <v>0</v>
      </c>
      <c r="M37" s="17">
        <v>0</v>
      </c>
      <c r="N37" s="17">
        <f t="shared" si="1"/>
        <v>3</v>
      </c>
      <c r="O37" s="17">
        <f t="shared" si="2"/>
        <v>0</v>
      </c>
      <c r="P37" s="3"/>
      <c r="Q37" s="19">
        <f t="shared" si="3"/>
        <v>787.08</v>
      </c>
      <c r="R37" s="19">
        <v>0</v>
      </c>
      <c r="S37" s="19">
        <f t="shared" si="4"/>
        <v>0</v>
      </c>
      <c r="T37" s="19">
        <f t="shared" si="5"/>
        <v>0</v>
      </c>
      <c r="U37" s="19">
        <f t="shared" si="6"/>
        <v>0</v>
      </c>
      <c r="V37" s="19">
        <f t="shared" si="7"/>
        <v>0</v>
      </c>
      <c r="W37" s="19">
        <f t="shared" si="8"/>
        <v>787.08</v>
      </c>
      <c r="X37" s="20">
        <f t="shared" si="9"/>
        <v>787.08</v>
      </c>
      <c r="Y37" s="20">
        <f t="shared" si="10"/>
        <v>0</v>
      </c>
    </row>
    <row r="38" spans="1:25" ht="15.75" customHeight="1">
      <c r="A38" s="14" t="s">
        <v>86</v>
      </c>
      <c r="B38" s="15" t="s">
        <v>87</v>
      </c>
      <c r="C38" s="16">
        <v>5590</v>
      </c>
      <c r="D38" s="16">
        <v>5590</v>
      </c>
      <c r="E38" s="17">
        <v>1</v>
      </c>
      <c r="F38" s="18">
        <v>0</v>
      </c>
      <c r="G38" s="18">
        <v>0</v>
      </c>
      <c r="H38" s="18">
        <v>0</v>
      </c>
      <c r="I38" s="17">
        <v>0</v>
      </c>
      <c r="J38" s="17">
        <f t="shared" si="0"/>
        <v>1</v>
      </c>
      <c r="K38" s="17">
        <v>1</v>
      </c>
      <c r="L38" s="17">
        <v>0</v>
      </c>
      <c r="M38" s="17">
        <v>0</v>
      </c>
      <c r="N38" s="17">
        <f t="shared" si="1"/>
        <v>1</v>
      </c>
      <c r="O38" s="17">
        <f t="shared" si="2"/>
        <v>0</v>
      </c>
      <c r="P38" s="3"/>
      <c r="Q38" s="19">
        <f t="shared" si="3"/>
        <v>5590</v>
      </c>
      <c r="R38" s="19">
        <v>0</v>
      </c>
      <c r="S38" s="19">
        <f t="shared" si="4"/>
        <v>0</v>
      </c>
      <c r="T38" s="19">
        <f t="shared" si="5"/>
        <v>0</v>
      </c>
      <c r="U38" s="19">
        <f t="shared" si="6"/>
        <v>0</v>
      </c>
      <c r="V38" s="19">
        <f t="shared" si="7"/>
        <v>0</v>
      </c>
      <c r="W38" s="19">
        <f t="shared" si="8"/>
        <v>5590</v>
      </c>
      <c r="X38" s="20">
        <f t="shared" si="9"/>
        <v>5590</v>
      </c>
      <c r="Y38" s="20">
        <f t="shared" si="10"/>
        <v>0</v>
      </c>
    </row>
    <row r="39" spans="1:25" ht="14.25" customHeight="1">
      <c r="A39" s="14" t="s">
        <v>88</v>
      </c>
      <c r="B39" s="15" t="s">
        <v>89</v>
      </c>
      <c r="C39" s="16">
        <v>1250</v>
      </c>
      <c r="D39" s="16">
        <v>1250</v>
      </c>
      <c r="E39" s="17">
        <v>3</v>
      </c>
      <c r="F39" s="18">
        <v>0</v>
      </c>
      <c r="G39" s="18">
        <v>0</v>
      </c>
      <c r="H39" s="18">
        <v>0</v>
      </c>
      <c r="I39" s="17">
        <v>0</v>
      </c>
      <c r="J39" s="17">
        <f t="shared" si="0"/>
        <v>3</v>
      </c>
      <c r="K39" s="17">
        <v>3</v>
      </c>
      <c r="L39" s="17">
        <v>0</v>
      </c>
      <c r="M39" s="17">
        <v>0</v>
      </c>
      <c r="N39" s="17">
        <f t="shared" si="1"/>
        <v>3</v>
      </c>
      <c r="O39" s="17">
        <f t="shared" si="2"/>
        <v>0</v>
      </c>
      <c r="P39" s="3"/>
      <c r="Q39" s="19">
        <f t="shared" si="3"/>
        <v>3750</v>
      </c>
      <c r="R39" s="19">
        <v>0</v>
      </c>
      <c r="S39" s="19">
        <f t="shared" si="4"/>
        <v>0</v>
      </c>
      <c r="T39" s="19">
        <f t="shared" si="5"/>
        <v>0</v>
      </c>
      <c r="U39" s="19">
        <f t="shared" si="6"/>
        <v>0</v>
      </c>
      <c r="V39" s="19">
        <f t="shared" si="7"/>
        <v>0</v>
      </c>
      <c r="W39" s="19">
        <f t="shared" si="8"/>
        <v>3750</v>
      </c>
      <c r="X39" s="20">
        <f t="shared" si="9"/>
        <v>3750</v>
      </c>
      <c r="Y39" s="20">
        <f t="shared" si="10"/>
        <v>0</v>
      </c>
    </row>
    <row r="40" spans="1:25" ht="15.75" customHeight="1">
      <c r="A40" s="14" t="s">
        <v>90</v>
      </c>
      <c r="B40" s="15" t="s">
        <v>91</v>
      </c>
      <c r="C40" s="16">
        <v>760</v>
      </c>
      <c r="D40" s="16">
        <v>760</v>
      </c>
      <c r="E40" s="17">
        <v>2</v>
      </c>
      <c r="F40" s="18">
        <v>0</v>
      </c>
      <c r="G40" s="18">
        <v>0</v>
      </c>
      <c r="H40" s="18">
        <v>0</v>
      </c>
      <c r="I40" s="17">
        <v>0</v>
      </c>
      <c r="J40" s="17">
        <f t="shared" si="0"/>
        <v>2</v>
      </c>
      <c r="K40" s="17">
        <v>2</v>
      </c>
      <c r="L40" s="17">
        <v>0</v>
      </c>
      <c r="M40" s="17">
        <v>0</v>
      </c>
      <c r="N40" s="17">
        <f t="shared" si="1"/>
        <v>2</v>
      </c>
      <c r="O40" s="17">
        <f t="shared" si="2"/>
        <v>0</v>
      </c>
      <c r="P40" s="3"/>
      <c r="Q40" s="19">
        <f t="shared" si="3"/>
        <v>1520</v>
      </c>
      <c r="R40" s="19">
        <v>0</v>
      </c>
      <c r="S40" s="19">
        <f t="shared" si="4"/>
        <v>0</v>
      </c>
      <c r="T40" s="19">
        <f t="shared" si="5"/>
        <v>0</v>
      </c>
      <c r="U40" s="19">
        <f t="shared" si="6"/>
        <v>0</v>
      </c>
      <c r="V40" s="19">
        <f t="shared" si="7"/>
        <v>0</v>
      </c>
      <c r="W40" s="19">
        <f t="shared" si="8"/>
        <v>1520</v>
      </c>
      <c r="X40" s="20">
        <f t="shared" si="9"/>
        <v>1520</v>
      </c>
      <c r="Y40" s="20">
        <f t="shared" si="10"/>
        <v>0</v>
      </c>
    </row>
    <row r="41" spans="1:25" ht="15.75" customHeight="1">
      <c r="A41" s="14" t="s">
        <v>92</v>
      </c>
      <c r="B41" s="15" t="s">
        <v>93</v>
      </c>
      <c r="C41" s="16">
        <v>755</v>
      </c>
      <c r="D41" s="16">
        <v>755</v>
      </c>
      <c r="E41" s="17">
        <v>2</v>
      </c>
      <c r="F41" s="18">
        <v>0</v>
      </c>
      <c r="G41" s="18">
        <v>0</v>
      </c>
      <c r="H41" s="18">
        <v>0</v>
      </c>
      <c r="I41" s="17">
        <v>0</v>
      </c>
      <c r="J41" s="17">
        <f t="shared" si="0"/>
        <v>2</v>
      </c>
      <c r="K41" s="17">
        <v>2</v>
      </c>
      <c r="L41" s="17">
        <v>0</v>
      </c>
      <c r="M41" s="17">
        <v>0</v>
      </c>
      <c r="N41" s="17">
        <f t="shared" si="1"/>
        <v>2</v>
      </c>
      <c r="O41" s="17">
        <f t="shared" si="2"/>
        <v>0</v>
      </c>
      <c r="P41" s="3"/>
      <c r="Q41" s="19">
        <f t="shared" si="3"/>
        <v>1510</v>
      </c>
      <c r="R41" s="19">
        <v>0</v>
      </c>
      <c r="S41" s="19">
        <f t="shared" si="4"/>
        <v>0</v>
      </c>
      <c r="T41" s="19">
        <f t="shared" si="5"/>
        <v>0</v>
      </c>
      <c r="U41" s="19">
        <f t="shared" si="6"/>
        <v>0</v>
      </c>
      <c r="V41" s="19">
        <f t="shared" si="7"/>
        <v>0</v>
      </c>
      <c r="W41" s="19">
        <f t="shared" si="8"/>
        <v>1510</v>
      </c>
      <c r="X41" s="20">
        <f t="shared" si="9"/>
        <v>1510</v>
      </c>
      <c r="Y41" s="20">
        <f t="shared" si="10"/>
        <v>0</v>
      </c>
    </row>
    <row r="42" spans="1:25" ht="15.75" customHeight="1">
      <c r="A42" s="14" t="s">
        <v>94</v>
      </c>
      <c r="B42" s="15" t="s">
        <v>95</v>
      </c>
      <c r="C42" s="16">
        <v>0</v>
      </c>
      <c r="D42" s="16">
        <v>0</v>
      </c>
      <c r="E42" s="17">
        <v>0</v>
      </c>
      <c r="F42" s="18">
        <v>0</v>
      </c>
      <c r="G42" s="18">
        <v>0</v>
      </c>
      <c r="H42" s="18">
        <v>0</v>
      </c>
      <c r="I42" s="17">
        <v>0</v>
      </c>
      <c r="J42" s="17">
        <f t="shared" si="0"/>
        <v>0</v>
      </c>
      <c r="K42" s="17">
        <v>0</v>
      </c>
      <c r="L42" s="17">
        <v>0</v>
      </c>
      <c r="M42" s="17">
        <v>0</v>
      </c>
      <c r="N42" s="17">
        <f t="shared" si="1"/>
        <v>0</v>
      </c>
      <c r="O42" s="17">
        <f t="shared" si="2"/>
        <v>0</v>
      </c>
      <c r="P42" s="3"/>
      <c r="Q42" s="19">
        <f t="shared" si="3"/>
        <v>0</v>
      </c>
      <c r="R42" s="19">
        <v>0</v>
      </c>
      <c r="S42" s="19">
        <f t="shared" si="4"/>
        <v>0</v>
      </c>
      <c r="T42" s="19">
        <f t="shared" si="5"/>
        <v>0</v>
      </c>
      <c r="U42" s="19">
        <f t="shared" si="6"/>
        <v>0</v>
      </c>
      <c r="V42" s="19">
        <f t="shared" si="7"/>
        <v>0</v>
      </c>
      <c r="W42" s="19">
        <f t="shared" si="8"/>
        <v>0</v>
      </c>
      <c r="X42" s="20">
        <f t="shared" si="9"/>
        <v>0</v>
      </c>
      <c r="Y42" s="20">
        <f t="shared" si="10"/>
        <v>0</v>
      </c>
    </row>
    <row r="43" spans="1:25" ht="15.75" customHeight="1">
      <c r="A43" s="14" t="s">
        <v>96</v>
      </c>
      <c r="B43" s="15" t="s">
        <v>97</v>
      </c>
      <c r="C43" s="16">
        <v>610</v>
      </c>
      <c r="D43" s="16">
        <v>610</v>
      </c>
      <c r="E43" s="17">
        <v>2</v>
      </c>
      <c r="F43" s="18">
        <v>0</v>
      </c>
      <c r="G43" s="18">
        <v>0</v>
      </c>
      <c r="H43" s="18">
        <v>0</v>
      </c>
      <c r="I43" s="17">
        <v>0</v>
      </c>
      <c r="J43" s="17">
        <f t="shared" si="0"/>
        <v>2</v>
      </c>
      <c r="K43" s="17">
        <v>2</v>
      </c>
      <c r="L43" s="17">
        <v>0</v>
      </c>
      <c r="M43" s="17">
        <v>0</v>
      </c>
      <c r="N43" s="17">
        <f t="shared" si="1"/>
        <v>2</v>
      </c>
      <c r="O43" s="17">
        <f t="shared" si="2"/>
        <v>0</v>
      </c>
      <c r="P43" s="3"/>
      <c r="Q43" s="19">
        <f t="shared" si="3"/>
        <v>1220</v>
      </c>
      <c r="R43" s="19">
        <v>0</v>
      </c>
      <c r="S43" s="19">
        <f t="shared" si="4"/>
        <v>0</v>
      </c>
      <c r="T43" s="19">
        <f t="shared" si="5"/>
        <v>0</v>
      </c>
      <c r="U43" s="19">
        <f t="shared" si="6"/>
        <v>0</v>
      </c>
      <c r="V43" s="19">
        <f t="shared" si="7"/>
        <v>0</v>
      </c>
      <c r="W43" s="19">
        <f t="shared" si="8"/>
        <v>1220</v>
      </c>
      <c r="X43" s="20">
        <f t="shared" si="9"/>
        <v>1220</v>
      </c>
      <c r="Y43" s="20">
        <f t="shared" si="10"/>
        <v>0</v>
      </c>
    </row>
    <row r="44" spans="1:25" ht="15.75" customHeight="1">
      <c r="A44" s="14" t="s">
        <v>98</v>
      </c>
      <c r="B44" s="15" t="s">
        <v>99</v>
      </c>
      <c r="C44" s="16">
        <v>780</v>
      </c>
      <c r="D44" s="16">
        <v>780</v>
      </c>
      <c r="E44" s="17">
        <v>3</v>
      </c>
      <c r="F44" s="18">
        <v>0</v>
      </c>
      <c r="G44" s="18">
        <v>0</v>
      </c>
      <c r="H44" s="18">
        <v>0</v>
      </c>
      <c r="I44" s="17">
        <v>0</v>
      </c>
      <c r="J44" s="17">
        <f t="shared" si="0"/>
        <v>3</v>
      </c>
      <c r="K44" s="17">
        <v>3</v>
      </c>
      <c r="L44" s="17">
        <v>0</v>
      </c>
      <c r="M44" s="17">
        <v>0</v>
      </c>
      <c r="N44" s="17">
        <f t="shared" si="1"/>
        <v>3</v>
      </c>
      <c r="O44" s="17">
        <f t="shared" si="2"/>
        <v>0</v>
      </c>
      <c r="P44" s="3"/>
      <c r="Q44" s="19">
        <f t="shared" si="3"/>
        <v>2340</v>
      </c>
      <c r="R44" s="19">
        <v>0</v>
      </c>
      <c r="S44" s="19">
        <f t="shared" si="4"/>
        <v>0</v>
      </c>
      <c r="T44" s="19">
        <f t="shared" si="5"/>
        <v>0</v>
      </c>
      <c r="U44" s="19">
        <f t="shared" si="6"/>
        <v>0</v>
      </c>
      <c r="V44" s="19">
        <f t="shared" si="7"/>
        <v>0</v>
      </c>
      <c r="W44" s="19">
        <f t="shared" si="8"/>
        <v>2340</v>
      </c>
      <c r="X44" s="20">
        <f t="shared" si="9"/>
        <v>2340</v>
      </c>
      <c r="Y44" s="20">
        <f t="shared" si="10"/>
        <v>0</v>
      </c>
    </row>
    <row r="45" spans="1:25" ht="15.75" customHeight="1">
      <c r="A45" s="14" t="s">
        <v>100</v>
      </c>
      <c r="B45" s="15" t="s">
        <v>101</v>
      </c>
      <c r="C45" s="16">
        <v>960</v>
      </c>
      <c r="D45" s="16">
        <v>960</v>
      </c>
      <c r="E45" s="17">
        <v>3</v>
      </c>
      <c r="F45" s="18">
        <v>0</v>
      </c>
      <c r="G45" s="18">
        <v>0</v>
      </c>
      <c r="H45" s="18">
        <v>0</v>
      </c>
      <c r="I45" s="17">
        <v>0</v>
      </c>
      <c r="J45" s="17">
        <f t="shared" si="0"/>
        <v>3</v>
      </c>
      <c r="K45" s="17">
        <v>3</v>
      </c>
      <c r="L45" s="17">
        <v>0</v>
      </c>
      <c r="M45" s="17">
        <v>0</v>
      </c>
      <c r="N45" s="17">
        <f t="shared" si="1"/>
        <v>3</v>
      </c>
      <c r="O45" s="17">
        <f t="shared" si="2"/>
        <v>0</v>
      </c>
      <c r="P45" s="3"/>
      <c r="Q45" s="19">
        <f t="shared" si="3"/>
        <v>2880</v>
      </c>
      <c r="R45" s="19">
        <v>0</v>
      </c>
      <c r="S45" s="19">
        <f t="shared" si="4"/>
        <v>0</v>
      </c>
      <c r="T45" s="19">
        <f t="shared" si="5"/>
        <v>0</v>
      </c>
      <c r="U45" s="19">
        <f t="shared" si="6"/>
        <v>0</v>
      </c>
      <c r="V45" s="19">
        <f t="shared" si="7"/>
        <v>0</v>
      </c>
      <c r="W45" s="19">
        <f t="shared" si="8"/>
        <v>2880</v>
      </c>
      <c r="X45" s="20">
        <f t="shared" si="9"/>
        <v>2880</v>
      </c>
      <c r="Y45" s="20">
        <f t="shared" si="10"/>
        <v>0</v>
      </c>
    </row>
    <row r="46" spans="1:25" ht="15.75" customHeight="1">
      <c r="A46" s="14" t="s">
        <v>102</v>
      </c>
      <c r="B46" s="15" t="s">
        <v>103</v>
      </c>
      <c r="C46" s="16">
        <v>8.6</v>
      </c>
      <c r="D46" s="16">
        <v>8.6</v>
      </c>
      <c r="E46" s="17">
        <v>50</v>
      </c>
      <c r="F46" s="18">
        <v>0</v>
      </c>
      <c r="G46" s="18">
        <v>0</v>
      </c>
      <c r="H46" s="18">
        <v>0</v>
      </c>
      <c r="I46" s="17">
        <v>0</v>
      </c>
      <c r="J46" s="17">
        <f t="shared" si="0"/>
        <v>50</v>
      </c>
      <c r="K46" s="17">
        <v>50</v>
      </c>
      <c r="L46" s="17">
        <v>0</v>
      </c>
      <c r="M46" s="17">
        <v>0</v>
      </c>
      <c r="N46" s="17">
        <f t="shared" si="1"/>
        <v>50</v>
      </c>
      <c r="O46" s="17">
        <f t="shared" si="2"/>
        <v>0</v>
      </c>
      <c r="P46" s="3"/>
      <c r="Q46" s="19">
        <f t="shared" si="3"/>
        <v>430</v>
      </c>
      <c r="R46" s="19">
        <v>0</v>
      </c>
      <c r="S46" s="19">
        <f t="shared" si="4"/>
        <v>0</v>
      </c>
      <c r="T46" s="19">
        <f t="shared" si="5"/>
        <v>0</v>
      </c>
      <c r="U46" s="19">
        <f t="shared" si="6"/>
        <v>0</v>
      </c>
      <c r="V46" s="19">
        <f t="shared" si="7"/>
        <v>0</v>
      </c>
      <c r="W46" s="19">
        <f t="shared" si="8"/>
        <v>430</v>
      </c>
      <c r="X46" s="20">
        <f t="shared" si="9"/>
        <v>430</v>
      </c>
      <c r="Y46" s="20">
        <f t="shared" si="10"/>
        <v>0</v>
      </c>
    </row>
    <row r="47" spans="1:25" ht="15.75" customHeight="1">
      <c r="A47" s="14" t="s">
        <v>104</v>
      </c>
      <c r="B47" s="15" t="s">
        <v>105</v>
      </c>
      <c r="C47" s="16">
        <v>1120</v>
      </c>
      <c r="D47" s="16">
        <v>1120</v>
      </c>
      <c r="E47" s="17">
        <v>1</v>
      </c>
      <c r="F47" s="18">
        <v>0</v>
      </c>
      <c r="G47" s="18">
        <v>0</v>
      </c>
      <c r="H47" s="18">
        <v>0</v>
      </c>
      <c r="I47" s="17">
        <v>0</v>
      </c>
      <c r="J47" s="17">
        <f t="shared" si="0"/>
        <v>1</v>
      </c>
      <c r="K47" s="17">
        <v>1</v>
      </c>
      <c r="L47" s="17">
        <v>0</v>
      </c>
      <c r="M47" s="17">
        <v>0</v>
      </c>
      <c r="N47" s="17">
        <f t="shared" si="1"/>
        <v>1</v>
      </c>
      <c r="O47" s="17">
        <f t="shared" si="2"/>
        <v>0</v>
      </c>
      <c r="P47" s="3"/>
      <c r="Q47" s="19">
        <f t="shared" si="3"/>
        <v>1120</v>
      </c>
      <c r="R47" s="19">
        <v>0</v>
      </c>
      <c r="S47" s="19">
        <f t="shared" si="4"/>
        <v>0</v>
      </c>
      <c r="T47" s="19">
        <f t="shared" si="5"/>
        <v>0</v>
      </c>
      <c r="U47" s="19">
        <f t="shared" si="6"/>
        <v>0</v>
      </c>
      <c r="V47" s="19">
        <f t="shared" si="7"/>
        <v>0</v>
      </c>
      <c r="W47" s="19">
        <f t="shared" si="8"/>
        <v>1120</v>
      </c>
      <c r="X47" s="20">
        <f t="shared" si="9"/>
        <v>1120</v>
      </c>
      <c r="Y47" s="20">
        <f t="shared" si="10"/>
        <v>0</v>
      </c>
    </row>
    <row r="48" spans="1:25" ht="15.75" customHeight="1">
      <c r="A48" s="14" t="s">
        <v>106</v>
      </c>
      <c r="B48" s="15" t="s">
        <v>107</v>
      </c>
      <c r="C48" s="16">
        <v>1949.99</v>
      </c>
      <c r="D48" s="16">
        <v>1949.99</v>
      </c>
      <c r="E48" s="17">
        <v>2</v>
      </c>
      <c r="F48" s="18">
        <v>0</v>
      </c>
      <c r="G48" s="18">
        <v>0</v>
      </c>
      <c r="H48" s="18">
        <v>0</v>
      </c>
      <c r="I48" s="17">
        <v>0</v>
      </c>
      <c r="J48" s="17">
        <f t="shared" si="0"/>
        <v>2</v>
      </c>
      <c r="K48" s="17">
        <v>2</v>
      </c>
      <c r="L48" s="17">
        <v>0</v>
      </c>
      <c r="M48" s="17">
        <v>0</v>
      </c>
      <c r="N48" s="17">
        <f t="shared" si="1"/>
        <v>2</v>
      </c>
      <c r="O48" s="17">
        <f t="shared" si="2"/>
        <v>0</v>
      </c>
      <c r="P48" s="3"/>
      <c r="Q48" s="19">
        <f t="shared" si="3"/>
        <v>3899.98</v>
      </c>
      <c r="R48" s="19">
        <v>0</v>
      </c>
      <c r="S48" s="19">
        <f t="shared" si="4"/>
        <v>0</v>
      </c>
      <c r="T48" s="19">
        <f t="shared" si="5"/>
        <v>0</v>
      </c>
      <c r="U48" s="19">
        <f t="shared" si="6"/>
        <v>0</v>
      </c>
      <c r="V48" s="19">
        <f t="shared" si="7"/>
        <v>0</v>
      </c>
      <c r="W48" s="19">
        <f t="shared" si="8"/>
        <v>3899.98</v>
      </c>
      <c r="X48" s="20">
        <f t="shared" si="9"/>
        <v>3899.98</v>
      </c>
      <c r="Y48" s="20">
        <f t="shared" si="10"/>
        <v>0</v>
      </c>
    </row>
    <row r="49" spans="1:25" ht="15.75" customHeight="1">
      <c r="A49" s="14" t="s">
        <v>108</v>
      </c>
      <c r="B49" s="15" t="s">
        <v>109</v>
      </c>
      <c r="C49" s="16">
        <v>0</v>
      </c>
      <c r="D49" s="16">
        <v>0</v>
      </c>
      <c r="E49" s="17">
        <v>0</v>
      </c>
      <c r="F49" s="18">
        <v>0</v>
      </c>
      <c r="G49" s="18">
        <v>0</v>
      </c>
      <c r="H49" s="18">
        <v>0</v>
      </c>
      <c r="I49" s="17">
        <v>0</v>
      </c>
      <c r="J49" s="17">
        <f t="shared" si="0"/>
        <v>0</v>
      </c>
      <c r="K49" s="17">
        <v>0</v>
      </c>
      <c r="L49" s="17">
        <v>0</v>
      </c>
      <c r="M49" s="17">
        <v>0</v>
      </c>
      <c r="N49" s="17">
        <f t="shared" si="1"/>
        <v>0</v>
      </c>
      <c r="O49" s="17">
        <f t="shared" si="2"/>
        <v>0</v>
      </c>
      <c r="P49" s="3"/>
      <c r="Q49" s="19">
        <f t="shared" si="3"/>
        <v>0</v>
      </c>
      <c r="R49" s="19">
        <v>0</v>
      </c>
      <c r="S49" s="19">
        <f t="shared" si="4"/>
        <v>0</v>
      </c>
      <c r="T49" s="19">
        <f t="shared" si="5"/>
        <v>0</v>
      </c>
      <c r="U49" s="19">
        <f t="shared" si="6"/>
        <v>0</v>
      </c>
      <c r="V49" s="19">
        <f t="shared" si="7"/>
        <v>0</v>
      </c>
      <c r="W49" s="19">
        <f t="shared" si="8"/>
        <v>0</v>
      </c>
      <c r="X49" s="20">
        <f t="shared" si="9"/>
        <v>0</v>
      </c>
      <c r="Y49" s="20">
        <f t="shared" si="10"/>
        <v>0</v>
      </c>
    </row>
    <row r="50" spans="1:25" ht="15.75" customHeight="1">
      <c r="A50" s="14" t="s">
        <v>110</v>
      </c>
      <c r="B50" s="15" t="s">
        <v>111</v>
      </c>
      <c r="C50" s="16">
        <v>480</v>
      </c>
      <c r="D50" s="16">
        <v>480</v>
      </c>
      <c r="E50" s="17">
        <v>0</v>
      </c>
      <c r="F50" s="18">
        <v>0</v>
      </c>
      <c r="G50" s="18">
        <v>0</v>
      </c>
      <c r="H50" s="18">
        <v>0</v>
      </c>
      <c r="I50" s="17">
        <v>0</v>
      </c>
      <c r="J50" s="17">
        <f t="shared" si="0"/>
        <v>0</v>
      </c>
      <c r="K50" s="17">
        <v>0</v>
      </c>
      <c r="L50" s="17">
        <v>0</v>
      </c>
      <c r="M50" s="17">
        <v>0</v>
      </c>
      <c r="N50" s="17">
        <f t="shared" si="1"/>
        <v>0</v>
      </c>
      <c r="O50" s="17">
        <f t="shared" si="2"/>
        <v>0</v>
      </c>
      <c r="P50" s="3"/>
      <c r="Q50" s="19">
        <f t="shared" si="3"/>
        <v>0</v>
      </c>
      <c r="R50" s="19">
        <v>0</v>
      </c>
      <c r="S50" s="19">
        <f t="shared" si="4"/>
        <v>0</v>
      </c>
      <c r="T50" s="19">
        <f t="shared" si="5"/>
        <v>0</v>
      </c>
      <c r="U50" s="19">
        <f t="shared" si="6"/>
        <v>0</v>
      </c>
      <c r="V50" s="19">
        <f t="shared" si="7"/>
        <v>0</v>
      </c>
      <c r="W50" s="19">
        <f t="shared" si="8"/>
        <v>0</v>
      </c>
      <c r="X50" s="20">
        <f t="shared" si="9"/>
        <v>0</v>
      </c>
      <c r="Y50" s="20">
        <f t="shared" si="10"/>
        <v>0</v>
      </c>
    </row>
    <row r="51" spans="1:25" ht="15.75" customHeight="1">
      <c r="A51" s="14" t="s">
        <v>112</v>
      </c>
      <c r="B51" s="15" t="s">
        <v>113</v>
      </c>
      <c r="C51" s="16">
        <v>310</v>
      </c>
      <c r="D51" s="16">
        <v>310</v>
      </c>
      <c r="E51" s="17">
        <v>1</v>
      </c>
      <c r="F51" s="18">
        <v>0</v>
      </c>
      <c r="G51" s="18">
        <v>0</v>
      </c>
      <c r="H51" s="18">
        <v>0</v>
      </c>
      <c r="I51" s="17">
        <v>0</v>
      </c>
      <c r="J51" s="17">
        <f t="shared" si="0"/>
        <v>1</v>
      </c>
      <c r="K51" s="17">
        <v>1</v>
      </c>
      <c r="L51" s="17">
        <v>0</v>
      </c>
      <c r="M51" s="17">
        <v>0</v>
      </c>
      <c r="N51" s="17">
        <f t="shared" si="1"/>
        <v>1</v>
      </c>
      <c r="O51" s="17">
        <f t="shared" si="2"/>
        <v>0</v>
      </c>
      <c r="P51" s="3"/>
      <c r="Q51" s="19">
        <f t="shared" si="3"/>
        <v>310</v>
      </c>
      <c r="R51" s="19">
        <v>0</v>
      </c>
      <c r="S51" s="19">
        <f t="shared" si="4"/>
        <v>0</v>
      </c>
      <c r="T51" s="19">
        <f t="shared" si="5"/>
        <v>0</v>
      </c>
      <c r="U51" s="19">
        <f t="shared" si="6"/>
        <v>0</v>
      </c>
      <c r="V51" s="19">
        <f t="shared" si="7"/>
        <v>0</v>
      </c>
      <c r="W51" s="19">
        <f t="shared" si="8"/>
        <v>310</v>
      </c>
      <c r="X51" s="20">
        <f t="shared" si="9"/>
        <v>310</v>
      </c>
      <c r="Y51" s="20">
        <f t="shared" si="10"/>
        <v>0</v>
      </c>
    </row>
    <row r="52" spans="1:25" ht="15.75" customHeight="1">
      <c r="A52" s="14" t="s">
        <v>114</v>
      </c>
      <c r="B52" s="15" t="s">
        <v>115</v>
      </c>
      <c r="C52" s="16">
        <v>2.46</v>
      </c>
      <c r="D52" s="16">
        <v>2.46</v>
      </c>
      <c r="E52" s="17">
        <v>100</v>
      </c>
      <c r="F52" s="18">
        <v>0</v>
      </c>
      <c r="G52" s="18">
        <v>0</v>
      </c>
      <c r="H52" s="18">
        <v>0</v>
      </c>
      <c r="I52" s="17">
        <v>0</v>
      </c>
      <c r="J52" s="17">
        <f t="shared" si="0"/>
        <v>100</v>
      </c>
      <c r="K52" s="17">
        <v>100</v>
      </c>
      <c r="L52" s="17">
        <v>0</v>
      </c>
      <c r="M52" s="17">
        <v>0</v>
      </c>
      <c r="N52" s="17">
        <f t="shared" si="1"/>
        <v>100</v>
      </c>
      <c r="O52" s="17">
        <f t="shared" si="2"/>
        <v>0</v>
      </c>
      <c r="P52" s="3"/>
      <c r="Q52" s="19">
        <f t="shared" si="3"/>
        <v>246</v>
      </c>
      <c r="R52" s="19">
        <v>0</v>
      </c>
      <c r="S52" s="19">
        <f t="shared" si="4"/>
        <v>0</v>
      </c>
      <c r="T52" s="19">
        <f t="shared" si="5"/>
        <v>0</v>
      </c>
      <c r="U52" s="19">
        <f t="shared" si="6"/>
        <v>0</v>
      </c>
      <c r="V52" s="19">
        <f t="shared" si="7"/>
        <v>0</v>
      </c>
      <c r="W52" s="19">
        <f t="shared" si="8"/>
        <v>246</v>
      </c>
      <c r="X52" s="20">
        <f t="shared" si="9"/>
        <v>246</v>
      </c>
      <c r="Y52" s="20">
        <f t="shared" si="10"/>
        <v>0</v>
      </c>
    </row>
    <row r="53" spans="1:25" ht="15.75" customHeight="1">
      <c r="A53" s="14" t="s">
        <v>116</v>
      </c>
      <c r="B53" s="15" t="s">
        <v>117</v>
      </c>
      <c r="C53" s="16">
        <v>625.82000000000005</v>
      </c>
      <c r="D53" s="16">
        <v>625.82000000000005</v>
      </c>
      <c r="E53" s="17">
        <v>2</v>
      </c>
      <c r="F53" s="18">
        <v>0</v>
      </c>
      <c r="G53" s="18">
        <v>0</v>
      </c>
      <c r="H53" s="18">
        <v>0</v>
      </c>
      <c r="I53" s="17">
        <v>0</v>
      </c>
      <c r="J53" s="17">
        <f t="shared" si="0"/>
        <v>2</v>
      </c>
      <c r="K53" s="17">
        <v>2</v>
      </c>
      <c r="L53" s="17">
        <v>0</v>
      </c>
      <c r="M53" s="17">
        <v>0</v>
      </c>
      <c r="N53" s="17">
        <f t="shared" si="1"/>
        <v>2</v>
      </c>
      <c r="O53" s="17">
        <f t="shared" si="2"/>
        <v>0</v>
      </c>
      <c r="P53" s="3"/>
      <c r="Q53" s="19">
        <f t="shared" si="3"/>
        <v>1251.6400000000001</v>
      </c>
      <c r="R53" s="19">
        <v>0</v>
      </c>
      <c r="S53" s="19">
        <f t="shared" si="4"/>
        <v>0</v>
      </c>
      <c r="T53" s="19">
        <f t="shared" si="5"/>
        <v>0</v>
      </c>
      <c r="U53" s="19">
        <f t="shared" si="6"/>
        <v>0</v>
      </c>
      <c r="V53" s="19">
        <f t="shared" si="7"/>
        <v>0</v>
      </c>
      <c r="W53" s="19">
        <f t="shared" si="8"/>
        <v>1251.6400000000001</v>
      </c>
      <c r="X53" s="20">
        <f t="shared" si="9"/>
        <v>1251.6400000000001</v>
      </c>
      <c r="Y53" s="20">
        <f t="shared" si="10"/>
        <v>0</v>
      </c>
    </row>
    <row r="54" spans="1:25" ht="15.75" customHeight="1">
      <c r="A54" s="14" t="s">
        <v>118</v>
      </c>
      <c r="B54" s="15" t="s">
        <v>119</v>
      </c>
      <c r="C54" s="16">
        <v>625.82000000000005</v>
      </c>
      <c r="D54" s="16">
        <v>625.82000000000005</v>
      </c>
      <c r="E54" s="17">
        <v>2</v>
      </c>
      <c r="F54" s="18">
        <v>0</v>
      </c>
      <c r="G54" s="18">
        <v>0</v>
      </c>
      <c r="H54" s="18">
        <v>0</v>
      </c>
      <c r="I54" s="17">
        <v>0</v>
      </c>
      <c r="J54" s="17">
        <f t="shared" si="0"/>
        <v>2</v>
      </c>
      <c r="K54" s="17">
        <v>2</v>
      </c>
      <c r="L54" s="17">
        <v>0</v>
      </c>
      <c r="M54" s="17">
        <v>0</v>
      </c>
      <c r="N54" s="17">
        <f t="shared" si="1"/>
        <v>2</v>
      </c>
      <c r="O54" s="17">
        <f t="shared" si="2"/>
        <v>0</v>
      </c>
      <c r="P54" s="3"/>
      <c r="Q54" s="19">
        <f t="shared" si="3"/>
        <v>1251.6400000000001</v>
      </c>
      <c r="R54" s="19">
        <v>0</v>
      </c>
      <c r="S54" s="19">
        <f t="shared" si="4"/>
        <v>0</v>
      </c>
      <c r="T54" s="19">
        <f t="shared" si="5"/>
        <v>0</v>
      </c>
      <c r="U54" s="19">
        <f t="shared" si="6"/>
        <v>0</v>
      </c>
      <c r="V54" s="19">
        <f t="shared" si="7"/>
        <v>0</v>
      </c>
      <c r="W54" s="19">
        <f t="shared" si="8"/>
        <v>1251.6400000000001</v>
      </c>
      <c r="X54" s="20">
        <f t="shared" si="9"/>
        <v>1251.6400000000001</v>
      </c>
      <c r="Y54" s="20">
        <f t="shared" si="10"/>
        <v>0</v>
      </c>
    </row>
    <row r="55" spans="1:25" ht="15.75" customHeight="1">
      <c r="A55" s="14" t="s">
        <v>120</v>
      </c>
      <c r="B55" s="15" t="s">
        <v>121</v>
      </c>
      <c r="C55" s="16">
        <v>625.82000000000005</v>
      </c>
      <c r="D55" s="16">
        <v>625.82000000000005</v>
      </c>
      <c r="E55" s="17">
        <v>2</v>
      </c>
      <c r="F55" s="18">
        <v>0</v>
      </c>
      <c r="G55" s="18">
        <v>0</v>
      </c>
      <c r="H55" s="18">
        <v>0</v>
      </c>
      <c r="I55" s="17">
        <v>0</v>
      </c>
      <c r="J55" s="17">
        <f t="shared" si="0"/>
        <v>2</v>
      </c>
      <c r="K55" s="17">
        <v>2</v>
      </c>
      <c r="L55" s="17">
        <v>0</v>
      </c>
      <c r="M55" s="17">
        <v>0</v>
      </c>
      <c r="N55" s="17">
        <f t="shared" si="1"/>
        <v>2</v>
      </c>
      <c r="O55" s="17">
        <f t="shared" si="2"/>
        <v>0</v>
      </c>
      <c r="P55" s="3"/>
      <c r="Q55" s="19">
        <f t="shared" si="3"/>
        <v>1251.6400000000001</v>
      </c>
      <c r="R55" s="19">
        <v>0</v>
      </c>
      <c r="S55" s="19">
        <f t="shared" si="4"/>
        <v>0</v>
      </c>
      <c r="T55" s="19">
        <f t="shared" si="5"/>
        <v>0</v>
      </c>
      <c r="U55" s="19">
        <f t="shared" si="6"/>
        <v>0</v>
      </c>
      <c r="V55" s="19">
        <f t="shared" si="7"/>
        <v>0</v>
      </c>
      <c r="W55" s="19">
        <f t="shared" si="8"/>
        <v>1251.6400000000001</v>
      </c>
      <c r="X55" s="20">
        <f t="shared" si="9"/>
        <v>1251.6400000000001</v>
      </c>
      <c r="Y55" s="20">
        <f t="shared" si="10"/>
        <v>0</v>
      </c>
    </row>
    <row r="56" spans="1:25" ht="15.75" customHeight="1">
      <c r="A56" s="14" t="s">
        <v>122</v>
      </c>
      <c r="B56" s="15" t="s">
        <v>123</v>
      </c>
      <c r="C56" s="16">
        <v>625.82000000000005</v>
      </c>
      <c r="D56" s="16">
        <v>625.82000000000005</v>
      </c>
      <c r="E56" s="17">
        <v>2</v>
      </c>
      <c r="F56" s="18">
        <v>0</v>
      </c>
      <c r="G56" s="18">
        <v>0</v>
      </c>
      <c r="H56" s="18">
        <v>0</v>
      </c>
      <c r="I56" s="17">
        <v>0</v>
      </c>
      <c r="J56" s="17">
        <f t="shared" si="0"/>
        <v>2</v>
      </c>
      <c r="K56" s="17">
        <v>2</v>
      </c>
      <c r="L56" s="17">
        <v>0</v>
      </c>
      <c r="M56" s="17">
        <v>0</v>
      </c>
      <c r="N56" s="17">
        <f t="shared" si="1"/>
        <v>2</v>
      </c>
      <c r="O56" s="17">
        <f t="shared" si="2"/>
        <v>0</v>
      </c>
      <c r="P56" s="3"/>
      <c r="Q56" s="19">
        <f t="shared" si="3"/>
        <v>1251.6400000000001</v>
      </c>
      <c r="R56" s="19">
        <v>0</v>
      </c>
      <c r="S56" s="19">
        <f t="shared" si="4"/>
        <v>0</v>
      </c>
      <c r="T56" s="19">
        <f t="shared" si="5"/>
        <v>0</v>
      </c>
      <c r="U56" s="19">
        <f t="shared" si="6"/>
        <v>0</v>
      </c>
      <c r="V56" s="19">
        <f t="shared" si="7"/>
        <v>0</v>
      </c>
      <c r="W56" s="19">
        <f t="shared" si="8"/>
        <v>1251.6400000000001</v>
      </c>
      <c r="X56" s="20">
        <f t="shared" si="9"/>
        <v>1251.6400000000001</v>
      </c>
      <c r="Y56" s="20">
        <f t="shared" si="10"/>
        <v>0</v>
      </c>
    </row>
    <row r="57" spans="1:25" ht="15.75" customHeight="1">
      <c r="A57" s="14" t="s">
        <v>124</v>
      </c>
      <c r="B57" s="15" t="s">
        <v>125</v>
      </c>
      <c r="C57" s="16">
        <v>1300</v>
      </c>
      <c r="D57" s="16">
        <v>1300</v>
      </c>
      <c r="E57" s="17">
        <v>1</v>
      </c>
      <c r="F57" s="18">
        <v>0</v>
      </c>
      <c r="G57" s="18">
        <v>0</v>
      </c>
      <c r="H57" s="18">
        <v>0</v>
      </c>
      <c r="I57" s="17">
        <v>0</v>
      </c>
      <c r="J57" s="17">
        <f t="shared" si="0"/>
        <v>1</v>
      </c>
      <c r="K57" s="17">
        <v>1</v>
      </c>
      <c r="L57" s="17">
        <v>0</v>
      </c>
      <c r="M57" s="17">
        <v>0</v>
      </c>
      <c r="N57" s="17">
        <f t="shared" si="1"/>
        <v>1</v>
      </c>
      <c r="O57" s="17">
        <f t="shared" si="2"/>
        <v>0</v>
      </c>
      <c r="P57" s="3"/>
      <c r="Q57" s="19">
        <f t="shared" si="3"/>
        <v>1300</v>
      </c>
      <c r="R57" s="19">
        <v>0</v>
      </c>
      <c r="S57" s="19">
        <f t="shared" si="4"/>
        <v>0</v>
      </c>
      <c r="T57" s="19">
        <f t="shared" si="5"/>
        <v>0</v>
      </c>
      <c r="U57" s="19">
        <f t="shared" si="6"/>
        <v>0</v>
      </c>
      <c r="V57" s="19">
        <f t="shared" si="7"/>
        <v>0</v>
      </c>
      <c r="W57" s="19">
        <f t="shared" si="8"/>
        <v>1300</v>
      </c>
      <c r="X57" s="20">
        <f t="shared" si="9"/>
        <v>1300</v>
      </c>
      <c r="Y57" s="20">
        <f t="shared" si="10"/>
        <v>0</v>
      </c>
    </row>
    <row r="58" spans="1:25" ht="15.75" customHeight="1">
      <c r="A58" s="14" t="s">
        <v>126</v>
      </c>
      <c r="B58" s="15" t="s">
        <v>127</v>
      </c>
      <c r="C58" s="16">
        <v>185</v>
      </c>
      <c r="D58" s="16">
        <v>185</v>
      </c>
      <c r="E58" s="17">
        <v>0</v>
      </c>
      <c r="F58" s="18">
        <v>0</v>
      </c>
      <c r="G58" s="18">
        <v>0</v>
      </c>
      <c r="H58" s="18">
        <v>0</v>
      </c>
      <c r="I58" s="17">
        <v>0</v>
      </c>
      <c r="J58" s="17">
        <f t="shared" si="0"/>
        <v>0</v>
      </c>
      <c r="K58" s="17">
        <v>0</v>
      </c>
      <c r="L58" s="17">
        <v>0</v>
      </c>
      <c r="M58" s="17">
        <v>0</v>
      </c>
      <c r="N58" s="17">
        <f t="shared" si="1"/>
        <v>0</v>
      </c>
      <c r="O58" s="17">
        <f t="shared" si="2"/>
        <v>0</v>
      </c>
      <c r="P58" s="3"/>
      <c r="Q58" s="19">
        <f t="shared" si="3"/>
        <v>0</v>
      </c>
      <c r="R58" s="19">
        <v>0</v>
      </c>
      <c r="S58" s="19">
        <f t="shared" si="4"/>
        <v>0</v>
      </c>
      <c r="T58" s="19">
        <f t="shared" si="5"/>
        <v>0</v>
      </c>
      <c r="U58" s="19">
        <f t="shared" si="6"/>
        <v>0</v>
      </c>
      <c r="V58" s="19">
        <f t="shared" si="7"/>
        <v>0</v>
      </c>
      <c r="W58" s="19">
        <f t="shared" si="8"/>
        <v>0</v>
      </c>
      <c r="X58" s="20">
        <f t="shared" si="9"/>
        <v>0</v>
      </c>
      <c r="Y58" s="20">
        <f t="shared" si="10"/>
        <v>0</v>
      </c>
    </row>
    <row r="59" spans="1:25" ht="15.75" customHeight="1">
      <c r="A59" s="14" t="s">
        <v>128</v>
      </c>
      <c r="B59" s="15" t="s">
        <v>129</v>
      </c>
      <c r="C59" s="16">
        <v>465</v>
      </c>
      <c r="D59" s="16">
        <v>465</v>
      </c>
      <c r="E59" s="17">
        <v>1</v>
      </c>
      <c r="F59" s="18">
        <v>0</v>
      </c>
      <c r="G59" s="18">
        <v>0</v>
      </c>
      <c r="H59" s="18">
        <v>0</v>
      </c>
      <c r="I59" s="17">
        <v>0</v>
      </c>
      <c r="J59" s="17">
        <f t="shared" si="0"/>
        <v>1</v>
      </c>
      <c r="K59" s="17">
        <v>1</v>
      </c>
      <c r="L59" s="17">
        <v>0</v>
      </c>
      <c r="M59" s="17">
        <v>0</v>
      </c>
      <c r="N59" s="17">
        <f t="shared" si="1"/>
        <v>1</v>
      </c>
      <c r="O59" s="17">
        <f t="shared" si="2"/>
        <v>0</v>
      </c>
      <c r="P59" s="3"/>
      <c r="Q59" s="19">
        <f t="shared" si="3"/>
        <v>465</v>
      </c>
      <c r="R59" s="19">
        <v>0</v>
      </c>
      <c r="S59" s="19">
        <f t="shared" si="4"/>
        <v>0</v>
      </c>
      <c r="T59" s="19">
        <f t="shared" si="5"/>
        <v>0</v>
      </c>
      <c r="U59" s="19">
        <f t="shared" si="6"/>
        <v>0</v>
      </c>
      <c r="V59" s="19">
        <f t="shared" si="7"/>
        <v>0</v>
      </c>
      <c r="W59" s="19">
        <f t="shared" si="8"/>
        <v>465</v>
      </c>
      <c r="X59" s="20">
        <f t="shared" si="9"/>
        <v>465</v>
      </c>
      <c r="Y59" s="20">
        <f t="shared" si="10"/>
        <v>0</v>
      </c>
    </row>
    <row r="60" spans="1:25" ht="15.75" customHeight="1">
      <c r="A60" s="14" t="s">
        <v>130</v>
      </c>
      <c r="B60" s="15" t="s">
        <v>131</v>
      </c>
      <c r="C60" s="16">
        <v>8.99</v>
      </c>
      <c r="D60" s="16">
        <v>8.99</v>
      </c>
      <c r="E60" s="17">
        <v>50</v>
      </c>
      <c r="F60" s="18">
        <v>0</v>
      </c>
      <c r="G60" s="18">
        <v>0</v>
      </c>
      <c r="H60" s="18">
        <v>0</v>
      </c>
      <c r="I60" s="17">
        <v>0</v>
      </c>
      <c r="J60" s="17">
        <f t="shared" si="0"/>
        <v>50</v>
      </c>
      <c r="K60" s="17">
        <v>50</v>
      </c>
      <c r="L60" s="17">
        <v>0</v>
      </c>
      <c r="M60" s="17">
        <v>0</v>
      </c>
      <c r="N60" s="17">
        <f t="shared" si="1"/>
        <v>50</v>
      </c>
      <c r="O60" s="17">
        <f t="shared" si="2"/>
        <v>0</v>
      </c>
      <c r="P60" s="3"/>
      <c r="Q60" s="19">
        <f t="shared" si="3"/>
        <v>449.5</v>
      </c>
      <c r="R60" s="19">
        <v>0</v>
      </c>
      <c r="S60" s="19">
        <f t="shared" si="4"/>
        <v>0</v>
      </c>
      <c r="T60" s="19">
        <f t="shared" si="5"/>
        <v>0</v>
      </c>
      <c r="U60" s="19">
        <f t="shared" si="6"/>
        <v>0</v>
      </c>
      <c r="V60" s="19">
        <f t="shared" si="7"/>
        <v>0</v>
      </c>
      <c r="W60" s="19">
        <f t="shared" si="8"/>
        <v>449.5</v>
      </c>
      <c r="X60" s="20">
        <f t="shared" si="9"/>
        <v>449.5</v>
      </c>
      <c r="Y60" s="20">
        <f t="shared" si="10"/>
        <v>0</v>
      </c>
    </row>
    <row r="61" spans="1:25" ht="15.75" customHeight="1">
      <c r="A61" s="14" t="s">
        <v>132</v>
      </c>
      <c r="B61" s="15" t="s">
        <v>133</v>
      </c>
      <c r="C61" s="16">
        <v>2100</v>
      </c>
      <c r="D61" s="16">
        <v>2100</v>
      </c>
      <c r="E61" s="17">
        <v>1</v>
      </c>
      <c r="F61" s="18">
        <v>0</v>
      </c>
      <c r="G61" s="18">
        <v>0</v>
      </c>
      <c r="H61" s="18">
        <v>0</v>
      </c>
      <c r="I61" s="17">
        <v>0</v>
      </c>
      <c r="J61" s="17">
        <f t="shared" si="0"/>
        <v>1</v>
      </c>
      <c r="K61" s="17">
        <v>1</v>
      </c>
      <c r="L61" s="17">
        <v>0</v>
      </c>
      <c r="M61" s="17">
        <v>0</v>
      </c>
      <c r="N61" s="17">
        <f t="shared" si="1"/>
        <v>1</v>
      </c>
      <c r="O61" s="17">
        <f t="shared" si="2"/>
        <v>0</v>
      </c>
      <c r="P61" s="3"/>
      <c r="Q61" s="19">
        <f t="shared" si="3"/>
        <v>2100</v>
      </c>
      <c r="R61" s="19">
        <v>0</v>
      </c>
      <c r="S61" s="19">
        <f t="shared" si="4"/>
        <v>0</v>
      </c>
      <c r="T61" s="19">
        <f t="shared" si="5"/>
        <v>0</v>
      </c>
      <c r="U61" s="19">
        <f t="shared" si="6"/>
        <v>0</v>
      </c>
      <c r="V61" s="19">
        <f t="shared" si="7"/>
        <v>0</v>
      </c>
      <c r="W61" s="19">
        <f t="shared" si="8"/>
        <v>2100</v>
      </c>
      <c r="X61" s="20">
        <f t="shared" si="9"/>
        <v>2100</v>
      </c>
      <c r="Y61" s="20">
        <f t="shared" si="10"/>
        <v>0</v>
      </c>
    </row>
    <row r="62" spans="1:25" ht="15.75" customHeight="1">
      <c r="A62" s="14" t="s">
        <v>134</v>
      </c>
      <c r="B62" s="15" t="s">
        <v>135</v>
      </c>
      <c r="C62" s="16">
        <v>4205</v>
      </c>
      <c r="D62" s="16">
        <v>4205</v>
      </c>
      <c r="E62" s="17">
        <v>1</v>
      </c>
      <c r="F62" s="18">
        <v>0</v>
      </c>
      <c r="G62" s="18">
        <v>0</v>
      </c>
      <c r="H62" s="18">
        <v>0</v>
      </c>
      <c r="I62" s="17">
        <v>0</v>
      </c>
      <c r="J62" s="17">
        <f t="shared" si="0"/>
        <v>1</v>
      </c>
      <c r="K62" s="17">
        <v>1</v>
      </c>
      <c r="L62" s="17">
        <v>0</v>
      </c>
      <c r="M62" s="17">
        <v>0</v>
      </c>
      <c r="N62" s="17">
        <f t="shared" si="1"/>
        <v>1</v>
      </c>
      <c r="O62" s="17">
        <f t="shared" si="2"/>
        <v>0</v>
      </c>
      <c r="P62" s="3"/>
      <c r="Q62" s="19">
        <f t="shared" si="3"/>
        <v>4205</v>
      </c>
      <c r="R62" s="19">
        <v>0</v>
      </c>
      <c r="S62" s="19">
        <f t="shared" si="4"/>
        <v>0</v>
      </c>
      <c r="T62" s="19">
        <f t="shared" si="5"/>
        <v>0</v>
      </c>
      <c r="U62" s="19">
        <f t="shared" si="6"/>
        <v>0</v>
      </c>
      <c r="V62" s="19">
        <f t="shared" si="7"/>
        <v>0</v>
      </c>
      <c r="W62" s="19">
        <f t="shared" si="8"/>
        <v>4205</v>
      </c>
      <c r="X62" s="20">
        <f t="shared" si="9"/>
        <v>4205</v>
      </c>
      <c r="Y62" s="20">
        <f t="shared" si="10"/>
        <v>0</v>
      </c>
    </row>
    <row r="63" spans="1:25" ht="15.75" customHeight="1">
      <c r="A63" s="14" t="s">
        <v>136</v>
      </c>
      <c r="B63" s="15" t="s">
        <v>137</v>
      </c>
      <c r="C63" s="16">
        <v>406</v>
      </c>
      <c r="D63" s="16">
        <v>406</v>
      </c>
      <c r="E63" s="17">
        <v>3</v>
      </c>
      <c r="F63" s="18">
        <v>0</v>
      </c>
      <c r="G63" s="18">
        <v>0</v>
      </c>
      <c r="H63" s="18">
        <v>0</v>
      </c>
      <c r="I63" s="17">
        <v>0</v>
      </c>
      <c r="J63" s="17">
        <f t="shared" si="0"/>
        <v>3</v>
      </c>
      <c r="K63" s="17">
        <v>0</v>
      </c>
      <c r="L63" s="17">
        <v>0</v>
      </c>
      <c r="M63" s="17">
        <v>3</v>
      </c>
      <c r="N63" s="17">
        <f t="shared" si="1"/>
        <v>3</v>
      </c>
      <c r="O63" s="17">
        <f t="shared" si="2"/>
        <v>0</v>
      </c>
      <c r="P63" s="3"/>
      <c r="Q63" s="19">
        <f t="shared" si="3"/>
        <v>1218</v>
      </c>
      <c r="R63" s="19">
        <v>0</v>
      </c>
      <c r="S63" s="19">
        <f t="shared" si="4"/>
        <v>0</v>
      </c>
      <c r="T63" s="19">
        <f t="shared" si="5"/>
        <v>0</v>
      </c>
      <c r="U63" s="19">
        <f t="shared" si="6"/>
        <v>0</v>
      </c>
      <c r="V63" s="19">
        <f t="shared" si="7"/>
        <v>0</v>
      </c>
      <c r="W63" s="19">
        <f t="shared" si="8"/>
        <v>1218</v>
      </c>
      <c r="X63" s="20">
        <f t="shared" si="9"/>
        <v>1218</v>
      </c>
      <c r="Y63" s="20">
        <f t="shared" si="10"/>
        <v>0</v>
      </c>
    </row>
    <row r="64" spans="1:25" ht="15.75" customHeight="1">
      <c r="A64" s="14" t="s">
        <v>138</v>
      </c>
      <c r="B64" s="15" t="s">
        <v>139</v>
      </c>
      <c r="C64" s="16">
        <v>580</v>
      </c>
      <c r="D64" s="16">
        <v>580</v>
      </c>
      <c r="E64" s="17">
        <v>0</v>
      </c>
      <c r="F64" s="18">
        <v>0</v>
      </c>
      <c r="G64" s="18">
        <v>0</v>
      </c>
      <c r="H64" s="18">
        <v>0</v>
      </c>
      <c r="I64" s="17">
        <v>0</v>
      </c>
      <c r="J64" s="17">
        <f t="shared" si="0"/>
        <v>0</v>
      </c>
      <c r="K64" s="17">
        <v>0</v>
      </c>
      <c r="L64" s="17">
        <v>0</v>
      </c>
      <c r="M64" s="17">
        <v>0</v>
      </c>
      <c r="N64" s="17">
        <f t="shared" si="1"/>
        <v>0</v>
      </c>
      <c r="O64" s="17">
        <f t="shared" si="2"/>
        <v>0</v>
      </c>
      <c r="P64" s="3"/>
      <c r="Q64" s="19">
        <f t="shared" si="3"/>
        <v>0</v>
      </c>
      <c r="R64" s="19">
        <v>0</v>
      </c>
      <c r="S64" s="19">
        <f t="shared" si="4"/>
        <v>0</v>
      </c>
      <c r="T64" s="19">
        <f t="shared" si="5"/>
        <v>0</v>
      </c>
      <c r="U64" s="19">
        <f t="shared" si="6"/>
        <v>0</v>
      </c>
      <c r="V64" s="19">
        <f t="shared" si="7"/>
        <v>0</v>
      </c>
      <c r="W64" s="19">
        <f t="shared" si="8"/>
        <v>0</v>
      </c>
      <c r="X64" s="20">
        <f t="shared" si="9"/>
        <v>0</v>
      </c>
      <c r="Y64" s="20">
        <f t="shared" si="10"/>
        <v>0</v>
      </c>
    </row>
    <row r="65" spans="1:25" ht="15.75" customHeight="1">
      <c r="A65" s="14" t="s">
        <v>140</v>
      </c>
      <c r="B65" s="15" t="s">
        <v>141</v>
      </c>
      <c r="C65" s="16">
        <v>9</v>
      </c>
      <c r="D65" s="16">
        <v>9</v>
      </c>
      <c r="E65" s="17">
        <v>10</v>
      </c>
      <c r="F65" s="18">
        <v>0</v>
      </c>
      <c r="G65" s="18">
        <v>0</v>
      </c>
      <c r="H65" s="18">
        <v>0</v>
      </c>
      <c r="I65" s="17">
        <v>0</v>
      </c>
      <c r="J65" s="17">
        <f t="shared" si="0"/>
        <v>10</v>
      </c>
      <c r="K65" s="17">
        <v>10</v>
      </c>
      <c r="L65" s="17">
        <v>0</v>
      </c>
      <c r="M65" s="17">
        <v>0</v>
      </c>
      <c r="N65" s="17">
        <f t="shared" si="1"/>
        <v>10</v>
      </c>
      <c r="O65" s="17">
        <f t="shared" si="2"/>
        <v>0</v>
      </c>
      <c r="P65" s="3"/>
      <c r="Q65" s="19">
        <f t="shared" si="3"/>
        <v>90</v>
      </c>
      <c r="R65" s="19">
        <v>0</v>
      </c>
      <c r="S65" s="19">
        <f t="shared" si="4"/>
        <v>0</v>
      </c>
      <c r="T65" s="19">
        <f t="shared" si="5"/>
        <v>0</v>
      </c>
      <c r="U65" s="19">
        <f t="shared" si="6"/>
        <v>0</v>
      </c>
      <c r="V65" s="19">
        <f t="shared" si="7"/>
        <v>0</v>
      </c>
      <c r="W65" s="19">
        <f t="shared" si="8"/>
        <v>90</v>
      </c>
      <c r="X65" s="20">
        <f t="shared" si="9"/>
        <v>90</v>
      </c>
      <c r="Y65" s="20">
        <f t="shared" si="10"/>
        <v>0</v>
      </c>
    </row>
    <row r="66" spans="1:25" ht="15.75" customHeight="1">
      <c r="A66" s="14" t="s">
        <v>142</v>
      </c>
      <c r="B66" s="15" t="s">
        <v>143</v>
      </c>
      <c r="C66" s="16">
        <v>13720</v>
      </c>
      <c r="D66" s="16">
        <v>13720</v>
      </c>
      <c r="E66" s="17">
        <v>2</v>
      </c>
      <c r="F66" s="18">
        <v>0</v>
      </c>
      <c r="G66" s="18">
        <v>0</v>
      </c>
      <c r="H66" s="18">
        <v>0</v>
      </c>
      <c r="I66" s="17">
        <v>0</v>
      </c>
      <c r="J66" s="17">
        <f t="shared" si="0"/>
        <v>2</v>
      </c>
      <c r="K66" s="17">
        <v>2</v>
      </c>
      <c r="L66" s="17">
        <v>0</v>
      </c>
      <c r="M66" s="17">
        <v>0</v>
      </c>
      <c r="N66" s="17">
        <f t="shared" si="1"/>
        <v>2</v>
      </c>
      <c r="O66" s="17">
        <f t="shared" si="2"/>
        <v>0</v>
      </c>
      <c r="P66" s="3"/>
      <c r="Q66" s="19">
        <f t="shared" si="3"/>
        <v>27440</v>
      </c>
      <c r="R66" s="19">
        <v>0</v>
      </c>
      <c r="S66" s="19">
        <f t="shared" si="4"/>
        <v>0</v>
      </c>
      <c r="T66" s="19">
        <f t="shared" si="5"/>
        <v>0</v>
      </c>
      <c r="U66" s="19">
        <f t="shared" si="6"/>
        <v>0</v>
      </c>
      <c r="V66" s="19">
        <f t="shared" si="7"/>
        <v>0</v>
      </c>
      <c r="W66" s="19">
        <f t="shared" si="8"/>
        <v>27440</v>
      </c>
      <c r="X66" s="20">
        <f t="shared" si="9"/>
        <v>27440</v>
      </c>
      <c r="Y66" s="20">
        <f t="shared" si="10"/>
        <v>0</v>
      </c>
    </row>
    <row r="67" spans="1:25" ht="15.75" customHeight="1">
      <c r="A67" s="14" t="s">
        <v>144</v>
      </c>
      <c r="B67" s="15" t="s">
        <v>145</v>
      </c>
      <c r="C67" s="16">
        <v>940</v>
      </c>
      <c r="D67" s="16">
        <v>940</v>
      </c>
      <c r="E67" s="17">
        <v>1</v>
      </c>
      <c r="F67" s="18">
        <v>0</v>
      </c>
      <c r="G67" s="18">
        <v>0</v>
      </c>
      <c r="H67" s="18">
        <v>0</v>
      </c>
      <c r="I67" s="17">
        <v>0</v>
      </c>
      <c r="J67" s="17">
        <f t="shared" si="0"/>
        <v>1</v>
      </c>
      <c r="K67" s="17">
        <v>1</v>
      </c>
      <c r="L67" s="17">
        <v>0</v>
      </c>
      <c r="M67" s="17">
        <v>0</v>
      </c>
      <c r="N67" s="17">
        <f t="shared" si="1"/>
        <v>1</v>
      </c>
      <c r="O67" s="17">
        <f t="shared" si="2"/>
        <v>0</v>
      </c>
      <c r="P67" s="3"/>
      <c r="Q67" s="19">
        <f t="shared" si="3"/>
        <v>940</v>
      </c>
      <c r="R67" s="19">
        <v>0</v>
      </c>
      <c r="S67" s="19">
        <f t="shared" si="4"/>
        <v>0</v>
      </c>
      <c r="T67" s="19">
        <f t="shared" si="5"/>
        <v>0</v>
      </c>
      <c r="U67" s="19">
        <f t="shared" si="6"/>
        <v>0</v>
      </c>
      <c r="V67" s="19">
        <f t="shared" si="7"/>
        <v>0</v>
      </c>
      <c r="W67" s="19">
        <f t="shared" si="8"/>
        <v>940</v>
      </c>
      <c r="X67" s="20">
        <f t="shared" si="9"/>
        <v>940</v>
      </c>
      <c r="Y67" s="20">
        <f t="shared" si="10"/>
        <v>0</v>
      </c>
    </row>
    <row r="68" spans="1:25" ht="15.75" customHeight="1">
      <c r="A68" s="14" t="s">
        <v>146</v>
      </c>
      <c r="B68" s="15" t="s">
        <v>147</v>
      </c>
      <c r="C68" s="16">
        <v>24.58</v>
      </c>
      <c r="D68" s="16">
        <v>24.58</v>
      </c>
      <c r="E68" s="17">
        <v>2</v>
      </c>
      <c r="F68" s="18">
        <v>0</v>
      </c>
      <c r="G68" s="18">
        <v>0</v>
      </c>
      <c r="H68" s="18">
        <v>0</v>
      </c>
      <c r="I68" s="17">
        <v>0</v>
      </c>
      <c r="J68" s="17">
        <f t="shared" si="0"/>
        <v>2</v>
      </c>
      <c r="K68" s="17">
        <v>2</v>
      </c>
      <c r="L68" s="17">
        <v>0</v>
      </c>
      <c r="M68" s="17">
        <v>0</v>
      </c>
      <c r="N68" s="17">
        <f t="shared" si="1"/>
        <v>2</v>
      </c>
      <c r="O68" s="17">
        <f t="shared" si="2"/>
        <v>0</v>
      </c>
      <c r="P68" s="3"/>
      <c r="Q68" s="19">
        <f t="shared" si="3"/>
        <v>49.16</v>
      </c>
      <c r="R68" s="19">
        <v>0</v>
      </c>
      <c r="S68" s="19">
        <f t="shared" si="4"/>
        <v>0</v>
      </c>
      <c r="T68" s="19">
        <f t="shared" si="5"/>
        <v>0</v>
      </c>
      <c r="U68" s="19">
        <f t="shared" si="6"/>
        <v>0</v>
      </c>
      <c r="V68" s="19">
        <f t="shared" si="7"/>
        <v>0</v>
      </c>
      <c r="W68" s="19">
        <f t="shared" si="8"/>
        <v>49.16</v>
      </c>
      <c r="X68" s="20">
        <f t="shared" si="9"/>
        <v>49.16</v>
      </c>
      <c r="Y68" s="20">
        <f t="shared" si="10"/>
        <v>0</v>
      </c>
    </row>
    <row r="69" spans="1:25" ht="15.75" customHeight="1">
      <c r="A69" s="14" t="s">
        <v>148</v>
      </c>
      <c r="B69" s="15" t="s">
        <v>149</v>
      </c>
      <c r="C69" s="16">
        <v>890</v>
      </c>
      <c r="D69" s="16">
        <v>890</v>
      </c>
      <c r="E69" s="17">
        <v>1</v>
      </c>
      <c r="F69" s="18">
        <v>0</v>
      </c>
      <c r="G69" s="18">
        <v>0</v>
      </c>
      <c r="H69" s="18">
        <v>0</v>
      </c>
      <c r="I69" s="17">
        <v>0</v>
      </c>
      <c r="J69" s="17">
        <f t="shared" si="0"/>
        <v>1</v>
      </c>
      <c r="K69" s="17">
        <v>1</v>
      </c>
      <c r="L69" s="17">
        <v>0</v>
      </c>
      <c r="M69" s="17">
        <v>0</v>
      </c>
      <c r="N69" s="17">
        <f t="shared" si="1"/>
        <v>1</v>
      </c>
      <c r="O69" s="17">
        <f t="shared" si="2"/>
        <v>0</v>
      </c>
      <c r="P69" s="3"/>
      <c r="Q69" s="19">
        <f t="shared" si="3"/>
        <v>890</v>
      </c>
      <c r="R69" s="19">
        <v>0</v>
      </c>
      <c r="S69" s="19">
        <f t="shared" si="4"/>
        <v>0</v>
      </c>
      <c r="T69" s="19">
        <f t="shared" si="5"/>
        <v>0</v>
      </c>
      <c r="U69" s="19">
        <f t="shared" si="6"/>
        <v>0</v>
      </c>
      <c r="V69" s="19">
        <f t="shared" si="7"/>
        <v>0</v>
      </c>
      <c r="W69" s="19">
        <f t="shared" si="8"/>
        <v>890</v>
      </c>
      <c r="X69" s="20">
        <f t="shared" si="9"/>
        <v>890</v>
      </c>
      <c r="Y69" s="20">
        <f t="shared" si="10"/>
        <v>0</v>
      </c>
    </row>
    <row r="70" spans="1:25" ht="15.75" customHeight="1">
      <c r="A70" s="14" t="s">
        <v>150</v>
      </c>
      <c r="B70" s="15" t="s">
        <v>151</v>
      </c>
      <c r="C70" s="16">
        <v>0</v>
      </c>
      <c r="D70" s="16">
        <v>0</v>
      </c>
      <c r="E70" s="17">
        <v>0</v>
      </c>
      <c r="F70" s="18">
        <v>0</v>
      </c>
      <c r="G70" s="18">
        <v>0</v>
      </c>
      <c r="H70" s="18">
        <v>0</v>
      </c>
      <c r="I70" s="17">
        <v>0</v>
      </c>
      <c r="J70" s="17">
        <f t="shared" si="0"/>
        <v>0</v>
      </c>
      <c r="K70" s="17">
        <v>0</v>
      </c>
      <c r="L70" s="17">
        <v>0</v>
      </c>
      <c r="M70" s="17">
        <v>0</v>
      </c>
      <c r="N70" s="17">
        <f t="shared" si="1"/>
        <v>0</v>
      </c>
      <c r="O70" s="17">
        <f t="shared" si="2"/>
        <v>0</v>
      </c>
      <c r="P70" s="3"/>
      <c r="Q70" s="19">
        <f t="shared" si="3"/>
        <v>0</v>
      </c>
      <c r="R70" s="19">
        <v>0</v>
      </c>
      <c r="S70" s="19">
        <f t="shared" si="4"/>
        <v>0</v>
      </c>
      <c r="T70" s="19">
        <f t="shared" si="5"/>
        <v>0</v>
      </c>
      <c r="U70" s="19">
        <f t="shared" si="6"/>
        <v>0</v>
      </c>
      <c r="V70" s="19">
        <f t="shared" si="7"/>
        <v>0</v>
      </c>
      <c r="W70" s="19">
        <f t="shared" si="8"/>
        <v>0</v>
      </c>
      <c r="X70" s="20">
        <f t="shared" si="9"/>
        <v>0</v>
      </c>
      <c r="Y70" s="20">
        <f t="shared" si="10"/>
        <v>0</v>
      </c>
    </row>
    <row r="71" spans="1:25" ht="15.75" customHeight="1">
      <c r="A71" s="14" t="s">
        <v>152</v>
      </c>
      <c r="B71" s="15" t="s">
        <v>153</v>
      </c>
      <c r="C71" s="16">
        <v>560</v>
      </c>
      <c r="D71" s="16">
        <v>560</v>
      </c>
      <c r="E71" s="17">
        <v>2</v>
      </c>
      <c r="F71" s="18">
        <v>0</v>
      </c>
      <c r="G71" s="18">
        <v>0</v>
      </c>
      <c r="H71" s="18">
        <v>0</v>
      </c>
      <c r="I71" s="17">
        <v>0</v>
      </c>
      <c r="J71" s="17">
        <f t="shared" si="0"/>
        <v>2</v>
      </c>
      <c r="K71" s="17">
        <v>2</v>
      </c>
      <c r="L71" s="17">
        <v>0</v>
      </c>
      <c r="M71" s="17">
        <v>0</v>
      </c>
      <c r="N71" s="17">
        <f t="shared" si="1"/>
        <v>2</v>
      </c>
      <c r="O71" s="17">
        <f t="shared" si="2"/>
        <v>0</v>
      </c>
      <c r="P71" s="3"/>
      <c r="Q71" s="19">
        <f t="shared" si="3"/>
        <v>1120</v>
      </c>
      <c r="R71" s="19">
        <v>0</v>
      </c>
      <c r="S71" s="19">
        <f t="shared" si="4"/>
        <v>0</v>
      </c>
      <c r="T71" s="19">
        <f t="shared" si="5"/>
        <v>0</v>
      </c>
      <c r="U71" s="19">
        <f t="shared" si="6"/>
        <v>0</v>
      </c>
      <c r="V71" s="19">
        <f t="shared" si="7"/>
        <v>0</v>
      </c>
      <c r="W71" s="19">
        <f t="shared" si="8"/>
        <v>1120</v>
      </c>
      <c r="X71" s="20">
        <f t="shared" si="9"/>
        <v>1120</v>
      </c>
      <c r="Y71" s="20">
        <f t="shared" si="10"/>
        <v>0</v>
      </c>
    </row>
    <row r="72" spans="1:25" ht="15.75" customHeight="1">
      <c r="A72" s="14" t="s">
        <v>154</v>
      </c>
      <c r="B72" s="15" t="s">
        <v>155</v>
      </c>
      <c r="C72" s="16">
        <v>36</v>
      </c>
      <c r="D72" s="16">
        <v>36</v>
      </c>
      <c r="E72" s="17">
        <v>0</v>
      </c>
      <c r="F72" s="18">
        <v>0</v>
      </c>
      <c r="G72" s="18">
        <v>0</v>
      </c>
      <c r="H72" s="18">
        <v>0</v>
      </c>
      <c r="I72" s="17">
        <v>0</v>
      </c>
      <c r="J72" s="17">
        <f t="shared" si="0"/>
        <v>0</v>
      </c>
      <c r="K72" s="17">
        <v>0</v>
      </c>
      <c r="L72" s="17">
        <v>0</v>
      </c>
      <c r="M72" s="17">
        <v>0</v>
      </c>
      <c r="N72" s="17">
        <f t="shared" si="1"/>
        <v>0</v>
      </c>
      <c r="O72" s="17">
        <f t="shared" si="2"/>
        <v>0</v>
      </c>
      <c r="P72" s="3"/>
      <c r="Q72" s="19">
        <f t="shared" si="3"/>
        <v>0</v>
      </c>
      <c r="R72" s="19">
        <v>0</v>
      </c>
      <c r="S72" s="19">
        <f t="shared" si="4"/>
        <v>0</v>
      </c>
      <c r="T72" s="19">
        <f t="shared" si="5"/>
        <v>0</v>
      </c>
      <c r="U72" s="19">
        <f t="shared" si="6"/>
        <v>0</v>
      </c>
      <c r="V72" s="19">
        <f t="shared" si="7"/>
        <v>0</v>
      </c>
      <c r="W72" s="19">
        <f t="shared" si="8"/>
        <v>0</v>
      </c>
      <c r="X72" s="20">
        <f t="shared" si="9"/>
        <v>0</v>
      </c>
      <c r="Y72" s="20">
        <f t="shared" si="10"/>
        <v>0</v>
      </c>
    </row>
    <row r="73" spans="1:25" ht="15.75" customHeight="1">
      <c r="A73" s="14" t="s">
        <v>156</v>
      </c>
      <c r="B73" s="15" t="s">
        <v>157</v>
      </c>
      <c r="C73" s="16">
        <v>1122</v>
      </c>
      <c r="D73" s="16">
        <v>1122</v>
      </c>
      <c r="E73" s="17">
        <v>0</v>
      </c>
      <c r="F73" s="18">
        <v>0</v>
      </c>
      <c r="G73" s="18">
        <v>0</v>
      </c>
      <c r="H73" s="18">
        <v>0</v>
      </c>
      <c r="I73" s="17">
        <v>0</v>
      </c>
      <c r="J73" s="17">
        <f t="shared" si="0"/>
        <v>0</v>
      </c>
      <c r="K73" s="17">
        <v>0</v>
      </c>
      <c r="L73" s="17">
        <v>0</v>
      </c>
      <c r="M73" s="17">
        <v>0</v>
      </c>
      <c r="N73" s="17">
        <f t="shared" si="1"/>
        <v>0</v>
      </c>
      <c r="O73" s="17">
        <f t="shared" si="2"/>
        <v>0</v>
      </c>
      <c r="P73" s="3"/>
      <c r="Q73" s="19">
        <f t="shared" si="3"/>
        <v>0</v>
      </c>
      <c r="R73" s="19">
        <v>0</v>
      </c>
      <c r="S73" s="19">
        <f t="shared" si="4"/>
        <v>0</v>
      </c>
      <c r="T73" s="19">
        <f t="shared" si="5"/>
        <v>0</v>
      </c>
      <c r="U73" s="19">
        <f t="shared" si="6"/>
        <v>0</v>
      </c>
      <c r="V73" s="19">
        <f t="shared" si="7"/>
        <v>0</v>
      </c>
      <c r="W73" s="19">
        <f t="shared" si="8"/>
        <v>0</v>
      </c>
      <c r="X73" s="20">
        <f t="shared" si="9"/>
        <v>0</v>
      </c>
      <c r="Y73" s="20">
        <f t="shared" si="10"/>
        <v>0</v>
      </c>
    </row>
    <row r="74" spans="1:25" ht="15.75" customHeight="1">
      <c r="A74" s="14" t="s">
        <v>158</v>
      </c>
      <c r="B74" s="15" t="s">
        <v>159</v>
      </c>
      <c r="C74" s="16">
        <v>0</v>
      </c>
      <c r="D74" s="16">
        <v>0</v>
      </c>
      <c r="E74" s="17">
        <v>0</v>
      </c>
      <c r="F74" s="18">
        <v>0</v>
      </c>
      <c r="G74" s="18">
        <v>0</v>
      </c>
      <c r="H74" s="18">
        <v>0</v>
      </c>
      <c r="I74" s="17">
        <v>0</v>
      </c>
      <c r="J74" s="17">
        <f t="shared" si="0"/>
        <v>0</v>
      </c>
      <c r="K74" s="17">
        <v>0</v>
      </c>
      <c r="L74" s="17">
        <v>0</v>
      </c>
      <c r="M74" s="17">
        <v>0</v>
      </c>
      <c r="N74" s="17">
        <f t="shared" si="1"/>
        <v>0</v>
      </c>
      <c r="O74" s="17">
        <f t="shared" si="2"/>
        <v>0</v>
      </c>
      <c r="P74" s="3"/>
      <c r="Q74" s="19">
        <f t="shared" si="3"/>
        <v>0</v>
      </c>
      <c r="R74" s="19">
        <v>0</v>
      </c>
      <c r="S74" s="19">
        <f t="shared" si="4"/>
        <v>0</v>
      </c>
      <c r="T74" s="19">
        <f t="shared" si="5"/>
        <v>0</v>
      </c>
      <c r="U74" s="19">
        <f t="shared" si="6"/>
        <v>0</v>
      </c>
      <c r="V74" s="19">
        <f t="shared" si="7"/>
        <v>0</v>
      </c>
      <c r="W74" s="19">
        <f t="shared" si="8"/>
        <v>0</v>
      </c>
      <c r="X74" s="20">
        <f t="shared" si="9"/>
        <v>0</v>
      </c>
      <c r="Y74" s="20">
        <f t="shared" si="10"/>
        <v>0</v>
      </c>
    </row>
    <row r="75" spans="1:25" ht="15.75" customHeight="1">
      <c r="A75" s="14" t="s">
        <v>160</v>
      </c>
      <c r="B75" s="15" t="s">
        <v>161</v>
      </c>
      <c r="C75" s="16">
        <v>0</v>
      </c>
      <c r="D75" s="16">
        <v>0</v>
      </c>
      <c r="E75" s="17">
        <v>0</v>
      </c>
      <c r="F75" s="18">
        <v>0</v>
      </c>
      <c r="G75" s="18">
        <v>0</v>
      </c>
      <c r="H75" s="18">
        <v>0</v>
      </c>
      <c r="I75" s="17">
        <v>0</v>
      </c>
      <c r="J75" s="17">
        <f t="shared" si="0"/>
        <v>0</v>
      </c>
      <c r="K75" s="17">
        <v>0</v>
      </c>
      <c r="L75" s="17">
        <v>0</v>
      </c>
      <c r="M75" s="17">
        <v>0</v>
      </c>
      <c r="N75" s="17">
        <f t="shared" si="1"/>
        <v>0</v>
      </c>
      <c r="O75" s="17">
        <f t="shared" si="2"/>
        <v>0</v>
      </c>
      <c r="P75" s="3"/>
      <c r="Q75" s="19">
        <f t="shared" si="3"/>
        <v>0</v>
      </c>
      <c r="R75" s="19">
        <v>0</v>
      </c>
      <c r="S75" s="19">
        <f t="shared" si="4"/>
        <v>0</v>
      </c>
      <c r="T75" s="19">
        <f t="shared" si="5"/>
        <v>0</v>
      </c>
      <c r="U75" s="19">
        <f t="shared" si="6"/>
        <v>0</v>
      </c>
      <c r="V75" s="19">
        <f t="shared" si="7"/>
        <v>0</v>
      </c>
      <c r="W75" s="19">
        <f t="shared" si="8"/>
        <v>0</v>
      </c>
      <c r="X75" s="20">
        <f t="shared" si="9"/>
        <v>0</v>
      </c>
      <c r="Y75" s="20">
        <f t="shared" si="10"/>
        <v>0</v>
      </c>
    </row>
    <row r="76" spans="1:25" ht="15.75" customHeight="1">
      <c r="A76" s="14" t="s">
        <v>162</v>
      </c>
      <c r="B76" s="15" t="s">
        <v>163</v>
      </c>
      <c r="C76" s="16">
        <v>1000</v>
      </c>
      <c r="D76" s="16">
        <v>1000</v>
      </c>
      <c r="E76" s="17">
        <v>2</v>
      </c>
      <c r="F76" s="18">
        <v>0</v>
      </c>
      <c r="G76" s="18">
        <v>0</v>
      </c>
      <c r="H76" s="18">
        <v>0</v>
      </c>
      <c r="I76" s="17">
        <v>0</v>
      </c>
      <c r="J76" s="17">
        <f t="shared" si="0"/>
        <v>2</v>
      </c>
      <c r="K76" s="17">
        <v>0</v>
      </c>
      <c r="L76" s="17">
        <v>0</v>
      </c>
      <c r="M76" s="17">
        <v>2</v>
      </c>
      <c r="N76" s="17">
        <f t="shared" si="1"/>
        <v>2</v>
      </c>
      <c r="O76" s="17">
        <f t="shared" si="2"/>
        <v>0</v>
      </c>
      <c r="P76" s="3"/>
      <c r="Q76" s="19">
        <f t="shared" si="3"/>
        <v>2000</v>
      </c>
      <c r="R76" s="19">
        <v>0</v>
      </c>
      <c r="S76" s="19">
        <f t="shared" si="4"/>
        <v>0</v>
      </c>
      <c r="T76" s="19">
        <f t="shared" si="5"/>
        <v>0</v>
      </c>
      <c r="U76" s="19">
        <f t="shared" si="6"/>
        <v>0</v>
      </c>
      <c r="V76" s="19">
        <f t="shared" si="7"/>
        <v>0</v>
      </c>
      <c r="W76" s="19">
        <f t="shared" si="8"/>
        <v>2000</v>
      </c>
      <c r="X76" s="20">
        <f t="shared" si="9"/>
        <v>2000</v>
      </c>
      <c r="Y76" s="20">
        <f t="shared" si="10"/>
        <v>0</v>
      </c>
    </row>
    <row r="77" spans="1:25" ht="15.75" customHeight="1">
      <c r="A77" s="14" t="s">
        <v>164</v>
      </c>
      <c r="B77" s="15" t="s">
        <v>165</v>
      </c>
      <c r="C77" s="16">
        <v>900</v>
      </c>
      <c r="D77" s="16">
        <v>900</v>
      </c>
      <c r="E77" s="17">
        <v>0</v>
      </c>
      <c r="F77" s="18">
        <v>0</v>
      </c>
      <c r="G77" s="18">
        <v>0</v>
      </c>
      <c r="H77" s="18">
        <v>0</v>
      </c>
      <c r="I77" s="17">
        <v>0</v>
      </c>
      <c r="J77" s="17">
        <f t="shared" si="0"/>
        <v>0</v>
      </c>
      <c r="K77" s="17">
        <v>0</v>
      </c>
      <c r="L77" s="17">
        <v>0</v>
      </c>
      <c r="M77" s="17">
        <v>0</v>
      </c>
      <c r="N77" s="17">
        <f t="shared" si="1"/>
        <v>0</v>
      </c>
      <c r="O77" s="17">
        <f t="shared" si="2"/>
        <v>0</v>
      </c>
      <c r="P77" s="3"/>
      <c r="Q77" s="19">
        <f t="shared" si="3"/>
        <v>0</v>
      </c>
      <c r="R77" s="19">
        <v>0</v>
      </c>
      <c r="S77" s="19">
        <f t="shared" si="4"/>
        <v>0</v>
      </c>
      <c r="T77" s="19">
        <f t="shared" si="5"/>
        <v>0</v>
      </c>
      <c r="U77" s="19">
        <f t="shared" si="6"/>
        <v>0</v>
      </c>
      <c r="V77" s="19">
        <f t="shared" si="7"/>
        <v>0</v>
      </c>
      <c r="W77" s="19">
        <f t="shared" si="8"/>
        <v>0</v>
      </c>
      <c r="X77" s="20">
        <f t="shared" si="9"/>
        <v>0</v>
      </c>
      <c r="Y77" s="20">
        <f t="shared" si="10"/>
        <v>0</v>
      </c>
    </row>
    <row r="78" spans="1:25" ht="15.75" customHeight="1">
      <c r="A78" s="14" t="s">
        <v>166</v>
      </c>
      <c r="B78" s="15" t="s">
        <v>167</v>
      </c>
      <c r="C78" s="16">
        <v>1712</v>
      </c>
      <c r="D78" s="16">
        <v>1712</v>
      </c>
      <c r="E78" s="17">
        <v>2</v>
      </c>
      <c r="F78" s="18">
        <v>0</v>
      </c>
      <c r="G78" s="18">
        <v>0</v>
      </c>
      <c r="H78" s="18">
        <v>0</v>
      </c>
      <c r="I78" s="17">
        <v>0</v>
      </c>
      <c r="J78" s="17">
        <f t="shared" si="0"/>
        <v>2</v>
      </c>
      <c r="K78" s="17">
        <v>0</v>
      </c>
      <c r="L78" s="17">
        <v>0</v>
      </c>
      <c r="M78" s="17">
        <v>2</v>
      </c>
      <c r="N78" s="17">
        <f t="shared" si="1"/>
        <v>2</v>
      </c>
      <c r="O78" s="17">
        <f t="shared" si="2"/>
        <v>0</v>
      </c>
      <c r="P78" s="3"/>
      <c r="Q78" s="19">
        <f t="shared" si="3"/>
        <v>3424</v>
      </c>
      <c r="R78" s="19">
        <v>0</v>
      </c>
      <c r="S78" s="19">
        <f t="shared" si="4"/>
        <v>0</v>
      </c>
      <c r="T78" s="19">
        <f t="shared" si="5"/>
        <v>0</v>
      </c>
      <c r="U78" s="19">
        <f t="shared" si="6"/>
        <v>0</v>
      </c>
      <c r="V78" s="19">
        <f t="shared" si="7"/>
        <v>0</v>
      </c>
      <c r="W78" s="19">
        <f t="shared" si="8"/>
        <v>3424</v>
      </c>
      <c r="X78" s="20">
        <f t="shared" si="9"/>
        <v>3424</v>
      </c>
      <c r="Y78" s="20">
        <f t="shared" si="10"/>
        <v>0</v>
      </c>
    </row>
    <row r="79" spans="1:25" ht="15.75" customHeight="1">
      <c r="A79" s="14" t="s">
        <v>168</v>
      </c>
      <c r="B79" s="15" t="s">
        <v>169</v>
      </c>
      <c r="C79" s="16">
        <v>490</v>
      </c>
      <c r="D79" s="16">
        <v>490</v>
      </c>
      <c r="E79" s="17">
        <v>4</v>
      </c>
      <c r="F79" s="18">
        <v>0</v>
      </c>
      <c r="G79" s="18">
        <v>0</v>
      </c>
      <c r="H79" s="18">
        <v>0</v>
      </c>
      <c r="I79" s="17">
        <v>0</v>
      </c>
      <c r="J79" s="17">
        <f t="shared" si="0"/>
        <v>4</v>
      </c>
      <c r="K79" s="17">
        <v>4</v>
      </c>
      <c r="L79" s="17">
        <v>0</v>
      </c>
      <c r="M79" s="17">
        <v>0</v>
      </c>
      <c r="N79" s="17">
        <f t="shared" si="1"/>
        <v>4</v>
      </c>
      <c r="O79" s="17">
        <f t="shared" si="2"/>
        <v>0</v>
      </c>
      <c r="P79" s="3"/>
      <c r="Q79" s="19">
        <f t="shared" si="3"/>
        <v>1960</v>
      </c>
      <c r="R79" s="19">
        <v>0</v>
      </c>
      <c r="S79" s="19">
        <f t="shared" si="4"/>
        <v>0</v>
      </c>
      <c r="T79" s="19">
        <f t="shared" si="5"/>
        <v>0</v>
      </c>
      <c r="U79" s="19">
        <f t="shared" si="6"/>
        <v>0</v>
      </c>
      <c r="V79" s="19">
        <f t="shared" si="7"/>
        <v>0</v>
      </c>
      <c r="W79" s="19">
        <f t="shared" si="8"/>
        <v>1960</v>
      </c>
      <c r="X79" s="20">
        <f t="shared" si="9"/>
        <v>1960</v>
      </c>
      <c r="Y79" s="20">
        <f t="shared" si="10"/>
        <v>0</v>
      </c>
    </row>
    <row r="80" spans="1:25" ht="15.75" customHeight="1">
      <c r="A80" s="14" t="s">
        <v>170</v>
      </c>
      <c r="B80" s="15" t="s">
        <v>171</v>
      </c>
      <c r="C80" s="16">
        <v>5100</v>
      </c>
      <c r="D80" s="16">
        <v>5100</v>
      </c>
      <c r="E80" s="17">
        <v>1</v>
      </c>
      <c r="F80" s="18">
        <v>0</v>
      </c>
      <c r="G80" s="18">
        <v>0</v>
      </c>
      <c r="H80" s="18">
        <v>0</v>
      </c>
      <c r="I80" s="17">
        <v>0</v>
      </c>
      <c r="J80" s="17">
        <f t="shared" si="0"/>
        <v>1</v>
      </c>
      <c r="K80" s="17">
        <v>1</v>
      </c>
      <c r="L80" s="17">
        <v>0</v>
      </c>
      <c r="M80" s="17">
        <v>0</v>
      </c>
      <c r="N80" s="17">
        <f t="shared" si="1"/>
        <v>1</v>
      </c>
      <c r="O80" s="17">
        <f t="shared" si="2"/>
        <v>0</v>
      </c>
      <c r="P80" s="3"/>
      <c r="Q80" s="19">
        <f t="shared" si="3"/>
        <v>5100</v>
      </c>
      <c r="R80" s="19">
        <v>0</v>
      </c>
      <c r="S80" s="19">
        <f t="shared" si="4"/>
        <v>0</v>
      </c>
      <c r="T80" s="19">
        <f t="shared" si="5"/>
        <v>0</v>
      </c>
      <c r="U80" s="19">
        <f t="shared" si="6"/>
        <v>0</v>
      </c>
      <c r="V80" s="19">
        <f t="shared" si="7"/>
        <v>0</v>
      </c>
      <c r="W80" s="19">
        <f t="shared" si="8"/>
        <v>5100</v>
      </c>
      <c r="X80" s="20">
        <f t="shared" si="9"/>
        <v>5100</v>
      </c>
      <c r="Y80" s="20">
        <f t="shared" si="10"/>
        <v>0</v>
      </c>
    </row>
    <row r="81" spans="1:25" ht="15.75" customHeight="1">
      <c r="A81" s="14" t="s">
        <v>172</v>
      </c>
      <c r="B81" s="15" t="s">
        <v>173</v>
      </c>
      <c r="C81" s="16">
        <v>79.92</v>
      </c>
      <c r="D81" s="16">
        <v>79.92</v>
      </c>
      <c r="E81" s="17">
        <v>2</v>
      </c>
      <c r="F81" s="18">
        <v>0</v>
      </c>
      <c r="G81" s="18">
        <v>0</v>
      </c>
      <c r="H81" s="18">
        <v>0</v>
      </c>
      <c r="I81" s="17">
        <v>0</v>
      </c>
      <c r="J81" s="17">
        <f t="shared" si="0"/>
        <v>2</v>
      </c>
      <c r="K81" s="17">
        <v>2</v>
      </c>
      <c r="L81" s="17">
        <v>0</v>
      </c>
      <c r="M81" s="17">
        <v>0</v>
      </c>
      <c r="N81" s="17">
        <f t="shared" si="1"/>
        <v>2</v>
      </c>
      <c r="O81" s="17">
        <f t="shared" si="2"/>
        <v>0</v>
      </c>
      <c r="P81" s="3"/>
      <c r="Q81" s="19">
        <f t="shared" si="3"/>
        <v>159.84</v>
      </c>
      <c r="R81" s="19">
        <v>0</v>
      </c>
      <c r="S81" s="19">
        <f t="shared" si="4"/>
        <v>0</v>
      </c>
      <c r="T81" s="19">
        <f t="shared" si="5"/>
        <v>0</v>
      </c>
      <c r="U81" s="19">
        <f t="shared" si="6"/>
        <v>0</v>
      </c>
      <c r="V81" s="19">
        <f t="shared" si="7"/>
        <v>0</v>
      </c>
      <c r="W81" s="19">
        <f t="shared" si="8"/>
        <v>159.84</v>
      </c>
      <c r="X81" s="20">
        <f t="shared" si="9"/>
        <v>159.84</v>
      </c>
      <c r="Y81" s="20">
        <f t="shared" si="10"/>
        <v>0</v>
      </c>
    </row>
    <row r="82" spans="1:25" ht="15.75" customHeight="1">
      <c r="A82" s="14" t="s">
        <v>174</v>
      </c>
      <c r="B82" s="15" t="s">
        <v>175</v>
      </c>
      <c r="C82" s="16">
        <v>60.08</v>
      </c>
      <c r="D82" s="16">
        <v>60.08</v>
      </c>
      <c r="E82" s="17">
        <v>1</v>
      </c>
      <c r="F82" s="18">
        <v>0</v>
      </c>
      <c r="G82" s="18">
        <v>0</v>
      </c>
      <c r="H82" s="18">
        <v>0</v>
      </c>
      <c r="I82" s="17">
        <v>0</v>
      </c>
      <c r="J82" s="17">
        <f t="shared" si="0"/>
        <v>1</v>
      </c>
      <c r="K82" s="17">
        <v>1</v>
      </c>
      <c r="L82" s="17">
        <v>0</v>
      </c>
      <c r="M82" s="17">
        <v>0</v>
      </c>
      <c r="N82" s="17">
        <f t="shared" si="1"/>
        <v>1</v>
      </c>
      <c r="O82" s="17">
        <f t="shared" si="2"/>
        <v>0</v>
      </c>
      <c r="P82" s="3"/>
      <c r="Q82" s="19">
        <f t="shared" si="3"/>
        <v>60.08</v>
      </c>
      <c r="R82" s="19">
        <v>0</v>
      </c>
      <c r="S82" s="19">
        <f t="shared" si="4"/>
        <v>0</v>
      </c>
      <c r="T82" s="19">
        <f t="shared" si="5"/>
        <v>0</v>
      </c>
      <c r="U82" s="19">
        <f t="shared" si="6"/>
        <v>0</v>
      </c>
      <c r="V82" s="19">
        <f t="shared" si="7"/>
        <v>0</v>
      </c>
      <c r="W82" s="19">
        <f t="shared" si="8"/>
        <v>60.08</v>
      </c>
      <c r="X82" s="20">
        <f t="shared" si="9"/>
        <v>60.08</v>
      </c>
      <c r="Y82" s="20">
        <f t="shared" si="10"/>
        <v>0</v>
      </c>
    </row>
    <row r="83" spans="1:25" ht="15.75" customHeight="1">
      <c r="A83" s="14" t="s">
        <v>176</v>
      </c>
      <c r="B83" s="15" t="s">
        <v>177</v>
      </c>
      <c r="C83" s="16">
        <v>780</v>
      </c>
      <c r="D83" s="16">
        <v>780</v>
      </c>
      <c r="E83" s="17">
        <v>1</v>
      </c>
      <c r="F83" s="18">
        <v>0</v>
      </c>
      <c r="G83" s="18">
        <v>0</v>
      </c>
      <c r="H83" s="18">
        <v>0</v>
      </c>
      <c r="I83" s="17">
        <v>0</v>
      </c>
      <c r="J83" s="17">
        <f t="shared" si="0"/>
        <v>1</v>
      </c>
      <c r="K83" s="17">
        <v>1</v>
      </c>
      <c r="L83" s="17">
        <v>0</v>
      </c>
      <c r="M83" s="17">
        <v>0</v>
      </c>
      <c r="N83" s="17">
        <f t="shared" si="1"/>
        <v>1</v>
      </c>
      <c r="O83" s="17">
        <f t="shared" si="2"/>
        <v>0</v>
      </c>
      <c r="P83" s="3"/>
      <c r="Q83" s="19">
        <f t="shared" si="3"/>
        <v>780</v>
      </c>
      <c r="R83" s="19">
        <v>0</v>
      </c>
      <c r="S83" s="19">
        <f t="shared" si="4"/>
        <v>0</v>
      </c>
      <c r="T83" s="19">
        <f t="shared" si="5"/>
        <v>0</v>
      </c>
      <c r="U83" s="19">
        <f t="shared" si="6"/>
        <v>0</v>
      </c>
      <c r="V83" s="19">
        <f t="shared" si="7"/>
        <v>0</v>
      </c>
      <c r="W83" s="19">
        <f t="shared" si="8"/>
        <v>780</v>
      </c>
      <c r="X83" s="20">
        <f t="shared" si="9"/>
        <v>780</v>
      </c>
      <c r="Y83" s="20">
        <f t="shared" si="10"/>
        <v>0</v>
      </c>
    </row>
    <row r="84" spans="1:25" ht="15.75" customHeight="1">
      <c r="A84" s="14" t="s">
        <v>178</v>
      </c>
      <c r="B84" s="15" t="s">
        <v>179</v>
      </c>
      <c r="C84" s="16">
        <v>18.600000000000001</v>
      </c>
      <c r="D84" s="16">
        <v>18.600000000000001</v>
      </c>
      <c r="E84" s="17">
        <v>0</v>
      </c>
      <c r="F84" s="18">
        <v>0</v>
      </c>
      <c r="G84" s="18">
        <v>0</v>
      </c>
      <c r="H84" s="18">
        <v>0</v>
      </c>
      <c r="I84" s="17">
        <v>0</v>
      </c>
      <c r="J84" s="17">
        <f t="shared" si="0"/>
        <v>0</v>
      </c>
      <c r="K84" s="17">
        <v>0</v>
      </c>
      <c r="L84" s="17">
        <v>0</v>
      </c>
      <c r="M84" s="17">
        <v>0</v>
      </c>
      <c r="N84" s="17">
        <f t="shared" si="1"/>
        <v>0</v>
      </c>
      <c r="O84" s="17">
        <f t="shared" si="2"/>
        <v>0</v>
      </c>
      <c r="P84" s="3"/>
      <c r="Q84" s="19">
        <f t="shared" si="3"/>
        <v>0</v>
      </c>
      <c r="R84" s="19">
        <v>0</v>
      </c>
      <c r="S84" s="19">
        <f t="shared" si="4"/>
        <v>0</v>
      </c>
      <c r="T84" s="19">
        <f t="shared" si="5"/>
        <v>0</v>
      </c>
      <c r="U84" s="19">
        <f t="shared" si="6"/>
        <v>0</v>
      </c>
      <c r="V84" s="19">
        <f t="shared" si="7"/>
        <v>0</v>
      </c>
      <c r="W84" s="19">
        <f t="shared" si="8"/>
        <v>0</v>
      </c>
      <c r="X84" s="20">
        <f t="shared" si="9"/>
        <v>0</v>
      </c>
      <c r="Y84" s="20">
        <f t="shared" si="10"/>
        <v>0</v>
      </c>
    </row>
    <row r="85" spans="1:25" ht="15.75" customHeight="1">
      <c r="A85" s="14" t="s">
        <v>180</v>
      </c>
      <c r="B85" s="15" t="s">
        <v>181</v>
      </c>
      <c r="C85" s="16">
        <v>852</v>
      </c>
      <c r="D85" s="16">
        <v>852</v>
      </c>
      <c r="E85" s="17">
        <v>2</v>
      </c>
      <c r="F85" s="18">
        <v>0</v>
      </c>
      <c r="G85" s="18">
        <v>0</v>
      </c>
      <c r="H85" s="18">
        <v>0</v>
      </c>
      <c r="I85" s="17">
        <v>0</v>
      </c>
      <c r="J85" s="17">
        <f t="shared" si="0"/>
        <v>2</v>
      </c>
      <c r="K85" s="17">
        <v>2</v>
      </c>
      <c r="L85" s="17">
        <v>0</v>
      </c>
      <c r="M85" s="17">
        <v>0</v>
      </c>
      <c r="N85" s="17">
        <f t="shared" si="1"/>
        <v>2</v>
      </c>
      <c r="O85" s="17">
        <f t="shared" si="2"/>
        <v>0</v>
      </c>
      <c r="P85" s="3"/>
      <c r="Q85" s="19">
        <f t="shared" si="3"/>
        <v>1704</v>
      </c>
      <c r="R85" s="19">
        <v>0</v>
      </c>
      <c r="S85" s="19">
        <f t="shared" si="4"/>
        <v>0</v>
      </c>
      <c r="T85" s="19">
        <f t="shared" si="5"/>
        <v>0</v>
      </c>
      <c r="U85" s="19">
        <f t="shared" si="6"/>
        <v>0</v>
      </c>
      <c r="V85" s="19">
        <f t="shared" si="7"/>
        <v>0</v>
      </c>
      <c r="W85" s="19">
        <f t="shared" si="8"/>
        <v>1704</v>
      </c>
      <c r="X85" s="20">
        <f t="shared" si="9"/>
        <v>1704</v>
      </c>
      <c r="Y85" s="20">
        <f t="shared" si="10"/>
        <v>0</v>
      </c>
    </row>
    <row r="86" spans="1:25" ht="15.75" customHeight="1">
      <c r="A86" s="14" t="s">
        <v>182</v>
      </c>
      <c r="B86" s="21" t="s">
        <v>183</v>
      </c>
      <c r="C86" s="16">
        <v>1750</v>
      </c>
      <c r="D86" s="16">
        <v>1750</v>
      </c>
      <c r="E86" s="17">
        <v>2</v>
      </c>
      <c r="F86" s="18">
        <v>0</v>
      </c>
      <c r="G86" s="18">
        <v>0</v>
      </c>
      <c r="H86" s="18">
        <v>0</v>
      </c>
      <c r="I86" s="17">
        <v>0</v>
      </c>
      <c r="J86" s="17">
        <f t="shared" si="0"/>
        <v>2</v>
      </c>
      <c r="K86" s="17">
        <v>2</v>
      </c>
      <c r="L86" s="17">
        <v>1</v>
      </c>
      <c r="M86" s="17">
        <v>0</v>
      </c>
      <c r="N86" s="17">
        <f t="shared" si="1"/>
        <v>3</v>
      </c>
      <c r="O86" s="17">
        <f t="shared" si="2"/>
        <v>1</v>
      </c>
      <c r="P86" s="3"/>
      <c r="Q86" s="19">
        <f t="shared" si="3"/>
        <v>3500</v>
      </c>
      <c r="R86" s="19">
        <v>0</v>
      </c>
      <c r="S86" s="19">
        <f t="shared" si="4"/>
        <v>0</v>
      </c>
      <c r="T86" s="19">
        <f t="shared" si="5"/>
        <v>0</v>
      </c>
      <c r="U86" s="19">
        <f t="shared" si="6"/>
        <v>0</v>
      </c>
      <c r="V86" s="19">
        <f t="shared" si="7"/>
        <v>0</v>
      </c>
      <c r="W86" s="19">
        <f t="shared" si="8"/>
        <v>3500</v>
      </c>
      <c r="X86" s="20">
        <f t="shared" si="9"/>
        <v>3500</v>
      </c>
      <c r="Y86" s="20">
        <f t="shared" si="10"/>
        <v>0</v>
      </c>
    </row>
    <row r="87" spans="1:25" ht="15.75" customHeight="1">
      <c r="A87" s="14" t="s">
        <v>184</v>
      </c>
      <c r="B87" s="15" t="s">
        <v>185</v>
      </c>
      <c r="C87" s="16">
        <v>1550</v>
      </c>
      <c r="D87" s="16">
        <v>1550</v>
      </c>
      <c r="E87" s="17">
        <v>1</v>
      </c>
      <c r="F87" s="18">
        <v>0</v>
      </c>
      <c r="G87" s="18">
        <v>0</v>
      </c>
      <c r="H87" s="18">
        <v>0</v>
      </c>
      <c r="I87" s="17">
        <v>0</v>
      </c>
      <c r="J87" s="17">
        <f t="shared" si="0"/>
        <v>1</v>
      </c>
      <c r="K87" s="17">
        <v>1</v>
      </c>
      <c r="L87" s="17">
        <v>0</v>
      </c>
      <c r="M87" s="17">
        <v>0</v>
      </c>
      <c r="N87" s="17">
        <f t="shared" si="1"/>
        <v>1</v>
      </c>
      <c r="O87" s="17">
        <f t="shared" si="2"/>
        <v>0</v>
      </c>
      <c r="P87" s="3"/>
      <c r="Q87" s="19">
        <f t="shared" si="3"/>
        <v>1550</v>
      </c>
      <c r="R87" s="19">
        <v>0</v>
      </c>
      <c r="S87" s="19">
        <f t="shared" si="4"/>
        <v>0</v>
      </c>
      <c r="T87" s="19">
        <f t="shared" si="5"/>
        <v>0</v>
      </c>
      <c r="U87" s="19">
        <f t="shared" si="6"/>
        <v>0</v>
      </c>
      <c r="V87" s="19">
        <f t="shared" si="7"/>
        <v>0</v>
      </c>
      <c r="W87" s="19">
        <f t="shared" si="8"/>
        <v>1550</v>
      </c>
      <c r="X87" s="20">
        <f t="shared" si="9"/>
        <v>1550</v>
      </c>
      <c r="Y87" s="20">
        <f t="shared" si="10"/>
        <v>0</v>
      </c>
    </row>
    <row r="88" spans="1:25" ht="15.75" customHeight="1">
      <c r="A88" s="14" t="s">
        <v>186</v>
      </c>
      <c r="B88" s="21" t="s">
        <v>187</v>
      </c>
      <c r="C88" s="16">
        <v>1750</v>
      </c>
      <c r="D88" s="16">
        <v>1750</v>
      </c>
      <c r="E88" s="17">
        <v>1</v>
      </c>
      <c r="F88" s="18">
        <v>0</v>
      </c>
      <c r="G88" s="18">
        <v>0</v>
      </c>
      <c r="H88" s="18">
        <v>0</v>
      </c>
      <c r="I88" s="17">
        <v>0</v>
      </c>
      <c r="J88" s="17">
        <f t="shared" si="0"/>
        <v>1</v>
      </c>
      <c r="K88" s="17">
        <v>0</v>
      </c>
      <c r="L88" s="17">
        <v>3</v>
      </c>
      <c r="M88" s="17">
        <v>0</v>
      </c>
      <c r="N88" s="17">
        <f t="shared" si="1"/>
        <v>3</v>
      </c>
      <c r="O88" s="17">
        <f t="shared" si="2"/>
        <v>2</v>
      </c>
      <c r="P88" s="3"/>
      <c r="Q88" s="19">
        <f t="shared" si="3"/>
        <v>1750</v>
      </c>
      <c r="R88" s="19">
        <v>0</v>
      </c>
      <c r="S88" s="19">
        <f t="shared" si="4"/>
        <v>0</v>
      </c>
      <c r="T88" s="19">
        <f t="shared" si="5"/>
        <v>0</v>
      </c>
      <c r="U88" s="19">
        <f t="shared" si="6"/>
        <v>0</v>
      </c>
      <c r="V88" s="19">
        <f t="shared" si="7"/>
        <v>0</v>
      </c>
      <c r="W88" s="19">
        <f t="shared" si="8"/>
        <v>1750</v>
      </c>
      <c r="X88" s="20">
        <f t="shared" si="9"/>
        <v>1750</v>
      </c>
      <c r="Y88" s="20">
        <f t="shared" si="10"/>
        <v>0</v>
      </c>
    </row>
    <row r="89" spans="1:25" ht="15.75" customHeight="1">
      <c r="A89" s="14" t="s">
        <v>188</v>
      </c>
      <c r="B89" s="15" t="s">
        <v>189</v>
      </c>
      <c r="C89" s="16">
        <v>1750</v>
      </c>
      <c r="D89" s="16">
        <v>1750</v>
      </c>
      <c r="E89" s="17">
        <v>0</v>
      </c>
      <c r="F89" s="18">
        <v>0</v>
      </c>
      <c r="G89" s="18">
        <v>0</v>
      </c>
      <c r="H89" s="18">
        <v>0</v>
      </c>
      <c r="I89" s="17">
        <v>0</v>
      </c>
      <c r="J89" s="17">
        <f t="shared" si="0"/>
        <v>0</v>
      </c>
      <c r="K89" s="17">
        <v>0</v>
      </c>
      <c r="L89" s="17">
        <v>0</v>
      </c>
      <c r="M89" s="17">
        <v>0</v>
      </c>
      <c r="N89" s="17">
        <f t="shared" si="1"/>
        <v>0</v>
      </c>
      <c r="O89" s="17">
        <f t="shared" si="2"/>
        <v>0</v>
      </c>
      <c r="P89" s="3"/>
      <c r="Q89" s="19">
        <f t="shared" si="3"/>
        <v>0</v>
      </c>
      <c r="R89" s="19">
        <v>0</v>
      </c>
      <c r="S89" s="19">
        <f t="shared" si="4"/>
        <v>0</v>
      </c>
      <c r="T89" s="19">
        <f t="shared" si="5"/>
        <v>0</v>
      </c>
      <c r="U89" s="19">
        <f t="shared" si="6"/>
        <v>0</v>
      </c>
      <c r="V89" s="19">
        <f t="shared" si="7"/>
        <v>0</v>
      </c>
      <c r="W89" s="19">
        <f t="shared" si="8"/>
        <v>0</v>
      </c>
      <c r="X89" s="20">
        <f t="shared" si="9"/>
        <v>0</v>
      </c>
      <c r="Y89" s="20">
        <f t="shared" si="10"/>
        <v>0</v>
      </c>
    </row>
    <row r="90" spans="1:25" ht="15.75" customHeight="1">
      <c r="A90" s="14" t="s">
        <v>190</v>
      </c>
      <c r="B90" s="15" t="s">
        <v>191</v>
      </c>
      <c r="C90" s="16">
        <v>1850</v>
      </c>
      <c r="D90" s="16">
        <v>1850</v>
      </c>
      <c r="E90" s="17">
        <v>2</v>
      </c>
      <c r="F90" s="18">
        <v>0</v>
      </c>
      <c r="G90" s="18">
        <v>0</v>
      </c>
      <c r="H90" s="18">
        <v>0</v>
      </c>
      <c r="I90" s="17">
        <v>0</v>
      </c>
      <c r="J90" s="17">
        <f t="shared" si="0"/>
        <v>2</v>
      </c>
      <c r="K90" s="17">
        <v>2</v>
      </c>
      <c r="L90" s="17">
        <v>0</v>
      </c>
      <c r="M90" s="17">
        <v>0</v>
      </c>
      <c r="N90" s="17">
        <f t="shared" si="1"/>
        <v>2</v>
      </c>
      <c r="O90" s="17">
        <f t="shared" si="2"/>
        <v>0</v>
      </c>
      <c r="P90" s="3"/>
      <c r="Q90" s="19">
        <f t="shared" si="3"/>
        <v>3700</v>
      </c>
      <c r="R90" s="19">
        <v>0</v>
      </c>
      <c r="S90" s="19">
        <f t="shared" si="4"/>
        <v>0</v>
      </c>
      <c r="T90" s="19">
        <f t="shared" si="5"/>
        <v>0</v>
      </c>
      <c r="U90" s="19">
        <f t="shared" si="6"/>
        <v>0</v>
      </c>
      <c r="V90" s="19">
        <f t="shared" si="7"/>
        <v>0</v>
      </c>
      <c r="W90" s="19">
        <f t="shared" si="8"/>
        <v>3700</v>
      </c>
      <c r="X90" s="20">
        <f t="shared" si="9"/>
        <v>3700</v>
      </c>
      <c r="Y90" s="20">
        <f t="shared" si="10"/>
        <v>0</v>
      </c>
    </row>
    <row r="91" spans="1:25" ht="15.75" customHeight="1">
      <c r="A91" s="14" t="s">
        <v>192</v>
      </c>
      <c r="B91" s="15" t="s">
        <v>193</v>
      </c>
      <c r="C91" s="16">
        <v>432</v>
      </c>
      <c r="D91" s="16">
        <v>432</v>
      </c>
      <c r="E91" s="17">
        <v>0</v>
      </c>
      <c r="F91" s="18">
        <v>0</v>
      </c>
      <c r="G91" s="18">
        <v>0</v>
      </c>
      <c r="H91" s="18">
        <v>0</v>
      </c>
      <c r="I91" s="17">
        <v>0</v>
      </c>
      <c r="J91" s="17">
        <f t="shared" si="0"/>
        <v>0</v>
      </c>
      <c r="K91" s="17">
        <v>0</v>
      </c>
      <c r="L91" s="17">
        <v>0</v>
      </c>
      <c r="M91" s="17">
        <v>0</v>
      </c>
      <c r="N91" s="17">
        <f t="shared" si="1"/>
        <v>0</v>
      </c>
      <c r="O91" s="17">
        <f t="shared" si="2"/>
        <v>0</v>
      </c>
      <c r="P91" s="3"/>
      <c r="Q91" s="19">
        <f t="shared" si="3"/>
        <v>0</v>
      </c>
      <c r="R91" s="19">
        <v>0</v>
      </c>
      <c r="S91" s="19">
        <f t="shared" si="4"/>
        <v>0</v>
      </c>
      <c r="T91" s="19">
        <f t="shared" si="5"/>
        <v>0</v>
      </c>
      <c r="U91" s="19">
        <f t="shared" si="6"/>
        <v>0</v>
      </c>
      <c r="V91" s="19">
        <f t="shared" si="7"/>
        <v>0</v>
      </c>
      <c r="W91" s="19">
        <f t="shared" si="8"/>
        <v>0</v>
      </c>
      <c r="X91" s="20">
        <f t="shared" si="9"/>
        <v>0</v>
      </c>
      <c r="Y91" s="20">
        <f t="shared" si="10"/>
        <v>0</v>
      </c>
    </row>
    <row r="92" spans="1:25" ht="15.75" customHeight="1">
      <c r="A92" s="14" t="s">
        <v>194</v>
      </c>
      <c r="B92" s="15" t="s">
        <v>195</v>
      </c>
      <c r="C92" s="16">
        <v>2300</v>
      </c>
      <c r="D92" s="16">
        <v>2300</v>
      </c>
      <c r="E92" s="17">
        <v>2</v>
      </c>
      <c r="F92" s="18">
        <v>0</v>
      </c>
      <c r="G92" s="18">
        <v>0</v>
      </c>
      <c r="H92" s="18">
        <v>0</v>
      </c>
      <c r="I92" s="17">
        <v>0</v>
      </c>
      <c r="J92" s="17">
        <f t="shared" si="0"/>
        <v>2</v>
      </c>
      <c r="K92" s="17">
        <v>2</v>
      </c>
      <c r="L92" s="17">
        <v>0</v>
      </c>
      <c r="M92" s="17">
        <v>0</v>
      </c>
      <c r="N92" s="17">
        <f t="shared" si="1"/>
        <v>2</v>
      </c>
      <c r="O92" s="17">
        <f t="shared" si="2"/>
        <v>0</v>
      </c>
      <c r="P92" s="3"/>
      <c r="Q92" s="19">
        <f t="shared" si="3"/>
        <v>4600</v>
      </c>
      <c r="R92" s="19">
        <v>0</v>
      </c>
      <c r="S92" s="19">
        <f t="shared" si="4"/>
        <v>0</v>
      </c>
      <c r="T92" s="19">
        <f t="shared" si="5"/>
        <v>0</v>
      </c>
      <c r="U92" s="19">
        <f t="shared" si="6"/>
        <v>0</v>
      </c>
      <c r="V92" s="19">
        <f t="shared" si="7"/>
        <v>0</v>
      </c>
      <c r="W92" s="19">
        <f t="shared" si="8"/>
        <v>4600</v>
      </c>
      <c r="X92" s="20">
        <f t="shared" si="9"/>
        <v>4600</v>
      </c>
      <c r="Y92" s="20">
        <f t="shared" si="10"/>
        <v>0</v>
      </c>
    </row>
    <row r="93" spans="1:25" ht="15.75" customHeight="1">
      <c r="A93" s="14" t="s">
        <v>196</v>
      </c>
      <c r="B93" s="15" t="s">
        <v>197</v>
      </c>
      <c r="C93" s="16">
        <v>1200</v>
      </c>
      <c r="D93" s="16">
        <v>1200</v>
      </c>
      <c r="E93" s="17">
        <v>1</v>
      </c>
      <c r="F93" s="18">
        <v>0</v>
      </c>
      <c r="G93" s="18">
        <v>0</v>
      </c>
      <c r="H93" s="18">
        <v>0</v>
      </c>
      <c r="I93" s="17">
        <v>0</v>
      </c>
      <c r="J93" s="17">
        <f t="shared" si="0"/>
        <v>1</v>
      </c>
      <c r="K93" s="17">
        <v>1</v>
      </c>
      <c r="L93" s="17">
        <v>0</v>
      </c>
      <c r="M93" s="17">
        <v>0</v>
      </c>
      <c r="N93" s="17">
        <f t="shared" si="1"/>
        <v>1</v>
      </c>
      <c r="O93" s="17">
        <f t="shared" si="2"/>
        <v>0</v>
      </c>
      <c r="P93" s="3"/>
      <c r="Q93" s="19">
        <f t="shared" si="3"/>
        <v>1200</v>
      </c>
      <c r="R93" s="19">
        <v>0</v>
      </c>
      <c r="S93" s="19">
        <f t="shared" si="4"/>
        <v>0</v>
      </c>
      <c r="T93" s="19">
        <f t="shared" si="5"/>
        <v>0</v>
      </c>
      <c r="U93" s="19">
        <f t="shared" si="6"/>
        <v>0</v>
      </c>
      <c r="V93" s="19">
        <f t="shared" si="7"/>
        <v>0</v>
      </c>
      <c r="W93" s="19">
        <f t="shared" si="8"/>
        <v>1200</v>
      </c>
      <c r="X93" s="20">
        <f t="shared" si="9"/>
        <v>1200</v>
      </c>
      <c r="Y93" s="20">
        <f t="shared" si="10"/>
        <v>0</v>
      </c>
    </row>
    <row r="94" spans="1:25" ht="15.75" customHeight="1">
      <c r="A94" s="14" t="s">
        <v>198</v>
      </c>
      <c r="B94" s="15" t="s">
        <v>199</v>
      </c>
      <c r="C94" s="16">
        <v>4600</v>
      </c>
      <c r="D94" s="16">
        <v>4600</v>
      </c>
      <c r="E94" s="17">
        <v>7</v>
      </c>
      <c r="F94" s="18">
        <v>0</v>
      </c>
      <c r="G94" s="18">
        <v>0</v>
      </c>
      <c r="H94" s="18">
        <v>0</v>
      </c>
      <c r="I94" s="17">
        <v>0</v>
      </c>
      <c r="J94" s="17">
        <f t="shared" si="0"/>
        <v>7</v>
      </c>
      <c r="K94" s="17">
        <v>7</v>
      </c>
      <c r="L94" s="17">
        <v>0</v>
      </c>
      <c r="M94" s="17">
        <v>0</v>
      </c>
      <c r="N94" s="17">
        <f t="shared" si="1"/>
        <v>7</v>
      </c>
      <c r="O94" s="17">
        <f t="shared" si="2"/>
        <v>0</v>
      </c>
      <c r="P94" s="3"/>
      <c r="Q94" s="19">
        <f t="shared" si="3"/>
        <v>32200</v>
      </c>
      <c r="R94" s="19">
        <v>0</v>
      </c>
      <c r="S94" s="19">
        <f t="shared" si="4"/>
        <v>0</v>
      </c>
      <c r="T94" s="19">
        <f t="shared" si="5"/>
        <v>0</v>
      </c>
      <c r="U94" s="19">
        <f t="shared" si="6"/>
        <v>0</v>
      </c>
      <c r="V94" s="19">
        <f t="shared" si="7"/>
        <v>0</v>
      </c>
      <c r="W94" s="19">
        <f t="shared" si="8"/>
        <v>32200</v>
      </c>
      <c r="X94" s="20">
        <f t="shared" si="9"/>
        <v>32200</v>
      </c>
      <c r="Y94" s="20">
        <f t="shared" si="10"/>
        <v>0</v>
      </c>
    </row>
    <row r="95" spans="1:25" ht="15.75" customHeight="1">
      <c r="A95" s="14" t="s">
        <v>200</v>
      </c>
      <c r="B95" s="15" t="s">
        <v>201</v>
      </c>
      <c r="C95" s="16">
        <v>820</v>
      </c>
      <c r="D95" s="16">
        <v>820</v>
      </c>
      <c r="E95" s="17">
        <v>2</v>
      </c>
      <c r="F95" s="18">
        <v>0</v>
      </c>
      <c r="G95" s="18">
        <v>0</v>
      </c>
      <c r="H95" s="18">
        <v>0</v>
      </c>
      <c r="I95" s="17">
        <v>0</v>
      </c>
      <c r="J95" s="17">
        <f t="shared" si="0"/>
        <v>2</v>
      </c>
      <c r="K95" s="17">
        <v>2</v>
      </c>
      <c r="L95" s="17">
        <v>0</v>
      </c>
      <c r="M95" s="17">
        <v>0</v>
      </c>
      <c r="N95" s="17">
        <f t="shared" si="1"/>
        <v>2</v>
      </c>
      <c r="O95" s="17">
        <f t="shared" si="2"/>
        <v>0</v>
      </c>
      <c r="P95" s="3"/>
      <c r="Q95" s="19">
        <f t="shared" si="3"/>
        <v>1640</v>
      </c>
      <c r="R95" s="19">
        <v>0</v>
      </c>
      <c r="S95" s="19">
        <f t="shared" si="4"/>
        <v>0</v>
      </c>
      <c r="T95" s="19">
        <f t="shared" si="5"/>
        <v>0</v>
      </c>
      <c r="U95" s="19">
        <f t="shared" si="6"/>
        <v>0</v>
      </c>
      <c r="V95" s="19">
        <f t="shared" si="7"/>
        <v>0</v>
      </c>
      <c r="W95" s="19">
        <f t="shared" si="8"/>
        <v>1640</v>
      </c>
      <c r="X95" s="20">
        <f t="shared" si="9"/>
        <v>1640</v>
      </c>
      <c r="Y95" s="20">
        <f t="shared" si="10"/>
        <v>0</v>
      </c>
    </row>
    <row r="96" spans="1:25" ht="15.75" customHeight="1">
      <c r="A96" s="14" t="s">
        <v>202</v>
      </c>
      <c r="B96" s="15" t="s">
        <v>203</v>
      </c>
      <c r="C96" s="16">
        <v>5735</v>
      </c>
      <c r="D96" s="16">
        <v>5735</v>
      </c>
      <c r="E96" s="17">
        <v>1</v>
      </c>
      <c r="F96" s="18">
        <v>0</v>
      </c>
      <c r="G96" s="18">
        <v>0</v>
      </c>
      <c r="H96" s="18">
        <v>0</v>
      </c>
      <c r="I96" s="17">
        <v>0</v>
      </c>
      <c r="J96" s="17">
        <f t="shared" si="0"/>
        <v>1</v>
      </c>
      <c r="K96" s="17">
        <v>1</v>
      </c>
      <c r="L96" s="17">
        <v>0</v>
      </c>
      <c r="M96" s="17">
        <v>0</v>
      </c>
      <c r="N96" s="17">
        <f t="shared" si="1"/>
        <v>1</v>
      </c>
      <c r="O96" s="17">
        <f t="shared" si="2"/>
        <v>0</v>
      </c>
      <c r="P96" s="3"/>
      <c r="Q96" s="19">
        <f t="shared" si="3"/>
        <v>5735</v>
      </c>
      <c r="R96" s="19">
        <v>0</v>
      </c>
      <c r="S96" s="19">
        <f t="shared" si="4"/>
        <v>0</v>
      </c>
      <c r="T96" s="19">
        <f t="shared" si="5"/>
        <v>0</v>
      </c>
      <c r="U96" s="19">
        <f t="shared" si="6"/>
        <v>0</v>
      </c>
      <c r="V96" s="19">
        <f t="shared" si="7"/>
        <v>0</v>
      </c>
      <c r="W96" s="19">
        <f t="shared" si="8"/>
        <v>5735</v>
      </c>
      <c r="X96" s="20">
        <f t="shared" si="9"/>
        <v>5735</v>
      </c>
      <c r="Y96" s="20">
        <f t="shared" si="10"/>
        <v>0</v>
      </c>
    </row>
    <row r="97" spans="1:25" ht="15.75" customHeight="1">
      <c r="A97" s="14" t="s">
        <v>204</v>
      </c>
      <c r="B97" s="15" t="s">
        <v>205</v>
      </c>
      <c r="C97" s="16">
        <v>150.36000000000001</v>
      </c>
      <c r="D97" s="16">
        <v>150.36000000000001</v>
      </c>
      <c r="E97" s="17">
        <v>2</v>
      </c>
      <c r="F97" s="18">
        <v>0</v>
      </c>
      <c r="G97" s="18">
        <v>0</v>
      </c>
      <c r="H97" s="18">
        <v>0</v>
      </c>
      <c r="I97" s="17">
        <v>0</v>
      </c>
      <c r="J97" s="17">
        <f t="shared" si="0"/>
        <v>2</v>
      </c>
      <c r="K97" s="17">
        <v>2</v>
      </c>
      <c r="L97" s="17">
        <v>0</v>
      </c>
      <c r="M97" s="17">
        <v>0</v>
      </c>
      <c r="N97" s="17">
        <f t="shared" si="1"/>
        <v>2</v>
      </c>
      <c r="O97" s="17">
        <f t="shared" si="2"/>
        <v>0</v>
      </c>
      <c r="P97" s="3"/>
      <c r="Q97" s="19">
        <f t="shared" si="3"/>
        <v>300.72000000000003</v>
      </c>
      <c r="R97" s="19">
        <v>0</v>
      </c>
      <c r="S97" s="19">
        <f t="shared" si="4"/>
        <v>0</v>
      </c>
      <c r="T97" s="19">
        <f t="shared" si="5"/>
        <v>0</v>
      </c>
      <c r="U97" s="19">
        <f t="shared" si="6"/>
        <v>0</v>
      </c>
      <c r="V97" s="19">
        <f t="shared" si="7"/>
        <v>0</v>
      </c>
      <c r="W97" s="19">
        <f t="shared" si="8"/>
        <v>300.72000000000003</v>
      </c>
      <c r="X97" s="20">
        <f t="shared" si="9"/>
        <v>300.72000000000003</v>
      </c>
      <c r="Y97" s="20">
        <f t="shared" si="10"/>
        <v>0</v>
      </c>
    </row>
    <row r="98" spans="1:25" ht="15.75" customHeight="1">
      <c r="A98" s="14" t="s">
        <v>206</v>
      </c>
      <c r="B98" s="15" t="s">
        <v>207</v>
      </c>
      <c r="C98" s="16">
        <v>680</v>
      </c>
      <c r="D98" s="16">
        <v>680</v>
      </c>
      <c r="E98" s="17">
        <v>2</v>
      </c>
      <c r="F98" s="18">
        <v>0</v>
      </c>
      <c r="G98" s="18">
        <v>0</v>
      </c>
      <c r="H98" s="18">
        <v>0</v>
      </c>
      <c r="I98" s="17">
        <v>0</v>
      </c>
      <c r="J98" s="17">
        <f t="shared" si="0"/>
        <v>2</v>
      </c>
      <c r="K98" s="17">
        <v>2</v>
      </c>
      <c r="L98" s="17">
        <v>0</v>
      </c>
      <c r="M98" s="17">
        <v>0</v>
      </c>
      <c r="N98" s="17">
        <f t="shared" si="1"/>
        <v>2</v>
      </c>
      <c r="O98" s="17">
        <f t="shared" si="2"/>
        <v>0</v>
      </c>
      <c r="P98" s="3"/>
      <c r="Q98" s="19">
        <f t="shared" si="3"/>
        <v>1360</v>
      </c>
      <c r="R98" s="19">
        <v>0</v>
      </c>
      <c r="S98" s="19">
        <f t="shared" si="4"/>
        <v>0</v>
      </c>
      <c r="T98" s="19">
        <f t="shared" si="5"/>
        <v>0</v>
      </c>
      <c r="U98" s="19">
        <f t="shared" si="6"/>
        <v>0</v>
      </c>
      <c r="V98" s="19">
        <f t="shared" si="7"/>
        <v>0</v>
      </c>
      <c r="W98" s="19">
        <f t="shared" si="8"/>
        <v>1360</v>
      </c>
      <c r="X98" s="20">
        <f t="shared" si="9"/>
        <v>1360</v>
      </c>
      <c r="Y98" s="20">
        <f t="shared" si="10"/>
        <v>0</v>
      </c>
    </row>
    <row r="99" spans="1:25" ht="15.75" customHeight="1">
      <c r="A99" s="14" t="s">
        <v>208</v>
      </c>
      <c r="B99" s="15" t="s">
        <v>209</v>
      </c>
      <c r="C99" s="16">
        <v>374.22</v>
      </c>
      <c r="D99" s="16">
        <v>374.22</v>
      </c>
      <c r="E99" s="17">
        <v>3</v>
      </c>
      <c r="F99" s="18">
        <v>0</v>
      </c>
      <c r="G99" s="18">
        <v>0</v>
      </c>
      <c r="H99" s="18">
        <v>0</v>
      </c>
      <c r="I99" s="17">
        <v>0</v>
      </c>
      <c r="J99" s="17">
        <f t="shared" si="0"/>
        <v>3</v>
      </c>
      <c r="K99" s="17">
        <v>3</v>
      </c>
      <c r="L99" s="17">
        <v>0</v>
      </c>
      <c r="M99" s="17">
        <v>0</v>
      </c>
      <c r="N99" s="17">
        <f t="shared" si="1"/>
        <v>3</v>
      </c>
      <c r="O99" s="17">
        <f t="shared" si="2"/>
        <v>0</v>
      </c>
      <c r="P99" s="3"/>
      <c r="Q99" s="19">
        <f t="shared" si="3"/>
        <v>1122.6600000000001</v>
      </c>
      <c r="R99" s="19">
        <v>0</v>
      </c>
      <c r="S99" s="19">
        <f t="shared" si="4"/>
        <v>0</v>
      </c>
      <c r="T99" s="19">
        <f t="shared" si="5"/>
        <v>0</v>
      </c>
      <c r="U99" s="19">
        <f t="shared" si="6"/>
        <v>0</v>
      </c>
      <c r="V99" s="19">
        <f t="shared" si="7"/>
        <v>0</v>
      </c>
      <c r="W99" s="19">
        <f t="shared" si="8"/>
        <v>1122.6600000000001</v>
      </c>
      <c r="X99" s="20">
        <f t="shared" si="9"/>
        <v>1122.6600000000001</v>
      </c>
      <c r="Y99" s="20">
        <f t="shared" si="10"/>
        <v>0</v>
      </c>
    </row>
    <row r="100" spans="1:25" ht="15.75" customHeight="1">
      <c r="A100" s="14" t="s">
        <v>210</v>
      </c>
      <c r="B100" s="15" t="s">
        <v>211</v>
      </c>
      <c r="C100" s="16">
        <v>1020</v>
      </c>
      <c r="D100" s="16">
        <v>1020</v>
      </c>
      <c r="E100" s="17">
        <v>1</v>
      </c>
      <c r="F100" s="18">
        <v>0</v>
      </c>
      <c r="G100" s="18">
        <v>0</v>
      </c>
      <c r="H100" s="18">
        <v>0</v>
      </c>
      <c r="I100" s="17">
        <v>0</v>
      </c>
      <c r="J100" s="17">
        <f t="shared" si="0"/>
        <v>1</v>
      </c>
      <c r="K100" s="17">
        <v>1</v>
      </c>
      <c r="L100" s="17">
        <v>0</v>
      </c>
      <c r="M100" s="17">
        <v>0</v>
      </c>
      <c r="N100" s="17">
        <f t="shared" si="1"/>
        <v>1</v>
      </c>
      <c r="O100" s="17">
        <f t="shared" si="2"/>
        <v>0</v>
      </c>
      <c r="P100" s="3"/>
      <c r="Q100" s="19">
        <f t="shared" si="3"/>
        <v>1020</v>
      </c>
      <c r="R100" s="19">
        <v>0</v>
      </c>
      <c r="S100" s="19">
        <f t="shared" si="4"/>
        <v>0</v>
      </c>
      <c r="T100" s="19">
        <f t="shared" si="5"/>
        <v>0</v>
      </c>
      <c r="U100" s="19">
        <f t="shared" si="6"/>
        <v>0</v>
      </c>
      <c r="V100" s="19">
        <f t="shared" si="7"/>
        <v>0</v>
      </c>
      <c r="W100" s="19">
        <f t="shared" si="8"/>
        <v>1020</v>
      </c>
      <c r="X100" s="20">
        <f t="shared" si="9"/>
        <v>1020</v>
      </c>
      <c r="Y100" s="20">
        <f t="shared" si="10"/>
        <v>0</v>
      </c>
    </row>
    <row r="101" spans="1:25" ht="15.75" customHeight="1">
      <c r="A101" s="14" t="s">
        <v>212</v>
      </c>
      <c r="B101" s="15" t="s">
        <v>213</v>
      </c>
      <c r="C101" s="16">
        <v>360</v>
      </c>
      <c r="D101" s="16">
        <v>360</v>
      </c>
      <c r="E101" s="17">
        <v>3</v>
      </c>
      <c r="F101" s="18">
        <v>0</v>
      </c>
      <c r="G101" s="18">
        <v>0</v>
      </c>
      <c r="H101" s="18">
        <v>0</v>
      </c>
      <c r="I101" s="17">
        <v>0</v>
      </c>
      <c r="J101" s="17">
        <f t="shared" si="0"/>
        <v>3</v>
      </c>
      <c r="K101" s="17">
        <v>3</v>
      </c>
      <c r="L101" s="17">
        <v>0</v>
      </c>
      <c r="M101" s="17">
        <v>0</v>
      </c>
      <c r="N101" s="17">
        <f t="shared" si="1"/>
        <v>3</v>
      </c>
      <c r="O101" s="17">
        <f t="shared" si="2"/>
        <v>0</v>
      </c>
      <c r="P101" s="3"/>
      <c r="Q101" s="19">
        <f t="shared" si="3"/>
        <v>1080</v>
      </c>
      <c r="R101" s="19">
        <v>0</v>
      </c>
      <c r="S101" s="19">
        <f t="shared" si="4"/>
        <v>0</v>
      </c>
      <c r="T101" s="19">
        <f t="shared" si="5"/>
        <v>0</v>
      </c>
      <c r="U101" s="19">
        <f t="shared" si="6"/>
        <v>0</v>
      </c>
      <c r="V101" s="19">
        <f t="shared" si="7"/>
        <v>0</v>
      </c>
      <c r="W101" s="19">
        <f t="shared" si="8"/>
        <v>1080</v>
      </c>
      <c r="X101" s="20">
        <f t="shared" si="9"/>
        <v>1080</v>
      </c>
      <c r="Y101" s="20">
        <f t="shared" si="10"/>
        <v>0</v>
      </c>
    </row>
    <row r="102" spans="1:25" ht="15.75" customHeight="1">
      <c r="A102" s="14" t="s">
        <v>214</v>
      </c>
      <c r="B102" s="15" t="s">
        <v>215</v>
      </c>
      <c r="C102" s="16">
        <v>1100</v>
      </c>
      <c r="D102" s="16">
        <v>1100</v>
      </c>
      <c r="E102" s="17">
        <v>1</v>
      </c>
      <c r="F102" s="18">
        <v>0</v>
      </c>
      <c r="G102" s="18">
        <v>0</v>
      </c>
      <c r="H102" s="18">
        <v>0</v>
      </c>
      <c r="I102" s="17">
        <v>0</v>
      </c>
      <c r="J102" s="17">
        <f t="shared" si="0"/>
        <v>1</v>
      </c>
      <c r="K102" s="17">
        <v>1</v>
      </c>
      <c r="L102" s="17">
        <v>0</v>
      </c>
      <c r="M102" s="17">
        <v>0</v>
      </c>
      <c r="N102" s="17">
        <f t="shared" si="1"/>
        <v>1</v>
      </c>
      <c r="O102" s="17">
        <f t="shared" si="2"/>
        <v>0</v>
      </c>
      <c r="P102" s="3"/>
      <c r="Q102" s="19">
        <f t="shared" si="3"/>
        <v>1100</v>
      </c>
      <c r="R102" s="19">
        <v>0</v>
      </c>
      <c r="S102" s="19">
        <f t="shared" si="4"/>
        <v>0</v>
      </c>
      <c r="T102" s="19">
        <f t="shared" si="5"/>
        <v>0</v>
      </c>
      <c r="U102" s="19">
        <f t="shared" si="6"/>
        <v>0</v>
      </c>
      <c r="V102" s="19">
        <f t="shared" si="7"/>
        <v>0</v>
      </c>
      <c r="W102" s="19">
        <f t="shared" si="8"/>
        <v>1100</v>
      </c>
      <c r="X102" s="20">
        <f t="shared" si="9"/>
        <v>1100</v>
      </c>
      <c r="Y102" s="20">
        <f t="shared" si="10"/>
        <v>0</v>
      </c>
    </row>
    <row r="103" spans="1:25" ht="15.75" customHeight="1">
      <c r="A103" s="14" t="s">
        <v>216</v>
      </c>
      <c r="B103" s="15" t="s">
        <v>217</v>
      </c>
      <c r="C103" s="16">
        <v>498.85</v>
      </c>
      <c r="D103" s="16">
        <v>498.85</v>
      </c>
      <c r="E103" s="17">
        <v>0</v>
      </c>
      <c r="F103" s="18">
        <v>0</v>
      </c>
      <c r="G103" s="18">
        <v>0</v>
      </c>
      <c r="H103" s="18">
        <v>0</v>
      </c>
      <c r="I103" s="17">
        <v>0</v>
      </c>
      <c r="J103" s="17">
        <f t="shared" si="0"/>
        <v>0</v>
      </c>
      <c r="K103" s="17">
        <v>0</v>
      </c>
      <c r="L103" s="17">
        <v>0</v>
      </c>
      <c r="M103" s="17">
        <v>0</v>
      </c>
      <c r="N103" s="17">
        <f t="shared" si="1"/>
        <v>0</v>
      </c>
      <c r="O103" s="17">
        <f t="shared" si="2"/>
        <v>0</v>
      </c>
      <c r="P103" s="3"/>
      <c r="Q103" s="19">
        <f t="shared" si="3"/>
        <v>0</v>
      </c>
      <c r="R103" s="19">
        <v>0</v>
      </c>
      <c r="S103" s="19">
        <f t="shared" si="4"/>
        <v>0</v>
      </c>
      <c r="T103" s="19">
        <f t="shared" si="5"/>
        <v>0</v>
      </c>
      <c r="U103" s="19">
        <f t="shared" si="6"/>
        <v>0</v>
      </c>
      <c r="V103" s="19">
        <f t="shared" si="7"/>
        <v>0</v>
      </c>
      <c r="W103" s="19">
        <f t="shared" si="8"/>
        <v>0</v>
      </c>
      <c r="X103" s="20">
        <f t="shared" si="9"/>
        <v>0</v>
      </c>
      <c r="Y103" s="20">
        <f t="shared" si="10"/>
        <v>0</v>
      </c>
    </row>
    <row r="104" spans="1:25" ht="15.75" customHeight="1">
      <c r="A104" s="14" t="s">
        <v>218</v>
      </c>
      <c r="B104" s="15" t="s">
        <v>219</v>
      </c>
      <c r="C104" s="16">
        <v>480.5</v>
      </c>
      <c r="D104" s="16">
        <v>480.5</v>
      </c>
      <c r="E104" s="17">
        <v>1</v>
      </c>
      <c r="F104" s="18">
        <v>0</v>
      </c>
      <c r="G104" s="18">
        <v>0</v>
      </c>
      <c r="H104" s="18">
        <v>0</v>
      </c>
      <c r="I104" s="17">
        <v>0</v>
      </c>
      <c r="J104" s="17">
        <f t="shared" si="0"/>
        <v>1</v>
      </c>
      <c r="K104" s="17">
        <v>1</v>
      </c>
      <c r="L104" s="17">
        <v>0</v>
      </c>
      <c r="M104" s="17">
        <v>0</v>
      </c>
      <c r="N104" s="17">
        <f t="shared" si="1"/>
        <v>1</v>
      </c>
      <c r="O104" s="17">
        <f t="shared" si="2"/>
        <v>0</v>
      </c>
      <c r="P104" s="3"/>
      <c r="Q104" s="19">
        <f t="shared" si="3"/>
        <v>480.5</v>
      </c>
      <c r="R104" s="19">
        <v>0</v>
      </c>
      <c r="S104" s="19">
        <f t="shared" si="4"/>
        <v>0</v>
      </c>
      <c r="T104" s="19">
        <f t="shared" si="5"/>
        <v>0</v>
      </c>
      <c r="U104" s="19">
        <f t="shared" si="6"/>
        <v>0</v>
      </c>
      <c r="V104" s="19">
        <f t="shared" si="7"/>
        <v>0</v>
      </c>
      <c r="W104" s="19">
        <f t="shared" si="8"/>
        <v>480.5</v>
      </c>
      <c r="X104" s="20">
        <f t="shared" si="9"/>
        <v>480.5</v>
      </c>
      <c r="Y104" s="20">
        <f t="shared" si="10"/>
        <v>0</v>
      </c>
    </row>
    <row r="105" spans="1:25" ht="15.75" customHeight="1">
      <c r="A105" s="14" t="s">
        <v>220</v>
      </c>
      <c r="B105" s="15" t="s">
        <v>221</v>
      </c>
      <c r="C105" s="16">
        <v>670</v>
      </c>
      <c r="D105" s="16">
        <v>670</v>
      </c>
      <c r="E105" s="17">
        <v>1</v>
      </c>
      <c r="F105" s="18">
        <v>0</v>
      </c>
      <c r="G105" s="18">
        <v>0</v>
      </c>
      <c r="H105" s="18">
        <v>0</v>
      </c>
      <c r="I105" s="17">
        <v>0</v>
      </c>
      <c r="J105" s="17">
        <f t="shared" si="0"/>
        <v>1</v>
      </c>
      <c r="K105" s="17">
        <v>0</v>
      </c>
      <c r="L105" s="17">
        <v>0</v>
      </c>
      <c r="M105" s="17">
        <v>1</v>
      </c>
      <c r="N105" s="17">
        <f t="shared" si="1"/>
        <v>1</v>
      </c>
      <c r="O105" s="17">
        <f t="shared" si="2"/>
        <v>0</v>
      </c>
      <c r="P105" s="3"/>
      <c r="Q105" s="19">
        <f t="shared" si="3"/>
        <v>670</v>
      </c>
      <c r="R105" s="19">
        <v>0</v>
      </c>
      <c r="S105" s="19">
        <f t="shared" si="4"/>
        <v>0</v>
      </c>
      <c r="T105" s="19">
        <f t="shared" si="5"/>
        <v>0</v>
      </c>
      <c r="U105" s="19">
        <f t="shared" si="6"/>
        <v>0</v>
      </c>
      <c r="V105" s="19">
        <f t="shared" si="7"/>
        <v>0</v>
      </c>
      <c r="W105" s="19">
        <f t="shared" si="8"/>
        <v>670</v>
      </c>
      <c r="X105" s="20">
        <f t="shared" si="9"/>
        <v>670</v>
      </c>
      <c r="Y105" s="20">
        <f t="shared" si="10"/>
        <v>0</v>
      </c>
    </row>
    <row r="106" spans="1:25" ht="15.75" customHeight="1">
      <c r="A106" s="14" t="s">
        <v>222</v>
      </c>
      <c r="B106" s="15" t="s">
        <v>223</v>
      </c>
      <c r="C106" s="16">
        <v>775</v>
      </c>
      <c r="D106" s="16">
        <v>775</v>
      </c>
      <c r="E106" s="17">
        <v>2</v>
      </c>
      <c r="F106" s="18">
        <v>0</v>
      </c>
      <c r="G106" s="18">
        <v>0</v>
      </c>
      <c r="H106" s="18">
        <v>0</v>
      </c>
      <c r="I106" s="17">
        <v>0</v>
      </c>
      <c r="J106" s="17">
        <f t="shared" si="0"/>
        <v>2</v>
      </c>
      <c r="K106" s="17">
        <v>2</v>
      </c>
      <c r="L106" s="17">
        <v>0</v>
      </c>
      <c r="M106" s="17">
        <v>0</v>
      </c>
      <c r="N106" s="17">
        <f t="shared" si="1"/>
        <v>2</v>
      </c>
      <c r="O106" s="17">
        <f t="shared" si="2"/>
        <v>0</v>
      </c>
      <c r="P106" s="3"/>
      <c r="Q106" s="19">
        <f t="shared" si="3"/>
        <v>1550</v>
      </c>
      <c r="R106" s="19">
        <v>0</v>
      </c>
      <c r="S106" s="19">
        <f t="shared" si="4"/>
        <v>0</v>
      </c>
      <c r="T106" s="19">
        <f t="shared" si="5"/>
        <v>0</v>
      </c>
      <c r="U106" s="19">
        <f t="shared" si="6"/>
        <v>0</v>
      </c>
      <c r="V106" s="19">
        <f t="shared" si="7"/>
        <v>0</v>
      </c>
      <c r="W106" s="19">
        <f t="shared" si="8"/>
        <v>1550</v>
      </c>
      <c r="X106" s="20">
        <f t="shared" si="9"/>
        <v>1550</v>
      </c>
      <c r="Y106" s="20">
        <f t="shared" si="10"/>
        <v>0</v>
      </c>
    </row>
    <row r="107" spans="1:25" ht="15.75" customHeight="1">
      <c r="A107" s="14" t="s">
        <v>224</v>
      </c>
      <c r="B107" s="15" t="s">
        <v>225</v>
      </c>
      <c r="C107" s="16">
        <v>1320</v>
      </c>
      <c r="D107" s="16">
        <v>1320</v>
      </c>
      <c r="E107" s="17">
        <v>1</v>
      </c>
      <c r="F107" s="18">
        <v>0</v>
      </c>
      <c r="G107" s="18">
        <v>0</v>
      </c>
      <c r="H107" s="18">
        <v>0</v>
      </c>
      <c r="I107" s="17">
        <v>0</v>
      </c>
      <c r="J107" s="17">
        <f t="shared" si="0"/>
        <v>1</v>
      </c>
      <c r="K107" s="17">
        <v>1</v>
      </c>
      <c r="L107" s="17">
        <v>0</v>
      </c>
      <c r="M107" s="17">
        <v>0</v>
      </c>
      <c r="N107" s="17">
        <f t="shared" si="1"/>
        <v>1</v>
      </c>
      <c r="O107" s="17">
        <f t="shared" si="2"/>
        <v>0</v>
      </c>
      <c r="P107" s="3"/>
      <c r="Q107" s="19">
        <f t="shared" si="3"/>
        <v>1320</v>
      </c>
      <c r="R107" s="19">
        <v>0</v>
      </c>
      <c r="S107" s="19">
        <f t="shared" si="4"/>
        <v>0</v>
      </c>
      <c r="T107" s="19">
        <f t="shared" si="5"/>
        <v>0</v>
      </c>
      <c r="U107" s="19">
        <f t="shared" si="6"/>
        <v>0</v>
      </c>
      <c r="V107" s="19">
        <f t="shared" si="7"/>
        <v>0</v>
      </c>
      <c r="W107" s="19">
        <f t="shared" si="8"/>
        <v>1320</v>
      </c>
      <c r="X107" s="20">
        <f t="shared" si="9"/>
        <v>1320</v>
      </c>
      <c r="Y107" s="20">
        <f t="shared" si="10"/>
        <v>0</v>
      </c>
    </row>
    <row r="108" spans="1:25" ht="15.75" customHeight="1">
      <c r="A108" s="14" t="s">
        <v>226</v>
      </c>
      <c r="B108" s="15" t="s">
        <v>227</v>
      </c>
      <c r="C108" s="16">
        <v>2400</v>
      </c>
      <c r="D108" s="16">
        <v>2400</v>
      </c>
      <c r="E108" s="17">
        <v>3</v>
      </c>
      <c r="F108" s="18">
        <v>0</v>
      </c>
      <c r="G108" s="18">
        <v>0</v>
      </c>
      <c r="H108" s="18">
        <v>0</v>
      </c>
      <c r="I108" s="17">
        <v>0</v>
      </c>
      <c r="J108" s="17">
        <f t="shared" si="0"/>
        <v>3</v>
      </c>
      <c r="K108" s="17">
        <v>3</v>
      </c>
      <c r="L108" s="17">
        <v>0</v>
      </c>
      <c r="M108" s="17">
        <v>0</v>
      </c>
      <c r="N108" s="17">
        <f t="shared" si="1"/>
        <v>3</v>
      </c>
      <c r="O108" s="17">
        <f t="shared" si="2"/>
        <v>0</v>
      </c>
      <c r="P108" s="3"/>
      <c r="Q108" s="19">
        <f t="shared" si="3"/>
        <v>7200</v>
      </c>
      <c r="R108" s="19">
        <v>0</v>
      </c>
      <c r="S108" s="19">
        <f t="shared" si="4"/>
        <v>0</v>
      </c>
      <c r="T108" s="19">
        <f t="shared" si="5"/>
        <v>0</v>
      </c>
      <c r="U108" s="19">
        <f t="shared" si="6"/>
        <v>0</v>
      </c>
      <c r="V108" s="19">
        <f t="shared" si="7"/>
        <v>0</v>
      </c>
      <c r="W108" s="19">
        <f t="shared" si="8"/>
        <v>7200</v>
      </c>
      <c r="X108" s="20">
        <f t="shared" si="9"/>
        <v>7200</v>
      </c>
      <c r="Y108" s="20">
        <f t="shared" si="10"/>
        <v>0</v>
      </c>
    </row>
    <row r="109" spans="1:25" ht="15.75" customHeight="1">
      <c r="A109" s="14" t="s">
        <v>228</v>
      </c>
      <c r="B109" s="15" t="s">
        <v>229</v>
      </c>
      <c r="C109" s="16">
        <v>5200</v>
      </c>
      <c r="D109" s="16">
        <v>5200</v>
      </c>
      <c r="E109" s="17">
        <v>1</v>
      </c>
      <c r="F109" s="18">
        <v>0</v>
      </c>
      <c r="G109" s="18">
        <v>0</v>
      </c>
      <c r="H109" s="18">
        <v>0</v>
      </c>
      <c r="I109" s="17">
        <v>0</v>
      </c>
      <c r="J109" s="17">
        <f t="shared" si="0"/>
        <v>1</v>
      </c>
      <c r="K109" s="17">
        <v>1</v>
      </c>
      <c r="L109" s="17">
        <v>0</v>
      </c>
      <c r="M109" s="17">
        <v>0</v>
      </c>
      <c r="N109" s="17">
        <f t="shared" si="1"/>
        <v>1</v>
      </c>
      <c r="O109" s="17">
        <f t="shared" si="2"/>
        <v>0</v>
      </c>
      <c r="P109" s="3"/>
      <c r="Q109" s="19">
        <f t="shared" si="3"/>
        <v>5200</v>
      </c>
      <c r="R109" s="19">
        <v>0</v>
      </c>
      <c r="S109" s="19">
        <f t="shared" si="4"/>
        <v>0</v>
      </c>
      <c r="T109" s="19">
        <f t="shared" si="5"/>
        <v>0</v>
      </c>
      <c r="U109" s="19">
        <f t="shared" si="6"/>
        <v>0</v>
      </c>
      <c r="V109" s="19">
        <f t="shared" si="7"/>
        <v>0</v>
      </c>
      <c r="W109" s="19">
        <f t="shared" si="8"/>
        <v>5200</v>
      </c>
      <c r="X109" s="20">
        <f t="shared" si="9"/>
        <v>5200</v>
      </c>
      <c r="Y109" s="20">
        <f t="shared" si="10"/>
        <v>0</v>
      </c>
    </row>
    <row r="110" spans="1:25" ht="15.75" customHeight="1">
      <c r="A110" s="14" t="s">
        <v>230</v>
      </c>
      <c r="B110" s="15" t="s">
        <v>231</v>
      </c>
      <c r="C110" s="16">
        <v>290</v>
      </c>
      <c r="D110" s="16">
        <v>290</v>
      </c>
      <c r="E110" s="17">
        <v>1</v>
      </c>
      <c r="F110" s="18">
        <v>0</v>
      </c>
      <c r="G110" s="18">
        <v>0</v>
      </c>
      <c r="H110" s="18">
        <v>0</v>
      </c>
      <c r="I110" s="17">
        <v>0</v>
      </c>
      <c r="J110" s="17">
        <f t="shared" si="0"/>
        <v>1</v>
      </c>
      <c r="K110" s="17">
        <v>1</v>
      </c>
      <c r="L110" s="17">
        <v>0</v>
      </c>
      <c r="M110" s="17">
        <v>0</v>
      </c>
      <c r="N110" s="17">
        <f t="shared" si="1"/>
        <v>1</v>
      </c>
      <c r="O110" s="17">
        <f t="shared" si="2"/>
        <v>0</v>
      </c>
      <c r="P110" s="3"/>
      <c r="Q110" s="19">
        <f t="shared" si="3"/>
        <v>290</v>
      </c>
      <c r="R110" s="19">
        <v>0</v>
      </c>
      <c r="S110" s="19">
        <f t="shared" si="4"/>
        <v>0</v>
      </c>
      <c r="T110" s="19">
        <f t="shared" si="5"/>
        <v>0</v>
      </c>
      <c r="U110" s="19">
        <f t="shared" si="6"/>
        <v>0</v>
      </c>
      <c r="V110" s="19">
        <f t="shared" si="7"/>
        <v>0</v>
      </c>
      <c r="W110" s="19">
        <f t="shared" si="8"/>
        <v>290</v>
      </c>
      <c r="X110" s="20">
        <f t="shared" si="9"/>
        <v>290</v>
      </c>
      <c r="Y110" s="20">
        <f t="shared" si="10"/>
        <v>0</v>
      </c>
    </row>
    <row r="111" spans="1:25" ht="15.75" customHeight="1">
      <c r="A111" s="14" t="s">
        <v>232</v>
      </c>
      <c r="B111" s="15" t="s">
        <v>233</v>
      </c>
      <c r="C111" s="16">
        <v>420</v>
      </c>
      <c r="D111" s="16">
        <v>420</v>
      </c>
      <c r="E111" s="17">
        <v>0</v>
      </c>
      <c r="F111" s="18">
        <v>0</v>
      </c>
      <c r="G111" s="18">
        <v>0</v>
      </c>
      <c r="H111" s="18">
        <v>0</v>
      </c>
      <c r="I111" s="17">
        <v>0</v>
      </c>
      <c r="J111" s="17">
        <f t="shared" si="0"/>
        <v>0</v>
      </c>
      <c r="K111" s="17">
        <v>0</v>
      </c>
      <c r="L111" s="17">
        <v>0</v>
      </c>
      <c r="M111" s="17">
        <v>0</v>
      </c>
      <c r="N111" s="17">
        <f t="shared" si="1"/>
        <v>0</v>
      </c>
      <c r="O111" s="17">
        <f t="shared" si="2"/>
        <v>0</v>
      </c>
      <c r="P111" s="3"/>
      <c r="Q111" s="19">
        <f t="shared" si="3"/>
        <v>0</v>
      </c>
      <c r="R111" s="19">
        <v>0</v>
      </c>
      <c r="S111" s="19">
        <f t="shared" si="4"/>
        <v>0</v>
      </c>
      <c r="T111" s="19">
        <f t="shared" si="5"/>
        <v>0</v>
      </c>
      <c r="U111" s="19">
        <f t="shared" si="6"/>
        <v>0</v>
      </c>
      <c r="V111" s="19">
        <f t="shared" si="7"/>
        <v>0</v>
      </c>
      <c r="W111" s="19">
        <f t="shared" si="8"/>
        <v>0</v>
      </c>
      <c r="X111" s="20">
        <f t="shared" si="9"/>
        <v>0</v>
      </c>
      <c r="Y111" s="20">
        <f t="shared" si="10"/>
        <v>0</v>
      </c>
    </row>
    <row r="112" spans="1:25" ht="15.75" customHeight="1">
      <c r="A112" s="14" t="s">
        <v>234</v>
      </c>
      <c r="B112" s="15" t="s">
        <v>235</v>
      </c>
      <c r="C112" s="16">
        <v>31</v>
      </c>
      <c r="D112" s="16">
        <v>31</v>
      </c>
      <c r="E112" s="17">
        <v>116</v>
      </c>
      <c r="F112" s="18">
        <v>0</v>
      </c>
      <c r="G112" s="18">
        <v>0</v>
      </c>
      <c r="H112" s="18">
        <v>0</v>
      </c>
      <c r="I112" s="22">
        <v>0</v>
      </c>
      <c r="J112" s="17">
        <f t="shared" si="0"/>
        <v>116</v>
      </c>
      <c r="K112" s="22">
        <v>116</v>
      </c>
      <c r="L112" s="22">
        <v>0</v>
      </c>
      <c r="M112" s="17">
        <v>0</v>
      </c>
      <c r="N112" s="22">
        <f t="shared" si="1"/>
        <v>116</v>
      </c>
      <c r="O112" s="17">
        <f t="shared" si="2"/>
        <v>0</v>
      </c>
      <c r="P112" s="3"/>
      <c r="Q112" s="19">
        <f t="shared" si="3"/>
        <v>3596</v>
      </c>
      <c r="R112" s="19">
        <v>0</v>
      </c>
      <c r="S112" s="19">
        <f t="shared" si="4"/>
        <v>0</v>
      </c>
      <c r="T112" s="19">
        <f t="shared" si="5"/>
        <v>0</v>
      </c>
      <c r="U112" s="19">
        <f t="shared" si="6"/>
        <v>0</v>
      </c>
      <c r="V112" s="19">
        <f t="shared" si="7"/>
        <v>0</v>
      </c>
      <c r="W112" s="19">
        <f t="shared" si="8"/>
        <v>3596</v>
      </c>
      <c r="X112" s="20">
        <f t="shared" si="9"/>
        <v>3596</v>
      </c>
      <c r="Y112" s="20">
        <f t="shared" si="10"/>
        <v>0</v>
      </c>
    </row>
    <row r="113" spans="1:25" ht="15.75" customHeight="1">
      <c r="A113" s="14" t="s">
        <v>236</v>
      </c>
      <c r="B113" s="15" t="s">
        <v>237</v>
      </c>
      <c r="C113" s="16">
        <v>163.80000000000001</v>
      </c>
      <c r="D113" s="16">
        <v>163.80000000000001</v>
      </c>
      <c r="E113" s="17">
        <v>0</v>
      </c>
      <c r="F113" s="18">
        <v>0</v>
      </c>
      <c r="G113" s="18">
        <v>0</v>
      </c>
      <c r="H113" s="18">
        <v>0</v>
      </c>
      <c r="I113" s="17">
        <v>0</v>
      </c>
      <c r="J113" s="17">
        <f t="shared" si="0"/>
        <v>0</v>
      </c>
      <c r="K113" s="17">
        <v>0</v>
      </c>
      <c r="L113" s="17">
        <v>0</v>
      </c>
      <c r="M113" s="17">
        <v>0</v>
      </c>
      <c r="N113" s="17">
        <f t="shared" si="1"/>
        <v>0</v>
      </c>
      <c r="O113" s="17">
        <f t="shared" si="2"/>
        <v>0</v>
      </c>
      <c r="P113" s="3"/>
      <c r="Q113" s="19">
        <f t="shared" si="3"/>
        <v>0</v>
      </c>
      <c r="R113" s="19">
        <v>0</v>
      </c>
      <c r="S113" s="19">
        <f t="shared" si="4"/>
        <v>0</v>
      </c>
      <c r="T113" s="19">
        <f t="shared" si="5"/>
        <v>0</v>
      </c>
      <c r="U113" s="19">
        <f t="shared" si="6"/>
        <v>0</v>
      </c>
      <c r="V113" s="19">
        <f t="shared" si="7"/>
        <v>0</v>
      </c>
      <c r="W113" s="19">
        <f t="shared" si="8"/>
        <v>0</v>
      </c>
      <c r="X113" s="20">
        <f t="shared" si="9"/>
        <v>0</v>
      </c>
      <c r="Y113" s="20">
        <f t="shared" si="10"/>
        <v>0</v>
      </c>
    </row>
    <row r="114" spans="1:25" ht="15.75" customHeight="1">
      <c r="A114" s="14" t="s">
        <v>238</v>
      </c>
      <c r="B114" s="15" t="s">
        <v>239</v>
      </c>
      <c r="C114" s="16">
        <v>0</v>
      </c>
      <c r="D114" s="16">
        <v>0</v>
      </c>
      <c r="E114" s="17">
        <v>0</v>
      </c>
      <c r="F114" s="18">
        <v>0</v>
      </c>
      <c r="G114" s="18">
        <v>0</v>
      </c>
      <c r="H114" s="18">
        <v>0</v>
      </c>
      <c r="I114" s="17">
        <v>0</v>
      </c>
      <c r="J114" s="17">
        <f t="shared" si="0"/>
        <v>0</v>
      </c>
      <c r="K114" s="17">
        <v>0</v>
      </c>
      <c r="L114" s="17">
        <v>0</v>
      </c>
      <c r="M114" s="17">
        <v>0</v>
      </c>
      <c r="N114" s="17">
        <f t="shared" si="1"/>
        <v>0</v>
      </c>
      <c r="O114" s="17">
        <f t="shared" si="2"/>
        <v>0</v>
      </c>
      <c r="P114" s="3"/>
      <c r="Q114" s="19">
        <f t="shared" si="3"/>
        <v>0</v>
      </c>
      <c r="R114" s="19">
        <v>0</v>
      </c>
      <c r="S114" s="19">
        <f t="shared" si="4"/>
        <v>0</v>
      </c>
      <c r="T114" s="19">
        <f t="shared" si="5"/>
        <v>0</v>
      </c>
      <c r="U114" s="19">
        <f t="shared" si="6"/>
        <v>0</v>
      </c>
      <c r="V114" s="19">
        <f t="shared" si="7"/>
        <v>0</v>
      </c>
      <c r="W114" s="19">
        <f t="shared" si="8"/>
        <v>0</v>
      </c>
      <c r="X114" s="20">
        <f t="shared" si="9"/>
        <v>0</v>
      </c>
      <c r="Y114" s="20">
        <f t="shared" si="10"/>
        <v>0</v>
      </c>
    </row>
    <row r="115" spans="1:25" ht="15.75" customHeight="1">
      <c r="A115" s="23" t="s">
        <v>240</v>
      </c>
      <c r="B115" s="15" t="s">
        <v>241</v>
      </c>
      <c r="C115" s="16">
        <v>149.47</v>
      </c>
      <c r="D115" s="16">
        <v>149.47</v>
      </c>
      <c r="E115" s="17">
        <v>50</v>
      </c>
      <c r="F115" s="18">
        <v>0</v>
      </c>
      <c r="G115" s="18">
        <v>0</v>
      </c>
      <c r="H115" s="18">
        <v>0</v>
      </c>
      <c r="I115" s="17">
        <v>0</v>
      </c>
      <c r="J115" s="17">
        <f t="shared" si="0"/>
        <v>50</v>
      </c>
      <c r="K115" s="17">
        <v>50</v>
      </c>
      <c r="L115" s="17">
        <v>0</v>
      </c>
      <c r="M115" s="17">
        <v>0</v>
      </c>
      <c r="N115" s="17">
        <f t="shared" si="1"/>
        <v>50</v>
      </c>
      <c r="O115" s="17">
        <f t="shared" si="2"/>
        <v>0</v>
      </c>
      <c r="P115" s="3"/>
      <c r="Q115" s="19">
        <f t="shared" si="3"/>
        <v>7473.5</v>
      </c>
      <c r="R115" s="19">
        <v>0</v>
      </c>
      <c r="S115" s="19">
        <f t="shared" si="4"/>
        <v>0</v>
      </c>
      <c r="T115" s="19">
        <f t="shared" si="5"/>
        <v>0</v>
      </c>
      <c r="U115" s="19">
        <f t="shared" si="6"/>
        <v>0</v>
      </c>
      <c r="V115" s="19">
        <f t="shared" si="7"/>
        <v>0</v>
      </c>
      <c r="W115" s="19">
        <f t="shared" si="8"/>
        <v>7473.5</v>
      </c>
      <c r="X115" s="20">
        <f t="shared" si="9"/>
        <v>7473.5</v>
      </c>
      <c r="Y115" s="20">
        <f t="shared" si="10"/>
        <v>0</v>
      </c>
    </row>
    <row r="116" spans="1:25" ht="15.75" customHeight="1">
      <c r="A116" s="14" t="s">
        <v>242</v>
      </c>
      <c r="B116" s="15" t="s">
        <v>243</v>
      </c>
      <c r="C116" s="16">
        <v>66</v>
      </c>
      <c r="D116" s="16">
        <v>66</v>
      </c>
      <c r="E116" s="17">
        <v>50</v>
      </c>
      <c r="F116" s="18">
        <v>0</v>
      </c>
      <c r="G116" s="18">
        <v>0</v>
      </c>
      <c r="H116" s="18">
        <v>0</v>
      </c>
      <c r="I116" s="17">
        <v>0</v>
      </c>
      <c r="J116" s="17">
        <f t="shared" si="0"/>
        <v>50</v>
      </c>
      <c r="K116" s="17">
        <v>50</v>
      </c>
      <c r="L116" s="17">
        <v>0</v>
      </c>
      <c r="M116" s="17">
        <v>0</v>
      </c>
      <c r="N116" s="17">
        <f t="shared" si="1"/>
        <v>50</v>
      </c>
      <c r="O116" s="17">
        <f t="shared" si="2"/>
        <v>0</v>
      </c>
      <c r="P116" s="3"/>
      <c r="Q116" s="19">
        <f t="shared" si="3"/>
        <v>3300</v>
      </c>
      <c r="R116" s="19">
        <v>0</v>
      </c>
      <c r="S116" s="19">
        <f t="shared" si="4"/>
        <v>0</v>
      </c>
      <c r="T116" s="19">
        <f t="shared" si="5"/>
        <v>0</v>
      </c>
      <c r="U116" s="19">
        <f t="shared" si="6"/>
        <v>0</v>
      </c>
      <c r="V116" s="19">
        <f t="shared" si="7"/>
        <v>0</v>
      </c>
      <c r="W116" s="19">
        <f t="shared" si="8"/>
        <v>3300</v>
      </c>
      <c r="X116" s="20">
        <f t="shared" si="9"/>
        <v>3300</v>
      </c>
      <c r="Y116" s="20">
        <f t="shared" si="10"/>
        <v>0</v>
      </c>
    </row>
    <row r="117" spans="1:25" ht="15.75" customHeight="1">
      <c r="A117" s="14" t="s">
        <v>244</v>
      </c>
      <c r="B117" s="15" t="s">
        <v>245</v>
      </c>
      <c r="C117" s="16">
        <v>0</v>
      </c>
      <c r="D117" s="16">
        <v>0</v>
      </c>
      <c r="E117" s="17">
        <v>0</v>
      </c>
      <c r="F117" s="18">
        <v>0</v>
      </c>
      <c r="G117" s="18">
        <v>0</v>
      </c>
      <c r="H117" s="18">
        <v>0</v>
      </c>
      <c r="I117" s="17">
        <v>0</v>
      </c>
      <c r="J117" s="17">
        <f t="shared" si="0"/>
        <v>0</v>
      </c>
      <c r="K117" s="17">
        <v>0</v>
      </c>
      <c r="L117" s="17">
        <v>0</v>
      </c>
      <c r="M117" s="17">
        <v>0</v>
      </c>
      <c r="N117" s="17">
        <f t="shared" si="1"/>
        <v>0</v>
      </c>
      <c r="O117" s="17">
        <f t="shared" si="2"/>
        <v>0</v>
      </c>
      <c r="P117" s="3"/>
      <c r="Q117" s="19">
        <f t="shared" si="3"/>
        <v>0</v>
      </c>
      <c r="R117" s="19">
        <v>0</v>
      </c>
      <c r="S117" s="19">
        <f t="shared" si="4"/>
        <v>0</v>
      </c>
      <c r="T117" s="19">
        <f t="shared" si="5"/>
        <v>0</v>
      </c>
      <c r="U117" s="19">
        <f t="shared" si="6"/>
        <v>0</v>
      </c>
      <c r="V117" s="19">
        <f t="shared" si="7"/>
        <v>0</v>
      </c>
      <c r="W117" s="19">
        <f t="shared" si="8"/>
        <v>0</v>
      </c>
      <c r="X117" s="20">
        <f t="shared" si="9"/>
        <v>0</v>
      </c>
      <c r="Y117" s="20">
        <f t="shared" si="10"/>
        <v>0</v>
      </c>
    </row>
    <row r="118" spans="1:25" ht="15.75" customHeight="1">
      <c r="A118" s="14" t="s">
        <v>246</v>
      </c>
      <c r="B118" s="15" t="s">
        <v>247</v>
      </c>
      <c r="C118" s="16">
        <v>19.5</v>
      </c>
      <c r="D118" s="16">
        <v>19.5</v>
      </c>
      <c r="E118" s="17">
        <v>0</v>
      </c>
      <c r="F118" s="18">
        <v>0</v>
      </c>
      <c r="G118" s="18">
        <v>0</v>
      </c>
      <c r="H118" s="18">
        <v>0</v>
      </c>
      <c r="I118" s="17">
        <v>0</v>
      </c>
      <c r="J118" s="17">
        <f t="shared" si="0"/>
        <v>0</v>
      </c>
      <c r="K118" s="17">
        <v>0</v>
      </c>
      <c r="L118" s="17">
        <v>0</v>
      </c>
      <c r="M118" s="17">
        <v>0</v>
      </c>
      <c r="N118" s="17">
        <f t="shared" si="1"/>
        <v>0</v>
      </c>
      <c r="O118" s="17">
        <f t="shared" si="2"/>
        <v>0</v>
      </c>
      <c r="P118" s="3"/>
      <c r="Q118" s="19">
        <f t="shared" si="3"/>
        <v>0</v>
      </c>
      <c r="R118" s="19">
        <v>0</v>
      </c>
      <c r="S118" s="19">
        <f t="shared" si="4"/>
        <v>0</v>
      </c>
      <c r="T118" s="19">
        <f t="shared" si="5"/>
        <v>0</v>
      </c>
      <c r="U118" s="19">
        <f t="shared" si="6"/>
        <v>0</v>
      </c>
      <c r="V118" s="19">
        <f t="shared" si="7"/>
        <v>0</v>
      </c>
      <c r="W118" s="19">
        <f t="shared" si="8"/>
        <v>0</v>
      </c>
      <c r="X118" s="20">
        <f t="shared" si="9"/>
        <v>0</v>
      </c>
      <c r="Y118" s="20">
        <f t="shared" si="10"/>
        <v>0</v>
      </c>
    </row>
    <row r="119" spans="1:25" ht="15.75" customHeight="1">
      <c r="A119" s="14" t="s">
        <v>248</v>
      </c>
      <c r="B119" s="15" t="s">
        <v>249</v>
      </c>
      <c r="C119" s="16">
        <v>0</v>
      </c>
      <c r="D119" s="16">
        <v>0</v>
      </c>
      <c r="E119" s="17">
        <v>0</v>
      </c>
      <c r="F119" s="18">
        <v>0</v>
      </c>
      <c r="G119" s="18">
        <v>0</v>
      </c>
      <c r="H119" s="18">
        <v>0</v>
      </c>
      <c r="I119" s="17">
        <v>0</v>
      </c>
      <c r="J119" s="17">
        <f t="shared" si="0"/>
        <v>0</v>
      </c>
      <c r="K119" s="17">
        <v>0</v>
      </c>
      <c r="L119" s="17">
        <v>0</v>
      </c>
      <c r="M119" s="17">
        <v>0</v>
      </c>
      <c r="N119" s="17">
        <f t="shared" si="1"/>
        <v>0</v>
      </c>
      <c r="O119" s="17">
        <f t="shared" si="2"/>
        <v>0</v>
      </c>
      <c r="P119" s="3"/>
      <c r="Q119" s="19">
        <f t="shared" si="3"/>
        <v>0</v>
      </c>
      <c r="R119" s="19">
        <v>0</v>
      </c>
      <c r="S119" s="19">
        <f t="shared" si="4"/>
        <v>0</v>
      </c>
      <c r="T119" s="19">
        <f t="shared" si="5"/>
        <v>0</v>
      </c>
      <c r="U119" s="19">
        <f t="shared" si="6"/>
        <v>0</v>
      </c>
      <c r="V119" s="19">
        <f t="shared" si="7"/>
        <v>0</v>
      </c>
      <c r="W119" s="19">
        <f t="shared" si="8"/>
        <v>0</v>
      </c>
      <c r="X119" s="20">
        <f t="shared" si="9"/>
        <v>0</v>
      </c>
      <c r="Y119" s="20">
        <f t="shared" si="10"/>
        <v>0</v>
      </c>
    </row>
    <row r="120" spans="1:25" ht="15.75" customHeight="1">
      <c r="A120" s="14" t="s">
        <v>250</v>
      </c>
      <c r="B120" s="15" t="s">
        <v>251</v>
      </c>
      <c r="C120" s="16">
        <v>3875</v>
      </c>
      <c r="D120" s="16">
        <v>3875</v>
      </c>
      <c r="E120" s="17">
        <v>1</v>
      </c>
      <c r="F120" s="18">
        <v>0</v>
      </c>
      <c r="G120" s="18">
        <v>0</v>
      </c>
      <c r="H120" s="18">
        <v>0</v>
      </c>
      <c r="I120" s="17">
        <v>0</v>
      </c>
      <c r="J120" s="17">
        <f t="shared" si="0"/>
        <v>1</v>
      </c>
      <c r="K120" s="17">
        <v>1</v>
      </c>
      <c r="L120" s="17">
        <v>0</v>
      </c>
      <c r="M120" s="17">
        <v>0</v>
      </c>
      <c r="N120" s="17">
        <f t="shared" si="1"/>
        <v>1</v>
      </c>
      <c r="O120" s="17">
        <f t="shared" si="2"/>
        <v>0</v>
      </c>
      <c r="P120" s="3"/>
      <c r="Q120" s="19">
        <f t="shared" si="3"/>
        <v>3875</v>
      </c>
      <c r="R120" s="19">
        <v>0</v>
      </c>
      <c r="S120" s="19">
        <f t="shared" si="4"/>
        <v>0</v>
      </c>
      <c r="T120" s="19">
        <f t="shared" si="5"/>
        <v>0</v>
      </c>
      <c r="U120" s="19">
        <f t="shared" si="6"/>
        <v>0</v>
      </c>
      <c r="V120" s="19">
        <f t="shared" si="7"/>
        <v>0</v>
      </c>
      <c r="W120" s="19">
        <f t="shared" si="8"/>
        <v>3875</v>
      </c>
      <c r="X120" s="20">
        <f t="shared" si="9"/>
        <v>3875</v>
      </c>
      <c r="Y120" s="20">
        <f t="shared" si="10"/>
        <v>0</v>
      </c>
    </row>
    <row r="121" spans="1:25" ht="15.75" customHeight="1">
      <c r="A121" s="14" t="s">
        <v>252</v>
      </c>
      <c r="B121" s="15" t="s">
        <v>253</v>
      </c>
      <c r="C121" s="16">
        <v>600</v>
      </c>
      <c r="D121" s="16">
        <v>600</v>
      </c>
      <c r="E121" s="17">
        <v>3</v>
      </c>
      <c r="F121" s="18">
        <v>0</v>
      </c>
      <c r="G121" s="18">
        <v>0</v>
      </c>
      <c r="H121" s="18">
        <v>0</v>
      </c>
      <c r="I121" s="17">
        <v>0</v>
      </c>
      <c r="J121" s="17">
        <f t="shared" si="0"/>
        <v>3</v>
      </c>
      <c r="K121" s="17">
        <v>3</v>
      </c>
      <c r="L121" s="17">
        <v>0</v>
      </c>
      <c r="M121" s="17">
        <v>0</v>
      </c>
      <c r="N121" s="17">
        <f t="shared" si="1"/>
        <v>3</v>
      </c>
      <c r="O121" s="17">
        <f t="shared" si="2"/>
        <v>0</v>
      </c>
      <c r="P121" s="3"/>
      <c r="Q121" s="19">
        <f t="shared" si="3"/>
        <v>1800</v>
      </c>
      <c r="R121" s="19">
        <v>0</v>
      </c>
      <c r="S121" s="19">
        <f t="shared" si="4"/>
        <v>0</v>
      </c>
      <c r="T121" s="19">
        <f t="shared" si="5"/>
        <v>0</v>
      </c>
      <c r="U121" s="19">
        <f t="shared" si="6"/>
        <v>0</v>
      </c>
      <c r="V121" s="19">
        <f t="shared" si="7"/>
        <v>0</v>
      </c>
      <c r="W121" s="19">
        <f t="shared" si="8"/>
        <v>1800</v>
      </c>
      <c r="X121" s="20">
        <f t="shared" si="9"/>
        <v>1800</v>
      </c>
      <c r="Y121" s="20">
        <f t="shared" si="10"/>
        <v>0</v>
      </c>
    </row>
    <row r="122" spans="1:25" ht="15.75" customHeight="1">
      <c r="A122" s="14" t="s">
        <v>254</v>
      </c>
      <c r="B122" s="15" t="s">
        <v>255</v>
      </c>
      <c r="C122" s="16">
        <v>92.4</v>
      </c>
      <c r="D122" s="16">
        <v>92.4</v>
      </c>
      <c r="E122" s="17">
        <v>3</v>
      </c>
      <c r="F122" s="18">
        <v>0</v>
      </c>
      <c r="G122" s="18">
        <v>0</v>
      </c>
      <c r="H122" s="18">
        <v>0</v>
      </c>
      <c r="I122" s="17">
        <v>0</v>
      </c>
      <c r="J122" s="17">
        <f t="shared" si="0"/>
        <v>3</v>
      </c>
      <c r="K122" s="17">
        <v>3</v>
      </c>
      <c r="L122" s="17">
        <v>0</v>
      </c>
      <c r="M122" s="17">
        <v>0</v>
      </c>
      <c r="N122" s="17">
        <f t="shared" si="1"/>
        <v>3</v>
      </c>
      <c r="O122" s="17">
        <f t="shared" si="2"/>
        <v>0</v>
      </c>
      <c r="P122" s="3"/>
      <c r="Q122" s="19">
        <f t="shared" si="3"/>
        <v>277.20000000000005</v>
      </c>
      <c r="R122" s="19">
        <v>0</v>
      </c>
      <c r="S122" s="19">
        <f t="shared" si="4"/>
        <v>0</v>
      </c>
      <c r="T122" s="19">
        <f t="shared" si="5"/>
        <v>0</v>
      </c>
      <c r="U122" s="19">
        <f t="shared" si="6"/>
        <v>0</v>
      </c>
      <c r="V122" s="19">
        <f t="shared" si="7"/>
        <v>0</v>
      </c>
      <c r="W122" s="19">
        <f t="shared" si="8"/>
        <v>277.20000000000005</v>
      </c>
      <c r="X122" s="20">
        <f t="shared" si="9"/>
        <v>277.20000000000005</v>
      </c>
      <c r="Y122" s="20">
        <f t="shared" si="10"/>
        <v>0</v>
      </c>
    </row>
    <row r="123" spans="1:25" ht="15.75" customHeight="1">
      <c r="A123" s="14" t="s">
        <v>256</v>
      </c>
      <c r="B123" s="15" t="s">
        <v>257</v>
      </c>
      <c r="C123" s="16">
        <v>260</v>
      </c>
      <c r="D123" s="16">
        <v>260</v>
      </c>
      <c r="E123" s="17">
        <v>5</v>
      </c>
      <c r="F123" s="18">
        <v>0</v>
      </c>
      <c r="G123" s="18">
        <v>0</v>
      </c>
      <c r="H123" s="18">
        <v>0</v>
      </c>
      <c r="I123" s="17">
        <v>0</v>
      </c>
      <c r="J123" s="17">
        <f t="shared" si="0"/>
        <v>5</v>
      </c>
      <c r="K123" s="17">
        <v>5</v>
      </c>
      <c r="L123" s="17">
        <v>0</v>
      </c>
      <c r="M123" s="17">
        <v>0</v>
      </c>
      <c r="N123" s="17">
        <f t="shared" si="1"/>
        <v>5</v>
      </c>
      <c r="O123" s="17">
        <f t="shared" si="2"/>
        <v>0</v>
      </c>
      <c r="P123" s="3"/>
      <c r="Q123" s="19">
        <f t="shared" si="3"/>
        <v>1300</v>
      </c>
      <c r="R123" s="19">
        <v>0</v>
      </c>
      <c r="S123" s="19">
        <f t="shared" si="4"/>
        <v>0</v>
      </c>
      <c r="T123" s="19">
        <f t="shared" si="5"/>
        <v>0</v>
      </c>
      <c r="U123" s="19">
        <f t="shared" si="6"/>
        <v>0</v>
      </c>
      <c r="V123" s="19">
        <f t="shared" si="7"/>
        <v>0</v>
      </c>
      <c r="W123" s="19">
        <f t="shared" si="8"/>
        <v>1300</v>
      </c>
      <c r="X123" s="20">
        <f t="shared" si="9"/>
        <v>1300</v>
      </c>
      <c r="Y123" s="20">
        <f t="shared" si="10"/>
        <v>0</v>
      </c>
    </row>
    <row r="124" spans="1:25" ht="15.75" customHeight="1">
      <c r="A124" s="14" t="s">
        <v>258</v>
      </c>
      <c r="B124" s="15" t="s">
        <v>259</v>
      </c>
      <c r="C124" s="16">
        <v>830</v>
      </c>
      <c r="D124" s="16">
        <v>830</v>
      </c>
      <c r="E124" s="17">
        <v>0</v>
      </c>
      <c r="F124" s="18">
        <v>0</v>
      </c>
      <c r="G124" s="18">
        <v>0</v>
      </c>
      <c r="H124" s="24">
        <v>0</v>
      </c>
      <c r="I124" s="17">
        <v>0</v>
      </c>
      <c r="J124" s="17">
        <f t="shared" si="0"/>
        <v>0</v>
      </c>
      <c r="K124" s="17">
        <v>0</v>
      </c>
      <c r="L124" s="17">
        <v>0</v>
      </c>
      <c r="M124" s="17">
        <v>0</v>
      </c>
      <c r="N124" s="17">
        <f t="shared" si="1"/>
        <v>0</v>
      </c>
      <c r="O124" s="17">
        <f t="shared" si="2"/>
        <v>0</v>
      </c>
      <c r="P124" s="3"/>
      <c r="Q124" s="19">
        <f t="shared" si="3"/>
        <v>0</v>
      </c>
      <c r="R124" s="19">
        <v>0</v>
      </c>
      <c r="S124" s="19">
        <f t="shared" si="4"/>
        <v>0</v>
      </c>
      <c r="T124" s="19">
        <f t="shared" si="5"/>
        <v>0</v>
      </c>
      <c r="U124" s="19">
        <f t="shared" si="6"/>
        <v>0</v>
      </c>
      <c r="V124" s="19">
        <f t="shared" si="7"/>
        <v>0</v>
      </c>
      <c r="W124" s="19">
        <f t="shared" si="8"/>
        <v>0</v>
      </c>
      <c r="X124" s="20">
        <f t="shared" si="9"/>
        <v>0</v>
      </c>
      <c r="Y124" s="20">
        <f t="shared" si="10"/>
        <v>0</v>
      </c>
    </row>
    <row r="125" spans="1:25" ht="15.75" customHeight="1">
      <c r="A125" s="14" t="s">
        <v>260</v>
      </c>
      <c r="B125" s="15" t="s">
        <v>261</v>
      </c>
      <c r="C125" s="16">
        <v>0</v>
      </c>
      <c r="D125" s="16">
        <v>0</v>
      </c>
      <c r="E125" s="17">
        <v>0</v>
      </c>
      <c r="F125" s="18">
        <v>0</v>
      </c>
      <c r="G125" s="18">
        <v>0</v>
      </c>
      <c r="H125" s="18">
        <v>0</v>
      </c>
      <c r="I125" s="17">
        <v>0</v>
      </c>
      <c r="J125" s="17">
        <f t="shared" si="0"/>
        <v>0</v>
      </c>
      <c r="K125" s="17">
        <v>0</v>
      </c>
      <c r="L125" s="17">
        <v>0</v>
      </c>
      <c r="M125" s="17">
        <v>0</v>
      </c>
      <c r="N125" s="17">
        <f t="shared" si="1"/>
        <v>0</v>
      </c>
      <c r="O125" s="17">
        <f t="shared" si="2"/>
        <v>0</v>
      </c>
      <c r="P125" s="3"/>
      <c r="Q125" s="19">
        <f t="shared" si="3"/>
        <v>0</v>
      </c>
      <c r="R125" s="19">
        <v>0</v>
      </c>
      <c r="S125" s="19">
        <f t="shared" si="4"/>
        <v>0</v>
      </c>
      <c r="T125" s="19">
        <f t="shared" si="5"/>
        <v>0</v>
      </c>
      <c r="U125" s="19">
        <f t="shared" si="6"/>
        <v>0</v>
      </c>
      <c r="V125" s="19">
        <f t="shared" si="7"/>
        <v>0</v>
      </c>
      <c r="W125" s="19">
        <f t="shared" si="8"/>
        <v>0</v>
      </c>
      <c r="X125" s="20">
        <f t="shared" si="9"/>
        <v>0</v>
      </c>
      <c r="Y125" s="20">
        <f t="shared" si="10"/>
        <v>0</v>
      </c>
    </row>
    <row r="126" spans="1:25" ht="15.75" customHeight="1">
      <c r="A126" s="14" t="s">
        <v>262</v>
      </c>
      <c r="B126" s="15" t="s">
        <v>263</v>
      </c>
      <c r="C126" s="16">
        <v>252.37</v>
      </c>
      <c r="D126" s="16">
        <v>252.37</v>
      </c>
      <c r="E126" s="17">
        <v>0</v>
      </c>
      <c r="F126" s="18">
        <v>0</v>
      </c>
      <c r="G126" s="18">
        <v>0</v>
      </c>
      <c r="H126" s="18">
        <v>0</v>
      </c>
      <c r="I126" s="17">
        <v>0</v>
      </c>
      <c r="J126" s="17">
        <f t="shared" si="0"/>
        <v>0</v>
      </c>
      <c r="K126" s="17">
        <v>0</v>
      </c>
      <c r="L126" s="17">
        <v>0</v>
      </c>
      <c r="M126" s="17">
        <v>0</v>
      </c>
      <c r="N126" s="17">
        <f t="shared" si="1"/>
        <v>0</v>
      </c>
      <c r="O126" s="17">
        <f t="shared" si="2"/>
        <v>0</v>
      </c>
      <c r="P126" s="3"/>
      <c r="Q126" s="19">
        <f t="shared" si="3"/>
        <v>0</v>
      </c>
      <c r="R126" s="19">
        <v>0</v>
      </c>
      <c r="S126" s="19">
        <f t="shared" si="4"/>
        <v>0</v>
      </c>
      <c r="T126" s="19">
        <f t="shared" si="5"/>
        <v>0</v>
      </c>
      <c r="U126" s="19">
        <f t="shared" si="6"/>
        <v>0</v>
      </c>
      <c r="V126" s="19">
        <f t="shared" si="7"/>
        <v>0</v>
      </c>
      <c r="W126" s="19">
        <f t="shared" si="8"/>
        <v>0</v>
      </c>
      <c r="X126" s="20">
        <f t="shared" si="9"/>
        <v>0</v>
      </c>
      <c r="Y126" s="20">
        <f t="shared" si="10"/>
        <v>0</v>
      </c>
    </row>
    <row r="127" spans="1:25" ht="15.75" customHeight="1">
      <c r="A127" s="14" t="s">
        <v>264</v>
      </c>
      <c r="B127" s="15" t="s">
        <v>265</v>
      </c>
      <c r="C127" s="16">
        <v>480</v>
      </c>
      <c r="D127" s="16">
        <v>480</v>
      </c>
      <c r="E127" s="17">
        <v>1</v>
      </c>
      <c r="F127" s="18">
        <v>0</v>
      </c>
      <c r="G127" s="18">
        <v>0</v>
      </c>
      <c r="H127" s="18">
        <v>0</v>
      </c>
      <c r="I127" s="17">
        <v>0</v>
      </c>
      <c r="J127" s="17">
        <f t="shared" si="0"/>
        <v>1</v>
      </c>
      <c r="K127" s="17">
        <v>1</v>
      </c>
      <c r="L127" s="17">
        <v>0</v>
      </c>
      <c r="M127" s="17">
        <v>0</v>
      </c>
      <c r="N127" s="17">
        <f t="shared" si="1"/>
        <v>1</v>
      </c>
      <c r="O127" s="17">
        <f t="shared" si="2"/>
        <v>0</v>
      </c>
      <c r="P127" s="3"/>
      <c r="Q127" s="19">
        <f t="shared" si="3"/>
        <v>480</v>
      </c>
      <c r="R127" s="19">
        <v>0</v>
      </c>
      <c r="S127" s="19">
        <f t="shared" si="4"/>
        <v>0</v>
      </c>
      <c r="T127" s="19">
        <f t="shared" si="5"/>
        <v>0</v>
      </c>
      <c r="U127" s="19">
        <f t="shared" si="6"/>
        <v>0</v>
      </c>
      <c r="V127" s="19">
        <f t="shared" si="7"/>
        <v>0</v>
      </c>
      <c r="W127" s="19">
        <f t="shared" si="8"/>
        <v>480</v>
      </c>
      <c r="X127" s="20">
        <f t="shared" si="9"/>
        <v>480</v>
      </c>
      <c r="Y127" s="20">
        <f t="shared" si="10"/>
        <v>0</v>
      </c>
    </row>
    <row r="128" spans="1:25" ht="15.75" customHeight="1">
      <c r="A128" s="14" t="s">
        <v>266</v>
      </c>
      <c r="B128" s="15" t="s">
        <v>267</v>
      </c>
      <c r="C128" s="16">
        <v>1040.52</v>
      </c>
      <c r="D128" s="16">
        <v>1040.52</v>
      </c>
      <c r="E128" s="17">
        <v>0</v>
      </c>
      <c r="F128" s="18">
        <v>0</v>
      </c>
      <c r="G128" s="18">
        <v>0</v>
      </c>
      <c r="H128" s="18">
        <v>0</v>
      </c>
      <c r="I128" s="17">
        <v>0</v>
      </c>
      <c r="J128" s="17">
        <f t="shared" si="0"/>
        <v>0</v>
      </c>
      <c r="K128" s="17">
        <v>0</v>
      </c>
      <c r="L128" s="17">
        <v>0</v>
      </c>
      <c r="M128" s="17">
        <v>0</v>
      </c>
      <c r="N128" s="17">
        <f t="shared" si="1"/>
        <v>0</v>
      </c>
      <c r="O128" s="17">
        <f t="shared" si="2"/>
        <v>0</v>
      </c>
      <c r="P128" s="3"/>
      <c r="Q128" s="19">
        <f t="shared" si="3"/>
        <v>0</v>
      </c>
      <c r="R128" s="19">
        <v>0</v>
      </c>
      <c r="S128" s="19">
        <f t="shared" si="4"/>
        <v>0</v>
      </c>
      <c r="T128" s="19">
        <f t="shared" si="5"/>
        <v>0</v>
      </c>
      <c r="U128" s="19">
        <f t="shared" si="6"/>
        <v>0</v>
      </c>
      <c r="V128" s="19">
        <f t="shared" si="7"/>
        <v>0</v>
      </c>
      <c r="W128" s="19">
        <f t="shared" si="8"/>
        <v>0</v>
      </c>
      <c r="X128" s="20">
        <f t="shared" si="9"/>
        <v>0</v>
      </c>
      <c r="Y128" s="20">
        <f t="shared" si="10"/>
        <v>0</v>
      </c>
    </row>
    <row r="129" spans="1:25" ht="15.75" customHeight="1">
      <c r="A129" s="14" t="s">
        <v>268</v>
      </c>
      <c r="B129" s="15" t="s">
        <v>269</v>
      </c>
      <c r="C129" s="16">
        <v>246.5</v>
      </c>
      <c r="D129" s="16">
        <v>246.5</v>
      </c>
      <c r="E129" s="17">
        <v>3</v>
      </c>
      <c r="F129" s="18">
        <v>0</v>
      </c>
      <c r="G129" s="18">
        <v>0</v>
      </c>
      <c r="H129" s="18">
        <v>0</v>
      </c>
      <c r="I129" s="17">
        <v>0</v>
      </c>
      <c r="J129" s="17">
        <f t="shared" si="0"/>
        <v>3</v>
      </c>
      <c r="K129" s="17">
        <v>3</v>
      </c>
      <c r="L129" s="17">
        <v>0</v>
      </c>
      <c r="M129" s="17">
        <v>0</v>
      </c>
      <c r="N129" s="17">
        <f t="shared" si="1"/>
        <v>3</v>
      </c>
      <c r="O129" s="17">
        <f t="shared" si="2"/>
        <v>0</v>
      </c>
      <c r="P129" s="3"/>
      <c r="Q129" s="19">
        <f t="shared" si="3"/>
        <v>739.5</v>
      </c>
      <c r="R129" s="19">
        <v>0</v>
      </c>
      <c r="S129" s="19">
        <f t="shared" si="4"/>
        <v>0</v>
      </c>
      <c r="T129" s="19">
        <f t="shared" si="5"/>
        <v>0</v>
      </c>
      <c r="U129" s="19">
        <f t="shared" si="6"/>
        <v>0</v>
      </c>
      <c r="V129" s="19">
        <f t="shared" si="7"/>
        <v>0</v>
      </c>
      <c r="W129" s="19">
        <f t="shared" si="8"/>
        <v>739.5</v>
      </c>
      <c r="X129" s="20">
        <f t="shared" si="9"/>
        <v>739.5</v>
      </c>
      <c r="Y129" s="20">
        <f t="shared" si="10"/>
        <v>0</v>
      </c>
    </row>
    <row r="130" spans="1:25" ht="15.75" customHeight="1">
      <c r="A130" s="14" t="s">
        <v>270</v>
      </c>
      <c r="B130" s="15" t="s">
        <v>271</v>
      </c>
      <c r="C130" s="16">
        <v>797.5</v>
      </c>
      <c r="D130" s="16">
        <v>797.5</v>
      </c>
      <c r="E130" s="17">
        <v>1</v>
      </c>
      <c r="F130" s="18">
        <v>0</v>
      </c>
      <c r="G130" s="18">
        <v>0</v>
      </c>
      <c r="H130" s="18">
        <v>0</v>
      </c>
      <c r="I130" s="17">
        <v>0</v>
      </c>
      <c r="J130" s="17">
        <f t="shared" si="0"/>
        <v>1</v>
      </c>
      <c r="K130" s="17">
        <v>1</v>
      </c>
      <c r="L130" s="17">
        <v>0</v>
      </c>
      <c r="M130" s="17">
        <v>0</v>
      </c>
      <c r="N130" s="17">
        <f t="shared" si="1"/>
        <v>1</v>
      </c>
      <c r="O130" s="17">
        <f t="shared" si="2"/>
        <v>0</v>
      </c>
      <c r="P130" s="3"/>
      <c r="Q130" s="19">
        <f t="shared" si="3"/>
        <v>797.5</v>
      </c>
      <c r="R130" s="19">
        <v>0</v>
      </c>
      <c r="S130" s="19">
        <f t="shared" si="4"/>
        <v>0</v>
      </c>
      <c r="T130" s="19">
        <f t="shared" si="5"/>
        <v>0</v>
      </c>
      <c r="U130" s="19">
        <f t="shared" si="6"/>
        <v>0</v>
      </c>
      <c r="V130" s="19">
        <f t="shared" si="7"/>
        <v>0</v>
      </c>
      <c r="W130" s="19">
        <f t="shared" si="8"/>
        <v>797.5</v>
      </c>
      <c r="X130" s="20">
        <f t="shared" si="9"/>
        <v>797.5</v>
      </c>
      <c r="Y130" s="20">
        <f t="shared" si="10"/>
        <v>0</v>
      </c>
    </row>
    <row r="131" spans="1:25" ht="15.75" customHeight="1">
      <c r="A131" s="14" t="s">
        <v>272</v>
      </c>
      <c r="B131" s="15" t="s">
        <v>273</v>
      </c>
      <c r="C131" s="16">
        <v>165.33</v>
      </c>
      <c r="D131" s="16">
        <v>165.33</v>
      </c>
      <c r="E131" s="17">
        <v>1</v>
      </c>
      <c r="F131" s="18">
        <v>0</v>
      </c>
      <c r="G131" s="18">
        <v>0</v>
      </c>
      <c r="H131" s="18">
        <v>0</v>
      </c>
      <c r="I131" s="17">
        <v>0</v>
      </c>
      <c r="J131" s="17">
        <f t="shared" si="0"/>
        <v>1</v>
      </c>
      <c r="K131" s="17">
        <v>1</v>
      </c>
      <c r="L131" s="17">
        <v>0</v>
      </c>
      <c r="M131" s="17">
        <v>0</v>
      </c>
      <c r="N131" s="17">
        <f t="shared" si="1"/>
        <v>1</v>
      </c>
      <c r="O131" s="17">
        <f t="shared" si="2"/>
        <v>0</v>
      </c>
      <c r="P131" s="3"/>
      <c r="Q131" s="19">
        <f t="shared" si="3"/>
        <v>165.33</v>
      </c>
      <c r="R131" s="19">
        <v>0</v>
      </c>
      <c r="S131" s="19">
        <f t="shared" si="4"/>
        <v>0</v>
      </c>
      <c r="T131" s="19">
        <f t="shared" si="5"/>
        <v>0</v>
      </c>
      <c r="U131" s="19">
        <f t="shared" si="6"/>
        <v>0</v>
      </c>
      <c r="V131" s="19">
        <f t="shared" si="7"/>
        <v>0</v>
      </c>
      <c r="W131" s="19">
        <f t="shared" si="8"/>
        <v>165.33</v>
      </c>
      <c r="X131" s="20">
        <f t="shared" si="9"/>
        <v>165.33</v>
      </c>
      <c r="Y131" s="20">
        <f t="shared" si="10"/>
        <v>0</v>
      </c>
    </row>
    <row r="132" spans="1:25" ht="15.75" customHeight="1">
      <c r="A132" s="14" t="s">
        <v>274</v>
      </c>
      <c r="B132" s="15" t="s">
        <v>275</v>
      </c>
      <c r="C132" s="16">
        <v>350</v>
      </c>
      <c r="D132" s="16">
        <v>350</v>
      </c>
      <c r="E132" s="17">
        <v>0</v>
      </c>
      <c r="F132" s="18">
        <v>0</v>
      </c>
      <c r="G132" s="18">
        <v>0</v>
      </c>
      <c r="H132" s="18">
        <v>0</v>
      </c>
      <c r="I132" s="17">
        <v>0</v>
      </c>
      <c r="J132" s="17">
        <f t="shared" si="0"/>
        <v>0</v>
      </c>
      <c r="K132" s="17">
        <v>0</v>
      </c>
      <c r="L132" s="17">
        <v>0</v>
      </c>
      <c r="M132" s="17">
        <v>0</v>
      </c>
      <c r="N132" s="17">
        <f t="shared" si="1"/>
        <v>0</v>
      </c>
      <c r="O132" s="17">
        <f t="shared" si="2"/>
        <v>0</v>
      </c>
      <c r="P132" s="3"/>
      <c r="Q132" s="19">
        <f t="shared" si="3"/>
        <v>0</v>
      </c>
      <c r="R132" s="19">
        <v>0</v>
      </c>
      <c r="S132" s="19">
        <f t="shared" si="4"/>
        <v>0</v>
      </c>
      <c r="T132" s="19">
        <f t="shared" si="5"/>
        <v>0</v>
      </c>
      <c r="U132" s="19">
        <f t="shared" si="6"/>
        <v>0</v>
      </c>
      <c r="V132" s="19">
        <f t="shared" si="7"/>
        <v>0</v>
      </c>
      <c r="W132" s="19">
        <f t="shared" si="8"/>
        <v>0</v>
      </c>
      <c r="X132" s="20">
        <f t="shared" si="9"/>
        <v>0</v>
      </c>
      <c r="Y132" s="20">
        <f t="shared" si="10"/>
        <v>0</v>
      </c>
    </row>
    <row r="133" spans="1:25" ht="15.75" customHeight="1">
      <c r="A133" s="14" t="s">
        <v>276</v>
      </c>
      <c r="B133" s="15" t="s">
        <v>277</v>
      </c>
      <c r="C133" s="16">
        <v>820</v>
      </c>
      <c r="D133" s="16">
        <v>820</v>
      </c>
      <c r="E133" s="17">
        <v>0</v>
      </c>
      <c r="F133" s="18">
        <v>0</v>
      </c>
      <c r="G133" s="18">
        <v>0</v>
      </c>
      <c r="H133" s="18">
        <v>0</v>
      </c>
      <c r="I133" s="17">
        <v>0</v>
      </c>
      <c r="J133" s="17">
        <f t="shared" si="0"/>
        <v>0</v>
      </c>
      <c r="K133" s="17">
        <v>0</v>
      </c>
      <c r="L133" s="17">
        <v>0</v>
      </c>
      <c r="M133" s="17">
        <v>0</v>
      </c>
      <c r="N133" s="17">
        <f t="shared" si="1"/>
        <v>0</v>
      </c>
      <c r="O133" s="17">
        <f t="shared" si="2"/>
        <v>0</v>
      </c>
      <c r="P133" s="3"/>
      <c r="Q133" s="19">
        <f t="shared" si="3"/>
        <v>0</v>
      </c>
      <c r="R133" s="19">
        <v>0</v>
      </c>
      <c r="S133" s="19">
        <f t="shared" si="4"/>
        <v>0</v>
      </c>
      <c r="T133" s="19">
        <f t="shared" si="5"/>
        <v>0</v>
      </c>
      <c r="U133" s="19">
        <f t="shared" si="6"/>
        <v>0</v>
      </c>
      <c r="V133" s="19">
        <f t="shared" si="7"/>
        <v>0</v>
      </c>
      <c r="W133" s="19">
        <f t="shared" si="8"/>
        <v>0</v>
      </c>
      <c r="X133" s="20">
        <f t="shared" si="9"/>
        <v>0</v>
      </c>
      <c r="Y133" s="20">
        <f t="shared" si="10"/>
        <v>0</v>
      </c>
    </row>
    <row r="134" spans="1:25" ht="15.75" customHeight="1">
      <c r="A134" s="14" t="s">
        <v>278</v>
      </c>
      <c r="B134" s="15" t="s">
        <v>279</v>
      </c>
      <c r="C134" s="16">
        <v>176.29</v>
      </c>
      <c r="D134" s="16">
        <v>176.29</v>
      </c>
      <c r="E134" s="17">
        <v>0</v>
      </c>
      <c r="F134" s="18">
        <v>0</v>
      </c>
      <c r="G134" s="18">
        <v>0</v>
      </c>
      <c r="H134" s="18">
        <v>0</v>
      </c>
      <c r="I134" s="17">
        <v>0</v>
      </c>
      <c r="J134" s="17">
        <f t="shared" si="0"/>
        <v>0</v>
      </c>
      <c r="K134" s="17">
        <v>0</v>
      </c>
      <c r="L134" s="17">
        <v>0</v>
      </c>
      <c r="M134" s="17">
        <v>0</v>
      </c>
      <c r="N134" s="17">
        <f t="shared" si="1"/>
        <v>0</v>
      </c>
      <c r="O134" s="17">
        <f t="shared" si="2"/>
        <v>0</v>
      </c>
      <c r="P134" s="3"/>
      <c r="Q134" s="19">
        <f t="shared" si="3"/>
        <v>0</v>
      </c>
      <c r="R134" s="19">
        <v>0</v>
      </c>
      <c r="S134" s="19">
        <f t="shared" si="4"/>
        <v>0</v>
      </c>
      <c r="T134" s="19">
        <f t="shared" si="5"/>
        <v>0</v>
      </c>
      <c r="U134" s="19">
        <f t="shared" si="6"/>
        <v>0</v>
      </c>
      <c r="V134" s="19">
        <f t="shared" si="7"/>
        <v>0</v>
      </c>
      <c r="W134" s="19">
        <f t="shared" si="8"/>
        <v>0</v>
      </c>
      <c r="X134" s="20">
        <f t="shared" si="9"/>
        <v>0</v>
      </c>
      <c r="Y134" s="20">
        <f t="shared" si="10"/>
        <v>0</v>
      </c>
    </row>
    <row r="135" spans="1:25" ht="15.75" customHeight="1">
      <c r="A135" s="14" t="s">
        <v>280</v>
      </c>
      <c r="B135" s="15" t="s">
        <v>281</v>
      </c>
      <c r="C135" s="16">
        <v>159.5</v>
      </c>
      <c r="D135" s="16">
        <v>159.5</v>
      </c>
      <c r="E135" s="17">
        <v>6</v>
      </c>
      <c r="F135" s="18">
        <v>0</v>
      </c>
      <c r="G135" s="18">
        <v>0</v>
      </c>
      <c r="H135" s="18">
        <v>0</v>
      </c>
      <c r="I135" s="17">
        <v>0</v>
      </c>
      <c r="J135" s="17">
        <f t="shared" si="0"/>
        <v>6</v>
      </c>
      <c r="K135" s="17">
        <v>6</v>
      </c>
      <c r="L135" s="17">
        <v>0</v>
      </c>
      <c r="M135" s="17">
        <v>0</v>
      </c>
      <c r="N135" s="17">
        <f t="shared" si="1"/>
        <v>6</v>
      </c>
      <c r="O135" s="17">
        <f t="shared" si="2"/>
        <v>0</v>
      </c>
      <c r="P135" s="3"/>
      <c r="Q135" s="19">
        <f t="shared" si="3"/>
        <v>957</v>
      </c>
      <c r="R135" s="19">
        <v>0</v>
      </c>
      <c r="S135" s="19">
        <f t="shared" si="4"/>
        <v>0</v>
      </c>
      <c r="T135" s="19">
        <f t="shared" si="5"/>
        <v>0</v>
      </c>
      <c r="U135" s="19">
        <f t="shared" si="6"/>
        <v>0</v>
      </c>
      <c r="V135" s="19">
        <f t="shared" si="7"/>
        <v>0</v>
      </c>
      <c r="W135" s="19">
        <f t="shared" si="8"/>
        <v>957</v>
      </c>
      <c r="X135" s="20">
        <f t="shared" si="9"/>
        <v>957</v>
      </c>
      <c r="Y135" s="20">
        <f t="shared" si="10"/>
        <v>0</v>
      </c>
    </row>
    <row r="136" spans="1:25" ht="15.75" customHeight="1">
      <c r="A136" s="14" t="s">
        <v>282</v>
      </c>
      <c r="B136" s="15" t="s">
        <v>283</v>
      </c>
      <c r="C136" s="16">
        <v>179.8</v>
      </c>
      <c r="D136" s="16">
        <v>179.8</v>
      </c>
      <c r="E136" s="17">
        <v>0</v>
      </c>
      <c r="F136" s="18">
        <v>0</v>
      </c>
      <c r="G136" s="18">
        <v>0</v>
      </c>
      <c r="H136" s="18">
        <v>0</v>
      </c>
      <c r="I136" s="17">
        <v>0</v>
      </c>
      <c r="J136" s="17">
        <f t="shared" si="0"/>
        <v>0</v>
      </c>
      <c r="K136" s="17">
        <v>0</v>
      </c>
      <c r="L136" s="17">
        <v>0</v>
      </c>
      <c r="M136" s="17">
        <v>0</v>
      </c>
      <c r="N136" s="17">
        <f t="shared" si="1"/>
        <v>0</v>
      </c>
      <c r="O136" s="17">
        <f t="shared" si="2"/>
        <v>0</v>
      </c>
      <c r="P136" s="3"/>
      <c r="Q136" s="19">
        <f t="shared" si="3"/>
        <v>0</v>
      </c>
      <c r="R136" s="19">
        <v>0</v>
      </c>
      <c r="S136" s="19">
        <f t="shared" si="4"/>
        <v>0</v>
      </c>
      <c r="T136" s="19">
        <f t="shared" si="5"/>
        <v>0</v>
      </c>
      <c r="U136" s="19">
        <f t="shared" si="6"/>
        <v>0</v>
      </c>
      <c r="V136" s="19">
        <f t="shared" si="7"/>
        <v>0</v>
      </c>
      <c r="W136" s="19">
        <f t="shared" si="8"/>
        <v>0</v>
      </c>
      <c r="X136" s="20">
        <f t="shared" si="9"/>
        <v>0</v>
      </c>
      <c r="Y136" s="20">
        <f t="shared" si="10"/>
        <v>0</v>
      </c>
    </row>
    <row r="137" spans="1:25" ht="15.75" customHeight="1">
      <c r="A137" s="14" t="s">
        <v>284</v>
      </c>
      <c r="B137" s="15" t="s">
        <v>285</v>
      </c>
      <c r="C137" s="16">
        <v>279.04000000000002</v>
      </c>
      <c r="D137" s="16">
        <v>279.04000000000002</v>
      </c>
      <c r="E137" s="17">
        <v>0</v>
      </c>
      <c r="F137" s="18">
        <v>0</v>
      </c>
      <c r="G137" s="18">
        <v>0</v>
      </c>
      <c r="H137" s="18">
        <v>0</v>
      </c>
      <c r="I137" s="17">
        <v>0</v>
      </c>
      <c r="J137" s="17">
        <f t="shared" si="0"/>
        <v>0</v>
      </c>
      <c r="K137" s="17">
        <v>0</v>
      </c>
      <c r="L137" s="17">
        <v>0</v>
      </c>
      <c r="M137" s="17">
        <v>0</v>
      </c>
      <c r="N137" s="17">
        <f t="shared" si="1"/>
        <v>0</v>
      </c>
      <c r="O137" s="17">
        <f t="shared" si="2"/>
        <v>0</v>
      </c>
      <c r="P137" s="3"/>
      <c r="Q137" s="19">
        <f t="shared" si="3"/>
        <v>0</v>
      </c>
      <c r="R137" s="19">
        <v>0</v>
      </c>
      <c r="S137" s="19">
        <f t="shared" si="4"/>
        <v>0</v>
      </c>
      <c r="T137" s="19">
        <f t="shared" si="5"/>
        <v>0</v>
      </c>
      <c r="U137" s="19">
        <f t="shared" si="6"/>
        <v>0</v>
      </c>
      <c r="V137" s="19">
        <f t="shared" si="7"/>
        <v>0</v>
      </c>
      <c r="W137" s="19">
        <f t="shared" si="8"/>
        <v>0</v>
      </c>
      <c r="X137" s="20">
        <f t="shared" si="9"/>
        <v>0</v>
      </c>
      <c r="Y137" s="20">
        <f t="shared" si="10"/>
        <v>0</v>
      </c>
    </row>
    <row r="138" spans="1:25" ht="15.75" customHeight="1">
      <c r="A138" s="14" t="s">
        <v>286</v>
      </c>
      <c r="B138" s="15" t="s">
        <v>287</v>
      </c>
      <c r="C138" s="16">
        <v>152.25</v>
      </c>
      <c r="D138" s="16">
        <v>152.25</v>
      </c>
      <c r="E138" s="17">
        <v>7</v>
      </c>
      <c r="F138" s="18">
        <v>0</v>
      </c>
      <c r="G138" s="18">
        <v>0</v>
      </c>
      <c r="H138" s="18">
        <v>0</v>
      </c>
      <c r="I138" s="17">
        <v>0</v>
      </c>
      <c r="J138" s="17">
        <f t="shared" si="0"/>
        <v>7</v>
      </c>
      <c r="K138" s="17">
        <v>7</v>
      </c>
      <c r="L138" s="17">
        <v>0</v>
      </c>
      <c r="M138" s="17">
        <v>0</v>
      </c>
      <c r="N138" s="17">
        <f t="shared" si="1"/>
        <v>7</v>
      </c>
      <c r="O138" s="17">
        <f t="shared" si="2"/>
        <v>0</v>
      </c>
      <c r="P138" s="3"/>
      <c r="Q138" s="19">
        <f t="shared" si="3"/>
        <v>1065.75</v>
      </c>
      <c r="R138" s="19">
        <v>0</v>
      </c>
      <c r="S138" s="19">
        <f t="shared" si="4"/>
        <v>0</v>
      </c>
      <c r="T138" s="19">
        <f t="shared" si="5"/>
        <v>0</v>
      </c>
      <c r="U138" s="19">
        <f t="shared" si="6"/>
        <v>0</v>
      </c>
      <c r="V138" s="19">
        <f t="shared" si="7"/>
        <v>0</v>
      </c>
      <c r="W138" s="19">
        <f t="shared" si="8"/>
        <v>1065.75</v>
      </c>
      <c r="X138" s="20">
        <f t="shared" si="9"/>
        <v>1065.75</v>
      </c>
      <c r="Y138" s="20">
        <f t="shared" si="10"/>
        <v>0</v>
      </c>
    </row>
    <row r="139" spans="1:25" ht="15.75" customHeight="1">
      <c r="A139" s="14" t="s">
        <v>288</v>
      </c>
      <c r="B139" s="15" t="s">
        <v>289</v>
      </c>
      <c r="C139" s="16">
        <v>690</v>
      </c>
      <c r="D139" s="16">
        <v>690</v>
      </c>
      <c r="E139" s="17">
        <v>1</v>
      </c>
      <c r="F139" s="18">
        <v>0</v>
      </c>
      <c r="G139" s="18">
        <v>0</v>
      </c>
      <c r="H139" s="18">
        <v>0</v>
      </c>
      <c r="I139" s="17">
        <v>0</v>
      </c>
      <c r="J139" s="17">
        <f t="shared" si="0"/>
        <v>1</v>
      </c>
      <c r="K139" s="17">
        <v>0</v>
      </c>
      <c r="L139" s="17">
        <v>0</v>
      </c>
      <c r="M139" s="17">
        <v>1</v>
      </c>
      <c r="N139" s="17">
        <f t="shared" si="1"/>
        <v>1</v>
      </c>
      <c r="O139" s="17">
        <f t="shared" si="2"/>
        <v>0</v>
      </c>
      <c r="P139" s="3"/>
      <c r="Q139" s="19">
        <f t="shared" si="3"/>
        <v>690</v>
      </c>
      <c r="R139" s="19">
        <v>0</v>
      </c>
      <c r="S139" s="19">
        <f t="shared" si="4"/>
        <v>0</v>
      </c>
      <c r="T139" s="19">
        <f t="shared" si="5"/>
        <v>0</v>
      </c>
      <c r="U139" s="19">
        <f t="shared" si="6"/>
        <v>0</v>
      </c>
      <c r="V139" s="19">
        <f t="shared" si="7"/>
        <v>0</v>
      </c>
      <c r="W139" s="19">
        <f t="shared" si="8"/>
        <v>690</v>
      </c>
      <c r="X139" s="20">
        <f t="shared" si="9"/>
        <v>690</v>
      </c>
      <c r="Y139" s="20">
        <f t="shared" si="10"/>
        <v>0</v>
      </c>
    </row>
    <row r="140" spans="1:25" ht="15.75" customHeight="1">
      <c r="A140" s="14" t="s">
        <v>290</v>
      </c>
      <c r="B140" s="15" t="s">
        <v>291</v>
      </c>
      <c r="C140" s="16">
        <v>650</v>
      </c>
      <c r="D140" s="16">
        <v>650</v>
      </c>
      <c r="E140" s="17">
        <v>2</v>
      </c>
      <c r="F140" s="18">
        <v>0</v>
      </c>
      <c r="G140" s="18">
        <v>0</v>
      </c>
      <c r="H140" s="18">
        <v>0</v>
      </c>
      <c r="I140" s="17">
        <v>0</v>
      </c>
      <c r="J140" s="17">
        <f t="shared" si="0"/>
        <v>2</v>
      </c>
      <c r="K140" s="17">
        <v>0</v>
      </c>
      <c r="L140" s="17">
        <v>0</v>
      </c>
      <c r="M140" s="17">
        <v>2</v>
      </c>
      <c r="N140" s="17">
        <f t="shared" si="1"/>
        <v>2</v>
      </c>
      <c r="O140" s="17">
        <f t="shared" si="2"/>
        <v>0</v>
      </c>
      <c r="P140" s="3"/>
      <c r="Q140" s="19">
        <f t="shared" si="3"/>
        <v>1300</v>
      </c>
      <c r="R140" s="19">
        <v>0</v>
      </c>
      <c r="S140" s="19">
        <f t="shared" si="4"/>
        <v>0</v>
      </c>
      <c r="T140" s="19">
        <f t="shared" si="5"/>
        <v>0</v>
      </c>
      <c r="U140" s="19">
        <f t="shared" si="6"/>
        <v>0</v>
      </c>
      <c r="V140" s="19">
        <f t="shared" si="7"/>
        <v>0</v>
      </c>
      <c r="W140" s="19">
        <f t="shared" si="8"/>
        <v>1300</v>
      </c>
      <c r="X140" s="20">
        <f t="shared" si="9"/>
        <v>1300</v>
      </c>
      <c r="Y140" s="20">
        <f t="shared" si="10"/>
        <v>0</v>
      </c>
    </row>
    <row r="141" spans="1:25" ht="15.75" customHeight="1">
      <c r="A141" s="14" t="s">
        <v>292</v>
      </c>
      <c r="B141" s="15" t="s">
        <v>293</v>
      </c>
      <c r="C141" s="16">
        <v>590</v>
      </c>
      <c r="D141" s="16">
        <v>590</v>
      </c>
      <c r="E141" s="17">
        <v>1</v>
      </c>
      <c r="F141" s="18">
        <v>0</v>
      </c>
      <c r="G141" s="18">
        <v>0</v>
      </c>
      <c r="H141" s="18">
        <v>0</v>
      </c>
      <c r="I141" s="17">
        <v>0</v>
      </c>
      <c r="J141" s="17">
        <f t="shared" si="0"/>
        <v>1</v>
      </c>
      <c r="K141" s="17">
        <v>0</v>
      </c>
      <c r="L141" s="17">
        <v>0</v>
      </c>
      <c r="M141" s="17">
        <v>1</v>
      </c>
      <c r="N141" s="17">
        <f t="shared" si="1"/>
        <v>1</v>
      </c>
      <c r="O141" s="17">
        <f t="shared" si="2"/>
        <v>0</v>
      </c>
      <c r="P141" s="3"/>
      <c r="Q141" s="19">
        <f t="shared" si="3"/>
        <v>590</v>
      </c>
      <c r="R141" s="19">
        <v>0</v>
      </c>
      <c r="S141" s="19">
        <f t="shared" si="4"/>
        <v>0</v>
      </c>
      <c r="T141" s="19">
        <f t="shared" si="5"/>
        <v>0</v>
      </c>
      <c r="U141" s="19">
        <f t="shared" si="6"/>
        <v>0</v>
      </c>
      <c r="V141" s="19">
        <f t="shared" si="7"/>
        <v>0</v>
      </c>
      <c r="W141" s="19">
        <f t="shared" si="8"/>
        <v>590</v>
      </c>
      <c r="X141" s="20">
        <f t="shared" si="9"/>
        <v>590</v>
      </c>
      <c r="Y141" s="20">
        <f t="shared" si="10"/>
        <v>0</v>
      </c>
    </row>
    <row r="142" spans="1:25" ht="15.75" customHeight="1">
      <c r="A142" s="14" t="s">
        <v>294</v>
      </c>
      <c r="B142" s="15" t="s">
        <v>295</v>
      </c>
      <c r="C142" s="16">
        <v>0</v>
      </c>
      <c r="D142" s="16">
        <v>0</v>
      </c>
      <c r="E142" s="17">
        <v>0</v>
      </c>
      <c r="F142" s="18">
        <v>0</v>
      </c>
      <c r="G142" s="18">
        <v>0</v>
      </c>
      <c r="H142" s="18">
        <v>0</v>
      </c>
      <c r="I142" s="17">
        <v>0</v>
      </c>
      <c r="J142" s="17">
        <f t="shared" si="0"/>
        <v>0</v>
      </c>
      <c r="K142" s="17">
        <v>0</v>
      </c>
      <c r="L142" s="17">
        <v>0</v>
      </c>
      <c r="M142" s="17">
        <v>0</v>
      </c>
      <c r="N142" s="17">
        <f t="shared" si="1"/>
        <v>0</v>
      </c>
      <c r="O142" s="17">
        <f t="shared" si="2"/>
        <v>0</v>
      </c>
      <c r="P142" s="3"/>
      <c r="Q142" s="19">
        <f t="shared" si="3"/>
        <v>0</v>
      </c>
      <c r="R142" s="19">
        <v>0</v>
      </c>
      <c r="S142" s="19">
        <f t="shared" si="4"/>
        <v>0</v>
      </c>
      <c r="T142" s="19">
        <f t="shared" si="5"/>
        <v>0</v>
      </c>
      <c r="U142" s="19">
        <f t="shared" si="6"/>
        <v>0</v>
      </c>
      <c r="V142" s="19">
        <f t="shared" si="7"/>
        <v>0</v>
      </c>
      <c r="W142" s="19">
        <f t="shared" si="8"/>
        <v>0</v>
      </c>
      <c r="X142" s="20">
        <f t="shared" si="9"/>
        <v>0</v>
      </c>
      <c r="Y142" s="20">
        <f t="shared" si="10"/>
        <v>0</v>
      </c>
    </row>
    <row r="143" spans="1:25" ht="15.75" customHeight="1">
      <c r="A143" s="14" t="s">
        <v>296</v>
      </c>
      <c r="B143" s="15" t="s">
        <v>297</v>
      </c>
      <c r="C143" s="16">
        <v>220.17</v>
      </c>
      <c r="D143" s="16">
        <v>220.17</v>
      </c>
      <c r="E143" s="17">
        <v>3</v>
      </c>
      <c r="F143" s="18">
        <v>0</v>
      </c>
      <c r="G143" s="18">
        <v>0</v>
      </c>
      <c r="H143" s="18">
        <v>0</v>
      </c>
      <c r="I143" s="17">
        <v>0</v>
      </c>
      <c r="J143" s="17">
        <f t="shared" si="0"/>
        <v>3</v>
      </c>
      <c r="K143" s="17">
        <v>3</v>
      </c>
      <c r="L143" s="17">
        <v>0</v>
      </c>
      <c r="M143" s="17">
        <v>0</v>
      </c>
      <c r="N143" s="17">
        <f t="shared" si="1"/>
        <v>3</v>
      </c>
      <c r="O143" s="17">
        <f t="shared" si="2"/>
        <v>0</v>
      </c>
      <c r="P143" s="3"/>
      <c r="Q143" s="19">
        <f t="shared" si="3"/>
        <v>660.51</v>
      </c>
      <c r="R143" s="19">
        <v>0</v>
      </c>
      <c r="S143" s="19">
        <f t="shared" si="4"/>
        <v>0</v>
      </c>
      <c r="T143" s="19">
        <f t="shared" si="5"/>
        <v>0</v>
      </c>
      <c r="U143" s="19">
        <f t="shared" si="6"/>
        <v>0</v>
      </c>
      <c r="V143" s="19">
        <f t="shared" si="7"/>
        <v>0</v>
      </c>
      <c r="W143" s="19">
        <f t="shared" si="8"/>
        <v>660.51</v>
      </c>
      <c r="X143" s="20">
        <f t="shared" si="9"/>
        <v>660.51</v>
      </c>
      <c r="Y143" s="20">
        <f t="shared" si="10"/>
        <v>0</v>
      </c>
    </row>
    <row r="144" spans="1:25" ht="15.75" customHeight="1">
      <c r="A144" s="14" t="s">
        <v>298</v>
      </c>
      <c r="B144" s="15" t="s">
        <v>299</v>
      </c>
      <c r="C144" s="16">
        <v>50</v>
      </c>
      <c r="D144" s="16">
        <v>50</v>
      </c>
      <c r="E144" s="17">
        <v>0</v>
      </c>
      <c r="F144" s="18">
        <v>0</v>
      </c>
      <c r="G144" s="18">
        <v>0</v>
      </c>
      <c r="H144" s="18">
        <v>0</v>
      </c>
      <c r="I144" s="17">
        <v>0</v>
      </c>
      <c r="J144" s="17">
        <f t="shared" si="0"/>
        <v>0</v>
      </c>
      <c r="K144" s="17">
        <v>0</v>
      </c>
      <c r="L144" s="17">
        <v>0</v>
      </c>
      <c r="M144" s="17">
        <v>0</v>
      </c>
      <c r="N144" s="17">
        <f t="shared" si="1"/>
        <v>0</v>
      </c>
      <c r="O144" s="17">
        <f t="shared" si="2"/>
        <v>0</v>
      </c>
      <c r="P144" s="3"/>
      <c r="Q144" s="19">
        <f t="shared" si="3"/>
        <v>0</v>
      </c>
      <c r="R144" s="19">
        <v>0</v>
      </c>
      <c r="S144" s="19">
        <f t="shared" si="4"/>
        <v>0</v>
      </c>
      <c r="T144" s="19">
        <f t="shared" si="5"/>
        <v>0</v>
      </c>
      <c r="U144" s="19">
        <f t="shared" si="6"/>
        <v>0</v>
      </c>
      <c r="V144" s="19">
        <f t="shared" si="7"/>
        <v>0</v>
      </c>
      <c r="W144" s="19">
        <f t="shared" si="8"/>
        <v>0</v>
      </c>
      <c r="X144" s="20">
        <f t="shared" si="9"/>
        <v>0</v>
      </c>
      <c r="Y144" s="20">
        <f t="shared" si="10"/>
        <v>0</v>
      </c>
    </row>
    <row r="145" spans="1:25" ht="15.75" customHeight="1">
      <c r="A145" s="14" t="s">
        <v>300</v>
      </c>
      <c r="B145" s="15" t="s">
        <v>301</v>
      </c>
      <c r="C145" s="16">
        <v>467.15</v>
      </c>
      <c r="D145" s="16">
        <v>467.15</v>
      </c>
      <c r="E145" s="17">
        <v>0</v>
      </c>
      <c r="F145" s="18">
        <v>0</v>
      </c>
      <c r="G145" s="18">
        <v>0</v>
      </c>
      <c r="H145" s="18">
        <v>0</v>
      </c>
      <c r="I145" s="17">
        <v>0</v>
      </c>
      <c r="J145" s="17">
        <f t="shared" si="0"/>
        <v>0</v>
      </c>
      <c r="K145" s="17">
        <v>0</v>
      </c>
      <c r="L145" s="17">
        <v>0</v>
      </c>
      <c r="M145" s="17">
        <v>0</v>
      </c>
      <c r="N145" s="17">
        <f t="shared" si="1"/>
        <v>0</v>
      </c>
      <c r="O145" s="17">
        <f t="shared" si="2"/>
        <v>0</v>
      </c>
      <c r="P145" s="3"/>
      <c r="Q145" s="19">
        <f t="shared" si="3"/>
        <v>0</v>
      </c>
      <c r="R145" s="19">
        <v>0</v>
      </c>
      <c r="S145" s="19">
        <f t="shared" si="4"/>
        <v>0</v>
      </c>
      <c r="T145" s="19">
        <f t="shared" si="5"/>
        <v>0</v>
      </c>
      <c r="U145" s="19">
        <f t="shared" si="6"/>
        <v>0</v>
      </c>
      <c r="V145" s="19">
        <f t="shared" si="7"/>
        <v>0</v>
      </c>
      <c r="W145" s="19">
        <f t="shared" si="8"/>
        <v>0</v>
      </c>
      <c r="X145" s="20">
        <f t="shared" si="9"/>
        <v>0</v>
      </c>
      <c r="Y145" s="20">
        <f t="shared" si="10"/>
        <v>0</v>
      </c>
    </row>
    <row r="146" spans="1:25" ht="15.75" customHeight="1">
      <c r="A146" s="14" t="s">
        <v>302</v>
      </c>
      <c r="B146" s="15" t="s">
        <v>303</v>
      </c>
      <c r="C146" s="16">
        <v>680</v>
      </c>
      <c r="D146" s="16">
        <v>680</v>
      </c>
      <c r="E146" s="17">
        <v>1</v>
      </c>
      <c r="F146" s="18">
        <v>0</v>
      </c>
      <c r="G146" s="18">
        <v>0</v>
      </c>
      <c r="H146" s="18">
        <v>0</v>
      </c>
      <c r="I146" s="17">
        <v>0</v>
      </c>
      <c r="J146" s="17">
        <f t="shared" si="0"/>
        <v>1</v>
      </c>
      <c r="K146" s="17">
        <v>1</v>
      </c>
      <c r="L146" s="17">
        <v>0</v>
      </c>
      <c r="M146" s="17">
        <v>0</v>
      </c>
      <c r="N146" s="17">
        <f t="shared" si="1"/>
        <v>1</v>
      </c>
      <c r="O146" s="17">
        <f t="shared" si="2"/>
        <v>0</v>
      </c>
      <c r="P146" s="3"/>
      <c r="Q146" s="19">
        <f t="shared" si="3"/>
        <v>680</v>
      </c>
      <c r="R146" s="19">
        <v>0</v>
      </c>
      <c r="S146" s="19">
        <f t="shared" si="4"/>
        <v>0</v>
      </c>
      <c r="T146" s="19">
        <f t="shared" si="5"/>
        <v>0</v>
      </c>
      <c r="U146" s="19">
        <f t="shared" si="6"/>
        <v>0</v>
      </c>
      <c r="V146" s="19">
        <f t="shared" si="7"/>
        <v>0</v>
      </c>
      <c r="W146" s="19">
        <f t="shared" si="8"/>
        <v>680</v>
      </c>
      <c r="X146" s="20">
        <f t="shared" si="9"/>
        <v>680</v>
      </c>
      <c r="Y146" s="20">
        <f t="shared" si="10"/>
        <v>0</v>
      </c>
    </row>
    <row r="147" spans="1:25" ht="15.75" customHeight="1">
      <c r="A147" s="14" t="s">
        <v>304</v>
      </c>
      <c r="B147" s="15" t="s">
        <v>305</v>
      </c>
      <c r="C147" s="16">
        <v>0</v>
      </c>
      <c r="D147" s="16">
        <v>0</v>
      </c>
      <c r="E147" s="17">
        <v>0</v>
      </c>
      <c r="F147" s="18">
        <v>0</v>
      </c>
      <c r="G147" s="18">
        <v>0</v>
      </c>
      <c r="H147" s="18">
        <v>0</v>
      </c>
      <c r="I147" s="17">
        <v>0</v>
      </c>
      <c r="J147" s="17">
        <f t="shared" si="0"/>
        <v>0</v>
      </c>
      <c r="K147" s="17">
        <v>0</v>
      </c>
      <c r="L147" s="17">
        <v>0</v>
      </c>
      <c r="M147" s="17">
        <v>0</v>
      </c>
      <c r="N147" s="17">
        <f t="shared" si="1"/>
        <v>0</v>
      </c>
      <c r="O147" s="17">
        <f t="shared" si="2"/>
        <v>0</v>
      </c>
      <c r="P147" s="3"/>
      <c r="Q147" s="19">
        <f t="shared" si="3"/>
        <v>0</v>
      </c>
      <c r="R147" s="19">
        <v>0</v>
      </c>
      <c r="S147" s="19">
        <f t="shared" si="4"/>
        <v>0</v>
      </c>
      <c r="T147" s="19">
        <f t="shared" si="5"/>
        <v>0</v>
      </c>
      <c r="U147" s="19">
        <f t="shared" si="6"/>
        <v>0</v>
      </c>
      <c r="V147" s="19">
        <f t="shared" si="7"/>
        <v>0</v>
      </c>
      <c r="W147" s="19">
        <f t="shared" si="8"/>
        <v>0</v>
      </c>
      <c r="X147" s="20">
        <f t="shared" si="9"/>
        <v>0</v>
      </c>
      <c r="Y147" s="20">
        <f t="shared" si="10"/>
        <v>0</v>
      </c>
    </row>
    <row r="148" spans="1:25" ht="15.75" customHeight="1">
      <c r="A148" s="14" t="s">
        <v>306</v>
      </c>
      <c r="B148" s="15" t="s">
        <v>307</v>
      </c>
      <c r="C148" s="16">
        <v>1850</v>
      </c>
      <c r="D148" s="16">
        <v>1850</v>
      </c>
      <c r="E148" s="17">
        <v>0</v>
      </c>
      <c r="F148" s="18">
        <v>0</v>
      </c>
      <c r="G148" s="18">
        <v>0</v>
      </c>
      <c r="H148" s="18">
        <v>0</v>
      </c>
      <c r="I148" s="17">
        <v>0</v>
      </c>
      <c r="J148" s="17">
        <f t="shared" si="0"/>
        <v>0</v>
      </c>
      <c r="K148" s="17">
        <v>0</v>
      </c>
      <c r="L148" s="17">
        <v>0</v>
      </c>
      <c r="M148" s="17">
        <v>0</v>
      </c>
      <c r="N148" s="17">
        <f t="shared" si="1"/>
        <v>0</v>
      </c>
      <c r="O148" s="17">
        <f t="shared" si="2"/>
        <v>0</v>
      </c>
      <c r="P148" s="3"/>
      <c r="Q148" s="19">
        <f t="shared" si="3"/>
        <v>0</v>
      </c>
      <c r="R148" s="19">
        <v>0</v>
      </c>
      <c r="S148" s="19">
        <f t="shared" si="4"/>
        <v>0</v>
      </c>
      <c r="T148" s="19">
        <f t="shared" si="5"/>
        <v>0</v>
      </c>
      <c r="U148" s="19">
        <f t="shared" si="6"/>
        <v>0</v>
      </c>
      <c r="V148" s="19">
        <f t="shared" si="7"/>
        <v>0</v>
      </c>
      <c r="W148" s="19">
        <f t="shared" si="8"/>
        <v>0</v>
      </c>
      <c r="X148" s="20">
        <f t="shared" si="9"/>
        <v>0</v>
      </c>
      <c r="Y148" s="20">
        <f t="shared" si="10"/>
        <v>0</v>
      </c>
    </row>
    <row r="149" spans="1:25" ht="15.75" customHeight="1">
      <c r="A149" s="14" t="s">
        <v>308</v>
      </c>
      <c r="B149" s="15" t="s">
        <v>309</v>
      </c>
      <c r="C149" s="16">
        <v>450</v>
      </c>
      <c r="D149" s="16">
        <v>450</v>
      </c>
      <c r="E149" s="17">
        <v>1</v>
      </c>
      <c r="F149" s="18">
        <v>0</v>
      </c>
      <c r="G149" s="18">
        <v>0</v>
      </c>
      <c r="H149" s="18">
        <v>0</v>
      </c>
      <c r="I149" s="17">
        <v>0</v>
      </c>
      <c r="J149" s="17">
        <f t="shared" si="0"/>
        <v>1</v>
      </c>
      <c r="K149" s="17">
        <v>1</v>
      </c>
      <c r="L149" s="17">
        <v>0</v>
      </c>
      <c r="M149" s="17">
        <v>0</v>
      </c>
      <c r="N149" s="17">
        <f t="shared" si="1"/>
        <v>1</v>
      </c>
      <c r="O149" s="17">
        <f t="shared" si="2"/>
        <v>0</v>
      </c>
      <c r="P149" s="3"/>
      <c r="Q149" s="19">
        <f t="shared" si="3"/>
        <v>450</v>
      </c>
      <c r="R149" s="19">
        <v>0</v>
      </c>
      <c r="S149" s="19">
        <f t="shared" si="4"/>
        <v>0</v>
      </c>
      <c r="T149" s="19">
        <f t="shared" si="5"/>
        <v>0</v>
      </c>
      <c r="U149" s="19">
        <f t="shared" si="6"/>
        <v>0</v>
      </c>
      <c r="V149" s="19">
        <f t="shared" si="7"/>
        <v>0</v>
      </c>
      <c r="W149" s="19">
        <f t="shared" si="8"/>
        <v>450</v>
      </c>
      <c r="X149" s="20">
        <f t="shared" si="9"/>
        <v>450</v>
      </c>
      <c r="Y149" s="20">
        <f t="shared" si="10"/>
        <v>0</v>
      </c>
    </row>
    <row r="150" spans="1:25" ht="15.75" customHeight="1">
      <c r="A150" s="14" t="s">
        <v>310</v>
      </c>
      <c r="B150" s="15" t="s">
        <v>311</v>
      </c>
      <c r="C150" s="16">
        <v>62.64</v>
      </c>
      <c r="D150" s="16">
        <v>62.64</v>
      </c>
      <c r="E150" s="17">
        <v>0</v>
      </c>
      <c r="F150" s="18">
        <v>0</v>
      </c>
      <c r="G150" s="18">
        <v>0</v>
      </c>
      <c r="H150" s="18">
        <v>0</v>
      </c>
      <c r="I150" s="17">
        <v>0</v>
      </c>
      <c r="J150" s="17">
        <f t="shared" si="0"/>
        <v>0</v>
      </c>
      <c r="K150" s="17">
        <v>0</v>
      </c>
      <c r="L150" s="17">
        <v>0</v>
      </c>
      <c r="M150" s="17">
        <v>0</v>
      </c>
      <c r="N150" s="17">
        <f t="shared" si="1"/>
        <v>0</v>
      </c>
      <c r="O150" s="17">
        <f t="shared" si="2"/>
        <v>0</v>
      </c>
      <c r="P150" s="3"/>
      <c r="Q150" s="19">
        <f t="shared" si="3"/>
        <v>0</v>
      </c>
      <c r="R150" s="19">
        <v>0</v>
      </c>
      <c r="S150" s="19">
        <f t="shared" si="4"/>
        <v>0</v>
      </c>
      <c r="T150" s="19">
        <f t="shared" si="5"/>
        <v>0</v>
      </c>
      <c r="U150" s="19">
        <f t="shared" si="6"/>
        <v>0</v>
      </c>
      <c r="V150" s="19">
        <f t="shared" si="7"/>
        <v>0</v>
      </c>
      <c r="W150" s="19">
        <f t="shared" si="8"/>
        <v>0</v>
      </c>
      <c r="X150" s="20">
        <f t="shared" si="9"/>
        <v>0</v>
      </c>
      <c r="Y150" s="20">
        <f t="shared" si="10"/>
        <v>0</v>
      </c>
    </row>
    <row r="151" spans="1:25" ht="15.75" customHeight="1">
      <c r="A151" s="14" t="s">
        <v>312</v>
      </c>
      <c r="B151" s="15" t="s">
        <v>313</v>
      </c>
      <c r="C151" s="16">
        <v>420.5</v>
      </c>
      <c r="D151" s="16">
        <v>420.5</v>
      </c>
      <c r="E151" s="17">
        <v>5</v>
      </c>
      <c r="F151" s="18">
        <v>0</v>
      </c>
      <c r="G151" s="18">
        <v>0</v>
      </c>
      <c r="H151" s="18">
        <v>0</v>
      </c>
      <c r="I151" s="17">
        <v>0</v>
      </c>
      <c r="J151" s="17">
        <f t="shared" si="0"/>
        <v>5</v>
      </c>
      <c r="K151" s="17">
        <v>5</v>
      </c>
      <c r="L151" s="17">
        <v>0</v>
      </c>
      <c r="M151" s="17">
        <v>0</v>
      </c>
      <c r="N151" s="17">
        <f t="shared" si="1"/>
        <v>5</v>
      </c>
      <c r="O151" s="17">
        <f t="shared" si="2"/>
        <v>0</v>
      </c>
      <c r="P151" s="3"/>
      <c r="Q151" s="19">
        <f t="shared" si="3"/>
        <v>2102.5</v>
      </c>
      <c r="R151" s="19">
        <v>0</v>
      </c>
      <c r="S151" s="19">
        <f t="shared" si="4"/>
        <v>0</v>
      </c>
      <c r="T151" s="19">
        <f t="shared" si="5"/>
        <v>0</v>
      </c>
      <c r="U151" s="19">
        <f t="shared" si="6"/>
        <v>0</v>
      </c>
      <c r="V151" s="19">
        <f t="shared" si="7"/>
        <v>0</v>
      </c>
      <c r="W151" s="19">
        <f t="shared" si="8"/>
        <v>2102.5</v>
      </c>
      <c r="X151" s="20">
        <f t="shared" si="9"/>
        <v>2102.5</v>
      </c>
      <c r="Y151" s="20">
        <f t="shared" si="10"/>
        <v>0</v>
      </c>
    </row>
    <row r="152" spans="1:25" ht="15.75" customHeight="1">
      <c r="A152" s="14" t="s">
        <v>314</v>
      </c>
      <c r="B152" s="15" t="s">
        <v>315</v>
      </c>
      <c r="C152" s="16">
        <v>290</v>
      </c>
      <c r="D152" s="16">
        <v>290</v>
      </c>
      <c r="E152" s="17">
        <v>2</v>
      </c>
      <c r="F152" s="18">
        <v>0</v>
      </c>
      <c r="G152" s="18">
        <v>0</v>
      </c>
      <c r="H152" s="18">
        <v>0</v>
      </c>
      <c r="I152" s="17">
        <v>0</v>
      </c>
      <c r="J152" s="17">
        <f t="shared" si="0"/>
        <v>2</v>
      </c>
      <c r="K152" s="17">
        <v>2</v>
      </c>
      <c r="L152" s="17">
        <v>0</v>
      </c>
      <c r="M152" s="17">
        <v>0</v>
      </c>
      <c r="N152" s="17">
        <f t="shared" si="1"/>
        <v>2</v>
      </c>
      <c r="O152" s="17">
        <f t="shared" si="2"/>
        <v>0</v>
      </c>
      <c r="P152" s="3"/>
      <c r="Q152" s="19">
        <f t="shared" si="3"/>
        <v>580</v>
      </c>
      <c r="R152" s="19">
        <v>0</v>
      </c>
      <c r="S152" s="19">
        <f t="shared" si="4"/>
        <v>0</v>
      </c>
      <c r="T152" s="19">
        <f t="shared" si="5"/>
        <v>0</v>
      </c>
      <c r="U152" s="19">
        <f t="shared" si="6"/>
        <v>0</v>
      </c>
      <c r="V152" s="19">
        <f t="shared" si="7"/>
        <v>0</v>
      </c>
      <c r="W152" s="19">
        <f t="shared" si="8"/>
        <v>580</v>
      </c>
      <c r="X152" s="20">
        <f t="shared" si="9"/>
        <v>580</v>
      </c>
      <c r="Y152" s="20">
        <f t="shared" si="10"/>
        <v>0</v>
      </c>
    </row>
    <row r="153" spans="1:25" ht="15.75" customHeight="1">
      <c r="A153" s="14" t="s">
        <v>316</v>
      </c>
      <c r="B153" s="15" t="s">
        <v>317</v>
      </c>
      <c r="C153" s="16">
        <v>443</v>
      </c>
      <c r="D153" s="16">
        <v>443</v>
      </c>
      <c r="E153" s="17">
        <v>4</v>
      </c>
      <c r="F153" s="18">
        <v>0</v>
      </c>
      <c r="G153" s="18">
        <v>0</v>
      </c>
      <c r="H153" s="18">
        <v>0</v>
      </c>
      <c r="I153" s="17">
        <v>0</v>
      </c>
      <c r="J153" s="17">
        <f t="shared" si="0"/>
        <v>4</v>
      </c>
      <c r="K153" s="17">
        <v>4</v>
      </c>
      <c r="L153" s="17">
        <v>0</v>
      </c>
      <c r="M153" s="17">
        <v>0</v>
      </c>
      <c r="N153" s="17">
        <f t="shared" si="1"/>
        <v>4</v>
      </c>
      <c r="O153" s="17">
        <f t="shared" si="2"/>
        <v>0</v>
      </c>
      <c r="P153" s="3"/>
      <c r="Q153" s="19">
        <f t="shared" si="3"/>
        <v>1772</v>
      </c>
      <c r="R153" s="19">
        <v>0</v>
      </c>
      <c r="S153" s="19">
        <f t="shared" si="4"/>
        <v>0</v>
      </c>
      <c r="T153" s="19">
        <f t="shared" si="5"/>
        <v>0</v>
      </c>
      <c r="U153" s="19">
        <f t="shared" si="6"/>
        <v>0</v>
      </c>
      <c r="V153" s="19">
        <f t="shared" si="7"/>
        <v>0</v>
      </c>
      <c r="W153" s="19">
        <f t="shared" si="8"/>
        <v>1772</v>
      </c>
      <c r="X153" s="20">
        <f t="shared" si="9"/>
        <v>1772</v>
      </c>
      <c r="Y153" s="20">
        <f t="shared" si="10"/>
        <v>0</v>
      </c>
    </row>
    <row r="154" spans="1:25" ht="15.75" customHeight="1">
      <c r="A154" s="14" t="s">
        <v>318</v>
      </c>
      <c r="B154" s="15" t="s">
        <v>319</v>
      </c>
      <c r="C154" s="16">
        <v>319</v>
      </c>
      <c r="D154" s="16">
        <v>319</v>
      </c>
      <c r="E154" s="17">
        <v>3</v>
      </c>
      <c r="F154" s="18">
        <v>0</v>
      </c>
      <c r="G154" s="18">
        <v>0</v>
      </c>
      <c r="H154" s="18">
        <v>0</v>
      </c>
      <c r="I154" s="17">
        <v>0</v>
      </c>
      <c r="J154" s="17">
        <f t="shared" si="0"/>
        <v>3</v>
      </c>
      <c r="K154" s="17">
        <v>3</v>
      </c>
      <c r="L154" s="17">
        <v>0</v>
      </c>
      <c r="M154" s="17">
        <v>0</v>
      </c>
      <c r="N154" s="17">
        <f t="shared" si="1"/>
        <v>3</v>
      </c>
      <c r="O154" s="17">
        <f t="shared" si="2"/>
        <v>0</v>
      </c>
      <c r="P154" s="3"/>
      <c r="Q154" s="19">
        <f t="shared" si="3"/>
        <v>957</v>
      </c>
      <c r="R154" s="19">
        <v>0</v>
      </c>
      <c r="S154" s="19">
        <f t="shared" si="4"/>
        <v>0</v>
      </c>
      <c r="T154" s="19">
        <f t="shared" si="5"/>
        <v>0</v>
      </c>
      <c r="U154" s="19">
        <f t="shared" si="6"/>
        <v>0</v>
      </c>
      <c r="V154" s="19">
        <f t="shared" si="7"/>
        <v>0</v>
      </c>
      <c r="W154" s="19">
        <f t="shared" si="8"/>
        <v>957</v>
      </c>
      <c r="X154" s="20">
        <f t="shared" si="9"/>
        <v>957</v>
      </c>
      <c r="Y154" s="20">
        <f t="shared" si="10"/>
        <v>0</v>
      </c>
    </row>
    <row r="155" spans="1:25" ht="15.75" customHeight="1">
      <c r="A155" s="14" t="s">
        <v>320</v>
      </c>
      <c r="B155" s="15" t="s">
        <v>321</v>
      </c>
      <c r="C155" s="16">
        <v>2.35</v>
      </c>
      <c r="D155" s="16">
        <v>2.35</v>
      </c>
      <c r="E155" s="17">
        <v>0</v>
      </c>
      <c r="F155" s="18">
        <v>0</v>
      </c>
      <c r="G155" s="18">
        <v>0</v>
      </c>
      <c r="H155" s="18">
        <v>0</v>
      </c>
      <c r="I155" s="17">
        <v>0</v>
      </c>
      <c r="J155" s="17">
        <f t="shared" si="0"/>
        <v>0</v>
      </c>
      <c r="K155" s="17">
        <v>0</v>
      </c>
      <c r="L155" s="17">
        <v>0</v>
      </c>
      <c r="M155" s="17">
        <v>0</v>
      </c>
      <c r="N155" s="17">
        <f t="shared" si="1"/>
        <v>0</v>
      </c>
      <c r="O155" s="17">
        <f t="shared" si="2"/>
        <v>0</v>
      </c>
      <c r="P155" s="3"/>
      <c r="Q155" s="19">
        <f t="shared" si="3"/>
        <v>0</v>
      </c>
      <c r="R155" s="19">
        <v>0</v>
      </c>
      <c r="S155" s="19">
        <f t="shared" si="4"/>
        <v>0</v>
      </c>
      <c r="T155" s="19">
        <f t="shared" si="5"/>
        <v>0</v>
      </c>
      <c r="U155" s="19">
        <f t="shared" si="6"/>
        <v>0</v>
      </c>
      <c r="V155" s="19">
        <f t="shared" si="7"/>
        <v>0</v>
      </c>
      <c r="W155" s="19">
        <f t="shared" si="8"/>
        <v>0</v>
      </c>
      <c r="X155" s="20">
        <f t="shared" si="9"/>
        <v>0</v>
      </c>
      <c r="Y155" s="20">
        <f t="shared" si="10"/>
        <v>0</v>
      </c>
    </row>
    <row r="156" spans="1:25" ht="15.75" customHeight="1">
      <c r="A156" s="14" t="s">
        <v>322</v>
      </c>
      <c r="B156" s="15" t="s">
        <v>323</v>
      </c>
      <c r="C156" s="16">
        <v>275.5</v>
      </c>
      <c r="D156" s="16">
        <v>275.5</v>
      </c>
      <c r="E156" s="17">
        <v>2</v>
      </c>
      <c r="F156" s="18">
        <v>0</v>
      </c>
      <c r="G156" s="18">
        <v>0</v>
      </c>
      <c r="H156" s="18">
        <v>0</v>
      </c>
      <c r="I156" s="17">
        <v>0</v>
      </c>
      <c r="J156" s="17">
        <f t="shared" si="0"/>
        <v>2</v>
      </c>
      <c r="K156" s="17">
        <v>2</v>
      </c>
      <c r="L156" s="17">
        <v>0</v>
      </c>
      <c r="M156" s="17">
        <v>0</v>
      </c>
      <c r="N156" s="17">
        <f t="shared" si="1"/>
        <v>2</v>
      </c>
      <c r="O156" s="17">
        <f t="shared" si="2"/>
        <v>0</v>
      </c>
      <c r="P156" s="3"/>
      <c r="Q156" s="19">
        <f t="shared" si="3"/>
        <v>551</v>
      </c>
      <c r="R156" s="19">
        <v>0</v>
      </c>
      <c r="S156" s="19">
        <f t="shared" si="4"/>
        <v>0</v>
      </c>
      <c r="T156" s="19">
        <f t="shared" si="5"/>
        <v>0</v>
      </c>
      <c r="U156" s="19">
        <f t="shared" si="6"/>
        <v>0</v>
      </c>
      <c r="V156" s="19">
        <f t="shared" si="7"/>
        <v>0</v>
      </c>
      <c r="W156" s="19">
        <f t="shared" si="8"/>
        <v>551</v>
      </c>
      <c r="X156" s="20">
        <f t="shared" si="9"/>
        <v>551</v>
      </c>
      <c r="Y156" s="20">
        <f t="shared" si="10"/>
        <v>0</v>
      </c>
    </row>
    <row r="157" spans="1:25" ht="15.75" customHeight="1">
      <c r="A157" s="14" t="s">
        <v>324</v>
      </c>
      <c r="B157" s="15" t="s">
        <v>325</v>
      </c>
      <c r="C157" s="16">
        <v>418.76</v>
      </c>
      <c r="D157" s="16">
        <v>418.76</v>
      </c>
      <c r="E157" s="17">
        <v>5</v>
      </c>
      <c r="F157" s="18">
        <v>0</v>
      </c>
      <c r="G157" s="18">
        <v>0</v>
      </c>
      <c r="H157" s="18">
        <v>0</v>
      </c>
      <c r="I157" s="17">
        <v>0</v>
      </c>
      <c r="J157" s="17">
        <f t="shared" si="0"/>
        <v>5</v>
      </c>
      <c r="K157" s="17">
        <v>5</v>
      </c>
      <c r="L157" s="17">
        <v>0</v>
      </c>
      <c r="M157" s="17">
        <v>0</v>
      </c>
      <c r="N157" s="17">
        <f t="shared" si="1"/>
        <v>5</v>
      </c>
      <c r="O157" s="17">
        <f t="shared" si="2"/>
        <v>0</v>
      </c>
      <c r="P157" s="3"/>
      <c r="Q157" s="19">
        <f t="shared" si="3"/>
        <v>2093.8000000000002</v>
      </c>
      <c r="R157" s="19">
        <v>0</v>
      </c>
      <c r="S157" s="19">
        <f t="shared" si="4"/>
        <v>0</v>
      </c>
      <c r="T157" s="19">
        <f t="shared" si="5"/>
        <v>0</v>
      </c>
      <c r="U157" s="19">
        <f t="shared" si="6"/>
        <v>0</v>
      </c>
      <c r="V157" s="19">
        <f t="shared" si="7"/>
        <v>0</v>
      </c>
      <c r="W157" s="19">
        <f t="shared" si="8"/>
        <v>2093.8000000000002</v>
      </c>
      <c r="X157" s="20">
        <f t="shared" si="9"/>
        <v>2093.8000000000002</v>
      </c>
      <c r="Y157" s="20">
        <f t="shared" si="10"/>
        <v>0</v>
      </c>
    </row>
    <row r="158" spans="1:25" ht="15.75" customHeight="1">
      <c r="A158" s="14" t="s">
        <v>326</v>
      </c>
      <c r="B158" s="15" t="s">
        <v>327</v>
      </c>
      <c r="C158" s="16">
        <v>1082</v>
      </c>
      <c r="D158" s="16">
        <v>1082</v>
      </c>
      <c r="E158" s="17">
        <v>3</v>
      </c>
      <c r="F158" s="18">
        <v>0</v>
      </c>
      <c r="G158" s="18">
        <v>0</v>
      </c>
      <c r="H158" s="18">
        <v>0</v>
      </c>
      <c r="I158" s="17">
        <v>0</v>
      </c>
      <c r="J158" s="17">
        <f t="shared" si="0"/>
        <v>3</v>
      </c>
      <c r="K158" s="17">
        <v>3</v>
      </c>
      <c r="L158" s="17">
        <v>0</v>
      </c>
      <c r="M158" s="17">
        <v>0</v>
      </c>
      <c r="N158" s="17">
        <f t="shared" si="1"/>
        <v>3</v>
      </c>
      <c r="O158" s="17">
        <f t="shared" si="2"/>
        <v>0</v>
      </c>
      <c r="P158" s="3"/>
      <c r="Q158" s="19">
        <f t="shared" si="3"/>
        <v>3246</v>
      </c>
      <c r="R158" s="19">
        <v>0</v>
      </c>
      <c r="S158" s="19">
        <f t="shared" si="4"/>
        <v>0</v>
      </c>
      <c r="T158" s="19">
        <f t="shared" si="5"/>
        <v>0</v>
      </c>
      <c r="U158" s="19">
        <f t="shared" si="6"/>
        <v>0</v>
      </c>
      <c r="V158" s="19">
        <f t="shared" si="7"/>
        <v>0</v>
      </c>
      <c r="W158" s="19">
        <f t="shared" si="8"/>
        <v>3246</v>
      </c>
      <c r="X158" s="20">
        <f t="shared" si="9"/>
        <v>3246</v>
      </c>
      <c r="Y158" s="20">
        <f t="shared" si="10"/>
        <v>0</v>
      </c>
    </row>
    <row r="159" spans="1:25" ht="15.75" customHeight="1">
      <c r="A159" s="14" t="s">
        <v>328</v>
      </c>
      <c r="B159" s="15" t="s">
        <v>329</v>
      </c>
      <c r="C159" s="16">
        <v>311.75</v>
      </c>
      <c r="D159" s="16">
        <v>311.75</v>
      </c>
      <c r="E159" s="17">
        <v>3</v>
      </c>
      <c r="F159" s="18">
        <v>0</v>
      </c>
      <c r="G159" s="18">
        <v>0</v>
      </c>
      <c r="H159" s="18">
        <v>0</v>
      </c>
      <c r="I159" s="17">
        <v>0</v>
      </c>
      <c r="J159" s="17">
        <f t="shared" si="0"/>
        <v>3</v>
      </c>
      <c r="K159" s="17">
        <v>3</v>
      </c>
      <c r="L159" s="17">
        <v>0</v>
      </c>
      <c r="M159" s="17">
        <v>0</v>
      </c>
      <c r="N159" s="17">
        <f t="shared" si="1"/>
        <v>3</v>
      </c>
      <c r="O159" s="17">
        <f t="shared" si="2"/>
        <v>0</v>
      </c>
      <c r="P159" s="3"/>
      <c r="Q159" s="19">
        <f t="shared" si="3"/>
        <v>935.25</v>
      </c>
      <c r="R159" s="19">
        <v>0</v>
      </c>
      <c r="S159" s="19">
        <f t="shared" si="4"/>
        <v>0</v>
      </c>
      <c r="T159" s="19">
        <f t="shared" si="5"/>
        <v>0</v>
      </c>
      <c r="U159" s="19">
        <f t="shared" si="6"/>
        <v>0</v>
      </c>
      <c r="V159" s="19">
        <f t="shared" si="7"/>
        <v>0</v>
      </c>
      <c r="W159" s="19">
        <f t="shared" si="8"/>
        <v>935.25</v>
      </c>
      <c r="X159" s="20">
        <f t="shared" si="9"/>
        <v>935.25</v>
      </c>
      <c r="Y159" s="20">
        <f t="shared" si="10"/>
        <v>0</v>
      </c>
    </row>
    <row r="160" spans="1:25" ht="15.75" customHeight="1">
      <c r="A160" s="14" t="s">
        <v>330</v>
      </c>
      <c r="B160" s="15" t="s">
        <v>331</v>
      </c>
      <c r="C160" s="16">
        <v>662.01</v>
      </c>
      <c r="D160" s="16">
        <v>662.01</v>
      </c>
      <c r="E160" s="17">
        <v>3</v>
      </c>
      <c r="F160" s="18">
        <v>0</v>
      </c>
      <c r="G160" s="18">
        <v>0</v>
      </c>
      <c r="H160" s="18">
        <v>0</v>
      </c>
      <c r="I160" s="17">
        <v>0</v>
      </c>
      <c r="J160" s="17">
        <f t="shared" si="0"/>
        <v>3</v>
      </c>
      <c r="K160" s="17">
        <v>3</v>
      </c>
      <c r="L160" s="17">
        <v>0</v>
      </c>
      <c r="M160" s="17">
        <v>0</v>
      </c>
      <c r="N160" s="17">
        <f t="shared" si="1"/>
        <v>3</v>
      </c>
      <c r="O160" s="17">
        <f t="shared" si="2"/>
        <v>0</v>
      </c>
      <c r="P160" s="3"/>
      <c r="Q160" s="19">
        <f t="shared" si="3"/>
        <v>1986.03</v>
      </c>
      <c r="R160" s="19">
        <v>0</v>
      </c>
      <c r="S160" s="19">
        <f t="shared" si="4"/>
        <v>0</v>
      </c>
      <c r="T160" s="19">
        <f t="shared" si="5"/>
        <v>0</v>
      </c>
      <c r="U160" s="19">
        <f t="shared" si="6"/>
        <v>0</v>
      </c>
      <c r="V160" s="19">
        <f t="shared" si="7"/>
        <v>0</v>
      </c>
      <c r="W160" s="19">
        <f t="shared" si="8"/>
        <v>1986.03</v>
      </c>
      <c r="X160" s="20">
        <f t="shared" si="9"/>
        <v>1986.03</v>
      </c>
      <c r="Y160" s="20">
        <f t="shared" si="10"/>
        <v>0</v>
      </c>
    </row>
    <row r="161" spans="1:25" ht="15.75" customHeight="1">
      <c r="A161" s="14" t="s">
        <v>332</v>
      </c>
      <c r="B161" s="15" t="s">
        <v>333</v>
      </c>
      <c r="C161" s="16">
        <v>383.5</v>
      </c>
      <c r="D161" s="16">
        <v>383.5</v>
      </c>
      <c r="E161" s="17">
        <v>0</v>
      </c>
      <c r="F161" s="18">
        <v>0</v>
      </c>
      <c r="G161" s="18">
        <v>0</v>
      </c>
      <c r="H161" s="18">
        <v>0</v>
      </c>
      <c r="I161" s="17">
        <v>0</v>
      </c>
      <c r="J161" s="17">
        <f t="shared" si="0"/>
        <v>0</v>
      </c>
      <c r="K161" s="17">
        <v>0</v>
      </c>
      <c r="L161" s="17">
        <v>0</v>
      </c>
      <c r="M161" s="17">
        <v>0</v>
      </c>
      <c r="N161" s="17">
        <f t="shared" si="1"/>
        <v>0</v>
      </c>
      <c r="O161" s="17">
        <f t="shared" si="2"/>
        <v>0</v>
      </c>
      <c r="P161" s="3"/>
      <c r="Q161" s="19">
        <f t="shared" si="3"/>
        <v>0</v>
      </c>
      <c r="R161" s="19">
        <v>0</v>
      </c>
      <c r="S161" s="19">
        <f t="shared" si="4"/>
        <v>0</v>
      </c>
      <c r="T161" s="19">
        <f t="shared" si="5"/>
        <v>0</v>
      </c>
      <c r="U161" s="19">
        <f t="shared" si="6"/>
        <v>0</v>
      </c>
      <c r="V161" s="19">
        <f t="shared" si="7"/>
        <v>0</v>
      </c>
      <c r="W161" s="19">
        <f t="shared" si="8"/>
        <v>0</v>
      </c>
      <c r="X161" s="20">
        <f t="shared" si="9"/>
        <v>0</v>
      </c>
      <c r="Y161" s="20">
        <f t="shared" si="10"/>
        <v>0</v>
      </c>
    </row>
    <row r="162" spans="1:25" ht="15.75" customHeight="1">
      <c r="A162" s="14" t="s">
        <v>334</v>
      </c>
      <c r="B162" s="15" t="s">
        <v>335</v>
      </c>
      <c r="C162" s="16">
        <v>43.1</v>
      </c>
      <c r="D162" s="16">
        <v>43.1</v>
      </c>
      <c r="E162" s="17">
        <v>1</v>
      </c>
      <c r="F162" s="18">
        <v>0</v>
      </c>
      <c r="G162" s="18">
        <v>0</v>
      </c>
      <c r="H162" s="18">
        <v>0</v>
      </c>
      <c r="I162" s="17">
        <v>0</v>
      </c>
      <c r="J162" s="17">
        <f t="shared" si="0"/>
        <v>1</v>
      </c>
      <c r="K162" s="17">
        <v>1</v>
      </c>
      <c r="L162" s="17">
        <v>0</v>
      </c>
      <c r="M162" s="17">
        <v>0</v>
      </c>
      <c r="N162" s="17">
        <f t="shared" si="1"/>
        <v>1</v>
      </c>
      <c r="O162" s="17">
        <f t="shared" si="2"/>
        <v>0</v>
      </c>
      <c r="P162" s="3"/>
      <c r="Q162" s="19">
        <f t="shared" si="3"/>
        <v>43.1</v>
      </c>
      <c r="R162" s="19">
        <v>0</v>
      </c>
      <c r="S162" s="19">
        <f t="shared" si="4"/>
        <v>0</v>
      </c>
      <c r="T162" s="19">
        <f t="shared" si="5"/>
        <v>0</v>
      </c>
      <c r="U162" s="19">
        <f t="shared" si="6"/>
        <v>0</v>
      </c>
      <c r="V162" s="19">
        <f t="shared" si="7"/>
        <v>0</v>
      </c>
      <c r="W162" s="19">
        <f t="shared" si="8"/>
        <v>43.1</v>
      </c>
      <c r="X162" s="20">
        <f t="shared" si="9"/>
        <v>43.1</v>
      </c>
      <c r="Y162" s="20">
        <f t="shared" si="10"/>
        <v>0</v>
      </c>
    </row>
    <row r="163" spans="1:25" ht="15.75" customHeight="1">
      <c r="A163" s="14" t="s">
        <v>336</v>
      </c>
      <c r="B163" s="15" t="s">
        <v>337</v>
      </c>
      <c r="C163" s="16">
        <v>41.38</v>
      </c>
      <c r="D163" s="16">
        <v>41.38</v>
      </c>
      <c r="E163" s="17">
        <v>1</v>
      </c>
      <c r="F163" s="18">
        <v>0</v>
      </c>
      <c r="G163" s="18">
        <v>0</v>
      </c>
      <c r="H163" s="18">
        <v>0</v>
      </c>
      <c r="I163" s="17">
        <v>0</v>
      </c>
      <c r="J163" s="17">
        <f t="shared" si="0"/>
        <v>1</v>
      </c>
      <c r="K163" s="17">
        <v>1</v>
      </c>
      <c r="L163" s="17">
        <v>0</v>
      </c>
      <c r="M163" s="17">
        <v>0</v>
      </c>
      <c r="N163" s="17">
        <f t="shared" si="1"/>
        <v>1</v>
      </c>
      <c r="O163" s="17">
        <f t="shared" si="2"/>
        <v>0</v>
      </c>
      <c r="P163" s="3"/>
      <c r="Q163" s="19">
        <f t="shared" si="3"/>
        <v>41.38</v>
      </c>
      <c r="R163" s="19">
        <v>0</v>
      </c>
      <c r="S163" s="19">
        <f t="shared" si="4"/>
        <v>0</v>
      </c>
      <c r="T163" s="19">
        <f t="shared" si="5"/>
        <v>0</v>
      </c>
      <c r="U163" s="19">
        <f t="shared" si="6"/>
        <v>0</v>
      </c>
      <c r="V163" s="19">
        <f t="shared" si="7"/>
        <v>0</v>
      </c>
      <c r="W163" s="19">
        <f t="shared" si="8"/>
        <v>41.38</v>
      </c>
      <c r="X163" s="20">
        <f t="shared" si="9"/>
        <v>41.38</v>
      </c>
      <c r="Y163" s="20">
        <f t="shared" si="10"/>
        <v>0</v>
      </c>
    </row>
    <row r="164" spans="1:25" ht="15.75" customHeight="1">
      <c r="A164" s="14" t="s">
        <v>338</v>
      </c>
      <c r="B164" s="15" t="s">
        <v>339</v>
      </c>
      <c r="C164" s="16">
        <v>344.52</v>
      </c>
      <c r="D164" s="16">
        <v>344.52</v>
      </c>
      <c r="E164" s="17">
        <v>0</v>
      </c>
      <c r="F164" s="18">
        <v>0</v>
      </c>
      <c r="G164" s="18">
        <v>0</v>
      </c>
      <c r="H164" s="18">
        <v>0</v>
      </c>
      <c r="I164" s="17">
        <v>0</v>
      </c>
      <c r="J164" s="17">
        <f t="shared" si="0"/>
        <v>0</v>
      </c>
      <c r="K164" s="17">
        <v>0</v>
      </c>
      <c r="L164" s="17">
        <v>0</v>
      </c>
      <c r="M164" s="17">
        <v>0</v>
      </c>
      <c r="N164" s="17">
        <f t="shared" si="1"/>
        <v>0</v>
      </c>
      <c r="O164" s="17">
        <f t="shared" si="2"/>
        <v>0</v>
      </c>
      <c r="P164" s="3"/>
      <c r="Q164" s="19">
        <f t="shared" si="3"/>
        <v>0</v>
      </c>
      <c r="R164" s="19">
        <v>0</v>
      </c>
      <c r="S164" s="19">
        <f t="shared" si="4"/>
        <v>0</v>
      </c>
      <c r="T164" s="19">
        <f t="shared" si="5"/>
        <v>0</v>
      </c>
      <c r="U164" s="19">
        <f t="shared" si="6"/>
        <v>0</v>
      </c>
      <c r="V164" s="19">
        <f t="shared" si="7"/>
        <v>0</v>
      </c>
      <c r="W164" s="19">
        <f t="shared" si="8"/>
        <v>0</v>
      </c>
      <c r="X164" s="20">
        <f t="shared" si="9"/>
        <v>0</v>
      </c>
      <c r="Y164" s="20">
        <f t="shared" si="10"/>
        <v>0</v>
      </c>
    </row>
    <row r="165" spans="1:25" ht="15.75" customHeight="1">
      <c r="A165" s="14" t="s">
        <v>340</v>
      </c>
      <c r="B165" s="15" t="s">
        <v>341</v>
      </c>
      <c r="C165" s="16">
        <v>1350</v>
      </c>
      <c r="D165" s="16">
        <v>1350</v>
      </c>
      <c r="E165" s="17">
        <v>0</v>
      </c>
      <c r="F165" s="18">
        <v>0</v>
      </c>
      <c r="G165" s="18">
        <v>0</v>
      </c>
      <c r="H165" s="18">
        <v>0</v>
      </c>
      <c r="I165" s="17">
        <v>0</v>
      </c>
      <c r="J165" s="17">
        <f t="shared" si="0"/>
        <v>0</v>
      </c>
      <c r="K165" s="17">
        <v>0</v>
      </c>
      <c r="L165" s="17">
        <v>0</v>
      </c>
      <c r="M165" s="17">
        <v>0</v>
      </c>
      <c r="N165" s="17">
        <f t="shared" si="1"/>
        <v>0</v>
      </c>
      <c r="O165" s="17">
        <f t="shared" si="2"/>
        <v>0</v>
      </c>
      <c r="P165" s="3"/>
      <c r="Q165" s="19">
        <f t="shared" si="3"/>
        <v>0</v>
      </c>
      <c r="R165" s="19">
        <v>0</v>
      </c>
      <c r="S165" s="19">
        <f t="shared" si="4"/>
        <v>0</v>
      </c>
      <c r="T165" s="19">
        <f t="shared" si="5"/>
        <v>0</v>
      </c>
      <c r="U165" s="19">
        <f t="shared" si="6"/>
        <v>0</v>
      </c>
      <c r="V165" s="19">
        <f t="shared" si="7"/>
        <v>0</v>
      </c>
      <c r="W165" s="19">
        <f t="shared" si="8"/>
        <v>0</v>
      </c>
      <c r="X165" s="20">
        <f t="shared" si="9"/>
        <v>0</v>
      </c>
      <c r="Y165" s="20">
        <f t="shared" si="10"/>
        <v>0</v>
      </c>
    </row>
    <row r="166" spans="1:25" ht="15.75" customHeight="1">
      <c r="A166" s="14" t="s">
        <v>342</v>
      </c>
      <c r="B166" s="15" t="s">
        <v>343</v>
      </c>
      <c r="C166" s="16">
        <v>1083.3399999999999</v>
      </c>
      <c r="D166" s="16">
        <v>1083.3399999999999</v>
      </c>
      <c r="E166" s="17">
        <v>0</v>
      </c>
      <c r="F166" s="18">
        <v>0</v>
      </c>
      <c r="G166" s="18">
        <v>0</v>
      </c>
      <c r="H166" s="18">
        <v>0</v>
      </c>
      <c r="I166" s="17">
        <v>0</v>
      </c>
      <c r="J166" s="17">
        <f t="shared" si="0"/>
        <v>0</v>
      </c>
      <c r="K166" s="17">
        <v>0</v>
      </c>
      <c r="L166" s="17">
        <v>0</v>
      </c>
      <c r="M166" s="17">
        <v>0</v>
      </c>
      <c r="N166" s="17">
        <f t="shared" si="1"/>
        <v>0</v>
      </c>
      <c r="O166" s="17">
        <f t="shared" si="2"/>
        <v>0</v>
      </c>
      <c r="P166" s="3"/>
      <c r="Q166" s="19">
        <f t="shared" si="3"/>
        <v>0</v>
      </c>
      <c r="R166" s="19">
        <v>0</v>
      </c>
      <c r="S166" s="19">
        <f t="shared" si="4"/>
        <v>0</v>
      </c>
      <c r="T166" s="19">
        <f t="shared" si="5"/>
        <v>0</v>
      </c>
      <c r="U166" s="19">
        <f t="shared" si="6"/>
        <v>0</v>
      </c>
      <c r="V166" s="19">
        <f t="shared" si="7"/>
        <v>0</v>
      </c>
      <c r="W166" s="19">
        <f t="shared" si="8"/>
        <v>0</v>
      </c>
      <c r="X166" s="20">
        <f t="shared" si="9"/>
        <v>0</v>
      </c>
      <c r="Y166" s="20">
        <f t="shared" si="10"/>
        <v>0</v>
      </c>
    </row>
    <row r="167" spans="1:25" ht="15.75" customHeight="1">
      <c r="A167" s="14" t="s">
        <v>344</v>
      </c>
      <c r="B167" s="15" t="s">
        <v>345</v>
      </c>
      <c r="C167" s="16">
        <v>400</v>
      </c>
      <c r="D167" s="16">
        <v>400</v>
      </c>
      <c r="E167" s="17">
        <v>4</v>
      </c>
      <c r="F167" s="18">
        <v>0</v>
      </c>
      <c r="G167" s="18">
        <v>0</v>
      </c>
      <c r="H167" s="18">
        <v>0</v>
      </c>
      <c r="I167" s="17">
        <v>0</v>
      </c>
      <c r="J167" s="17">
        <f t="shared" si="0"/>
        <v>4</v>
      </c>
      <c r="K167" s="17">
        <v>4</v>
      </c>
      <c r="L167" s="17">
        <v>0</v>
      </c>
      <c r="M167" s="17">
        <v>0</v>
      </c>
      <c r="N167" s="17">
        <f t="shared" si="1"/>
        <v>4</v>
      </c>
      <c r="O167" s="17">
        <f t="shared" si="2"/>
        <v>0</v>
      </c>
      <c r="P167" s="3"/>
      <c r="Q167" s="19">
        <f t="shared" si="3"/>
        <v>1600</v>
      </c>
      <c r="R167" s="19">
        <v>0</v>
      </c>
      <c r="S167" s="19">
        <f t="shared" si="4"/>
        <v>0</v>
      </c>
      <c r="T167" s="19">
        <f t="shared" si="5"/>
        <v>0</v>
      </c>
      <c r="U167" s="19">
        <f t="shared" si="6"/>
        <v>0</v>
      </c>
      <c r="V167" s="19">
        <f t="shared" si="7"/>
        <v>0</v>
      </c>
      <c r="W167" s="19">
        <f t="shared" si="8"/>
        <v>1600</v>
      </c>
      <c r="X167" s="20">
        <f t="shared" si="9"/>
        <v>1600</v>
      </c>
      <c r="Y167" s="20">
        <f t="shared" si="10"/>
        <v>0</v>
      </c>
    </row>
    <row r="168" spans="1:25" ht="15.75" customHeight="1">
      <c r="A168" s="14" t="s">
        <v>346</v>
      </c>
      <c r="B168" s="15" t="s">
        <v>347</v>
      </c>
      <c r="C168" s="16">
        <v>697.5</v>
      </c>
      <c r="D168" s="16">
        <v>697.5</v>
      </c>
      <c r="E168" s="17">
        <v>2</v>
      </c>
      <c r="F168" s="18">
        <v>0</v>
      </c>
      <c r="G168" s="18">
        <v>0</v>
      </c>
      <c r="H168" s="18">
        <v>0</v>
      </c>
      <c r="I168" s="17">
        <v>0</v>
      </c>
      <c r="J168" s="17">
        <f t="shared" si="0"/>
        <v>2</v>
      </c>
      <c r="K168" s="17">
        <v>2</v>
      </c>
      <c r="L168" s="17">
        <v>0</v>
      </c>
      <c r="M168" s="17">
        <v>0</v>
      </c>
      <c r="N168" s="17">
        <f t="shared" si="1"/>
        <v>2</v>
      </c>
      <c r="O168" s="17">
        <f t="shared" si="2"/>
        <v>0</v>
      </c>
      <c r="P168" s="3"/>
      <c r="Q168" s="19">
        <f t="shared" si="3"/>
        <v>1395</v>
      </c>
      <c r="R168" s="19">
        <v>0</v>
      </c>
      <c r="S168" s="19">
        <f t="shared" si="4"/>
        <v>0</v>
      </c>
      <c r="T168" s="19">
        <f t="shared" si="5"/>
        <v>0</v>
      </c>
      <c r="U168" s="19">
        <f t="shared" si="6"/>
        <v>0</v>
      </c>
      <c r="V168" s="19">
        <f t="shared" si="7"/>
        <v>0</v>
      </c>
      <c r="W168" s="19">
        <f t="shared" si="8"/>
        <v>1395</v>
      </c>
      <c r="X168" s="20">
        <f t="shared" si="9"/>
        <v>1395</v>
      </c>
      <c r="Y168" s="20">
        <f t="shared" si="10"/>
        <v>0</v>
      </c>
    </row>
    <row r="169" spans="1:25" ht="15.75" customHeight="1">
      <c r="A169" s="14" t="s">
        <v>348</v>
      </c>
      <c r="B169" s="15" t="s">
        <v>349</v>
      </c>
      <c r="C169" s="16">
        <v>0</v>
      </c>
      <c r="D169" s="16">
        <v>0</v>
      </c>
      <c r="E169" s="17">
        <v>0</v>
      </c>
      <c r="F169" s="18">
        <v>0</v>
      </c>
      <c r="G169" s="18">
        <v>0</v>
      </c>
      <c r="H169" s="18">
        <v>0</v>
      </c>
      <c r="I169" s="17">
        <v>0</v>
      </c>
      <c r="J169" s="17">
        <f t="shared" si="0"/>
        <v>0</v>
      </c>
      <c r="K169" s="17">
        <v>0</v>
      </c>
      <c r="L169" s="17">
        <v>0</v>
      </c>
      <c r="M169" s="17">
        <v>0</v>
      </c>
      <c r="N169" s="17">
        <f t="shared" si="1"/>
        <v>0</v>
      </c>
      <c r="O169" s="17">
        <f t="shared" si="2"/>
        <v>0</v>
      </c>
      <c r="P169" s="3"/>
      <c r="Q169" s="19">
        <f t="shared" si="3"/>
        <v>0</v>
      </c>
      <c r="R169" s="19">
        <v>0</v>
      </c>
      <c r="S169" s="19">
        <f t="shared" si="4"/>
        <v>0</v>
      </c>
      <c r="T169" s="19">
        <f t="shared" si="5"/>
        <v>0</v>
      </c>
      <c r="U169" s="19">
        <f t="shared" si="6"/>
        <v>0</v>
      </c>
      <c r="V169" s="19">
        <f t="shared" si="7"/>
        <v>0</v>
      </c>
      <c r="W169" s="19">
        <f t="shared" si="8"/>
        <v>0</v>
      </c>
      <c r="X169" s="20">
        <f t="shared" si="9"/>
        <v>0</v>
      </c>
      <c r="Y169" s="20">
        <f t="shared" si="10"/>
        <v>0</v>
      </c>
    </row>
    <row r="170" spans="1:25" ht="15.75" customHeight="1">
      <c r="A170" s="14" t="s">
        <v>350</v>
      </c>
      <c r="B170" s="15" t="s">
        <v>351</v>
      </c>
      <c r="C170" s="16">
        <v>380</v>
      </c>
      <c r="D170" s="16">
        <v>380</v>
      </c>
      <c r="E170" s="17">
        <v>1</v>
      </c>
      <c r="F170" s="18">
        <v>0</v>
      </c>
      <c r="G170" s="18">
        <v>0</v>
      </c>
      <c r="H170" s="18">
        <v>0</v>
      </c>
      <c r="I170" s="17">
        <v>0</v>
      </c>
      <c r="J170" s="17">
        <f t="shared" si="0"/>
        <v>1</v>
      </c>
      <c r="K170" s="17">
        <v>1</v>
      </c>
      <c r="L170" s="17">
        <v>0</v>
      </c>
      <c r="M170" s="17">
        <v>0</v>
      </c>
      <c r="N170" s="17">
        <f t="shared" si="1"/>
        <v>1</v>
      </c>
      <c r="O170" s="17">
        <f t="shared" si="2"/>
        <v>0</v>
      </c>
      <c r="P170" s="3"/>
      <c r="Q170" s="19">
        <f t="shared" si="3"/>
        <v>380</v>
      </c>
      <c r="R170" s="19">
        <v>0</v>
      </c>
      <c r="S170" s="19">
        <f t="shared" si="4"/>
        <v>0</v>
      </c>
      <c r="T170" s="19">
        <f t="shared" si="5"/>
        <v>0</v>
      </c>
      <c r="U170" s="19">
        <f t="shared" si="6"/>
        <v>0</v>
      </c>
      <c r="V170" s="19">
        <f t="shared" si="7"/>
        <v>0</v>
      </c>
      <c r="W170" s="19">
        <f t="shared" si="8"/>
        <v>380</v>
      </c>
      <c r="X170" s="20">
        <f t="shared" si="9"/>
        <v>380</v>
      </c>
      <c r="Y170" s="20">
        <f t="shared" si="10"/>
        <v>0</v>
      </c>
    </row>
    <row r="171" spans="1:25" ht="15.75" customHeight="1">
      <c r="A171" s="14" t="s">
        <v>352</v>
      </c>
      <c r="B171" s="15" t="s">
        <v>353</v>
      </c>
      <c r="C171" s="16">
        <v>670</v>
      </c>
      <c r="D171" s="16">
        <v>670</v>
      </c>
      <c r="E171" s="17">
        <v>1</v>
      </c>
      <c r="F171" s="18">
        <v>0</v>
      </c>
      <c r="G171" s="18">
        <v>0</v>
      </c>
      <c r="H171" s="18">
        <v>0</v>
      </c>
      <c r="I171" s="17">
        <v>0</v>
      </c>
      <c r="J171" s="17">
        <f t="shared" si="0"/>
        <v>1</v>
      </c>
      <c r="K171" s="17">
        <v>1</v>
      </c>
      <c r="L171" s="17">
        <v>0</v>
      </c>
      <c r="M171" s="17">
        <v>0</v>
      </c>
      <c r="N171" s="17">
        <f t="shared" si="1"/>
        <v>1</v>
      </c>
      <c r="O171" s="17">
        <f t="shared" si="2"/>
        <v>0</v>
      </c>
      <c r="P171" s="3"/>
      <c r="Q171" s="19">
        <f t="shared" si="3"/>
        <v>670</v>
      </c>
      <c r="R171" s="19">
        <v>0</v>
      </c>
      <c r="S171" s="19">
        <f t="shared" si="4"/>
        <v>0</v>
      </c>
      <c r="T171" s="19">
        <f t="shared" si="5"/>
        <v>0</v>
      </c>
      <c r="U171" s="19">
        <f t="shared" si="6"/>
        <v>0</v>
      </c>
      <c r="V171" s="19">
        <f t="shared" si="7"/>
        <v>0</v>
      </c>
      <c r="W171" s="19">
        <f t="shared" si="8"/>
        <v>670</v>
      </c>
      <c r="X171" s="20">
        <f t="shared" si="9"/>
        <v>670</v>
      </c>
      <c r="Y171" s="20">
        <f t="shared" si="10"/>
        <v>0</v>
      </c>
    </row>
    <row r="172" spans="1:25" ht="15.75" customHeight="1">
      <c r="A172" s="14" t="s">
        <v>354</v>
      </c>
      <c r="B172" s="15" t="s">
        <v>355</v>
      </c>
      <c r="C172" s="16">
        <v>990</v>
      </c>
      <c r="D172" s="16">
        <v>990</v>
      </c>
      <c r="E172" s="17">
        <v>0</v>
      </c>
      <c r="F172" s="18">
        <v>0</v>
      </c>
      <c r="G172" s="18">
        <v>0</v>
      </c>
      <c r="H172" s="18">
        <v>0</v>
      </c>
      <c r="I172" s="17">
        <v>0</v>
      </c>
      <c r="J172" s="17">
        <f t="shared" si="0"/>
        <v>0</v>
      </c>
      <c r="K172" s="17">
        <v>0</v>
      </c>
      <c r="L172" s="17">
        <v>0</v>
      </c>
      <c r="M172" s="17">
        <v>0</v>
      </c>
      <c r="N172" s="17">
        <f t="shared" si="1"/>
        <v>0</v>
      </c>
      <c r="O172" s="17">
        <f t="shared" si="2"/>
        <v>0</v>
      </c>
      <c r="P172" s="3"/>
      <c r="Q172" s="19">
        <f t="shared" si="3"/>
        <v>0</v>
      </c>
      <c r="R172" s="19">
        <v>0</v>
      </c>
      <c r="S172" s="19">
        <f t="shared" si="4"/>
        <v>0</v>
      </c>
      <c r="T172" s="19">
        <f t="shared" si="5"/>
        <v>0</v>
      </c>
      <c r="U172" s="19">
        <f t="shared" si="6"/>
        <v>0</v>
      </c>
      <c r="V172" s="19">
        <f t="shared" si="7"/>
        <v>0</v>
      </c>
      <c r="W172" s="19">
        <f t="shared" si="8"/>
        <v>0</v>
      </c>
      <c r="X172" s="20">
        <f t="shared" si="9"/>
        <v>0</v>
      </c>
      <c r="Y172" s="20">
        <f t="shared" si="10"/>
        <v>0</v>
      </c>
    </row>
    <row r="173" spans="1:25" ht="15.75" customHeight="1">
      <c r="A173" s="14" t="s">
        <v>356</v>
      </c>
      <c r="B173" s="15" t="s">
        <v>357</v>
      </c>
      <c r="C173" s="16">
        <v>400</v>
      </c>
      <c r="D173" s="16">
        <v>400</v>
      </c>
      <c r="E173" s="17">
        <v>0</v>
      </c>
      <c r="F173" s="18">
        <v>0</v>
      </c>
      <c r="G173" s="18">
        <v>0</v>
      </c>
      <c r="H173" s="18">
        <v>0</v>
      </c>
      <c r="I173" s="17">
        <v>0</v>
      </c>
      <c r="J173" s="17">
        <f t="shared" si="0"/>
        <v>0</v>
      </c>
      <c r="K173" s="17">
        <v>0</v>
      </c>
      <c r="L173" s="17">
        <v>0</v>
      </c>
      <c r="M173" s="17">
        <v>0</v>
      </c>
      <c r="N173" s="17">
        <f t="shared" si="1"/>
        <v>0</v>
      </c>
      <c r="O173" s="17">
        <f t="shared" si="2"/>
        <v>0</v>
      </c>
      <c r="P173" s="3"/>
      <c r="Q173" s="19">
        <f t="shared" si="3"/>
        <v>0</v>
      </c>
      <c r="R173" s="19">
        <v>0</v>
      </c>
      <c r="S173" s="19">
        <f t="shared" si="4"/>
        <v>0</v>
      </c>
      <c r="T173" s="19">
        <f t="shared" si="5"/>
        <v>0</v>
      </c>
      <c r="U173" s="19">
        <f t="shared" si="6"/>
        <v>0</v>
      </c>
      <c r="V173" s="19">
        <f t="shared" si="7"/>
        <v>0</v>
      </c>
      <c r="W173" s="19">
        <f t="shared" si="8"/>
        <v>0</v>
      </c>
      <c r="X173" s="20">
        <f t="shared" si="9"/>
        <v>0</v>
      </c>
      <c r="Y173" s="20">
        <f t="shared" si="10"/>
        <v>0</v>
      </c>
    </row>
    <row r="174" spans="1:25" ht="15.75" customHeight="1">
      <c r="A174" s="14" t="s">
        <v>358</v>
      </c>
      <c r="B174" s="15" t="s">
        <v>359</v>
      </c>
      <c r="C174" s="16">
        <v>0</v>
      </c>
      <c r="D174" s="16">
        <v>0</v>
      </c>
      <c r="E174" s="17">
        <v>0</v>
      </c>
      <c r="F174" s="18">
        <v>0</v>
      </c>
      <c r="G174" s="18">
        <v>0</v>
      </c>
      <c r="H174" s="18">
        <v>0</v>
      </c>
      <c r="I174" s="17">
        <v>0</v>
      </c>
      <c r="J174" s="17">
        <f t="shared" si="0"/>
        <v>0</v>
      </c>
      <c r="K174" s="17">
        <v>0</v>
      </c>
      <c r="L174" s="17">
        <v>0</v>
      </c>
      <c r="M174" s="17">
        <v>0</v>
      </c>
      <c r="N174" s="17">
        <f t="shared" si="1"/>
        <v>0</v>
      </c>
      <c r="O174" s="17">
        <f t="shared" si="2"/>
        <v>0</v>
      </c>
      <c r="P174" s="3"/>
      <c r="Q174" s="19">
        <f t="shared" si="3"/>
        <v>0</v>
      </c>
      <c r="R174" s="19">
        <v>0</v>
      </c>
      <c r="S174" s="19">
        <f t="shared" si="4"/>
        <v>0</v>
      </c>
      <c r="T174" s="19">
        <f t="shared" si="5"/>
        <v>0</v>
      </c>
      <c r="U174" s="19">
        <f t="shared" si="6"/>
        <v>0</v>
      </c>
      <c r="V174" s="19">
        <f t="shared" si="7"/>
        <v>0</v>
      </c>
      <c r="W174" s="19">
        <f t="shared" si="8"/>
        <v>0</v>
      </c>
      <c r="X174" s="20">
        <f t="shared" si="9"/>
        <v>0</v>
      </c>
      <c r="Y174" s="20">
        <f t="shared" si="10"/>
        <v>0</v>
      </c>
    </row>
    <row r="175" spans="1:25" ht="15.75" customHeight="1">
      <c r="A175" s="14" t="s">
        <v>360</v>
      </c>
      <c r="B175" s="15" t="s">
        <v>361</v>
      </c>
      <c r="C175" s="16">
        <v>10.35</v>
      </c>
      <c r="D175" s="16">
        <v>10.35</v>
      </c>
      <c r="E175" s="17">
        <v>1</v>
      </c>
      <c r="F175" s="18">
        <v>0</v>
      </c>
      <c r="G175" s="18">
        <v>0</v>
      </c>
      <c r="H175" s="18">
        <v>0</v>
      </c>
      <c r="I175" s="17">
        <v>0</v>
      </c>
      <c r="J175" s="17">
        <f t="shared" si="0"/>
        <v>1</v>
      </c>
      <c r="K175" s="17">
        <v>1</v>
      </c>
      <c r="L175" s="17">
        <v>0</v>
      </c>
      <c r="M175" s="17">
        <v>0</v>
      </c>
      <c r="N175" s="17">
        <f t="shared" si="1"/>
        <v>1</v>
      </c>
      <c r="O175" s="17">
        <f t="shared" si="2"/>
        <v>0</v>
      </c>
      <c r="P175" s="3"/>
      <c r="Q175" s="19">
        <f t="shared" si="3"/>
        <v>10.35</v>
      </c>
      <c r="R175" s="19">
        <v>0</v>
      </c>
      <c r="S175" s="19">
        <f t="shared" si="4"/>
        <v>0</v>
      </c>
      <c r="T175" s="19">
        <f t="shared" si="5"/>
        <v>0</v>
      </c>
      <c r="U175" s="19">
        <f t="shared" si="6"/>
        <v>0</v>
      </c>
      <c r="V175" s="19">
        <f t="shared" si="7"/>
        <v>0</v>
      </c>
      <c r="W175" s="19">
        <f t="shared" si="8"/>
        <v>10.35</v>
      </c>
      <c r="X175" s="20">
        <f t="shared" si="9"/>
        <v>10.35</v>
      </c>
      <c r="Y175" s="20">
        <f t="shared" si="10"/>
        <v>0</v>
      </c>
    </row>
    <row r="176" spans="1:25" ht="15.75" customHeight="1">
      <c r="A176" s="14" t="s">
        <v>362</v>
      </c>
      <c r="B176" s="15" t="s">
        <v>363</v>
      </c>
      <c r="C176" s="16">
        <v>34</v>
      </c>
      <c r="D176" s="16">
        <v>34</v>
      </c>
      <c r="E176" s="17">
        <v>0</v>
      </c>
      <c r="F176" s="18">
        <v>0</v>
      </c>
      <c r="G176" s="18">
        <v>0</v>
      </c>
      <c r="H176" s="18">
        <v>0</v>
      </c>
      <c r="I176" s="17">
        <v>0</v>
      </c>
      <c r="J176" s="17">
        <f t="shared" si="0"/>
        <v>0</v>
      </c>
      <c r="K176" s="17">
        <v>0</v>
      </c>
      <c r="L176" s="17">
        <v>0</v>
      </c>
      <c r="M176" s="17">
        <v>0</v>
      </c>
      <c r="N176" s="17">
        <f t="shared" si="1"/>
        <v>0</v>
      </c>
      <c r="O176" s="17">
        <f t="shared" si="2"/>
        <v>0</v>
      </c>
      <c r="P176" s="3"/>
      <c r="Q176" s="19">
        <f t="shared" si="3"/>
        <v>0</v>
      </c>
      <c r="R176" s="19">
        <v>0</v>
      </c>
      <c r="S176" s="19">
        <f t="shared" si="4"/>
        <v>0</v>
      </c>
      <c r="T176" s="19">
        <f t="shared" si="5"/>
        <v>0</v>
      </c>
      <c r="U176" s="19">
        <f t="shared" si="6"/>
        <v>0</v>
      </c>
      <c r="V176" s="19">
        <f t="shared" si="7"/>
        <v>0</v>
      </c>
      <c r="W176" s="19">
        <f t="shared" si="8"/>
        <v>0</v>
      </c>
      <c r="X176" s="20">
        <f t="shared" si="9"/>
        <v>0</v>
      </c>
      <c r="Y176" s="20">
        <f t="shared" si="10"/>
        <v>0</v>
      </c>
    </row>
    <row r="177" spans="1:25" ht="15.75" customHeight="1">
      <c r="A177" s="14" t="s">
        <v>364</v>
      </c>
      <c r="B177" s="15" t="s">
        <v>365</v>
      </c>
      <c r="C177" s="16">
        <v>12.11</v>
      </c>
      <c r="D177" s="16">
        <v>12.11</v>
      </c>
      <c r="E177" s="17">
        <v>0</v>
      </c>
      <c r="F177" s="18">
        <v>0</v>
      </c>
      <c r="G177" s="18">
        <v>0</v>
      </c>
      <c r="H177" s="18">
        <v>0</v>
      </c>
      <c r="I177" s="17">
        <v>0</v>
      </c>
      <c r="J177" s="17">
        <f t="shared" si="0"/>
        <v>0</v>
      </c>
      <c r="K177" s="17">
        <v>0</v>
      </c>
      <c r="L177" s="17">
        <v>0</v>
      </c>
      <c r="M177" s="17">
        <v>0</v>
      </c>
      <c r="N177" s="17">
        <f t="shared" si="1"/>
        <v>0</v>
      </c>
      <c r="O177" s="17">
        <f t="shared" si="2"/>
        <v>0</v>
      </c>
      <c r="P177" s="3"/>
      <c r="Q177" s="19">
        <f t="shared" si="3"/>
        <v>0</v>
      </c>
      <c r="R177" s="19">
        <v>0</v>
      </c>
      <c r="S177" s="19">
        <f t="shared" si="4"/>
        <v>0</v>
      </c>
      <c r="T177" s="19">
        <f t="shared" si="5"/>
        <v>0</v>
      </c>
      <c r="U177" s="19">
        <f t="shared" si="6"/>
        <v>0</v>
      </c>
      <c r="V177" s="19">
        <f t="shared" si="7"/>
        <v>0</v>
      </c>
      <c r="W177" s="19">
        <f t="shared" si="8"/>
        <v>0</v>
      </c>
      <c r="X177" s="20">
        <f t="shared" si="9"/>
        <v>0</v>
      </c>
      <c r="Y177" s="20">
        <f t="shared" si="10"/>
        <v>0</v>
      </c>
    </row>
    <row r="178" spans="1:25" ht="15.75" customHeight="1">
      <c r="A178" s="14" t="s">
        <v>366</v>
      </c>
      <c r="B178" s="15" t="s">
        <v>367</v>
      </c>
      <c r="C178" s="16">
        <v>75</v>
      </c>
      <c r="D178" s="16">
        <v>75</v>
      </c>
      <c r="E178" s="17">
        <v>10</v>
      </c>
      <c r="F178" s="18">
        <v>0</v>
      </c>
      <c r="G178" s="18">
        <v>0</v>
      </c>
      <c r="H178" s="18">
        <v>0</v>
      </c>
      <c r="I178" s="17">
        <v>0</v>
      </c>
      <c r="J178" s="17">
        <f t="shared" si="0"/>
        <v>10</v>
      </c>
      <c r="K178" s="17">
        <v>0</v>
      </c>
      <c r="L178" s="17">
        <v>0</v>
      </c>
      <c r="M178" s="17">
        <v>10</v>
      </c>
      <c r="N178" s="17">
        <f t="shared" si="1"/>
        <v>10</v>
      </c>
      <c r="O178" s="17">
        <f t="shared" si="2"/>
        <v>0</v>
      </c>
      <c r="P178" s="3"/>
      <c r="Q178" s="19">
        <f t="shared" si="3"/>
        <v>750</v>
      </c>
      <c r="R178" s="19">
        <v>0</v>
      </c>
      <c r="S178" s="19">
        <f t="shared" si="4"/>
        <v>0</v>
      </c>
      <c r="T178" s="19">
        <f t="shared" si="5"/>
        <v>0</v>
      </c>
      <c r="U178" s="19">
        <f t="shared" si="6"/>
        <v>0</v>
      </c>
      <c r="V178" s="19">
        <f t="shared" si="7"/>
        <v>0</v>
      </c>
      <c r="W178" s="19">
        <f t="shared" si="8"/>
        <v>750</v>
      </c>
      <c r="X178" s="20">
        <f t="shared" si="9"/>
        <v>750</v>
      </c>
      <c r="Y178" s="20">
        <f t="shared" si="10"/>
        <v>0</v>
      </c>
    </row>
    <row r="179" spans="1:25" ht="15.75" customHeight="1">
      <c r="A179" s="14" t="s">
        <v>368</v>
      </c>
      <c r="B179" s="15" t="s">
        <v>369</v>
      </c>
      <c r="C179" s="16">
        <v>110</v>
      </c>
      <c r="D179" s="16">
        <v>110</v>
      </c>
      <c r="E179" s="17">
        <v>10</v>
      </c>
      <c r="F179" s="18">
        <v>0</v>
      </c>
      <c r="G179" s="18">
        <v>0</v>
      </c>
      <c r="H179" s="18">
        <v>0</v>
      </c>
      <c r="I179" s="17">
        <v>0</v>
      </c>
      <c r="J179" s="17">
        <f t="shared" si="0"/>
        <v>10</v>
      </c>
      <c r="K179" s="17">
        <v>0</v>
      </c>
      <c r="L179" s="17">
        <v>0</v>
      </c>
      <c r="M179" s="17">
        <v>10</v>
      </c>
      <c r="N179" s="17">
        <f t="shared" si="1"/>
        <v>10</v>
      </c>
      <c r="O179" s="17">
        <f t="shared" si="2"/>
        <v>0</v>
      </c>
      <c r="P179" s="3"/>
      <c r="Q179" s="19">
        <f t="shared" si="3"/>
        <v>1100</v>
      </c>
      <c r="R179" s="19">
        <v>0</v>
      </c>
      <c r="S179" s="19">
        <f t="shared" si="4"/>
        <v>0</v>
      </c>
      <c r="T179" s="19">
        <f t="shared" si="5"/>
        <v>0</v>
      </c>
      <c r="U179" s="19">
        <f t="shared" si="6"/>
        <v>0</v>
      </c>
      <c r="V179" s="19">
        <f t="shared" si="7"/>
        <v>0</v>
      </c>
      <c r="W179" s="19">
        <f t="shared" si="8"/>
        <v>1100</v>
      </c>
      <c r="X179" s="20">
        <f t="shared" si="9"/>
        <v>1100</v>
      </c>
      <c r="Y179" s="20">
        <f t="shared" si="10"/>
        <v>0</v>
      </c>
    </row>
    <row r="180" spans="1:25" ht="15.75" customHeight="1">
      <c r="A180" s="14" t="s">
        <v>370</v>
      </c>
      <c r="B180" s="15" t="s">
        <v>371</v>
      </c>
      <c r="C180" s="16">
        <v>110</v>
      </c>
      <c r="D180" s="16">
        <v>110</v>
      </c>
      <c r="E180" s="17">
        <v>10</v>
      </c>
      <c r="F180" s="18">
        <v>0</v>
      </c>
      <c r="G180" s="18">
        <v>0</v>
      </c>
      <c r="H180" s="18">
        <v>0</v>
      </c>
      <c r="I180" s="17">
        <v>0</v>
      </c>
      <c r="J180" s="17">
        <f t="shared" si="0"/>
        <v>10</v>
      </c>
      <c r="K180" s="17">
        <v>0</v>
      </c>
      <c r="L180" s="17">
        <v>0</v>
      </c>
      <c r="M180" s="17">
        <v>10</v>
      </c>
      <c r="N180" s="17">
        <f t="shared" si="1"/>
        <v>10</v>
      </c>
      <c r="O180" s="17">
        <f t="shared" si="2"/>
        <v>0</v>
      </c>
      <c r="P180" s="3"/>
      <c r="Q180" s="19">
        <f t="shared" si="3"/>
        <v>1100</v>
      </c>
      <c r="R180" s="19">
        <v>0</v>
      </c>
      <c r="S180" s="19">
        <f t="shared" si="4"/>
        <v>0</v>
      </c>
      <c r="T180" s="19">
        <f t="shared" si="5"/>
        <v>0</v>
      </c>
      <c r="U180" s="19">
        <f t="shared" si="6"/>
        <v>0</v>
      </c>
      <c r="V180" s="19">
        <f t="shared" si="7"/>
        <v>0</v>
      </c>
      <c r="W180" s="19">
        <f t="shared" si="8"/>
        <v>1100</v>
      </c>
      <c r="X180" s="20">
        <f t="shared" si="9"/>
        <v>1100</v>
      </c>
      <c r="Y180" s="20">
        <f t="shared" si="10"/>
        <v>0</v>
      </c>
    </row>
    <row r="181" spans="1:25" ht="15.75" customHeight="1">
      <c r="A181" s="14" t="s">
        <v>372</v>
      </c>
      <c r="B181" s="15" t="s">
        <v>373</v>
      </c>
      <c r="C181" s="16">
        <v>272.31</v>
      </c>
      <c r="D181" s="16">
        <v>272.31</v>
      </c>
      <c r="E181" s="17">
        <v>0</v>
      </c>
      <c r="F181" s="18">
        <v>0</v>
      </c>
      <c r="G181" s="18">
        <v>0</v>
      </c>
      <c r="H181" s="18">
        <v>0</v>
      </c>
      <c r="I181" s="17">
        <v>0</v>
      </c>
      <c r="J181" s="17">
        <f t="shared" si="0"/>
        <v>0</v>
      </c>
      <c r="K181" s="17">
        <v>0</v>
      </c>
      <c r="L181" s="17">
        <v>0</v>
      </c>
      <c r="M181" s="17">
        <v>0</v>
      </c>
      <c r="N181" s="17">
        <f t="shared" si="1"/>
        <v>0</v>
      </c>
      <c r="O181" s="17">
        <f t="shared" si="2"/>
        <v>0</v>
      </c>
      <c r="P181" s="3"/>
      <c r="Q181" s="19">
        <f t="shared" si="3"/>
        <v>0</v>
      </c>
      <c r="R181" s="19">
        <v>0</v>
      </c>
      <c r="S181" s="19">
        <f t="shared" si="4"/>
        <v>0</v>
      </c>
      <c r="T181" s="19">
        <f t="shared" si="5"/>
        <v>0</v>
      </c>
      <c r="U181" s="19">
        <f t="shared" si="6"/>
        <v>0</v>
      </c>
      <c r="V181" s="19">
        <f t="shared" si="7"/>
        <v>0</v>
      </c>
      <c r="W181" s="19">
        <f t="shared" si="8"/>
        <v>0</v>
      </c>
      <c r="X181" s="20">
        <f t="shared" si="9"/>
        <v>0</v>
      </c>
      <c r="Y181" s="20">
        <f t="shared" si="10"/>
        <v>0</v>
      </c>
    </row>
    <row r="182" spans="1:25" ht="15.75" customHeight="1">
      <c r="A182" s="14" t="s">
        <v>374</v>
      </c>
      <c r="B182" s="15" t="s">
        <v>375</v>
      </c>
      <c r="C182" s="16">
        <v>0</v>
      </c>
      <c r="D182" s="16">
        <v>0</v>
      </c>
      <c r="E182" s="17">
        <v>0</v>
      </c>
      <c r="F182" s="18">
        <v>0</v>
      </c>
      <c r="G182" s="18">
        <v>0</v>
      </c>
      <c r="H182" s="18">
        <v>0</v>
      </c>
      <c r="I182" s="17">
        <v>0</v>
      </c>
      <c r="J182" s="17">
        <f t="shared" si="0"/>
        <v>0</v>
      </c>
      <c r="K182" s="17">
        <v>0</v>
      </c>
      <c r="L182" s="17">
        <v>0</v>
      </c>
      <c r="M182" s="17">
        <v>0</v>
      </c>
      <c r="N182" s="17">
        <f t="shared" si="1"/>
        <v>0</v>
      </c>
      <c r="O182" s="17">
        <f t="shared" si="2"/>
        <v>0</v>
      </c>
      <c r="P182" s="3"/>
      <c r="Q182" s="19">
        <f t="shared" si="3"/>
        <v>0</v>
      </c>
      <c r="R182" s="19">
        <v>0</v>
      </c>
      <c r="S182" s="19">
        <f t="shared" si="4"/>
        <v>0</v>
      </c>
      <c r="T182" s="19">
        <f t="shared" si="5"/>
        <v>0</v>
      </c>
      <c r="U182" s="19">
        <f t="shared" si="6"/>
        <v>0</v>
      </c>
      <c r="V182" s="19">
        <f t="shared" si="7"/>
        <v>0</v>
      </c>
      <c r="W182" s="19">
        <f t="shared" si="8"/>
        <v>0</v>
      </c>
      <c r="X182" s="20">
        <f t="shared" si="9"/>
        <v>0</v>
      </c>
      <c r="Y182" s="20">
        <f t="shared" si="10"/>
        <v>0</v>
      </c>
    </row>
    <row r="183" spans="1:25" ht="15.75" customHeight="1">
      <c r="A183" s="14" t="s">
        <v>376</v>
      </c>
      <c r="B183" s="15" t="s">
        <v>377</v>
      </c>
      <c r="C183" s="16">
        <v>4500</v>
      </c>
      <c r="D183" s="16">
        <v>4500</v>
      </c>
      <c r="E183" s="17">
        <v>1</v>
      </c>
      <c r="F183" s="18">
        <v>0</v>
      </c>
      <c r="G183" s="18">
        <v>0</v>
      </c>
      <c r="H183" s="18">
        <v>0</v>
      </c>
      <c r="I183" s="17">
        <v>0</v>
      </c>
      <c r="J183" s="17">
        <f t="shared" si="0"/>
        <v>1</v>
      </c>
      <c r="K183" s="17">
        <v>1</v>
      </c>
      <c r="L183" s="17">
        <v>0</v>
      </c>
      <c r="M183" s="17">
        <v>0</v>
      </c>
      <c r="N183" s="17">
        <f t="shared" si="1"/>
        <v>1</v>
      </c>
      <c r="O183" s="17">
        <f t="shared" si="2"/>
        <v>0</v>
      </c>
      <c r="P183" s="3"/>
      <c r="Q183" s="19">
        <f t="shared" si="3"/>
        <v>4500</v>
      </c>
      <c r="R183" s="19">
        <v>0</v>
      </c>
      <c r="S183" s="19">
        <f t="shared" si="4"/>
        <v>0</v>
      </c>
      <c r="T183" s="19">
        <f t="shared" si="5"/>
        <v>0</v>
      </c>
      <c r="U183" s="19">
        <f t="shared" si="6"/>
        <v>0</v>
      </c>
      <c r="V183" s="19">
        <f t="shared" si="7"/>
        <v>0</v>
      </c>
      <c r="W183" s="19">
        <f t="shared" si="8"/>
        <v>4500</v>
      </c>
      <c r="X183" s="20">
        <f t="shared" si="9"/>
        <v>4500</v>
      </c>
      <c r="Y183" s="20">
        <f t="shared" si="10"/>
        <v>0</v>
      </c>
    </row>
    <row r="184" spans="1:25" ht="15.75" customHeight="1">
      <c r="A184" s="14" t="s">
        <v>378</v>
      </c>
      <c r="B184" s="15" t="s">
        <v>379</v>
      </c>
      <c r="C184" s="16">
        <v>1860</v>
      </c>
      <c r="D184" s="16">
        <v>1860</v>
      </c>
      <c r="E184" s="17">
        <v>0</v>
      </c>
      <c r="F184" s="18">
        <v>0</v>
      </c>
      <c r="G184" s="18">
        <v>0</v>
      </c>
      <c r="H184" s="24">
        <v>0</v>
      </c>
      <c r="I184" s="17">
        <v>0</v>
      </c>
      <c r="J184" s="17">
        <f t="shared" si="0"/>
        <v>0</v>
      </c>
      <c r="K184" s="17">
        <v>0</v>
      </c>
      <c r="L184" s="17">
        <v>0</v>
      </c>
      <c r="M184" s="17">
        <v>0</v>
      </c>
      <c r="N184" s="17">
        <f t="shared" si="1"/>
        <v>0</v>
      </c>
      <c r="O184" s="17">
        <f t="shared" si="2"/>
        <v>0</v>
      </c>
      <c r="P184" s="3"/>
      <c r="Q184" s="19">
        <f t="shared" si="3"/>
        <v>0</v>
      </c>
      <c r="R184" s="19">
        <v>0</v>
      </c>
      <c r="S184" s="19">
        <f t="shared" si="4"/>
        <v>0</v>
      </c>
      <c r="T184" s="19">
        <f t="shared" si="5"/>
        <v>0</v>
      </c>
      <c r="U184" s="19">
        <f t="shared" si="6"/>
        <v>0</v>
      </c>
      <c r="V184" s="19">
        <f t="shared" si="7"/>
        <v>0</v>
      </c>
      <c r="W184" s="19">
        <f t="shared" si="8"/>
        <v>0</v>
      </c>
      <c r="X184" s="20">
        <f t="shared" si="9"/>
        <v>0</v>
      </c>
      <c r="Y184" s="20">
        <f t="shared" si="10"/>
        <v>0</v>
      </c>
    </row>
    <row r="185" spans="1:25" ht="15.75" customHeight="1">
      <c r="A185" s="14" t="s">
        <v>380</v>
      </c>
      <c r="B185" s="15" t="s">
        <v>381</v>
      </c>
      <c r="C185" s="16">
        <v>1780</v>
      </c>
      <c r="D185" s="16">
        <v>1780</v>
      </c>
      <c r="E185" s="17">
        <v>1</v>
      </c>
      <c r="F185" s="18">
        <v>0</v>
      </c>
      <c r="G185" s="18">
        <v>0</v>
      </c>
      <c r="H185" s="18">
        <v>0</v>
      </c>
      <c r="I185" s="17">
        <v>0</v>
      </c>
      <c r="J185" s="17">
        <f t="shared" si="0"/>
        <v>1</v>
      </c>
      <c r="K185" s="17">
        <v>1</v>
      </c>
      <c r="L185" s="17">
        <v>0</v>
      </c>
      <c r="M185" s="17">
        <v>0</v>
      </c>
      <c r="N185" s="17">
        <f t="shared" si="1"/>
        <v>1</v>
      </c>
      <c r="O185" s="17">
        <f t="shared" si="2"/>
        <v>0</v>
      </c>
      <c r="P185" s="3"/>
      <c r="Q185" s="19">
        <f t="shared" si="3"/>
        <v>1780</v>
      </c>
      <c r="R185" s="19">
        <v>0</v>
      </c>
      <c r="S185" s="19">
        <f t="shared" si="4"/>
        <v>0</v>
      </c>
      <c r="T185" s="19">
        <f t="shared" si="5"/>
        <v>0</v>
      </c>
      <c r="U185" s="19">
        <f t="shared" si="6"/>
        <v>0</v>
      </c>
      <c r="V185" s="19">
        <f t="shared" si="7"/>
        <v>0</v>
      </c>
      <c r="W185" s="19">
        <f t="shared" si="8"/>
        <v>1780</v>
      </c>
      <c r="X185" s="20">
        <f t="shared" si="9"/>
        <v>1780</v>
      </c>
      <c r="Y185" s="20">
        <f t="shared" si="10"/>
        <v>0</v>
      </c>
    </row>
    <row r="186" spans="1:25" ht="15.75" customHeight="1">
      <c r="A186" s="14" t="s">
        <v>382</v>
      </c>
      <c r="B186" s="15" t="s">
        <v>383</v>
      </c>
      <c r="C186" s="16">
        <v>530</v>
      </c>
      <c r="D186" s="16">
        <v>530</v>
      </c>
      <c r="E186" s="17">
        <v>4</v>
      </c>
      <c r="F186" s="18">
        <v>0</v>
      </c>
      <c r="G186" s="18">
        <v>0</v>
      </c>
      <c r="H186" s="18">
        <v>0</v>
      </c>
      <c r="I186" s="17">
        <v>0</v>
      </c>
      <c r="J186" s="17">
        <f t="shared" si="0"/>
        <v>4</v>
      </c>
      <c r="K186" s="17">
        <v>4</v>
      </c>
      <c r="L186" s="17">
        <v>0</v>
      </c>
      <c r="M186" s="17">
        <v>0</v>
      </c>
      <c r="N186" s="17">
        <f t="shared" si="1"/>
        <v>4</v>
      </c>
      <c r="O186" s="17">
        <f t="shared" si="2"/>
        <v>0</v>
      </c>
      <c r="P186" s="3"/>
      <c r="Q186" s="19">
        <f t="shared" si="3"/>
        <v>2120</v>
      </c>
      <c r="R186" s="19">
        <v>0</v>
      </c>
      <c r="S186" s="19">
        <f t="shared" si="4"/>
        <v>0</v>
      </c>
      <c r="T186" s="19">
        <f t="shared" si="5"/>
        <v>0</v>
      </c>
      <c r="U186" s="19">
        <f t="shared" si="6"/>
        <v>0</v>
      </c>
      <c r="V186" s="19">
        <f t="shared" si="7"/>
        <v>0</v>
      </c>
      <c r="W186" s="19">
        <f t="shared" si="8"/>
        <v>2120</v>
      </c>
      <c r="X186" s="20">
        <f t="shared" si="9"/>
        <v>2120</v>
      </c>
      <c r="Y186" s="20">
        <f t="shared" si="10"/>
        <v>0</v>
      </c>
    </row>
    <row r="187" spans="1:25" ht="15.75" customHeight="1">
      <c r="A187" s="14" t="s">
        <v>384</v>
      </c>
      <c r="B187" s="15" t="s">
        <v>385</v>
      </c>
      <c r="C187" s="16">
        <v>250</v>
      </c>
      <c r="D187" s="16">
        <v>250</v>
      </c>
      <c r="E187" s="17">
        <v>2</v>
      </c>
      <c r="F187" s="18">
        <v>0</v>
      </c>
      <c r="G187" s="18">
        <v>0</v>
      </c>
      <c r="H187" s="18">
        <v>0</v>
      </c>
      <c r="I187" s="17">
        <v>0</v>
      </c>
      <c r="J187" s="17">
        <f t="shared" si="0"/>
        <v>2</v>
      </c>
      <c r="K187" s="17">
        <v>2</v>
      </c>
      <c r="L187" s="17">
        <v>0</v>
      </c>
      <c r="M187" s="17">
        <v>0</v>
      </c>
      <c r="N187" s="17">
        <f t="shared" si="1"/>
        <v>2</v>
      </c>
      <c r="O187" s="17">
        <f t="shared" si="2"/>
        <v>0</v>
      </c>
      <c r="P187" s="3"/>
      <c r="Q187" s="19">
        <f t="shared" si="3"/>
        <v>500</v>
      </c>
      <c r="R187" s="19">
        <v>0</v>
      </c>
      <c r="S187" s="19">
        <f t="shared" si="4"/>
        <v>0</v>
      </c>
      <c r="T187" s="19">
        <f t="shared" si="5"/>
        <v>0</v>
      </c>
      <c r="U187" s="19">
        <f t="shared" si="6"/>
        <v>0</v>
      </c>
      <c r="V187" s="19">
        <f t="shared" si="7"/>
        <v>0</v>
      </c>
      <c r="W187" s="19">
        <f t="shared" si="8"/>
        <v>500</v>
      </c>
      <c r="X187" s="20">
        <f t="shared" si="9"/>
        <v>500</v>
      </c>
      <c r="Y187" s="20">
        <f t="shared" si="10"/>
        <v>0</v>
      </c>
    </row>
    <row r="188" spans="1:25" ht="15.75" customHeight="1">
      <c r="A188" s="14" t="s">
        <v>386</v>
      </c>
      <c r="B188" s="15" t="s">
        <v>387</v>
      </c>
      <c r="C188" s="16">
        <v>517.89</v>
      </c>
      <c r="D188" s="16">
        <v>517.89</v>
      </c>
      <c r="E188" s="17">
        <v>50</v>
      </c>
      <c r="F188" s="18">
        <v>0</v>
      </c>
      <c r="G188" s="18">
        <v>0</v>
      </c>
      <c r="H188" s="18">
        <v>0</v>
      </c>
      <c r="I188" s="17">
        <v>0</v>
      </c>
      <c r="J188" s="17">
        <f t="shared" si="0"/>
        <v>50</v>
      </c>
      <c r="K188" s="17">
        <v>50</v>
      </c>
      <c r="L188" s="17">
        <v>0</v>
      </c>
      <c r="M188" s="17">
        <v>0</v>
      </c>
      <c r="N188" s="17">
        <f t="shared" si="1"/>
        <v>50</v>
      </c>
      <c r="O188" s="17">
        <f t="shared" si="2"/>
        <v>0</v>
      </c>
      <c r="P188" s="3"/>
      <c r="Q188" s="19">
        <f t="shared" si="3"/>
        <v>25894.5</v>
      </c>
      <c r="R188" s="19">
        <v>0</v>
      </c>
      <c r="S188" s="19">
        <f t="shared" si="4"/>
        <v>0</v>
      </c>
      <c r="T188" s="19">
        <f t="shared" si="5"/>
        <v>0</v>
      </c>
      <c r="U188" s="19">
        <f t="shared" si="6"/>
        <v>0</v>
      </c>
      <c r="V188" s="19">
        <f t="shared" si="7"/>
        <v>0</v>
      </c>
      <c r="W188" s="19">
        <f t="shared" si="8"/>
        <v>25894.5</v>
      </c>
      <c r="X188" s="20">
        <f t="shared" si="9"/>
        <v>25894.5</v>
      </c>
      <c r="Y188" s="20">
        <f t="shared" si="10"/>
        <v>0</v>
      </c>
    </row>
    <row r="189" spans="1:25" ht="15.75" customHeight="1">
      <c r="A189" s="14" t="s">
        <v>388</v>
      </c>
      <c r="B189" s="15" t="s">
        <v>389</v>
      </c>
      <c r="C189" s="16">
        <v>70</v>
      </c>
      <c r="D189" s="16">
        <v>70</v>
      </c>
      <c r="E189" s="17">
        <v>4</v>
      </c>
      <c r="F189" s="18">
        <v>0</v>
      </c>
      <c r="G189" s="18">
        <v>0</v>
      </c>
      <c r="H189" s="18">
        <v>0</v>
      </c>
      <c r="I189" s="17">
        <v>0</v>
      </c>
      <c r="J189" s="17">
        <f t="shared" si="0"/>
        <v>4</v>
      </c>
      <c r="K189" s="17">
        <v>4</v>
      </c>
      <c r="L189" s="17">
        <v>0</v>
      </c>
      <c r="M189" s="17">
        <v>0</v>
      </c>
      <c r="N189" s="17">
        <f t="shared" si="1"/>
        <v>4</v>
      </c>
      <c r="O189" s="17">
        <f t="shared" si="2"/>
        <v>0</v>
      </c>
      <c r="P189" s="3"/>
      <c r="Q189" s="19">
        <f t="shared" si="3"/>
        <v>280</v>
      </c>
      <c r="R189" s="19">
        <v>0</v>
      </c>
      <c r="S189" s="19">
        <f t="shared" si="4"/>
        <v>0</v>
      </c>
      <c r="T189" s="19">
        <f t="shared" si="5"/>
        <v>0</v>
      </c>
      <c r="U189" s="19">
        <f t="shared" si="6"/>
        <v>0</v>
      </c>
      <c r="V189" s="19">
        <f t="shared" si="7"/>
        <v>0</v>
      </c>
      <c r="W189" s="19">
        <f t="shared" si="8"/>
        <v>280</v>
      </c>
      <c r="X189" s="20">
        <f t="shared" si="9"/>
        <v>280</v>
      </c>
      <c r="Y189" s="20">
        <f t="shared" si="10"/>
        <v>0</v>
      </c>
    </row>
    <row r="190" spans="1:25" ht="15.75" customHeight="1">
      <c r="A190" s="14" t="s">
        <v>390</v>
      </c>
      <c r="B190" s="15" t="s">
        <v>391</v>
      </c>
      <c r="C190" s="16">
        <v>0</v>
      </c>
      <c r="D190" s="16">
        <v>0</v>
      </c>
      <c r="E190" s="17">
        <v>0</v>
      </c>
      <c r="F190" s="18">
        <v>0</v>
      </c>
      <c r="G190" s="18">
        <v>0</v>
      </c>
      <c r="H190" s="18">
        <v>0</v>
      </c>
      <c r="I190" s="17">
        <v>0</v>
      </c>
      <c r="J190" s="17">
        <f t="shared" si="0"/>
        <v>0</v>
      </c>
      <c r="K190" s="17">
        <v>0</v>
      </c>
      <c r="L190" s="17">
        <v>0</v>
      </c>
      <c r="M190" s="17">
        <v>0</v>
      </c>
      <c r="N190" s="17">
        <f t="shared" si="1"/>
        <v>0</v>
      </c>
      <c r="O190" s="17">
        <f t="shared" si="2"/>
        <v>0</v>
      </c>
      <c r="P190" s="3"/>
      <c r="Q190" s="19">
        <f t="shared" si="3"/>
        <v>0</v>
      </c>
      <c r="R190" s="19">
        <v>0</v>
      </c>
      <c r="S190" s="19">
        <f t="shared" si="4"/>
        <v>0</v>
      </c>
      <c r="T190" s="19">
        <f t="shared" si="5"/>
        <v>0</v>
      </c>
      <c r="U190" s="19">
        <f t="shared" si="6"/>
        <v>0</v>
      </c>
      <c r="V190" s="19">
        <f t="shared" si="7"/>
        <v>0</v>
      </c>
      <c r="W190" s="19">
        <f t="shared" si="8"/>
        <v>0</v>
      </c>
      <c r="X190" s="20">
        <f t="shared" si="9"/>
        <v>0</v>
      </c>
      <c r="Y190" s="20">
        <f t="shared" si="10"/>
        <v>0</v>
      </c>
    </row>
    <row r="191" spans="1:25" ht="15.75" customHeight="1">
      <c r="A191" s="14" t="s">
        <v>392</v>
      </c>
      <c r="B191" s="15" t="s">
        <v>393</v>
      </c>
      <c r="C191" s="16">
        <v>690</v>
      </c>
      <c r="D191" s="16">
        <v>690</v>
      </c>
      <c r="E191" s="17">
        <v>1</v>
      </c>
      <c r="F191" s="18">
        <v>0</v>
      </c>
      <c r="G191" s="18">
        <v>0</v>
      </c>
      <c r="H191" s="18">
        <v>0</v>
      </c>
      <c r="I191" s="17">
        <v>0</v>
      </c>
      <c r="J191" s="17">
        <f t="shared" si="0"/>
        <v>1</v>
      </c>
      <c r="K191" s="17">
        <v>1</v>
      </c>
      <c r="L191" s="17">
        <v>0</v>
      </c>
      <c r="M191" s="17">
        <v>0</v>
      </c>
      <c r="N191" s="17">
        <f t="shared" si="1"/>
        <v>1</v>
      </c>
      <c r="O191" s="17">
        <f t="shared" si="2"/>
        <v>0</v>
      </c>
      <c r="P191" s="3"/>
      <c r="Q191" s="19">
        <f t="shared" si="3"/>
        <v>690</v>
      </c>
      <c r="R191" s="19">
        <v>0</v>
      </c>
      <c r="S191" s="19">
        <f t="shared" si="4"/>
        <v>0</v>
      </c>
      <c r="T191" s="19">
        <f t="shared" si="5"/>
        <v>0</v>
      </c>
      <c r="U191" s="19">
        <f t="shared" si="6"/>
        <v>0</v>
      </c>
      <c r="V191" s="19">
        <f t="shared" si="7"/>
        <v>0</v>
      </c>
      <c r="W191" s="19">
        <f t="shared" si="8"/>
        <v>690</v>
      </c>
      <c r="X191" s="20">
        <f t="shared" si="9"/>
        <v>690</v>
      </c>
      <c r="Y191" s="20">
        <f t="shared" si="10"/>
        <v>0</v>
      </c>
    </row>
    <row r="192" spans="1:25" ht="15.75" customHeight="1">
      <c r="A192" s="14" t="s">
        <v>394</v>
      </c>
      <c r="B192" s="15" t="s">
        <v>395</v>
      </c>
      <c r="C192" s="16">
        <v>0</v>
      </c>
      <c r="D192" s="16">
        <v>0</v>
      </c>
      <c r="E192" s="17">
        <v>0</v>
      </c>
      <c r="F192" s="18">
        <v>0</v>
      </c>
      <c r="G192" s="18">
        <v>0</v>
      </c>
      <c r="H192" s="18">
        <v>0</v>
      </c>
      <c r="I192" s="17">
        <v>0</v>
      </c>
      <c r="J192" s="17">
        <f t="shared" si="0"/>
        <v>0</v>
      </c>
      <c r="K192" s="17">
        <v>0</v>
      </c>
      <c r="L192" s="17">
        <v>0</v>
      </c>
      <c r="M192" s="17">
        <v>0</v>
      </c>
      <c r="N192" s="17">
        <f t="shared" si="1"/>
        <v>0</v>
      </c>
      <c r="O192" s="17">
        <f t="shared" si="2"/>
        <v>0</v>
      </c>
      <c r="P192" s="3"/>
      <c r="Q192" s="19">
        <f t="shared" si="3"/>
        <v>0</v>
      </c>
      <c r="R192" s="19">
        <v>0</v>
      </c>
      <c r="S192" s="19">
        <f t="shared" si="4"/>
        <v>0</v>
      </c>
      <c r="T192" s="19">
        <f t="shared" si="5"/>
        <v>0</v>
      </c>
      <c r="U192" s="19">
        <f t="shared" si="6"/>
        <v>0</v>
      </c>
      <c r="V192" s="19">
        <f t="shared" si="7"/>
        <v>0</v>
      </c>
      <c r="W192" s="19">
        <f t="shared" si="8"/>
        <v>0</v>
      </c>
      <c r="X192" s="20">
        <f t="shared" si="9"/>
        <v>0</v>
      </c>
      <c r="Y192" s="20">
        <f t="shared" si="10"/>
        <v>0</v>
      </c>
    </row>
    <row r="193" spans="1:25" ht="15.75" customHeight="1">
      <c r="A193" s="14" t="s">
        <v>396</v>
      </c>
      <c r="B193" s="15" t="s">
        <v>397</v>
      </c>
      <c r="C193" s="16">
        <v>60</v>
      </c>
      <c r="D193" s="16">
        <v>60</v>
      </c>
      <c r="E193" s="17">
        <v>9</v>
      </c>
      <c r="F193" s="18">
        <v>0</v>
      </c>
      <c r="G193" s="18">
        <v>0</v>
      </c>
      <c r="H193" s="18">
        <v>0</v>
      </c>
      <c r="I193" s="17">
        <v>0</v>
      </c>
      <c r="J193" s="17">
        <f t="shared" si="0"/>
        <v>9</v>
      </c>
      <c r="K193" s="17">
        <v>9</v>
      </c>
      <c r="L193" s="17">
        <v>0</v>
      </c>
      <c r="M193" s="17">
        <v>0</v>
      </c>
      <c r="N193" s="17">
        <f t="shared" si="1"/>
        <v>9</v>
      </c>
      <c r="O193" s="17">
        <f t="shared" si="2"/>
        <v>0</v>
      </c>
      <c r="P193" s="3"/>
      <c r="Q193" s="19">
        <f t="shared" si="3"/>
        <v>540</v>
      </c>
      <c r="R193" s="19">
        <v>0</v>
      </c>
      <c r="S193" s="19">
        <f t="shared" si="4"/>
        <v>0</v>
      </c>
      <c r="T193" s="19">
        <f t="shared" si="5"/>
        <v>0</v>
      </c>
      <c r="U193" s="19">
        <f t="shared" si="6"/>
        <v>0</v>
      </c>
      <c r="V193" s="19">
        <f t="shared" si="7"/>
        <v>0</v>
      </c>
      <c r="W193" s="19">
        <f t="shared" si="8"/>
        <v>540</v>
      </c>
      <c r="X193" s="20">
        <f t="shared" si="9"/>
        <v>540</v>
      </c>
      <c r="Y193" s="20">
        <f t="shared" si="10"/>
        <v>0</v>
      </c>
    </row>
    <row r="194" spans="1:25" ht="15.75" customHeight="1">
      <c r="A194" s="14" t="s">
        <v>398</v>
      </c>
      <c r="B194" s="15" t="s">
        <v>399</v>
      </c>
      <c r="C194" s="16">
        <v>620</v>
      </c>
      <c r="D194" s="16">
        <v>620</v>
      </c>
      <c r="E194" s="17">
        <v>0</v>
      </c>
      <c r="F194" s="18">
        <v>0</v>
      </c>
      <c r="G194" s="18">
        <v>0</v>
      </c>
      <c r="H194" s="18">
        <v>0</v>
      </c>
      <c r="I194" s="17">
        <v>0</v>
      </c>
      <c r="J194" s="17">
        <f t="shared" si="0"/>
        <v>0</v>
      </c>
      <c r="K194" s="17">
        <v>0</v>
      </c>
      <c r="L194" s="17">
        <v>0</v>
      </c>
      <c r="M194" s="17">
        <v>0</v>
      </c>
      <c r="N194" s="17">
        <f t="shared" si="1"/>
        <v>0</v>
      </c>
      <c r="O194" s="17">
        <f t="shared" si="2"/>
        <v>0</v>
      </c>
      <c r="P194" s="3"/>
      <c r="Q194" s="19">
        <f t="shared" si="3"/>
        <v>0</v>
      </c>
      <c r="R194" s="19">
        <v>0</v>
      </c>
      <c r="S194" s="19">
        <f t="shared" si="4"/>
        <v>0</v>
      </c>
      <c r="T194" s="19">
        <f t="shared" si="5"/>
        <v>0</v>
      </c>
      <c r="U194" s="19">
        <f t="shared" si="6"/>
        <v>0</v>
      </c>
      <c r="V194" s="19">
        <f t="shared" si="7"/>
        <v>0</v>
      </c>
      <c r="W194" s="19">
        <f t="shared" si="8"/>
        <v>0</v>
      </c>
      <c r="X194" s="20">
        <f t="shared" si="9"/>
        <v>0</v>
      </c>
      <c r="Y194" s="20">
        <f t="shared" si="10"/>
        <v>0</v>
      </c>
    </row>
    <row r="195" spans="1:25" ht="15.75" customHeight="1">
      <c r="A195" s="14" t="s">
        <v>400</v>
      </c>
      <c r="B195" s="15" t="s">
        <v>401</v>
      </c>
      <c r="C195" s="16">
        <v>390</v>
      </c>
      <c r="D195" s="16">
        <v>390</v>
      </c>
      <c r="E195" s="17">
        <v>3</v>
      </c>
      <c r="F195" s="18">
        <v>0</v>
      </c>
      <c r="G195" s="18">
        <v>0</v>
      </c>
      <c r="H195" s="18">
        <v>0</v>
      </c>
      <c r="I195" s="17">
        <v>0</v>
      </c>
      <c r="J195" s="17">
        <f t="shared" si="0"/>
        <v>3</v>
      </c>
      <c r="K195" s="17">
        <v>3</v>
      </c>
      <c r="L195" s="17">
        <v>0</v>
      </c>
      <c r="M195" s="17">
        <v>0</v>
      </c>
      <c r="N195" s="17">
        <f t="shared" si="1"/>
        <v>3</v>
      </c>
      <c r="O195" s="17">
        <f t="shared" si="2"/>
        <v>0</v>
      </c>
      <c r="P195" s="3"/>
      <c r="Q195" s="19">
        <f t="shared" si="3"/>
        <v>1170</v>
      </c>
      <c r="R195" s="19">
        <v>0</v>
      </c>
      <c r="S195" s="19">
        <f t="shared" si="4"/>
        <v>0</v>
      </c>
      <c r="T195" s="19">
        <f t="shared" si="5"/>
        <v>0</v>
      </c>
      <c r="U195" s="19">
        <f t="shared" si="6"/>
        <v>0</v>
      </c>
      <c r="V195" s="19">
        <f t="shared" si="7"/>
        <v>0</v>
      </c>
      <c r="W195" s="19">
        <f t="shared" si="8"/>
        <v>1170</v>
      </c>
      <c r="X195" s="20">
        <f t="shared" si="9"/>
        <v>1170</v>
      </c>
      <c r="Y195" s="20">
        <f t="shared" si="10"/>
        <v>0</v>
      </c>
    </row>
    <row r="196" spans="1:25" ht="15.75" customHeight="1">
      <c r="A196" s="14" t="s">
        <v>402</v>
      </c>
      <c r="B196" s="15" t="s">
        <v>403</v>
      </c>
      <c r="C196" s="16">
        <v>320</v>
      </c>
      <c r="D196" s="16">
        <v>320</v>
      </c>
      <c r="E196" s="17">
        <v>0</v>
      </c>
      <c r="F196" s="18">
        <v>0</v>
      </c>
      <c r="G196" s="18">
        <v>0</v>
      </c>
      <c r="H196" s="18">
        <v>0</v>
      </c>
      <c r="I196" s="17">
        <v>0</v>
      </c>
      <c r="J196" s="17">
        <f t="shared" si="0"/>
        <v>0</v>
      </c>
      <c r="K196" s="17">
        <v>0</v>
      </c>
      <c r="L196" s="17">
        <v>0</v>
      </c>
      <c r="M196" s="17">
        <v>0</v>
      </c>
      <c r="N196" s="17">
        <f t="shared" si="1"/>
        <v>0</v>
      </c>
      <c r="O196" s="17">
        <f t="shared" si="2"/>
        <v>0</v>
      </c>
      <c r="P196" s="3"/>
      <c r="Q196" s="19">
        <f t="shared" si="3"/>
        <v>0</v>
      </c>
      <c r="R196" s="19">
        <v>0</v>
      </c>
      <c r="S196" s="19">
        <f t="shared" si="4"/>
        <v>0</v>
      </c>
      <c r="T196" s="19">
        <f t="shared" si="5"/>
        <v>0</v>
      </c>
      <c r="U196" s="19">
        <f t="shared" si="6"/>
        <v>0</v>
      </c>
      <c r="V196" s="19">
        <f t="shared" si="7"/>
        <v>0</v>
      </c>
      <c r="W196" s="19">
        <f t="shared" si="8"/>
        <v>0</v>
      </c>
      <c r="X196" s="20">
        <f t="shared" si="9"/>
        <v>0</v>
      </c>
      <c r="Y196" s="20">
        <f t="shared" si="10"/>
        <v>0</v>
      </c>
    </row>
    <row r="197" spans="1:25" ht="15.75" customHeight="1">
      <c r="A197" s="14" t="s">
        <v>404</v>
      </c>
      <c r="B197" s="15" t="s">
        <v>405</v>
      </c>
      <c r="C197" s="16">
        <v>80</v>
      </c>
      <c r="D197" s="16">
        <v>80</v>
      </c>
      <c r="E197" s="17">
        <v>1</v>
      </c>
      <c r="F197" s="18">
        <v>0</v>
      </c>
      <c r="G197" s="18">
        <v>0</v>
      </c>
      <c r="H197" s="18">
        <v>0</v>
      </c>
      <c r="I197" s="17">
        <v>0</v>
      </c>
      <c r="J197" s="17">
        <f t="shared" si="0"/>
        <v>1</v>
      </c>
      <c r="K197" s="17">
        <v>1</v>
      </c>
      <c r="L197" s="17">
        <v>0</v>
      </c>
      <c r="M197" s="17">
        <v>0</v>
      </c>
      <c r="N197" s="17">
        <f t="shared" si="1"/>
        <v>1</v>
      </c>
      <c r="O197" s="17">
        <f t="shared" si="2"/>
        <v>0</v>
      </c>
      <c r="P197" s="3"/>
      <c r="Q197" s="19">
        <f t="shared" si="3"/>
        <v>80</v>
      </c>
      <c r="R197" s="19">
        <v>0</v>
      </c>
      <c r="S197" s="19">
        <f t="shared" si="4"/>
        <v>0</v>
      </c>
      <c r="T197" s="19">
        <f t="shared" si="5"/>
        <v>0</v>
      </c>
      <c r="U197" s="19">
        <f t="shared" si="6"/>
        <v>0</v>
      </c>
      <c r="V197" s="19">
        <f t="shared" si="7"/>
        <v>0</v>
      </c>
      <c r="W197" s="19">
        <f t="shared" si="8"/>
        <v>80</v>
      </c>
      <c r="X197" s="20">
        <f t="shared" si="9"/>
        <v>80</v>
      </c>
      <c r="Y197" s="20">
        <f t="shared" si="10"/>
        <v>0</v>
      </c>
    </row>
    <row r="198" spans="1:25" ht="15.75" customHeight="1">
      <c r="A198" s="14" t="s">
        <v>406</v>
      </c>
      <c r="B198" s="15" t="s">
        <v>407</v>
      </c>
      <c r="C198" s="16">
        <v>251.92</v>
      </c>
      <c r="D198" s="16">
        <v>251.92</v>
      </c>
      <c r="E198" s="17">
        <v>2</v>
      </c>
      <c r="F198" s="18">
        <v>0</v>
      </c>
      <c r="G198" s="18">
        <v>0</v>
      </c>
      <c r="H198" s="18">
        <v>0</v>
      </c>
      <c r="I198" s="17">
        <v>0</v>
      </c>
      <c r="J198" s="17">
        <f t="shared" si="0"/>
        <v>2</v>
      </c>
      <c r="K198" s="17">
        <v>2</v>
      </c>
      <c r="L198" s="17">
        <v>0</v>
      </c>
      <c r="M198" s="17">
        <v>0</v>
      </c>
      <c r="N198" s="17">
        <f t="shared" si="1"/>
        <v>2</v>
      </c>
      <c r="O198" s="17">
        <f t="shared" si="2"/>
        <v>0</v>
      </c>
      <c r="P198" s="3"/>
      <c r="Q198" s="19">
        <f t="shared" si="3"/>
        <v>503.84</v>
      </c>
      <c r="R198" s="19">
        <v>0</v>
      </c>
      <c r="S198" s="19">
        <f t="shared" si="4"/>
        <v>0</v>
      </c>
      <c r="T198" s="19">
        <f t="shared" si="5"/>
        <v>0</v>
      </c>
      <c r="U198" s="19">
        <f t="shared" si="6"/>
        <v>0</v>
      </c>
      <c r="V198" s="19">
        <f t="shared" si="7"/>
        <v>0</v>
      </c>
      <c r="W198" s="19">
        <f t="shared" si="8"/>
        <v>503.84</v>
      </c>
      <c r="X198" s="20">
        <f t="shared" si="9"/>
        <v>503.84</v>
      </c>
      <c r="Y198" s="20">
        <f t="shared" si="10"/>
        <v>0</v>
      </c>
    </row>
    <row r="199" spans="1:25" ht="15.75" customHeight="1">
      <c r="A199" s="14" t="s">
        <v>408</v>
      </c>
      <c r="B199" s="15" t="s">
        <v>409</v>
      </c>
      <c r="C199" s="16">
        <v>3400</v>
      </c>
      <c r="D199" s="16">
        <v>3400</v>
      </c>
      <c r="E199" s="17">
        <v>1</v>
      </c>
      <c r="F199" s="18">
        <v>0</v>
      </c>
      <c r="G199" s="18">
        <v>0</v>
      </c>
      <c r="H199" s="18">
        <v>0</v>
      </c>
      <c r="I199" s="17">
        <v>0</v>
      </c>
      <c r="J199" s="17">
        <f t="shared" si="0"/>
        <v>1</v>
      </c>
      <c r="K199" s="17">
        <v>1</v>
      </c>
      <c r="L199" s="17">
        <v>0</v>
      </c>
      <c r="M199" s="17">
        <v>0</v>
      </c>
      <c r="N199" s="17">
        <f t="shared" si="1"/>
        <v>1</v>
      </c>
      <c r="O199" s="17">
        <f t="shared" si="2"/>
        <v>0</v>
      </c>
      <c r="P199" s="3"/>
      <c r="Q199" s="19">
        <f t="shared" si="3"/>
        <v>3400</v>
      </c>
      <c r="R199" s="19">
        <v>0</v>
      </c>
      <c r="S199" s="19">
        <f t="shared" si="4"/>
        <v>0</v>
      </c>
      <c r="T199" s="19">
        <f t="shared" si="5"/>
        <v>0</v>
      </c>
      <c r="U199" s="19">
        <f t="shared" si="6"/>
        <v>0</v>
      </c>
      <c r="V199" s="19">
        <f t="shared" si="7"/>
        <v>0</v>
      </c>
      <c r="W199" s="19">
        <f t="shared" si="8"/>
        <v>3400</v>
      </c>
      <c r="X199" s="20">
        <f t="shared" si="9"/>
        <v>3400</v>
      </c>
      <c r="Y199" s="20">
        <f t="shared" si="10"/>
        <v>0</v>
      </c>
    </row>
    <row r="200" spans="1:25" ht="15.75" customHeight="1">
      <c r="A200" s="14" t="s">
        <v>410</v>
      </c>
      <c r="B200" s="15" t="s">
        <v>411</v>
      </c>
      <c r="C200" s="16">
        <v>6665.36</v>
      </c>
      <c r="D200" s="16">
        <v>6665.36</v>
      </c>
      <c r="E200" s="17">
        <v>0</v>
      </c>
      <c r="F200" s="18">
        <v>0</v>
      </c>
      <c r="G200" s="18">
        <v>0</v>
      </c>
      <c r="H200" s="18">
        <v>0</v>
      </c>
      <c r="I200" s="17">
        <v>0</v>
      </c>
      <c r="J200" s="17">
        <f t="shared" si="0"/>
        <v>0</v>
      </c>
      <c r="K200" s="17">
        <v>0</v>
      </c>
      <c r="L200" s="17">
        <v>0</v>
      </c>
      <c r="M200" s="17">
        <v>0</v>
      </c>
      <c r="N200" s="17">
        <f t="shared" si="1"/>
        <v>0</v>
      </c>
      <c r="O200" s="17">
        <f t="shared" si="2"/>
        <v>0</v>
      </c>
      <c r="P200" s="3"/>
      <c r="Q200" s="19">
        <f t="shared" si="3"/>
        <v>0</v>
      </c>
      <c r="R200" s="19">
        <v>0</v>
      </c>
      <c r="S200" s="19">
        <f t="shared" si="4"/>
        <v>0</v>
      </c>
      <c r="T200" s="19">
        <f t="shared" si="5"/>
        <v>0</v>
      </c>
      <c r="U200" s="19">
        <f t="shared" si="6"/>
        <v>0</v>
      </c>
      <c r="V200" s="19">
        <f t="shared" si="7"/>
        <v>0</v>
      </c>
      <c r="W200" s="19">
        <f t="shared" si="8"/>
        <v>0</v>
      </c>
      <c r="X200" s="20">
        <f t="shared" si="9"/>
        <v>0</v>
      </c>
      <c r="Y200" s="20">
        <f t="shared" si="10"/>
        <v>0</v>
      </c>
    </row>
    <row r="201" spans="1:25" ht="15.75" customHeight="1">
      <c r="A201" s="14" t="s">
        <v>412</v>
      </c>
      <c r="B201" s="15" t="s">
        <v>413</v>
      </c>
      <c r="C201" s="16">
        <v>0</v>
      </c>
      <c r="D201" s="16">
        <v>0</v>
      </c>
      <c r="E201" s="17">
        <v>0</v>
      </c>
      <c r="F201" s="18">
        <v>0</v>
      </c>
      <c r="G201" s="18">
        <v>0</v>
      </c>
      <c r="H201" s="18">
        <v>0</v>
      </c>
      <c r="I201" s="17">
        <v>0</v>
      </c>
      <c r="J201" s="17">
        <f t="shared" si="0"/>
        <v>0</v>
      </c>
      <c r="K201" s="17">
        <v>0</v>
      </c>
      <c r="L201" s="17">
        <v>0</v>
      </c>
      <c r="M201" s="17">
        <v>0</v>
      </c>
      <c r="N201" s="17">
        <f t="shared" si="1"/>
        <v>0</v>
      </c>
      <c r="O201" s="17">
        <f t="shared" si="2"/>
        <v>0</v>
      </c>
      <c r="P201" s="3"/>
      <c r="Q201" s="19">
        <f t="shared" si="3"/>
        <v>0</v>
      </c>
      <c r="R201" s="19">
        <v>0</v>
      </c>
      <c r="S201" s="19">
        <f t="shared" si="4"/>
        <v>0</v>
      </c>
      <c r="T201" s="19">
        <f t="shared" si="5"/>
        <v>0</v>
      </c>
      <c r="U201" s="19">
        <f t="shared" si="6"/>
        <v>0</v>
      </c>
      <c r="V201" s="19">
        <f t="shared" si="7"/>
        <v>0</v>
      </c>
      <c r="W201" s="19">
        <f t="shared" si="8"/>
        <v>0</v>
      </c>
      <c r="X201" s="20">
        <f t="shared" si="9"/>
        <v>0</v>
      </c>
      <c r="Y201" s="20">
        <f t="shared" si="10"/>
        <v>0</v>
      </c>
    </row>
    <row r="202" spans="1:25" ht="15.75" customHeight="1">
      <c r="A202" s="14" t="s">
        <v>414</v>
      </c>
      <c r="B202" s="15" t="s">
        <v>415</v>
      </c>
      <c r="C202" s="16">
        <v>68</v>
      </c>
      <c r="D202" s="16">
        <v>68</v>
      </c>
      <c r="E202" s="17">
        <v>50</v>
      </c>
      <c r="F202" s="18">
        <v>0</v>
      </c>
      <c r="G202" s="18">
        <v>0</v>
      </c>
      <c r="H202" s="18">
        <v>0</v>
      </c>
      <c r="I202" s="17">
        <v>0</v>
      </c>
      <c r="J202" s="17">
        <f t="shared" si="0"/>
        <v>50</v>
      </c>
      <c r="K202" s="17">
        <v>50</v>
      </c>
      <c r="L202" s="17">
        <v>0</v>
      </c>
      <c r="M202" s="17">
        <v>0</v>
      </c>
      <c r="N202" s="17">
        <f t="shared" si="1"/>
        <v>50</v>
      </c>
      <c r="O202" s="17">
        <f t="shared" si="2"/>
        <v>0</v>
      </c>
      <c r="P202" s="3"/>
      <c r="Q202" s="19">
        <f t="shared" si="3"/>
        <v>3400</v>
      </c>
      <c r="R202" s="19">
        <v>0</v>
      </c>
      <c r="S202" s="19">
        <f t="shared" si="4"/>
        <v>0</v>
      </c>
      <c r="T202" s="19">
        <f t="shared" si="5"/>
        <v>0</v>
      </c>
      <c r="U202" s="19">
        <f t="shared" si="6"/>
        <v>0</v>
      </c>
      <c r="V202" s="19">
        <f t="shared" si="7"/>
        <v>0</v>
      </c>
      <c r="W202" s="19">
        <f t="shared" si="8"/>
        <v>3400</v>
      </c>
      <c r="X202" s="20">
        <f t="shared" si="9"/>
        <v>3400</v>
      </c>
      <c r="Y202" s="20">
        <f t="shared" si="10"/>
        <v>0</v>
      </c>
    </row>
    <row r="203" spans="1:25" ht="15.75" customHeight="1">
      <c r="A203" s="14" t="s">
        <v>416</v>
      </c>
      <c r="B203" s="15" t="s">
        <v>417</v>
      </c>
      <c r="C203" s="16">
        <v>60</v>
      </c>
      <c r="D203" s="16">
        <v>60</v>
      </c>
      <c r="E203" s="17">
        <v>25</v>
      </c>
      <c r="F203" s="18">
        <v>0</v>
      </c>
      <c r="G203" s="18">
        <v>0</v>
      </c>
      <c r="H203" s="18">
        <v>0</v>
      </c>
      <c r="I203" s="17">
        <v>0</v>
      </c>
      <c r="J203" s="17">
        <f t="shared" si="0"/>
        <v>25</v>
      </c>
      <c r="K203" s="17">
        <v>25</v>
      </c>
      <c r="L203" s="17">
        <v>0</v>
      </c>
      <c r="M203" s="17">
        <v>0</v>
      </c>
      <c r="N203" s="17">
        <f t="shared" si="1"/>
        <v>25</v>
      </c>
      <c r="O203" s="17">
        <f t="shared" si="2"/>
        <v>0</v>
      </c>
      <c r="P203" s="3"/>
      <c r="Q203" s="19">
        <f t="shared" si="3"/>
        <v>1500</v>
      </c>
      <c r="R203" s="19">
        <v>0</v>
      </c>
      <c r="S203" s="19">
        <f t="shared" si="4"/>
        <v>0</v>
      </c>
      <c r="T203" s="19">
        <f t="shared" si="5"/>
        <v>0</v>
      </c>
      <c r="U203" s="19">
        <f t="shared" si="6"/>
        <v>0</v>
      </c>
      <c r="V203" s="19">
        <f t="shared" si="7"/>
        <v>0</v>
      </c>
      <c r="W203" s="19">
        <f t="shared" si="8"/>
        <v>1500</v>
      </c>
      <c r="X203" s="20">
        <f t="shared" si="9"/>
        <v>1500</v>
      </c>
      <c r="Y203" s="20">
        <f t="shared" si="10"/>
        <v>0</v>
      </c>
    </row>
    <row r="204" spans="1:25" ht="15.75" customHeight="1">
      <c r="A204" s="14" t="s">
        <v>418</v>
      </c>
      <c r="B204" s="15" t="s">
        <v>419</v>
      </c>
      <c r="C204" s="16">
        <v>3900</v>
      </c>
      <c r="D204" s="16">
        <v>3900</v>
      </c>
      <c r="E204" s="17">
        <v>1</v>
      </c>
      <c r="F204" s="18">
        <v>0</v>
      </c>
      <c r="G204" s="18">
        <v>0</v>
      </c>
      <c r="H204" s="18">
        <v>0</v>
      </c>
      <c r="I204" s="17">
        <v>0</v>
      </c>
      <c r="J204" s="17">
        <f t="shared" si="0"/>
        <v>1</v>
      </c>
      <c r="K204" s="17">
        <v>1</v>
      </c>
      <c r="L204" s="17">
        <v>0</v>
      </c>
      <c r="M204" s="17">
        <v>0</v>
      </c>
      <c r="N204" s="17">
        <f t="shared" si="1"/>
        <v>1</v>
      </c>
      <c r="O204" s="17">
        <f t="shared" si="2"/>
        <v>0</v>
      </c>
      <c r="P204" s="3"/>
      <c r="Q204" s="19">
        <f t="shared" si="3"/>
        <v>3900</v>
      </c>
      <c r="R204" s="19">
        <v>0</v>
      </c>
      <c r="S204" s="19">
        <f t="shared" si="4"/>
        <v>0</v>
      </c>
      <c r="T204" s="19">
        <f t="shared" si="5"/>
        <v>0</v>
      </c>
      <c r="U204" s="19">
        <f t="shared" si="6"/>
        <v>0</v>
      </c>
      <c r="V204" s="19">
        <f t="shared" si="7"/>
        <v>0</v>
      </c>
      <c r="W204" s="19">
        <f t="shared" si="8"/>
        <v>3900</v>
      </c>
      <c r="X204" s="20">
        <f t="shared" si="9"/>
        <v>3900</v>
      </c>
      <c r="Y204" s="20">
        <f t="shared" si="10"/>
        <v>0</v>
      </c>
    </row>
    <row r="205" spans="1:25" ht="15.75" customHeight="1">
      <c r="A205" s="14" t="s">
        <v>420</v>
      </c>
      <c r="B205" s="15" t="s">
        <v>421</v>
      </c>
      <c r="C205" s="16">
        <v>0</v>
      </c>
      <c r="D205" s="16">
        <v>0</v>
      </c>
      <c r="E205" s="17">
        <v>0</v>
      </c>
      <c r="F205" s="18">
        <v>0</v>
      </c>
      <c r="G205" s="18">
        <v>0</v>
      </c>
      <c r="H205" s="18">
        <v>0</v>
      </c>
      <c r="I205" s="17">
        <v>0</v>
      </c>
      <c r="J205" s="17">
        <f t="shared" si="0"/>
        <v>0</v>
      </c>
      <c r="K205" s="17">
        <v>0</v>
      </c>
      <c r="L205" s="17">
        <v>0</v>
      </c>
      <c r="M205" s="17">
        <v>0</v>
      </c>
      <c r="N205" s="17">
        <f t="shared" si="1"/>
        <v>0</v>
      </c>
      <c r="O205" s="17">
        <f t="shared" si="2"/>
        <v>0</v>
      </c>
      <c r="P205" s="3"/>
      <c r="Q205" s="19">
        <f t="shared" si="3"/>
        <v>0</v>
      </c>
      <c r="R205" s="19">
        <v>0</v>
      </c>
      <c r="S205" s="19">
        <f t="shared" si="4"/>
        <v>0</v>
      </c>
      <c r="T205" s="19">
        <f t="shared" si="5"/>
        <v>0</v>
      </c>
      <c r="U205" s="19">
        <f t="shared" si="6"/>
        <v>0</v>
      </c>
      <c r="V205" s="19">
        <f t="shared" si="7"/>
        <v>0</v>
      </c>
      <c r="W205" s="19">
        <f t="shared" si="8"/>
        <v>0</v>
      </c>
      <c r="X205" s="20">
        <f t="shared" si="9"/>
        <v>0</v>
      </c>
      <c r="Y205" s="20">
        <f t="shared" si="10"/>
        <v>0</v>
      </c>
    </row>
    <row r="206" spans="1:25" ht="15.75" customHeight="1">
      <c r="A206" s="14" t="s">
        <v>422</v>
      </c>
      <c r="B206" s="15" t="s">
        <v>423</v>
      </c>
      <c r="C206" s="16">
        <v>0</v>
      </c>
      <c r="D206" s="16">
        <v>0</v>
      </c>
      <c r="E206" s="17">
        <v>0</v>
      </c>
      <c r="F206" s="18">
        <v>0</v>
      </c>
      <c r="G206" s="18">
        <v>0</v>
      </c>
      <c r="H206" s="18">
        <v>0</v>
      </c>
      <c r="I206" s="17">
        <v>0</v>
      </c>
      <c r="J206" s="17">
        <f t="shared" si="0"/>
        <v>0</v>
      </c>
      <c r="K206" s="17">
        <v>0</v>
      </c>
      <c r="L206" s="17">
        <v>0</v>
      </c>
      <c r="M206" s="17">
        <v>0</v>
      </c>
      <c r="N206" s="17">
        <f t="shared" si="1"/>
        <v>0</v>
      </c>
      <c r="O206" s="17">
        <f t="shared" si="2"/>
        <v>0</v>
      </c>
      <c r="P206" s="3"/>
      <c r="Q206" s="19">
        <f t="shared" si="3"/>
        <v>0</v>
      </c>
      <c r="R206" s="19">
        <v>0</v>
      </c>
      <c r="S206" s="19">
        <f t="shared" si="4"/>
        <v>0</v>
      </c>
      <c r="T206" s="19">
        <f t="shared" si="5"/>
        <v>0</v>
      </c>
      <c r="U206" s="19">
        <f t="shared" si="6"/>
        <v>0</v>
      </c>
      <c r="V206" s="19">
        <f t="shared" si="7"/>
        <v>0</v>
      </c>
      <c r="W206" s="19">
        <f t="shared" si="8"/>
        <v>0</v>
      </c>
      <c r="X206" s="20">
        <f t="shared" si="9"/>
        <v>0</v>
      </c>
      <c r="Y206" s="20">
        <f t="shared" si="10"/>
        <v>0</v>
      </c>
    </row>
    <row r="207" spans="1:25" ht="15.75" customHeight="1">
      <c r="A207" s="14" t="s">
        <v>424</v>
      </c>
      <c r="B207" s="15" t="s">
        <v>425</v>
      </c>
      <c r="C207" s="16">
        <v>0</v>
      </c>
      <c r="D207" s="16">
        <v>0</v>
      </c>
      <c r="E207" s="17">
        <v>0</v>
      </c>
      <c r="F207" s="18">
        <v>0</v>
      </c>
      <c r="G207" s="18">
        <v>0</v>
      </c>
      <c r="H207" s="18">
        <v>0</v>
      </c>
      <c r="I207" s="17">
        <v>0</v>
      </c>
      <c r="J207" s="17">
        <f t="shared" si="0"/>
        <v>0</v>
      </c>
      <c r="K207" s="17">
        <v>0</v>
      </c>
      <c r="L207" s="17">
        <v>0</v>
      </c>
      <c r="M207" s="17">
        <v>0</v>
      </c>
      <c r="N207" s="17">
        <f t="shared" si="1"/>
        <v>0</v>
      </c>
      <c r="O207" s="17">
        <f t="shared" si="2"/>
        <v>0</v>
      </c>
      <c r="P207" s="3"/>
      <c r="Q207" s="19">
        <f t="shared" si="3"/>
        <v>0</v>
      </c>
      <c r="R207" s="19">
        <v>0</v>
      </c>
      <c r="S207" s="19">
        <f t="shared" si="4"/>
        <v>0</v>
      </c>
      <c r="T207" s="19">
        <f t="shared" si="5"/>
        <v>0</v>
      </c>
      <c r="U207" s="19">
        <f t="shared" si="6"/>
        <v>0</v>
      </c>
      <c r="V207" s="19">
        <f t="shared" si="7"/>
        <v>0</v>
      </c>
      <c r="W207" s="19">
        <f t="shared" si="8"/>
        <v>0</v>
      </c>
      <c r="X207" s="20">
        <f t="shared" si="9"/>
        <v>0</v>
      </c>
      <c r="Y207" s="20">
        <f t="shared" si="10"/>
        <v>0</v>
      </c>
    </row>
    <row r="208" spans="1:25" ht="15.75" customHeight="1">
      <c r="A208" s="14" t="s">
        <v>426</v>
      </c>
      <c r="B208" s="15" t="s">
        <v>427</v>
      </c>
      <c r="C208" s="16">
        <v>0</v>
      </c>
      <c r="D208" s="16">
        <v>0</v>
      </c>
      <c r="E208" s="17">
        <v>0</v>
      </c>
      <c r="F208" s="18">
        <v>0</v>
      </c>
      <c r="G208" s="18">
        <v>0</v>
      </c>
      <c r="H208" s="18">
        <v>0</v>
      </c>
      <c r="I208" s="17">
        <v>0</v>
      </c>
      <c r="J208" s="17">
        <f t="shared" si="0"/>
        <v>0</v>
      </c>
      <c r="K208" s="17">
        <v>0</v>
      </c>
      <c r="L208" s="17">
        <v>0</v>
      </c>
      <c r="M208" s="17">
        <v>0</v>
      </c>
      <c r="N208" s="17">
        <f t="shared" si="1"/>
        <v>0</v>
      </c>
      <c r="O208" s="17">
        <f t="shared" si="2"/>
        <v>0</v>
      </c>
      <c r="P208" s="3"/>
      <c r="Q208" s="19">
        <f t="shared" si="3"/>
        <v>0</v>
      </c>
      <c r="R208" s="19">
        <v>0</v>
      </c>
      <c r="S208" s="19">
        <f t="shared" si="4"/>
        <v>0</v>
      </c>
      <c r="T208" s="19">
        <f t="shared" si="5"/>
        <v>0</v>
      </c>
      <c r="U208" s="19">
        <f t="shared" si="6"/>
        <v>0</v>
      </c>
      <c r="V208" s="19">
        <f t="shared" si="7"/>
        <v>0</v>
      </c>
      <c r="W208" s="19">
        <f t="shared" si="8"/>
        <v>0</v>
      </c>
      <c r="X208" s="20">
        <f t="shared" si="9"/>
        <v>0</v>
      </c>
      <c r="Y208" s="20">
        <f t="shared" si="10"/>
        <v>0</v>
      </c>
    </row>
    <row r="209" spans="1:25" ht="15.75" customHeight="1">
      <c r="A209" s="14" t="s">
        <v>428</v>
      </c>
      <c r="B209" s="15" t="s">
        <v>429</v>
      </c>
      <c r="C209" s="16">
        <v>0</v>
      </c>
      <c r="D209" s="16">
        <v>0</v>
      </c>
      <c r="E209" s="17">
        <v>0</v>
      </c>
      <c r="F209" s="18">
        <v>0</v>
      </c>
      <c r="G209" s="18">
        <v>0</v>
      </c>
      <c r="H209" s="18">
        <v>0</v>
      </c>
      <c r="I209" s="17">
        <v>0</v>
      </c>
      <c r="J209" s="17">
        <f t="shared" si="0"/>
        <v>0</v>
      </c>
      <c r="K209" s="17">
        <v>0</v>
      </c>
      <c r="L209" s="17">
        <v>0</v>
      </c>
      <c r="M209" s="17">
        <v>0</v>
      </c>
      <c r="N209" s="17">
        <f t="shared" si="1"/>
        <v>0</v>
      </c>
      <c r="O209" s="17">
        <f t="shared" si="2"/>
        <v>0</v>
      </c>
      <c r="P209" s="3"/>
      <c r="Q209" s="19">
        <f t="shared" si="3"/>
        <v>0</v>
      </c>
      <c r="R209" s="19">
        <v>0</v>
      </c>
      <c r="S209" s="19">
        <f t="shared" si="4"/>
        <v>0</v>
      </c>
      <c r="T209" s="19">
        <f t="shared" si="5"/>
        <v>0</v>
      </c>
      <c r="U209" s="19">
        <f t="shared" si="6"/>
        <v>0</v>
      </c>
      <c r="V209" s="19">
        <f t="shared" si="7"/>
        <v>0</v>
      </c>
      <c r="W209" s="19">
        <f t="shared" si="8"/>
        <v>0</v>
      </c>
      <c r="X209" s="20">
        <f t="shared" si="9"/>
        <v>0</v>
      </c>
      <c r="Y209" s="20">
        <f t="shared" si="10"/>
        <v>0</v>
      </c>
    </row>
    <row r="210" spans="1:25" ht="15.75" customHeight="1">
      <c r="A210" s="14" t="s">
        <v>430</v>
      </c>
      <c r="B210" s="15" t="s">
        <v>431</v>
      </c>
      <c r="C210" s="16">
        <v>0</v>
      </c>
      <c r="D210" s="16">
        <v>0</v>
      </c>
      <c r="E210" s="17">
        <v>0</v>
      </c>
      <c r="F210" s="18">
        <v>0</v>
      </c>
      <c r="G210" s="18">
        <v>0</v>
      </c>
      <c r="H210" s="18">
        <v>0</v>
      </c>
      <c r="I210" s="17">
        <v>0</v>
      </c>
      <c r="J210" s="17">
        <f t="shared" si="0"/>
        <v>0</v>
      </c>
      <c r="K210" s="17">
        <v>0</v>
      </c>
      <c r="L210" s="17">
        <v>0</v>
      </c>
      <c r="M210" s="17">
        <v>0</v>
      </c>
      <c r="N210" s="17">
        <f t="shared" si="1"/>
        <v>0</v>
      </c>
      <c r="O210" s="17">
        <f t="shared" si="2"/>
        <v>0</v>
      </c>
      <c r="P210" s="3"/>
      <c r="Q210" s="19">
        <f t="shared" si="3"/>
        <v>0</v>
      </c>
      <c r="R210" s="19">
        <v>0</v>
      </c>
      <c r="S210" s="19">
        <f t="shared" si="4"/>
        <v>0</v>
      </c>
      <c r="T210" s="19">
        <f t="shared" si="5"/>
        <v>0</v>
      </c>
      <c r="U210" s="19">
        <f t="shared" si="6"/>
        <v>0</v>
      </c>
      <c r="V210" s="19">
        <f t="shared" si="7"/>
        <v>0</v>
      </c>
      <c r="W210" s="19">
        <f t="shared" si="8"/>
        <v>0</v>
      </c>
      <c r="X210" s="20">
        <f t="shared" si="9"/>
        <v>0</v>
      </c>
      <c r="Y210" s="20">
        <f t="shared" si="10"/>
        <v>0</v>
      </c>
    </row>
    <row r="211" spans="1:25" ht="15.75" customHeight="1">
      <c r="A211" s="14" t="s">
        <v>432</v>
      </c>
      <c r="B211" s="15" t="s">
        <v>433</v>
      </c>
      <c r="C211" s="16">
        <v>0</v>
      </c>
      <c r="D211" s="16">
        <v>0</v>
      </c>
      <c r="E211" s="17">
        <v>0</v>
      </c>
      <c r="F211" s="18">
        <v>0</v>
      </c>
      <c r="G211" s="18">
        <v>0</v>
      </c>
      <c r="H211" s="18">
        <v>0</v>
      </c>
      <c r="I211" s="17">
        <v>0</v>
      </c>
      <c r="J211" s="17">
        <f t="shared" si="0"/>
        <v>0</v>
      </c>
      <c r="K211" s="17">
        <v>0</v>
      </c>
      <c r="L211" s="17">
        <v>0</v>
      </c>
      <c r="M211" s="17">
        <v>0</v>
      </c>
      <c r="N211" s="17">
        <f t="shared" si="1"/>
        <v>0</v>
      </c>
      <c r="O211" s="17">
        <f t="shared" si="2"/>
        <v>0</v>
      </c>
      <c r="P211" s="3"/>
      <c r="Q211" s="19">
        <f t="shared" si="3"/>
        <v>0</v>
      </c>
      <c r="R211" s="19">
        <v>0</v>
      </c>
      <c r="S211" s="19">
        <f t="shared" si="4"/>
        <v>0</v>
      </c>
      <c r="T211" s="19">
        <f t="shared" si="5"/>
        <v>0</v>
      </c>
      <c r="U211" s="19">
        <f t="shared" si="6"/>
        <v>0</v>
      </c>
      <c r="V211" s="19">
        <f t="shared" si="7"/>
        <v>0</v>
      </c>
      <c r="W211" s="19">
        <f t="shared" si="8"/>
        <v>0</v>
      </c>
      <c r="X211" s="20">
        <f t="shared" si="9"/>
        <v>0</v>
      </c>
      <c r="Y211" s="20">
        <f t="shared" si="10"/>
        <v>0</v>
      </c>
    </row>
    <row r="212" spans="1:25" ht="15.75" customHeight="1">
      <c r="A212" s="14" t="s">
        <v>434</v>
      </c>
      <c r="B212" s="15" t="s">
        <v>435</v>
      </c>
      <c r="C212" s="16">
        <v>406</v>
      </c>
      <c r="D212" s="16">
        <v>406</v>
      </c>
      <c r="E212" s="17">
        <v>4</v>
      </c>
      <c r="F212" s="18">
        <v>0</v>
      </c>
      <c r="G212" s="18">
        <v>0</v>
      </c>
      <c r="H212" s="18">
        <v>0</v>
      </c>
      <c r="I212" s="17">
        <v>0</v>
      </c>
      <c r="J212" s="17">
        <f t="shared" si="0"/>
        <v>4</v>
      </c>
      <c r="K212" s="17">
        <v>0</v>
      </c>
      <c r="L212" s="17">
        <v>0</v>
      </c>
      <c r="M212" s="17">
        <v>4</v>
      </c>
      <c r="N212" s="17">
        <f t="shared" si="1"/>
        <v>4</v>
      </c>
      <c r="O212" s="17">
        <f t="shared" si="2"/>
        <v>0</v>
      </c>
      <c r="P212" s="3"/>
      <c r="Q212" s="19">
        <f t="shared" si="3"/>
        <v>1624</v>
      </c>
      <c r="R212" s="19">
        <v>0</v>
      </c>
      <c r="S212" s="19">
        <f t="shared" si="4"/>
        <v>0</v>
      </c>
      <c r="T212" s="19">
        <f t="shared" si="5"/>
        <v>0</v>
      </c>
      <c r="U212" s="19">
        <f t="shared" si="6"/>
        <v>0</v>
      </c>
      <c r="V212" s="19">
        <f t="shared" si="7"/>
        <v>0</v>
      </c>
      <c r="W212" s="19">
        <f t="shared" si="8"/>
        <v>1624</v>
      </c>
      <c r="X212" s="20">
        <f t="shared" si="9"/>
        <v>1624</v>
      </c>
      <c r="Y212" s="20">
        <f t="shared" si="10"/>
        <v>0</v>
      </c>
    </row>
    <row r="213" spans="1:25" ht="15.75" customHeight="1">
      <c r="A213" s="14" t="s">
        <v>436</v>
      </c>
      <c r="B213" s="15" t="s">
        <v>437</v>
      </c>
      <c r="C213" s="16">
        <v>630</v>
      </c>
      <c r="D213" s="16">
        <v>630</v>
      </c>
      <c r="E213" s="17">
        <v>0</v>
      </c>
      <c r="F213" s="18">
        <v>0</v>
      </c>
      <c r="G213" s="18">
        <v>0</v>
      </c>
      <c r="H213" s="18">
        <v>0</v>
      </c>
      <c r="I213" s="17">
        <v>0</v>
      </c>
      <c r="J213" s="17">
        <f t="shared" si="0"/>
        <v>0</v>
      </c>
      <c r="K213" s="17">
        <v>0</v>
      </c>
      <c r="L213" s="17">
        <v>0</v>
      </c>
      <c r="M213" s="17">
        <v>0</v>
      </c>
      <c r="N213" s="17">
        <f t="shared" si="1"/>
        <v>0</v>
      </c>
      <c r="O213" s="17">
        <f t="shared" si="2"/>
        <v>0</v>
      </c>
      <c r="P213" s="3"/>
      <c r="Q213" s="19">
        <f t="shared" si="3"/>
        <v>0</v>
      </c>
      <c r="R213" s="19">
        <v>0</v>
      </c>
      <c r="S213" s="19">
        <f t="shared" si="4"/>
        <v>0</v>
      </c>
      <c r="T213" s="19">
        <f t="shared" si="5"/>
        <v>0</v>
      </c>
      <c r="U213" s="19">
        <f t="shared" si="6"/>
        <v>0</v>
      </c>
      <c r="V213" s="19">
        <f t="shared" si="7"/>
        <v>0</v>
      </c>
      <c r="W213" s="19">
        <f t="shared" si="8"/>
        <v>0</v>
      </c>
      <c r="X213" s="20">
        <f t="shared" si="9"/>
        <v>0</v>
      </c>
      <c r="Y213" s="20">
        <f t="shared" si="10"/>
        <v>0</v>
      </c>
    </row>
    <row r="214" spans="1:25" ht="15.75" customHeight="1">
      <c r="A214" s="14" t="s">
        <v>438</v>
      </c>
      <c r="B214" s="15" t="s">
        <v>439</v>
      </c>
      <c r="C214" s="16">
        <v>520</v>
      </c>
      <c r="D214" s="16">
        <v>520</v>
      </c>
      <c r="E214" s="17">
        <v>2</v>
      </c>
      <c r="F214" s="18">
        <v>0</v>
      </c>
      <c r="G214" s="18">
        <v>0</v>
      </c>
      <c r="H214" s="18">
        <v>0</v>
      </c>
      <c r="I214" s="17">
        <v>0</v>
      </c>
      <c r="J214" s="17">
        <f t="shared" si="0"/>
        <v>2</v>
      </c>
      <c r="K214" s="17">
        <v>0</v>
      </c>
      <c r="L214" s="17">
        <v>0</v>
      </c>
      <c r="M214" s="17">
        <v>2</v>
      </c>
      <c r="N214" s="17">
        <f t="shared" si="1"/>
        <v>2</v>
      </c>
      <c r="O214" s="17">
        <f t="shared" si="2"/>
        <v>0</v>
      </c>
      <c r="P214" s="3"/>
      <c r="Q214" s="19">
        <f t="shared" si="3"/>
        <v>1040</v>
      </c>
      <c r="R214" s="19">
        <v>0</v>
      </c>
      <c r="S214" s="19">
        <f t="shared" si="4"/>
        <v>0</v>
      </c>
      <c r="T214" s="19">
        <f t="shared" si="5"/>
        <v>0</v>
      </c>
      <c r="U214" s="19">
        <f t="shared" si="6"/>
        <v>0</v>
      </c>
      <c r="V214" s="19">
        <f t="shared" si="7"/>
        <v>0</v>
      </c>
      <c r="W214" s="19">
        <f t="shared" si="8"/>
        <v>1040</v>
      </c>
      <c r="X214" s="20">
        <f t="shared" si="9"/>
        <v>1040</v>
      </c>
      <c r="Y214" s="20">
        <f t="shared" si="10"/>
        <v>0</v>
      </c>
    </row>
    <row r="215" spans="1:25" ht="15.75" customHeight="1">
      <c r="A215" s="14" t="s">
        <v>440</v>
      </c>
      <c r="B215" s="15" t="s">
        <v>441</v>
      </c>
      <c r="C215" s="16">
        <v>93</v>
      </c>
      <c r="D215" s="16">
        <v>93</v>
      </c>
      <c r="E215" s="17">
        <v>0</v>
      </c>
      <c r="F215" s="18">
        <v>0</v>
      </c>
      <c r="G215" s="18">
        <v>0</v>
      </c>
      <c r="H215" s="18">
        <v>0</v>
      </c>
      <c r="I215" s="17">
        <v>0</v>
      </c>
      <c r="J215" s="17">
        <f t="shared" si="0"/>
        <v>0</v>
      </c>
      <c r="K215" s="17">
        <v>0</v>
      </c>
      <c r="L215" s="17">
        <v>0</v>
      </c>
      <c r="M215" s="17">
        <v>0</v>
      </c>
      <c r="N215" s="17">
        <f t="shared" si="1"/>
        <v>0</v>
      </c>
      <c r="O215" s="17">
        <f t="shared" si="2"/>
        <v>0</v>
      </c>
      <c r="P215" s="3"/>
      <c r="Q215" s="19">
        <f t="shared" si="3"/>
        <v>0</v>
      </c>
      <c r="R215" s="19">
        <v>0</v>
      </c>
      <c r="S215" s="19">
        <f t="shared" si="4"/>
        <v>0</v>
      </c>
      <c r="T215" s="19">
        <f t="shared" si="5"/>
        <v>0</v>
      </c>
      <c r="U215" s="19">
        <f t="shared" si="6"/>
        <v>0</v>
      </c>
      <c r="V215" s="19">
        <f t="shared" si="7"/>
        <v>0</v>
      </c>
      <c r="W215" s="19">
        <f t="shared" si="8"/>
        <v>0</v>
      </c>
      <c r="X215" s="20">
        <f t="shared" si="9"/>
        <v>0</v>
      </c>
      <c r="Y215" s="20">
        <f t="shared" si="10"/>
        <v>0</v>
      </c>
    </row>
    <row r="216" spans="1:25" ht="15.75" customHeight="1">
      <c r="A216" s="14" t="s">
        <v>442</v>
      </c>
      <c r="B216" s="15" t="s">
        <v>443</v>
      </c>
      <c r="C216" s="16">
        <v>46.34</v>
      </c>
      <c r="D216" s="16">
        <v>46.34</v>
      </c>
      <c r="E216" s="17">
        <v>1</v>
      </c>
      <c r="F216" s="18">
        <v>0</v>
      </c>
      <c r="G216" s="18">
        <v>0</v>
      </c>
      <c r="H216" s="18">
        <v>0</v>
      </c>
      <c r="I216" s="17">
        <v>0</v>
      </c>
      <c r="J216" s="17">
        <f t="shared" si="0"/>
        <v>1</v>
      </c>
      <c r="K216" s="17">
        <v>1</v>
      </c>
      <c r="L216" s="17">
        <v>0</v>
      </c>
      <c r="M216" s="17">
        <v>0</v>
      </c>
      <c r="N216" s="17">
        <f t="shared" si="1"/>
        <v>1</v>
      </c>
      <c r="O216" s="17">
        <f t="shared" si="2"/>
        <v>0</v>
      </c>
      <c r="P216" s="3"/>
      <c r="Q216" s="19">
        <f t="shared" si="3"/>
        <v>46.34</v>
      </c>
      <c r="R216" s="19">
        <v>0</v>
      </c>
      <c r="S216" s="19">
        <f t="shared" si="4"/>
        <v>0</v>
      </c>
      <c r="T216" s="19">
        <f t="shared" si="5"/>
        <v>0</v>
      </c>
      <c r="U216" s="19">
        <f t="shared" si="6"/>
        <v>0</v>
      </c>
      <c r="V216" s="19">
        <f t="shared" si="7"/>
        <v>0</v>
      </c>
      <c r="W216" s="19">
        <f t="shared" si="8"/>
        <v>46.34</v>
      </c>
      <c r="X216" s="20">
        <f t="shared" si="9"/>
        <v>46.34</v>
      </c>
      <c r="Y216" s="20">
        <f t="shared" si="10"/>
        <v>0</v>
      </c>
    </row>
    <row r="217" spans="1:25" ht="15.75" customHeight="1">
      <c r="A217" s="14" t="s">
        <v>444</v>
      </c>
      <c r="B217" s="15" t="s">
        <v>445</v>
      </c>
      <c r="C217" s="16">
        <v>570</v>
      </c>
      <c r="D217" s="16">
        <v>570</v>
      </c>
      <c r="E217" s="17">
        <v>1</v>
      </c>
      <c r="F217" s="18">
        <v>0</v>
      </c>
      <c r="G217" s="18">
        <v>0</v>
      </c>
      <c r="H217" s="18">
        <v>0</v>
      </c>
      <c r="I217" s="17">
        <v>0</v>
      </c>
      <c r="J217" s="17">
        <f t="shared" si="0"/>
        <v>1</v>
      </c>
      <c r="K217" s="17">
        <v>1</v>
      </c>
      <c r="L217" s="17">
        <v>0</v>
      </c>
      <c r="M217" s="17">
        <v>0</v>
      </c>
      <c r="N217" s="17">
        <f t="shared" si="1"/>
        <v>1</v>
      </c>
      <c r="O217" s="17">
        <f t="shared" si="2"/>
        <v>0</v>
      </c>
      <c r="P217" s="3"/>
      <c r="Q217" s="19">
        <f t="shared" si="3"/>
        <v>570</v>
      </c>
      <c r="R217" s="19">
        <v>0</v>
      </c>
      <c r="S217" s="19">
        <f t="shared" si="4"/>
        <v>0</v>
      </c>
      <c r="T217" s="19">
        <f t="shared" si="5"/>
        <v>0</v>
      </c>
      <c r="U217" s="19">
        <f t="shared" si="6"/>
        <v>0</v>
      </c>
      <c r="V217" s="19">
        <f t="shared" si="7"/>
        <v>0</v>
      </c>
      <c r="W217" s="19">
        <f t="shared" si="8"/>
        <v>570</v>
      </c>
      <c r="X217" s="20">
        <f t="shared" si="9"/>
        <v>570</v>
      </c>
      <c r="Y217" s="20">
        <f t="shared" si="10"/>
        <v>0</v>
      </c>
    </row>
    <row r="218" spans="1:25" ht="15.75" customHeight="1">
      <c r="A218" s="14" t="s">
        <v>446</v>
      </c>
      <c r="B218" s="15" t="s">
        <v>447</v>
      </c>
      <c r="C218" s="16">
        <v>2520</v>
      </c>
      <c r="D218" s="16">
        <v>2520</v>
      </c>
      <c r="E218" s="17">
        <v>1</v>
      </c>
      <c r="F218" s="18">
        <v>0</v>
      </c>
      <c r="G218" s="18">
        <v>0</v>
      </c>
      <c r="H218" s="18">
        <v>0</v>
      </c>
      <c r="I218" s="17">
        <v>0</v>
      </c>
      <c r="J218" s="17">
        <f t="shared" si="0"/>
        <v>1</v>
      </c>
      <c r="K218" s="17">
        <v>1</v>
      </c>
      <c r="L218" s="17">
        <v>0</v>
      </c>
      <c r="M218" s="17">
        <v>0</v>
      </c>
      <c r="N218" s="17">
        <f t="shared" si="1"/>
        <v>1</v>
      </c>
      <c r="O218" s="17">
        <f t="shared" si="2"/>
        <v>0</v>
      </c>
      <c r="P218" s="3"/>
      <c r="Q218" s="19">
        <f t="shared" si="3"/>
        <v>2520</v>
      </c>
      <c r="R218" s="19">
        <v>0</v>
      </c>
      <c r="S218" s="19">
        <f t="shared" si="4"/>
        <v>0</v>
      </c>
      <c r="T218" s="19">
        <f t="shared" si="5"/>
        <v>0</v>
      </c>
      <c r="U218" s="19">
        <f t="shared" si="6"/>
        <v>0</v>
      </c>
      <c r="V218" s="19">
        <f t="shared" si="7"/>
        <v>0</v>
      </c>
      <c r="W218" s="19">
        <f t="shared" si="8"/>
        <v>2520</v>
      </c>
      <c r="X218" s="20">
        <f t="shared" si="9"/>
        <v>2520</v>
      </c>
      <c r="Y218" s="20">
        <f t="shared" si="10"/>
        <v>0</v>
      </c>
    </row>
    <row r="219" spans="1:25" ht="15.75" customHeight="1">
      <c r="A219" s="14" t="s">
        <v>448</v>
      </c>
      <c r="B219" s="15" t="s">
        <v>449</v>
      </c>
      <c r="C219" s="16">
        <v>1380</v>
      </c>
      <c r="D219" s="16">
        <v>1380</v>
      </c>
      <c r="E219" s="17">
        <v>4</v>
      </c>
      <c r="F219" s="18">
        <v>0</v>
      </c>
      <c r="G219" s="18">
        <v>0</v>
      </c>
      <c r="H219" s="18">
        <v>0</v>
      </c>
      <c r="I219" s="17">
        <v>0</v>
      </c>
      <c r="J219" s="17">
        <f t="shared" si="0"/>
        <v>4</v>
      </c>
      <c r="K219" s="17">
        <v>4</v>
      </c>
      <c r="L219" s="17">
        <v>0</v>
      </c>
      <c r="M219" s="17">
        <v>0</v>
      </c>
      <c r="N219" s="17">
        <f t="shared" si="1"/>
        <v>4</v>
      </c>
      <c r="O219" s="17">
        <f t="shared" si="2"/>
        <v>0</v>
      </c>
      <c r="P219" s="3"/>
      <c r="Q219" s="19">
        <f t="shared" si="3"/>
        <v>5520</v>
      </c>
      <c r="R219" s="19">
        <v>0</v>
      </c>
      <c r="S219" s="19">
        <f t="shared" si="4"/>
        <v>0</v>
      </c>
      <c r="T219" s="19">
        <f t="shared" si="5"/>
        <v>0</v>
      </c>
      <c r="U219" s="19">
        <f t="shared" si="6"/>
        <v>0</v>
      </c>
      <c r="V219" s="19">
        <f t="shared" si="7"/>
        <v>0</v>
      </c>
      <c r="W219" s="19">
        <f t="shared" si="8"/>
        <v>5520</v>
      </c>
      <c r="X219" s="20">
        <f t="shared" si="9"/>
        <v>5520</v>
      </c>
      <c r="Y219" s="20">
        <f t="shared" si="10"/>
        <v>0</v>
      </c>
    </row>
    <row r="220" spans="1:25" ht="15.75" customHeight="1">
      <c r="A220" s="14" t="s">
        <v>450</v>
      </c>
      <c r="B220" s="15" t="s">
        <v>451</v>
      </c>
      <c r="C220" s="16">
        <v>1380</v>
      </c>
      <c r="D220" s="16">
        <v>1380</v>
      </c>
      <c r="E220" s="17">
        <v>2</v>
      </c>
      <c r="F220" s="18">
        <v>0</v>
      </c>
      <c r="G220" s="18">
        <v>0</v>
      </c>
      <c r="H220" s="18">
        <v>0</v>
      </c>
      <c r="I220" s="17">
        <v>0</v>
      </c>
      <c r="J220" s="17">
        <f t="shared" si="0"/>
        <v>2</v>
      </c>
      <c r="K220" s="17">
        <v>2</v>
      </c>
      <c r="L220" s="17">
        <v>0</v>
      </c>
      <c r="M220" s="17">
        <v>0</v>
      </c>
      <c r="N220" s="17">
        <f t="shared" si="1"/>
        <v>2</v>
      </c>
      <c r="O220" s="17">
        <f t="shared" si="2"/>
        <v>0</v>
      </c>
      <c r="P220" s="3"/>
      <c r="Q220" s="19">
        <f t="shared" si="3"/>
        <v>2760</v>
      </c>
      <c r="R220" s="19">
        <v>0</v>
      </c>
      <c r="S220" s="19">
        <f t="shared" si="4"/>
        <v>0</v>
      </c>
      <c r="T220" s="19">
        <f t="shared" si="5"/>
        <v>0</v>
      </c>
      <c r="U220" s="19">
        <f t="shared" si="6"/>
        <v>0</v>
      </c>
      <c r="V220" s="19">
        <f t="shared" si="7"/>
        <v>0</v>
      </c>
      <c r="W220" s="19">
        <f t="shared" si="8"/>
        <v>2760</v>
      </c>
      <c r="X220" s="20">
        <f t="shared" si="9"/>
        <v>2760</v>
      </c>
      <c r="Y220" s="20">
        <f t="shared" si="10"/>
        <v>0</v>
      </c>
    </row>
    <row r="221" spans="1:25" ht="15.75" customHeight="1">
      <c r="A221" s="14" t="s">
        <v>452</v>
      </c>
      <c r="B221" s="15" t="s">
        <v>453</v>
      </c>
      <c r="C221" s="16">
        <v>16.82</v>
      </c>
      <c r="D221" s="16">
        <v>16.82</v>
      </c>
      <c r="E221" s="17">
        <v>50</v>
      </c>
      <c r="F221" s="18">
        <v>0</v>
      </c>
      <c r="G221" s="18">
        <v>0</v>
      </c>
      <c r="H221" s="18">
        <v>0</v>
      </c>
      <c r="I221" s="17">
        <v>0</v>
      </c>
      <c r="J221" s="17">
        <f t="shared" si="0"/>
        <v>50</v>
      </c>
      <c r="K221" s="17">
        <v>50</v>
      </c>
      <c r="L221" s="17">
        <v>0</v>
      </c>
      <c r="M221" s="17">
        <v>0</v>
      </c>
      <c r="N221" s="17">
        <f t="shared" si="1"/>
        <v>50</v>
      </c>
      <c r="O221" s="17">
        <f t="shared" si="2"/>
        <v>0</v>
      </c>
      <c r="P221" s="3"/>
      <c r="Q221" s="19">
        <f t="shared" si="3"/>
        <v>841</v>
      </c>
      <c r="R221" s="19">
        <v>0</v>
      </c>
      <c r="S221" s="19">
        <f t="shared" si="4"/>
        <v>0</v>
      </c>
      <c r="T221" s="19">
        <f t="shared" si="5"/>
        <v>0</v>
      </c>
      <c r="U221" s="19">
        <f t="shared" si="6"/>
        <v>0</v>
      </c>
      <c r="V221" s="19">
        <f t="shared" si="7"/>
        <v>0</v>
      </c>
      <c r="W221" s="19">
        <f t="shared" si="8"/>
        <v>841</v>
      </c>
      <c r="X221" s="20">
        <f t="shared" si="9"/>
        <v>841</v>
      </c>
      <c r="Y221" s="20">
        <f t="shared" si="10"/>
        <v>0</v>
      </c>
    </row>
    <row r="222" spans="1:25" ht="15.75" customHeight="1">
      <c r="A222" s="14" t="s">
        <v>454</v>
      </c>
      <c r="B222" s="15" t="s">
        <v>455</v>
      </c>
      <c r="C222" s="16">
        <v>16.82</v>
      </c>
      <c r="D222" s="16">
        <v>16.82</v>
      </c>
      <c r="E222" s="17">
        <v>50</v>
      </c>
      <c r="F222" s="18">
        <v>0</v>
      </c>
      <c r="G222" s="18">
        <v>0</v>
      </c>
      <c r="H222" s="18">
        <v>0</v>
      </c>
      <c r="I222" s="17">
        <v>0</v>
      </c>
      <c r="J222" s="17">
        <f t="shared" si="0"/>
        <v>50</v>
      </c>
      <c r="K222" s="17">
        <v>50</v>
      </c>
      <c r="L222" s="17">
        <v>0</v>
      </c>
      <c r="M222" s="17">
        <v>0</v>
      </c>
      <c r="N222" s="17">
        <f t="shared" si="1"/>
        <v>50</v>
      </c>
      <c r="O222" s="17">
        <f t="shared" si="2"/>
        <v>0</v>
      </c>
      <c r="P222" s="3"/>
      <c r="Q222" s="19">
        <f t="shared" si="3"/>
        <v>841</v>
      </c>
      <c r="R222" s="19">
        <v>0</v>
      </c>
      <c r="S222" s="19">
        <f t="shared" si="4"/>
        <v>0</v>
      </c>
      <c r="T222" s="19">
        <f t="shared" si="5"/>
        <v>0</v>
      </c>
      <c r="U222" s="19">
        <f t="shared" si="6"/>
        <v>0</v>
      </c>
      <c r="V222" s="19">
        <f t="shared" si="7"/>
        <v>0</v>
      </c>
      <c r="W222" s="19">
        <f t="shared" si="8"/>
        <v>841</v>
      </c>
      <c r="X222" s="20">
        <f t="shared" si="9"/>
        <v>841</v>
      </c>
      <c r="Y222" s="20">
        <f t="shared" si="10"/>
        <v>0</v>
      </c>
    </row>
    <row r="223" spans="1:25" ht="15.75" customHeight="1">
      <c r="A223" s="14" t="s">
        <v>456</v>
      </c>
      <c r="B223" s="15" t="s">
        <v>457</v>
      </c>
      <c r="C223" s="16">
        <v>16.82</v>
      </c>
      <c r="D223" s="16">
        <v>16.82</v>
      </c>
      <c r="E223" s="17">
        <v>50</v>
      </c>
      <c r="F223" s="18">
        <v>0</v>
      </c>
      <c r="G223" s="18">
        <v>0</v>
      </c>
      <c r="H223" s="18">
        <v>0</v>
      </c>
      <c r="I223" s="17">
        <v>0</v>
      </c>
      <c r="J223" s="17">
        <f t="shared" si="0"/>
        <v>50</v>
      </c>
      <c r="K223" s="17">
        <v>50</v>
      </c>
      <c r="L223" s="17">
        <v>0</v>
      </c>
      <c r="M223" s="17">
        <v>0</v>
      </c>
      <c r="N223" s="17">
        <f t="shared" si="1"/>
        <v>50</v>
      </c>
      <c r="O223" s="17">
        <f t="shared" si="2"/>
        <v>0</v>
      </c>
      <c r="P223" s="3"/>
      <c r="Q223" s="19">
        <f t="shared" si="3"/>
        <v>841</v>
      </c>
      <c r="R223" s="19">
        <v>0</v>
      </c>
      <c r="S223" s="19">
        <f t="shared" si="4"/>
        <v>0</v>
      </c>
      <c r="T223" s="19">
        <f t="shared" si="5"/>
        <v>0</v>
      </c>
      <c r="U223" s="19">
        <f t="shared" si="6"/>
        <v>0</v>
      </c>
      <c r="V223" s="19">
        <f t="shared" si="7"/>
        <v>0</v>
      </c>
      <c r="W223" s="19">
        <f t="shared" si="8"/>
        <v>841</v>
      </c>
      <c r="X223" s="20">
        <f t="shared" si="9"/>
        <v>841</v>
      </c>
      <c r="Y223" s="20">
        <f t="shared" si="10"/>
        <v>0</v>
      </c>
    </row>
    <row r="224" spans="1:25" ht="15.75" customHeight="1">
      <c r="A224" s="14" t="s">
        <v>458</v>
      </c>
      <c r="B224" s="15" t="s">
        <v>459</v>
      </c>
      <c r="C224" s="16">
        <v>15.6</v>
      </c>
      <c r="D224" s="16">
        <v>15.6</v>
      </c>
      <c r="E224" s="17">
        <v>50</v>
      </c>
      <c r="F224" s="18">
        <v>0</v>
      </c>
      <c r="G224" s="18">
        <v>0</v>
      </c>
      <c r="H224" s="18">
        <v>0</v>
      </c>
      <c r="I224" s="17">
        <v>0</v>
      </c>
      <c r="J224" s="17">
        <f t="shared" si="0"/>
        <v>50</v>
      </c>
      <c r="K224" s="17">
        <v>50</v>
      </c>
      <c r="L224" s="17">
        <v>0</v>
      </c>
      <c r="M224" s="17">
        <v>0</v>
      </c>
      <c r="N224" s="17">
        <f t="shared" si="1"/>
        <v>50</v>
      </c>
      <c r="O224" s="17">
        <f t="shared" si="2"/>
        <v>0</v>
      </c>
      <c r="P224" s="3"/>
      <c r="Q224" s="19">
        <f t="shared" si="3"/>
        <v>780</v>
      </c>
      <c r="R224" s="19">
        <v>0</v>
      </c>
      <c r="S224" s="19">
        <f t="shared" si="4"/>
        <v>0</v>
      </c>
      <c r="T224" s="19">
        <f t="shared" si="5"/>
        <v>0</v>
      </c>
      <c r="U224" s="19">
        <f t="shared" si="6"/>
        <v>0</v>
      </c>
      <c r="V224" s="19">
        <f t="shared" si="7"/>
        <v>0</v>
      </c>
      <c r="W224" s="19">
        <f t="shared" si="8"/>
        <v>780</v>
      </c>
      <c r="X224" s="20">
        <f t="shared" si="9"/>
        <v>780</v>
      </c>
      <c r="Y224" s="20">
        <f t="shared" si="10"/>
        <v>0</v>
      </c>
    </row>
    <row r="225" spans="1:25" ht="15.75" customHeight="1">
      <c r="A225" s="14" t="s">
        <v>460</v>
      </c>
      <c r="B225" s="15" t="s">
        <v>461</v>
      </c>
      <c r="C225" s="16">
        <v>15.6</v>
      </c>
      <c r="D225" s="16">
        <v>15.6</v>
      </c>
      <c r="E225" s="17">
        <v>50</v>
      </c>
      <c r="F225" s="18">
        <v>0</v>
      </c>
      <c r="G225" s="18">
        <v>0</v>
      </c>
      <c r="H225" s="18">
        <v>0</v>
      </c>
      <c r="I225" s="17">
        <v>0</v>
      </c>
      <c r="J225" s="17">
        <f t="shared" si="0"/>
        <v>50</v>
      </c>
      <c r="K225" s="17">
        <v>50</v>
      </c>
      <c r="L225" s="17">
        <v>0</v>
      </c>
      <c r="M225" s="17">
        <v>0</v>
      </c>
      <c r="N225" s="17">
        <f t="shared" si="1"/>
        <v>50</v>
      </c>
      <c r="O225" s="17">
        <f t="shared" si="2"/>
        <v>0</v>
      </c>
      <c r="P225" s="3"/>
      <c r="Q225" s="19">
        <f t="shared" si="3"/>
        <v>780</v>
      </c>
      <c r="R225" s="19">
        <v>0</v>
      </c>
      <c r="S225" s="19">
        <f t="shared" si="4"/>
        <v>0</v>
      </c>
      <c r="T225" s="19">
        <f t="shared" si="5"/>
        <v>0</v>
      </c>
      <c r="U225" s="19">
        <f t="shared" si="6"/>
        <v>0</v>
      </c>
      <c r="V225" s="19">
        <f t="shared" si="7"/>
        <v>0</v>
      </c>
      <c r="W225" s="19">
        <f t="shared" si="8"/>
        <v>780</v>
      </c>
      <c r="X225" s="20">
        <f t="shared" si="9"/>
        <v>780</v>
      </c>
      <c r="Y225" s="20">
        <f t="shared" si="10"/>
        <v>0</v>
      </c>
    </row>
    <row r="226" spans="1:25" ht="15.75" customHeight="1">
      <c r="A226" s="14" t="s">
        <v>462</v>
      </c>
      <c r="B226" s="15" t="s">
        <v>463</v>
      </c>
      <c r="C226" s="16">
        <v>15.6</v>
      </c>
      <c r="D226" s="16">
        <v>15.6</v>
      </c>
      <c r="E226" s="17">
        <v>50</v>
      </c>
      <c r="F226" s="18">
        <v>0</v>
      </c>
      <c r="G226" s="18">
        <v>0</v>
      </c>
      <c r="H226" s="18">
        <v>0</v>
      </c>
      <c r="I226" s="17">
        <v>0</v>
      </c>
      <c r="J226" s="17">
        <f t="shared" si="0"/>
        <v>50</v>
      </c>
      <c r="K226" s="17">
        <v>50</v>
      </c>
      <c r="L226" s="17">
        <v>0</v>
      </c>
      <c r="M226" s="17">
        <v>0</v>
      </c>
      <c r="N226" s="17">
        <f t="shared" si="1"/>
        <v>50</v>
      </c>
      <c r="O226" s="17">
        <f t="shared" si="2"/>
        <v>0</v>
      </c>
      <c r="P226" s="3"/>
      <c r="Q226" s="19">
        <f t="shared" si="3"/>
        <v>780</v>
      </c>
      <c r="R226" s="19">
        <v>0</v>
      </c>
      <c r="S226" s="19">
        <f t="shared" si="4"/>
        <v>0</v>
      </c>
      <c r="T226" s="19">
        <f t="shared" si="5"/>
        <v>0</v>
      </c>
      <c r="U226" s="19">
        <f t="shared" si="6"/>
        <v>0</v>
      </c>
      <c r="V226" s="19">
        <f t="shared" si="7"/>
        <v>0</v>
      </c>
      <c r="W226" s="19">
        <f t="shared" si="8"/>
        <v>780</v>
      </c>
      <c r="X226" s="20">
        <f t="shared" si="9"/>
        <v>780</v>
      </c>
      <c r="Y226" s="20">
        <f t="shared" si="10"/>
        <v>0</v>
      </c>
    </row>
    <row r="227" spans="1:25" ht="15.75" customHeight="1">
      <c r="A227" s="14" t="s">
        <v>464</v>
      </c>
      <c r="B227" s="15" t="s">
        <v>465</v>
      </c>
      <c r="C227" s="16">
        <v>940</v>
      </c>
      <c r="D227" s="16">
        <v>940</v>
      </c>
      <c r="E227" s="17">
        <v>1</v>
      </c>
      <c r="F227" s="18">
        <v>0</v>
      </c>
      <c r="G227" s="18">
        <v>0</v>
      </c>
      <c r="H227" s="18">
        <v>0</v>
      </c>
      <c r="I227" s="17">
        <v>0</v>
      </c>
      <c r="J227" s="17">
        <f t="shared" si="0"/>
        <v>1</v>
      </c>
      <c r="K227" s="17">
        <v>1</v>
      </c>
      <c r="L227" s="17">
        <v>0</v>
      </c>
      <c r="M227" s="17">
        <v>0</v>
      </c>
      <c r="N227" s="17">
        <f t="shared" si="1"/>
        <v>1</v>
      </c>
      <c r="O227" s="17">
        <f t="shared" si="2"/>
        <v>0</v>
      </c>
      <c r="P227" s="3"/>
      <c r="Q227" s="19">
        <f t="shared" si="3"/>
        <v>940</v>
      </c>
      <c r="R227" s="19">
        <v>0</v>
      </c>
      <c r="S227" s="19">
        <f t="shared" si="4"/>
        <v>0</v>
      </c>
      <c r="T227" s="19">
        <f t="shared" si="5"/>
        <v>0</v>
      </c>
      <c r="U227" s="19">
        <f t="shared" si="6"/>
        <v>0</v>
      </c>
      <c r="V227" s="19">
        <f t="shared" si="7"/>
        <v>0</v>
      </c>
      <c r="W227" s="19">
        <f t="shared" si="8"/>
        <v>940</v>
      </c>
      <c r="X227" s="20">
        <f t="shared" si="9"/>
        <v>940</v>
      </c>
      <c r="Y227" s="20">
        <f t="shared" si="10"/>
        <v>0</v>
      </c>
    </row>
    <row r="228" spans="1:25" ht="15.75" customHeight="1">
      <c r="A228" s="14" t="s">
        <v>466</v>
      </c>
      <c r="B228" s="15" t="s">
        <v>467</v>
      </c>
      <c r="C228" s="16">
        <v>290</v>
      </c>
      <c r="D228" s="16">
        <v>290</v>
      </c>
      <c r="E228" s="17">
        <v>0</v>
      </c>
      <c r="F228" s="18">
        <v>0</v>
      </c>
      <c r="G228" s="18">
        <v>0</v>
      </c>
      <c r="H228" s="18">
        <v>0</v>
      </c>
      <c r="I228" s="17">
        <v>0</v>
      </c>
      <c r="J228" s="17">
        <f t="shared" si="0"/>
        <v>0</v>
      </c>
      <c r="K228" s="17">
        <v>0</v>
      </c>
      <c r="L228" s="17">
        <v>0</v>
      </c>
      <c r="M228" s="17">
        <v>0</v>
      </c>
      <c r="N228" s="17">
        <f t="shared" si="1"/>
        <v>0</v>
      </c>
      <c r="O228" s="17">
        <f t="shared" si="2"/>
        <v>0</v>
      </c>
      <c r="P228" s="3"/>
      <c r="Q228" s="19">
        <f t="shared" si="3"/>
        <v>0</v>
      </c>
      <c r="R228" s="19">
        <v>0</v>
      </c>
      <c r="S228" s="19">
        <f t="shared" si="4"/>
        <v>0</v>
      </c>
      <c r="T228" s="19">
        <f t="shared" si="5"/>
        <v>0</v>
      </c>
      <c r="U228" s="19">
        <f t="shared" si="6"/>
        <v>0</v>
      </c>
      <c r="V228" s="19">
        <f t="shared" si="7"/>
        <v>0</v>
      </c>
      <c r="W228" s="19">
        <f t="shared" si="8"/>
        <v>0</v>
      </c>
      <c r="X228" s="20">
        <f t="shared" si="9"/>
        <v>0</v>
      </c>
      <c r="Y228" s="20">
        <f t="shared" si="10"/>
        <v>0</v>
      </c>
    </row>
    <row r="229" spans="1:25" ht="15.75" customHeight="1">
      <c r="A229" s="14" t="s">
        <v>468</v>
      </c>
      <c r="B229" s="15" t="s">
        <v>469</v>
      </c>
      <c r="C229" s="16">
        <v>999</v>
      </c>
      <c r="D229" s="16">
        <v>999</v>
      </c>
      <c r="E229" s="17">
        <v>0</v>
      </c>
      <c r="F229" s="18">
        <v>0</v>
      </c>
      <c r="G229" s="18">
        <v>0</v>
      </c>
      <c r="H229" s="18">
        <v>0</v>
      </c>
      <c r="I229" s="17">
        <v>0</v>
      </c>
      <c r="J229" s="17">
        <f t="shared" si="0"/>
        <v>0</v>
      </c>
      <c r="K229" s="17">
        <v>0</v>
      </c>
      <c r="L229" s="17">
        <v>0</v>
      </c>
      <c r="M229" s="17">
        <v>0</v>
      </c>
      <c r="N229" s="17">
        <f t="shared" si="1"/>
        <v>0</v>
      </c>
      <c r="O229" s="17">
        <f t="shared" si="2"/>
        <v>0</v>
      </c>
      <c r="P229" s="3"/>
      <c r="Q229" s="19">
        <f t="shared" si="3"/>
        <v>0</v>
      </c>
      <c r="R229" s="19">
        <v>0</v>
      </c>
      <c r="S229" s="19">
        <f t="shared" si="4"/>
        <v>0</v>
      </c>
      <c r="T229" s="19">
        <f t="shared" si="5"/>
        <v>0</v>
      </c>
      <c r="U229" s="19">
        <f t="shared" si="6"/>
        <v>0</v>
      </c>
      <c r="V229" s="19">
        <f t="shared" si="7"/>
        <v>0</v>
      </c>
      <c r="W229" s="19">
        <f t="shared" si="8"/>
        <v>0</v>
      </c>
      <c r="X229" s="20">
        <f t="shared" si="9"/>
        <v>0</v>
      </c>
      <c r="Y229" s="20">
        <f t="shared" si="10"/>
        <v>0</v>
      </c>
    </row>
    <row r="230" spans="1:25" ht="15.75" customHeight="1">
      <c r="A230" s="14" t="s">
        <v>470</v>
      </c>
      <c r="B230" s="15" t="s">
        <v>471</v>
      </c>
      <c r="C230" s="16">
        <v>1458.35</v>
      </c>
      <c r="D230" s="16">
        <v>1458.35</v>
      </c>
      <c r="E230" s="17">
        <v>0</v>
      </c>
      <c r="F230" s="18">
        <v>0</v>
      </c>
      <c r="G230" s="18">
        <v>0</v>
      </c>
      <c r="H230" s="18">
        <v>0</v>
      </c>
      <c r="I230" s="17">
        <v>0</v>
      </c>
      <c r="J230" s="17">
        <f t="shared" si="0"/>
        <v>0</v>
      </c>
      <c r="K230" s="17">
        <v>0</v>
      </c>
      <c r="L230" s="17">
        <v>0</v>
      </c>
      <c r="M230" s="17">
        <v>0</v>
      </c>
      <c r="N230" s="17">
        <f t="shared" si="1"/>
        <v>0</v>
      </c>
      <c r="O230" s="17">
        <f t="shared" si="2"/>
        <v>0</v>
      </c>
      <c r="P230" s="3"/>
      <c r="Q230" s="19">
        <f t="shared" si="3"/>
        <v>0</v>
      </c>
      <c r="R230" s="19">
        <v>0</v>
      </c>
      <c r="S230" s="19">
        <f t="shared" si="4"/>
        <v>0</v>
      </c>
      <c r="T230" s="19">
        <f t="shared" si="5"/>
        <v>0</v>
      </c>
      <c r="U230" s="19">
        <f t="shared" si="6"/>
        <v>0</v>
      </c>
      <c r="V230" s="19">
        <f t="shared" si="7"/>
        <v>0</v>
      </c>
      <c r="W230" s="19">
        <f t="shared" si="8"/>
        <v>0</v>
      </c>
      <c r="X230" s="20">
        <f t="shared" si="9"/>
        <v>0</v>
      </c>
      <c r="Y230" s="20">
        <f t="shared" si="10"/>
        <v>0</v>
      </c>
    </row>
    <row r="231" spans="1:25" ht="15.75" customHeight="1">
      <c r="A231" s="14" t="s">
        <v>472</v>
      </c>
      <c r="B231" s="15" t="s">
        <v>473</v>
      </c>
      <c r="C231" s="16">
        <v>0</v>
      </c>
      <c r="D231" s="16">
        <v>0</v>
      </c>
      <c r="E231" s="17">
        <v>0</v>
      </c>
      <c r="F231" s="18">
        <v>0</v>
      </c>
      <c r="G231" s="18">
        <v>0</v>
      </c>
      <c r="H231" s="18">
        <v>0</v>
      </c>
      <c r="I231" s="17">
        <v>0</v>
      </c>
      <c r="J231" s="17">
        <f t="shared" si="0"/>
        <v>0</v>
      </c>
      <c r="K231" s="17">
        <v>0</v>
      </c>
      <c r="L231" s="17">
        <v>0</v>
      </c>
      <c r="M231" s="17">
        <v>0</v>
      </c>
      <c r="N231" s="17">
        <f t="shared" si="1"/>
        <v>0</v>
      </c>
      <c r="O231" s="17">
        <f t="shared" si="2"/>
        <v>0</v>
      </c>
      <c r="P231" s="3"/>
      <c r="Q231" s="19">
        <f t="shared" si="3"/>
        <v>0</v>
      </c>
      <c r="R231" s="19">
        <v>0</v>
      </c>
      <c r="S231" s="19">
        <f t="shared" si="4"/>
        <v>0</v>
      </c>
      <c r="T231" s="19">
        <f t="shared" si="5"/>
        <v>0</v>
      </c>
      <c r="U231" s="19">
        <f t="shared" si="6"/>
        <v>0</v>
      </c>
      <c r="V231" s="19">
        <f t="shared" si="7"/>
        <v>0</v>
      </c>
      <c r="W231" s="19">
        <f t="shared" si="8"/>
        <v>0</v>
      </c>
      <c r="X231" s="20">
        <f t="shared" si="9"/>
        <v>0</v>
      </c>
      <c r="Y231" s="20">
        <f t="shared" si="10"/>
        <v>0</v>
      </c>
    </row>
    <row r="232" spans="1:25" ht="15.75" customHeight="1">
      <c r="A232" s="14" t="s">
        <v>474</v>
      </c>
      <c r="B232" s="15" t="s">
        <v>475</v>
      </c>
      <c r="C232" s="16">
        <v>985</v>
      </c>
      <c r="D232" s="16">
        <v>985</v>
      </c>
      <c r="E232" s="17">
        <v>1</v>
      </c>
      <c r="F232" s="18">
        <v>0</v>
      </c>
      <c r="G232" s="18">
        <v>0</v>
      </c>
      <c r="H232" s="18">
        <v>0</v>
      </c>
      <c r="I232" s="17">
        <v>0</v>
      </c>
      <c r="J232" s="17">
        <f t="shared" si="0"/>
        <v>1</v>
      </c>
      <c r="K232" s="17">
        <v>0</v>
      </c>
      <c r="L232" s="17">
        <v>0</v>
      </c>
      <c r="M232" s="17">
        <v>1</v>
      </c>
      <c r="N232" s="17">
        <f t="shared" si="1"/>
        <v>1</v>
      </c>
      <c r="O232" s="17">
        <f t="shared" si="2"/>
        <v>0</v>
      </c>
      <c r="P232" s="3"/>
      <c r="Q232" s="19">
        <f t="shared" si="3"/>
        <v>985</v>
      </c>
      <c r="R232" s="19">
        <v>0</v>
      </c>
      <c r="S232" s="19">
        <f t="shared" si="4"/>
        <v>0</v>
      </c>
      <c r="T232" s="19">
        <f t="shared" si="5"/>
        <v>0</v>
      </c>
      <c r="U232" s="19">
        <f t="shared" si="6"/>
        <v>0</v>
      </c>
      <c r="V232" s="19">
        <f t="shared" si="7"/>
        <v>0</v>
      </c>
      <c r="W232" s="19">
        <f t="shared" si="8"/>
        <v>985</v>
      </c>
      <c r="X232" s="20">
        <f t="shared" si="9"/>
        <v>985</v>
      </c>
      <c r="Y232" s="20">
        <f t="shared" si="10"/>
        <v>0</v>
      </c>
    </row>
    <row r="233" spans="1:25" ht="15.75" customHeight="1">
      <c r="A233" s="14" t="s">
        <v>476</v>
      </c>
      <c r="B233" s="15" t="s">
        <v>477</v>
      </c>
      <c r="C233" s="16">
        <v>0</v>
      </c>
      <c r="D233" s="16">
        <v>0</v>
      </c>
      <c r="E233" s="17">
        <v>0</v>
      </c>
      <c r="F233" s="18">
        <v>0</v>
      </c>
      <c r="G233" s="18">
        <v>0</v>
      </c>
      <c r="H233" s="18">
        <v>0</v>
      </c>
      <c r="I233" s="17">
        <v>0</v>
      </c>
      <c r="J233" s="17">
        <f t="shared" si="0"/>
        <v>0</v>
      </c>
      <c r="K233" s="17">
        <v>0</v>
      </c>
      <c r="L233" s="17">
        <v>0</v>
      </c>
      <c r="M233" s="17">
        <v>0</v>
      </c>
      <c r="N233" s="17">
        <f t="shared" si="1"/>
        <v>0</v>
      </c>
      <c r="O233" s="17">
        <f t="shared" si="2"/>
        <v>0</v>
      </c>
      <c r="P233" s="3"/>
      <c r="Q233" s="19">
        <f t="shared" si="3"/>
        <v>0</v>
      </c>
      <c r="R233" s="19">
        <v>0</v>
      </c>
      <c r="S233" s="19">
        <f t="shared" si="4"/>
        <v>0</v>
      </c>
      <c r="T233" s="19">
        <f t="shared" si="5"/>
        <v>0</v>
      </c>
      <c r="U233" s="19">
        <f t="shared" si="6"/>
        <v>0</v>
      </c>
      <c r="V233" s="19">
        <f t="shared" si="7"/>
        <v>0</v>
      </c>
      <c r="W233" s="19">
        <f t="shared" si="8"/>
        <v>0</v>
      </c>
      <c r="X233" s="20">
        <f t="shared" si="9"/>
        <v>0</v>
      </c>
      <c r="Y233" s="20">
        <f t="shared" si="10"/>
        <v>0</v>
      </c>
    </row>
    <row r="234" spans="1:25" ht="15.75" customHeight="1">
      <c r="A234" s="14" t="s">
        <v>478</v>
      </c>
      <c r="B234" s="15" t="s">
        <v>479</v>
      </c>
      <c r="C234" s="16">
        <v>0</v>
      </c>
      <c r="D234" s="16">
        <v>0</v>
      </c>
      <c r="E234" s="17">
        <v>0</v>
      </c>
      <c r="F234" s="18">
        <v>0</v>
      </c>
      <c r="G234" s="18">
        <v>0</v>
      </c>
      <c r="H234" s="18">
        <v>0</v>
      </c>
      <c r="I234" s="17">
        <v>0</v>
      </c>
      <c r="J234" s="17">
        <f t="shared" si="0"/>
        <v>0</v>
      </c>
      <c r="K234" s="17">
        <v>0</v>
      </c>
      <c r="L234" s="17">
        <v>0</v>
      </c>
      <c r="M234" s="17">
        <v>0</v>
      </c>
      <c r="N234" s="17">
        <f t="shared" si="1"/>
        <v>0</v>
      </c>
      <c r="O234" s="17">
        <f t="shared" si="2"/>
        <v>0</v>
      </c>
      <c r="P234" s="3"/>
      <c r="Q234" s="19">
        <f t="shared" si="3"/>
        <v>0</v>
      </c>
      <c r="R234" s="19">
        <v>0</v>
      </c>
      <c r="S234" s="19">
        <f t="shared" si="4"/>
        <v>0</v>
      </c>
      <c r="T234" s="19">
        <f t="shared" si="5"/>
        <v>0</v>
      </c>
      <c r="U234" s="19">
        <f t="shared" si="6"/>
        <v>0</v>
      </c>
      <c r="V234" s="19">
        <f t="shared" si="7"/>
        <v>0</v>
      </c>
      <c r="W234" s="19">
        <f t="shared" si="8"/>
        <v>0</v>
      </c>
      <c r="X234" s="20">
        <f t="shared" si="9"/>
        <v>0</v>
      </c>
      <c r="Y234" s="20">
        <f t="shared" si="10"/>
        <v>0</v>
      </c>
    </row>
    <row r="235" spans="1:25" ht="22.5" customHeight="1">
      <c r="A235" s="14" t="s">
        <v>480</v>
      </c>
      <c r="B235" s="15" t="s">
        <v>481</v>
      </c>
      <c r="C235" s="16">
        <v>841</v>
      </c>
      <c r="D235" s="16">
        <v>841</v>
      </c>
      <c r="E235" s="17">
        <v>1</v>
      </c>
      <c r="F235" s="18">
        <v>0</v>
      </c>
      <c r="G235" s="18">
        <v>0</v>
      </c>
      <c r="H235" s="18">
        <v>0</v>
      </c>
      <c r="I235" s="17">
        <v>0</v>
      </c>
      <c r="J235" s="17">
        <f t="shared" si="0"/>
        <v>1</v>
      </c>
      <c r="K235" s="17">
        <v>1</v>
      </c>
      <c r="L235" s="17">
        <v>0</v>
      </c>
      <c r="M235" s="17">
        <v>0</v>
      </c>
      <c r="N235" s="17">
        <f t="shared" si="1"/>
        <v>1</v>
      </c>
      <c r="O235" s="17">
        <f t="shared" si="2"/>
        <v>0</v>
      </c>
      <c r="P235" s="3"/>
      <c r="Q235" s="19">
        <f t="shared" si="3"/>
        <v>841</v>
      </c>
      <c r="R235" s="19">
        <v>0</v>
      </c>
      <c r="S235" s="19">
        <f t="shared" si="4"/>
        <v>0</v>
      </c>
      <c r="T235" s="19">
        <f t="shared" si="5"/>
        <v>0</v>
      </c>
      <c r="U235" s="19">
        <f t="shared" si="6"/>
        <v>0</v>
      </c>
      <c r="V235" s="19">
        <f t="shared" si="7"/>
        <v>0</v>
      </c>
      <c r="W235" s="19">
        <f t="shared" si="8"/>
        <v>841</v>
      </c>
      <c r="X235" s="20">
        <f t="shared" si="9"/>
        <v>841</v>
      </c>
      <c r="Y235" s="20">
        <f t="shared" si="10"/>
        <v>0</v>
      </c>
    </row>
    <row r="236" spans="1:25" ht="15.75" customHeight="1">
      <c r="A236" s="14" t="s">
        <v>482</v>
      </c>
      <c r="B236" s="15" t="s">
        <v>483</v>
      </c>
      <c r="C236" s="16">
        <v>0</v>
      </c>
      <c r="D236" s="16">
        <v>0</v>
      </c>
      <c r="E236" s="17">
        <v>0</v>
      </c>
      <c r="F236" s="18">
        <v>0</v>
      </c>
      <c r="G236" s="18">
        <v>0</v>
      </c>
      <c r="H236" s="18">
        <v>0</v>
      </c>
      <c r="I236" s="17">
        <v>0</v>
      </c>
      <c r="J236" s="17">
        <f t="shared" si="0"/>
        <v>0</v>
      </c>
      <c r="K236" s="17">
        <v>0</v>
      </c>
      <c r="L236" s="17">
        <v>0</v>
      </c>
      <c r="M236" s="17">
        <v>0</v>
      </c>
      <c r="N236" s="17">
        <f t="shared" si="1"/>
        <v>0</v>
      </c>
      <c r="O236" s="17">
        <f t="shared" si="2"/>
        <v>0</v>
      </c>
      <c r="P236" s="3"/>
      <c r="Q236" s="19">
        <f t="shared" si="3"/>
        <v>0</v>
      </c>
      <c r="R236" s="19">
        <v>0</v>
      </c>
      <c r="S236" s="19">
        <f t="shared" si="4"/>
        <v>0</v>
      </c>
      <c r="T236" s="19">
        <f t="shared" si="5"/>
        <v>0</v>
      </c>
      <c r="U236" s="19">
        <f t="shared" si="6"/>
        <v>0</v>
      </c>
      <c r="V236" s="19">
        <f t="shared" si="7"/>
        <v>0</v>
      </c>
      <c r="W236" s="19">
        <f t="shared" si="8"/>
        <v>0</v>
      </c>
      <c r="X236" s="20">
        <f t="shared" si="9"/>
        <v>0</v>
      </c>
      <c r="Y236" s="20">
        <f t="shared" si="10"/>
        <v>0</v>
      </c>
    </row>
    <row r="237" spans="1:25" ht="15.75" customHeight="1">
      <c r="A237" s="14" t="s">
        <v>484</v>
      </c>
      <c r="B237" s="15" t="s">
        <v>485</v>
      </c>
      <c r="C237" s="16">
        <v>3410</v>
      </c>
      <c r="D237" s="16">
        <v>3410</v>
      </c>
      <c r="E237" s="17">
        <v>0</v>
      </c>
      <c r="F237" s="18">
        <v>0</v>
      </c>
      <c r="G237" s="18">
        <v>0</v>
      </c>
      <c r="H237" s="18">
        <v>0</v>
      </c>
      <c r="I237" s="17">
        <v>0</v>
      </c>
      <c r="J237" s="17">
        <f t="shared" si="0"/>
        <v>0</v>
      </c>
      <c r="K237" s="17">
        <v>0</v>
      </c>
      <c r="L237" s="17">
        <v>0</v>
      </c>
      <c r="M237" s="17">
        <v>0</v>
      </c>
      <c r="N237" s="17">
        <f t="shared" si="1"/>
        <v>0</v>
      </c>
      <c r="O237" s="17">
        <f t="shared" si="2"/>
        <v>0</v>
      </c>
      <c r="P237" s="3"/>
      <c r="Q237" s="19">
        <f t="shared" si="3"/>
        <v>0</v>
      </c>
      <c r="R237" s="19">
        <v>0</v>
      </c>
      <c r="S237" s="19">
        <f t="shared" si="4"/>
        <v>0</v>
      </c>
      <c r="T237" s="19">
        <f t="shared" si="5"/>
        <v>0</v>
      </c>
      <c r="U237" s="19">
        <f t="shared" si="6"/>
        <v>0</v>
      </c>
      <c r="V237" s="19">
        <f t="shared" si="7"/>
        <v>0</v>
      </c>
      <c r="W237" s="19">
        <f t="shared" si="8"/>
        <v>0</v>
      </c>
      <c r="X237" s="20">
        <f t="shared" si="9"/>
        <v>0</v>
      </c>
      <c r="Y237" s="20">
        <f t="shared" si="10"/>
        <v>0</v>
      </c>
    </row>
    <row r="238" spans="1:25" ht="15.75" customHeight="1">
      <c r="A238" s="14" t="s">
        <v>486</v>
      </c>
      <c r="B238" s="15" t="s">
        <v>487</v>
      </c>
      <c r="C238" s="16">
        <v>99</v>
      </c>
      <c r="D238" s="16">
        <v>99</v>
      </c>
      <c r="E238" s="17">
        <v>1</v>
      </c>
      <c r="F238" s="18">
        <v>0</v>
      </c>
      <c r="G238" s="18">
        <v>0</v>
      </c>
      <c r="H238" s="18">
        <v>0</v>
      </c>
      <c r="I238" s="17">
        <v>0</v>
      </c>
      <c r="J238" s="17">
        <f t="shared" si="0"/>
        <v>1</v>
      </c>
      <c r="K238" s="17">
        <v>1</v>
      </c>
      <c r="L238" s="17">
        <v>0</v>
      </c>
      <c r="M238" s="17">
        <v>0</v>
      </c>
      <c r="N238" s="17">
        <f t="shared" si="1"/>
        <v>1</v>
      </c>
      <c r="O238" s="17">
        <f t="shared" si="2"/>
        <v>0</v>
      </c>
      <c r="P238" s="3"/>
      <c r="Q238" s="19">
        <f t="shared" si="3"/>
        <v>99</v>
      </c>
      <c r="R238" s="19">
        <v>0</v>
      </c>
      <c r="S238" s="19">
        <f t="shared" si="4"/>
        <v>0</v>
      </c>
      <c r="T238" s="19">
        <f t="shared" si="5"/>
        <v>0</v>
      </c>
      <c r="U238" s="19">
        <f t="shared" si="6"/>
        <v>0</v>
      </c>
      <c r="V238" s="19">
        <f t="shared" si="7"/>
        <v>0</v>
      </c>
      <c r="W238" s="19">
        <f t="shared" si="8"/>
        <v>99</v>
      </c>
      <c r="X238" s="20">
        <f t="shared" si="9"/>
        <v>99</v>
      </c>
      <c r="Y238" s="20">
        <f t="shared" si="10"/>
        <v>0</v>
      </c>
    </row>
    <row r="239" spans="1:25" ht="15.75" customHeight="1">
      <c r="A239" s="14" t="s">
        <v>488</v>
      </c>
      <c r="B239" s="15" t="s">
        <v>489</v>
      </c>
      <c r="C239" s="16">
        <v>113.5</v>
      </c>
      <c r="D239" s="16">
        <v>113.5</v>
      </c>
      <c r="E239" s="17">
        <v>3</v>
      </c>
      <c r="F239" s="18">
        <v>0</v>
      </c>
      <c r="G239" s="18">
        <v>0</v>
      </c>
      <c r="H239" s="18">
        <v>0</v>
      </c>
      <c r="I239" s="17">
        <v>0</v>
      </c>
      <c r="J239" s="17">
        <f t="shared" si="0"/>
        <v>3</v>
      </c>
      <c r="K239" s="17">
        <v>3</v>
      </c>
      <c r="L239" s="17">
        <v>0</v>
      </c>
      <c r="M239" s="17">
        <v>0</v>
      </c>
      <c r="N239" s="17">
        <f t="shared" si="1"/>
        <v>3</v>
      </c>
      <c r="O239" s="17">
        <f t="shared" si="2"/>
        <v>0</v>
      </c>
      <c r="P239" s="3"/>
      <c r="Q239" s="19">
        <f t="shared" si="3"/>
        <v>340.5</v>
      </c>
      <c r="R239" s="19">
        <v>0</v>
      </c>
      <c r="S239" s="19">
        <f t="shared" si="4"/>
        <v>0</v>
      </c>
      <c r="T239" s="19">
        <f t="shared" si="5"/>
        <v>0</v>
      </c>
      <c r="U239" s="19">
        <f t="shared" si="6"/>
        <v>0</v>
      </c>
      <c r="V239" s="19">
        <f t="shared" si="7"/>
        <v>0</v>
      </c>
      <c r="W239" s="19">
        <f t="shared" si="8"/>
        <v>340.5</v>
      </c>
      <c r="X239" s="20">
        <f t="shared" si="9"/>
        <v>340.5</v>
      </c>
      <c r="Y239" s="20">
        <f t="shared" si="10"/>
        <v>0</v>
      </c>
    </row>
    <row r="240" spans="1:25" ht="15.75" customHeight="1">
      <c r="A240" s="14" t="s">
        <v>490</v>
      </c>
      <c r="B240" s="15" t="s">
        <v>491</v>
      </c>
      <c r="C240" s="16">
        <v>1536</v>
      </c>
      <c r="D240" s="16">
        <v>1536</v>
      </c>
      <c r="E240" s="17">
        <v>3</v>
      </c>
      <c r="F240" s="18">
        <v>0</v>
      </c>
      <c r="G240" s="18">
        <v>0</v>
      </c>
      <c r="H240" s="18">
        <v>0</v>
      </c>
      <c r="I240" s="17">
        <v>0</v>
      </c>
      <c r="J240" s="17">
        <f t="shared" si="0"/>
        <v>3</v>
      </c>
      <c r="K240" s="17">
        <v>3</v>
      </c>
      <c r="L240" s="17">
        <v>0</v>
      </c>
      <c r="M240" s="17">
        <v>0</v>
      </c>
      <c r="N240" s="17">
        <f t="shared" si="1"/>
        <v>3</v>
      </c>
      <c r="O240" s="17">
        <f t="shared" si="2"/>
        <v>0</v>
      </c>
      <c r="P240" s="3"/>
      <c r="Q240" s="19">
        <f t="shared" si="3"/>
        <v>4608</v>
      </c>
      <c r="R240" s="19">
        <v>0</v>
      </c>
      <c r="S240" s="19">
        <f t="shared" si="4"/>
        <v>0</v>
      </c>
      <c r="T240" s="19">
        <f t="shared" si="5"/>
        <v>0</v>
      </c>
      <c r="U240" s="19">
        <f t="shared" si="6"/>
        <v>0</v>
      </c>
      <c r="V240" s="19">
        <f t="shared" si="7"/>
        <v>0</v>
      </c>
      <c r="W240" s="19">
        <f t="shared" si="8"/>
        <v>4608</v>
      </c>
      <c r="X240" s="20">
        <f t="shared" si="9"/>
        <v>4608</v>
      </c>
      <c r="Y240" s="20">
        <f t="shared" si="10"/>
        <v>0</v>
      </c>
    </row>
    <row r="241" spans="1:25" ht="15.75" customHeight="1">
      <c r="A241" s="14" t="s">
        <v>492</v>
      </c>
      <c r="B241" s="15" t="s">
        <v>493</v>
      </c>
      <c r="C241" s="16">
        <v>757.98</v>
      </c>
      <c r="D241" s="16">
        <v>757.98</v>
      </c>
      <c r="E241" s="17">
        <v>1</v>
      </c>
      <c r="F241" s="18">
        <v>0</v>
      </c>
      <c r="G241" s="18">
        <v>0</v>
      </c>
      <c r="H241" s="18">
        <v>0</v>
      </c>
      <c r="I241" s="17">
        <v>0</v>
      </c>
      <c r="J241" s="17">
        <f t="shared" si="0"/>
        <v>1</v>
      </c>
      <c r="K241" s="17">
        <v>1</v>
      </c>
      <c r="L241" s="17">
        <v>0</v>
      </c>
      <c r="M241" s="17">
        <v>0</v>
      </c>
      <c r="N241" s="17">
        <f t="shared" si="1"/>
        <v>1</v>
      </c>
      <c r="O241" s="17">
        <f t="shared" si="2"/>
        <v>0</v>
      </c>
      <c r="P241" s="3"/>
      <c r="Q241" s="19">
        <f t="shared" si="3"/>
        <v>757.98</v>
      </c>
      <c r="R241" s="19">
        <v>0</v>
      </c>
      <c r="S241" s="19">
        <f t="shared" si="4"/>
        <v>0</v>
      </c>
      <c r="T241" s="19">
        <f t="shared" si="5"/>
        <v>0</v>
      </c>
      <c r="U241" s="19">
        <f t="shared" si="6"/>
        <v>0</v>
      </c>
      <c r="V241" s="19">
        <f t="shared" si="7"/>
        <v>0</v>
      </c>
      <c r="W241" s="19">
        <f t="shared" si="8"/>
        <v>757.98</v>
      </c>
      <c r="X241" s="20">
        <f t="shared" si="9"/>
        <v>757.98</v>
      </c>
      <c r="Y241" s="20">
        <f t="shared" si="10"/>
        <v>0</v>
      </c>
    </row>
    <row r="242" spans="1:25" ht="15.75" customHeight="1">
      <c r="A242" s="14" t="s">
        <v>494</v>
      </c>
      <c r="B242" s="15" t="s">
        <v>495</v>
      </c>
      <c r="C242" s="16">
        <v>36.5</v>
      </c>
      <c r="D242" s="16">
        <v>36.5</v>
      </c>
      <c r="E242" s="17">
        <v>4</v>
      </c>
      <c r="F242" s="18">
        <v>0</v>
      </c>
      <c r="G242" s="18">
        <v>0</v>
      </c>
      <c r="H242" s="18">
        <v>0</v>
      </c>
      <c r="I242" s="17">
        <v>0</v>
      </c>
      <c r="J242" s="17">
        <f t="shared" si="0"/>
        <v>4</v>
      </c>
      <c r="K242" s="17">
        <v>4</v>
      </c>
      <c r="L242" s="17">
        <v>0</v>
      </c>
      <c r="M242" s="17">
        <v>0</v>
      </c>
      <c r="N242" s="17">
        <f t="shared" si="1"/>
        <v>4</v>
      </c>
      <c r="O242" s="17">
        <f t="shared" si="2"/>
        <v>0</v>
      </c>
      <c r="P242" s="3"/>
      <c r="Q242" s="19">
        <f t="shared" si="3"/>
        <v>146</v>
      </c>
      <c r="R242" s="19">
        <v>0</v>
      </c>
      <c r="S242" s="19">
        <f t="shared" si="4"/>
        <v>0</v>
      </c>
      <c r="T242" s="19">
        <f t="shared" si="5"/>
        <v>0</v>
      </c>
      <c r="U242" s="19">
        <f t="shared" si="6"/>
        <v>0</v>
      </c>
      <c r="V242" s="19">
        <f t="shared" si="7"/>
        <v>0</v>
      </c>
      <c r="W242" s="19">
        <f t="shared" si="8"/>
        <v>146</v>
      </c>
      <c r="X242" s="20">
        <f t="shared" si="9"/>
        <v>146</v>
      </c>
      <c r="Y242" s="20">
        <f t="shared" si="10"/>
        <v>0</v>
      </c>
    </row>
    <row r="243" spans="1:25" ht="15.75" customHeight="1">
      <c r="A243" s="14" t="s">
        <v>496</v>
      </c>
      <c r="B243" s="15" t="s">
        <v>497</v>
      </c>
      <c r="C243" s="16">
        <v>36.5</v>
      </c>
      <c r="D243" s="16">
        <v>36.5</v>
      </c>
      <c r="E243" s="17">
        <v>5</v>
      </c>
      <c r="F243" s="18">
        <v>0</v>
      </c>
      <c r="G243" s="18">
        <v>0</v>
      </c>
      <c r="H243" s="18">
        <v>0</v>
      </c>
      <c r="I243" s="17">
        <v>0</v>
      </c>
      <c r="J243" s="17">
        <f t="shared" si="0"/>
        <v>5</v>
      </c>
      <c r="K243" s="17">
        <v>5</v>
      </c>
      <c r="L243" s="17">
        <v>0</v>
      </c>
      <c r="M243" s="17">
        <v>0</v>
      </c>
      <c r="N243" s="17">
        <f t="shared" si="1"/>
        <v>5</v>
      </c>
      <c r="O243" s="17">
        <f t="shared" si="2"/>
        <v>0</v>
      </c>
      <c r="P243" s="3"/>
      <c r="Q243" s="19">
        <f t="shared" si="3"/>
        <v>182.5</v>
      </c>
      <c r="R243" s="19">
        <v>0</v>
      </c>
      <c r="S243" s="19">
        <f t="shared" si="4"/>
        <v>0</v>
      </c>
      <c r="T243" s="19">
        <f t="shared" si="5"/>
        <v>0</v>
      </c>
      <c r="U243" s="19">
        <f t="shared" si="6"/>
        <v>0</v>
      </c>
      <c r="V243" s="19">
        <f t="shared" si="7"/>
        <v>0</v>
      </c>
      <c r="W243" s="19">
        <f t="shared" si="8"/>
        <v>182.5</v>
      </c>
      <c r="X243" s="20">
        <f t="shared" si="9"/>
        <v>182.5</v>
      </c>
      <c r="Y243" s="20">
        <f t="shared" si="10"/>
        <v>0</v>
      </c>
    </row>
    <row r="244" spans="1:25" ht="15.75" customHeight="1">
      <c r="A244" s="14" t="s">
        <v>498</v>
      </c>
      <c r="B244" s="15" t="s">
        <v>499</v>
      </c>
      <c r="C244" s="16">
        <v>0</v>
      </c>
      <c r="D244" s="16">
        <v>0</v>
      </c>
      <c r="E244" s="17">
        <v>0</v>
      </c>
      <c r="F244" s="18">
        <v>0</v>
      </c>
      <c r="G244" s="18">
        <v>0</v>
      </c>
      <c r="H244" s="18">
        <v>0</v>
      </c>
      <c r="I244" s="17">
        <v>0</v>
      </c>
      <c r="J244" s="17">
        <f t="shared" si="0"/>
        <v>0</v>
      </c>
      <c r="K244" s="17">
        <v>0</v>
      </c>
      <c r="L244" s="17">
        <v>0</v>
      </c>
      <c r="M244" s="17">
        <v>0</v>
      </c>
      <c r="N244" s="17">
        <f t="shared" si="1"/>
        <v>0</v>
      </c>
      <c r="O244" s="17">
        <f t="shared" si="2"/>
        <v>0</v>
      </c>
      <c r="P244" s="3"/>
      <c r="Q244" s="19">
        <f t="shared" si="3"/>
        <v>0</v>
      </c>
      <c r="R244" s="19">
        <v>0</v>
      </c>
      <c r="S244" s="19">
        <f t="shared" si="4"/>
        <v>0</v>
      </c>
      <c r="T244" s="19">
        <f t="shared" si="5"/>
        <v>0</v>
      </c>
      <c r="U244" s="19">
        <f t="shared" si="6"/>
        <v>0</v>
      </c>
      <c r="V244" s="19">
        <f t="shared" si="7"/>
        <v>0</v>
      </c>
      <c r="W244" s="19">
        <f t="shared" si="8"/>
        <v>0</v>
      </c>
      <c r="X244" s="20">
        <f t="shared" si="9"/>
        <v>0</v>
      </c>
      <c r="Y244" s="20">
        <f t="shared" si="10"/>
        <v>0</v>
      </c>
    </row>
    <row r="245" spans="1:25" ht="15.75" customHeight="1">
      <c r="A245" s="14" t="s">
        <v>500</v>
      </c>
      <c r="B245" s="15" t="s">
        <v>501</v>
      </c>
      <c r="C245" s="16">
        <v>46.5</v>
      </c>
      <c r="D245" s="16">
        <v>46.5</v>
      </c>
      <c r="E245" s="17">
        <v>10</v>
      </c>
      <c r="F245" s="18">
        <v>0</v>
      </c>
      <c r="G245" s="18">
        <v>0</v>
      </c>
      <c r="H245" s="18">
        <v>0</v>
      </c>
      <c r="I245" s="17">
        <v>0</v>
      </c>
      <c r="J245" s="17">
        <f t="shared" si="0"/>
        <v>10</v>
      </c>
      <c r="K245" s="17">
        <v>10</v>
      </c>
      <c r="L245" s="17">
        <v>0</v>
      </c>
      <c r="M245" s="17">
        <v>0</v>
      </c>
      <c r="N245" s="17">
        <f t="shared" si="1"/>
        <v>10</v>
      </c>
      <c r="O245" s="17">
        <f t="shared" si="2"/>
        <v>0</v>
      </c>
      <c r="P245" s="3"/>
      <c r="Q245" s="19">
        <f t="shared" si="3"/>
        <v>465</v>
      </c>
      <c r="R245" s="19">
        <v>0</v>
      </c>
      <c r="S245" s="19">
        <f t="shared" si="4"/>
        <v>0</v>
      </c>
      <c r="T245" s="19">
        <f t="shared" si="5"/>
        <v>0</v>
      </c>
      <c r="U245" s="19">
        <f t="shared" si="6"/>
        <v>0</v>
      </c>
      <c r="V245" s="19">
        <f t="shared" si="7"/>
        <v>0</v>
      </c>
      <c r="W245" s="19">
        <f t="shared" si="8"/>
        <v>465</v>
      </c>
      <c r="X245" s="20">
        <f t="shared" si="9"/>
        <v>465</v>
      </c>
      <c r="Y245" s="20">
        <f t="shared" si="10"/>
        <v>0</v>
      </c>
    </row>
    <row r="246" spans="1:25" ht="15.75" customHeight="1">
      <c r="A246" s="14" t="s">
        <v>502</v>
      </c>
      <c r="B246" s="15" t="s">
        <v>503</v>
      </c>
      <c r="C246" s="16">
        <v>120</v>
      </c>
      <c r="D246" s="16">
        <v>120</v>
      </c>
      <c r="E246" s="17">
        <v>8</v>
      </c>
      <c r="F246" s="18">
        <v>0</v>
      </c>
      <c r="G246" s="18">
        <v>0</v>
      </c>
      <c r="H246" s="18">
        <v>0</v>
      </c>
      <c r="I246" s="17">
        <v>0</v>
      </c>
      <c r="J246" s="17">
        <f t="shared" si="0"/>
        <v>8</v>
      </c>
      <c r="K246" s="17">
        <v>8</v>
      </c>
      <c r="L246" s="17">
        <v>0</v>
      </c>
      <c r="M246" s="17">
        <v>0</v>
      </c>
      <c r="N246" s="17">
        <f t="shared" si="1"/>
        <v>8</v>
      </c>
      <c r="O246" s="17">
        <f t="shared" si="2"/>
        <v>0</v>
      </c>
      <c r="P246" s="3"/>
      <c r="Q246" s="19">
        <f t="shared" si="3"/>
        <v>960</v>
      </c>
      <c r="R246" s="19">
        <v>0</v>
      </c>
      <c r="S246" s="19">
        <f t="shared" si="4"/>
        <v>0</v>
      </c>
      <c r="T246" s="19">
        <f t="shared" si="5"/>
        <v>0</v>
      </c>
      <c r="U246" s="19">
        <f t="shared" si="6"/>
        <v>0</v>
      </c>
      <c r="V246" s="19">
        <f t="shared" si="7"/>
        <v>0</v>
      </c>
      <c r="W246" s="19">
        <f t="shared" si="8"/>
        <v>960</v>
      </c>
      <c r="X246" s="20">
        <f t="shared" si="9"/>
        <v>960</v>
      </c>
      <c r="Y246" s="20">
        <f t="shared" si="10"/>
        <v>0</v>
      </c>
    </row>
    <row r="247" spans="1:25" ht="15.75" customHeight="1">
      <c r="A247" s="14" t="s">
        <v>504</v>
      </c>
      <c r="B247" s="15" t="s">
        <v>505</v>
      </c>
      <c r="C247" s="16">
        <v>130</v>
      </c>
      <c r="D247" s="16">
        <v>130</v>
      </c>
      <c r="E247" s="17">
        <v>28</v>
      </c>
      <c r="F247" s="18">
        <v>0</v>
      </c>
      <c r="G247" s="18">
        <v>0</v>
      </c>
      <c r="H247" s="18">
        <v>0</v>
      </c>
      <c r="I247" s="17">
        <v>0</v>
      </c>
      <c r="J247" s="17">
        <f t="shared" si="0"/>
        <v>28</v>
      </c>
      <c r="K247" s="17">
        <v>28</v>
      </c>
      <c r="L247" s="17">
        <v>0</v>
      </c>
      <c r="M247" s="17">
        <v>0</v>
      </c>
      <c r="N247" s="17">
        <f t="shared" si="1"/>
        <v>28</v>
      </c>
      <c r="O247" s="17">
        <f t="shared" si="2"/>
        <v>0</v>
      </c>
      <c r="P247" s="3"/>
      <c r="Q247" s="19">
        <f t="shared" si="3"/>
        <v>3640</v>
      </c>
      <c r="R247" s="19">
        <v>0</v>
      </c>
      <c r="S247" s="19">
        <f t="shared" si="4"/>
        <v>0</v>
      </c>
      <c r="T247" s="19">
        <f t="shared" si="5"/>
        <v>0</v>
      </c>
      <c r="U247" s="19">
        <f t="shared" si="6"/>
        <v>0</v>
      </c>
      <c r="V247" s="19">
        <f t="shared" si="7"/>
        <v>0</v>
      </c>
      <c r="W247" s="19">
        <f t="shared" si="8"/>
        <v>3640</v>
      </c>
      <c r="X247" s="20">
        <f t="shared" si="9"/>
        <v>3640</v>
      </c>
      <c r="Y247" s="20">
        <f t="shared" si="10"/>
        <v>0</v>
      </c>
    </row>
    <row r="248" spans="1:25" ht="15.75" customHeight="1">
      <c r="A248" s="14" t="s">
        <v>506</v>
      </c>
      <c r="B248" s="15" t="s">
        <v>507</v>
      </c>
      <c r="C248" s="16">
        <v>120</v>
      </c>
      <c r="D248" s="16">
        <v>120</v>
      </c>
      <c r="E248" s="17">
        <v>2</v>
      </c>
      <c r="F248" s="18">
        <v>0</v>
      </c>
      <c r="G248" s="18">
        <v>0</v>
      </c>
      <c r="H248" s="18">
        <v>0</v>
      </c>
      <c r="I248" s="17">
        <v>0</v>
      </c>
      <c r="J248" s="17">
        <f t="shared" si="0"/>
        <v>2</v>
      </c>
      <c r="K248" s="17">
        <v>2</v>
      </c>
      <c r="L248" s="17">
        <v>0</v>
      </c>
      <c r="M248" s="17">
        <v>0</v>
      </c>
      <c r="N248" s="17">
        <f t="shared" si="1"/>
        <v>2</v>
      </c>
      <c r="O248" s="17">
        <f t="shared" si="2"/>
        <v>0</v>
      </c>
      <c r="P248" s="3"/>
      <c r="Q248" s="19">
        <f t="shared" si="3"/>
        <v>240</v>
      </c>
      <c r="R248" s="19">
        <v>0</v>
      </c>
      <c r="S248" s="19">
        <f t="shared" si="4"/>
        <v>0</v>
      </c>
      <c r="T248" s="19">
        <f t="shared" si="5"/>
        <v>0</v>
      </c>
      <c r="U248" s="19">
        <f t="shared" si="6"/>
        <v>0</v>
      </c>
      <c r="V248" s="19">
        <f t="shared" si="7"/>
        <v>0</v>
      </c>
      <c r="W248" s="19">
        <f t="shared" si="8"/>
        <v>240</v>
      </c>
      <c r="X248" s="20">
        <f t="shared" si="9"/>
        <v>240</v>
      </c>
      <c r="Y248" s="20">
        <f t="shared" si="10"/>
        <v>0</v>
      </c>
    </row>
    <row r="249" spans="1:25" ht="15.75" customHeight="1">
      <c r="A249" s="14" t="s">
        <v>508</v>
      </c>
      <c r="B249" s="15" t="s">
        <v>509</v>
      </c>
      <c r="C249" s="16">
        <v>720</v>
      </c>
      <c r="D249" s="16">
        <v>720</v>
      </c>
      <c r="E249" s="17">
        <v>2</v>
      </c>
      <c r="F249" s="18">
        <v>0</v>
      </c>
      <c r="G249" s="18">
        <v>0</v>
      </c>
      <c r="H249" s="18">
        <v>0</v>
      </c>
      <c r="I249" s="17">
        <v>0</v>
      </c>
      <c r="J249" s="17">
        <f t="shared" si="0"/>
        <v>2</v>
      </c>
      <c r="K249" s="17">
        <v>2</v>
      </c>
      <c r="L249" s="17">
        <v>0</v>
      </c>
      <c r="M249" s="17">
        <v>0</v>
      </c>
      <c r="N249" s="17">
        <f t="shared" si="1"/>
        <v>2</v>
      </c>
      <c r="O249" s="17">
        <f t="shared" si="2"/>
        <v>0</v>
      </c>
      <c r="P249" s="3"/>
      <c r="Q249" s="19">
        <f t="shared" si="3"/>
        <v>1440</v>
      </c>
      <c r="R249" s="19">
        <v>0</v>
      </c>
      <c r="S249" s="19">
        <f t="shared" si="4"/>
        <v>0</v>
      </c>
      <c r="T249" s="19">
        <f t="shared" si="5"/>
        <v>0</v>
      </c>
      <c r="U249" s="19">
        <f t="shared" si="6"/>
        <v>0</v>
      </c>
      <c r="V249" s="19">
        <f t="shared" si="7"/>
        <v>0</v>
      </c>
      <c r="W249" s="19">
        <f t="shared" si="8"/>
        <v>1440</v>
      </c>
      <c r="X249" s="20">
        <f t="shared" si="9"/>
        <v>1440</v>
      </c>
      <c r="Y249" s="20">
        <f t="shared" si="10"/>
        <v>0</v>
      </c>
    </row>
    <row r="250" spans="1:25" ht="15.75" customHeight="1">
      <c r="A250" s="14" t="s">
        <v>510</v>
      </c>
      <c r="B250" s="15" t="s">
        <v>511</v>
      </c>
      <c r="C250" s="16">
        <v>2151.2199999999998</v>
      </c>
      <c r="D250" s="16">
        <v>2151.2199999999998</v>
      </c>
      <c r="E250" s="17">
        <v>1</v>
      </c>
      <c r="F250" s="18">
        <v>0</v>
      </c>
      <c r="G250" s="18">
        <v>0</v>
      </c>
      <c r="H250" s="18">
        <v>0</v>
      </c>
      <c r="I250" s="17">
        <v>0</v>
      </c>
      <c r="J250" s="17">
        <f t="shared" si="0"/>
        <v>1</v>
      </c>
      <c r="K250" s="17">
        <v>1</v>
      </c>
      <c r="L250" s="17">
        <v>0</v>
      </c>
      <c r="M250" s="17">
        <v>0</v>
      </c>
      <c r="N250" s="17">
        <f t="shared" si="1"/>
        <v>1</v>
      </c>
      <c r="O250" s="17">
        <f t="shared" si="2"/>
        <v>0</v>
      </c>
      <c r="P250" s="3"/>
      <c r="Q250" s="19">
        <f t="shared" si="3"/>
        <v>2151.2199999999998</v>
      </c>
      <c r="R250" s="19">
        <v>0</v>
      </c>
      <c r="S250" s="19">
        <f t="shared" si="4"/>
        <v>0</v>
      </c>
      <c r="T250" s="19">
        <f t="shared" si="5"/>
        <v>0</v>
      </c>
      <c r="U250" s="19">
        <f t="shared" si="6"/>
        <v>0</v>
      </c>
      <c r="V250" s="19">
        <f t="shared" si="7"/>
        <v>0</v>
      </c>
      <c r="W250" s="19">
        <f t="shared" si="8"/>
        <v>2151.2199999999998</v>
      </c>
      <c r="X250" s="20">
        <f t="shared" si="9"/>
        <v>2151.2199999999998</v>
      </c>
      <c r="Y250" s="20">
        <f t="shared" si="10"/>
        <v>0</v>
      </c>
    </row>
    <row r="251" spans="1:25" ht="15.75" customHeight="1">
      <c r="A251" s="14" t="s">
        <v>512</v>
      </c>
      <c r="B251" s="15" t="s">
        <v>513</v>
      </c>
      <c r="C251" s="16">
        <v>215.76</v>
      </c>
      <c r="D251" s="16">
        <v>215.76</v>
      </c>
      <c r="E251" s="17">
        <v>1</v>
      </c>
      <c r="F251" s="18">
        <v>0</v>
      </c>
      <c r="G251" s="18">
        <v>0</v>
      </c>
      <c r="H251" s="18">
        <v>0</v>
      </c>
      <c r="I251" s="17">
        <v>0</v>
      </c>
      <c r="J251" s="17">
        <f t="shared" si="0"/>
        <v>1</v>
      </c>
      <c r="K251" s="18">
        <v>1</v>
      </c>
      <c r="L251" s="18">
        <v>0</v>
      </c>
      <c r="M251" s="17">
        <v>0</v>
      </c>
      <c r="N251" s="18">
        <f t="shared" si="1"/>
        <v>1</v>
      </c>
      <c r="O251" s="17">
        <f t="shared" si="2"/>
        <v>0</v>
      </c>
      <c r="P251" s="3"/>
      <c r="Q251" s="19">
        <f t="shared" si="3"/>
        <v>215.76</v>
      </c>
      <c r="R251" s="19">
        <v>0</v>
      </c>
      <c r="S251" s="19">
        <f t="shared" si="4"/>
        <v>0</v>
      </c>
      <c r="T251" s="19">
        <f t="shared" si="5"/>
        <v>0</v>
      </c>
      <c r="U251" s="19">
        <f t="shared" si="6"/>
        <v>0</v>
      </c>
      <c r="V251" s="19">
        <f t="shared" si="7"/>
        <v>0</v>
      </c>
      <c r="W251" s="19">
        <f t="shared" si="8"/>
        <v>215.76</v>
      </c>
      <c r="X251" s="20">
        <f t="shared" si="9"/>
        <v>215.76</v>
      </c>
      <c r="Y251" s="20">
        <f t="shared" si="10"/>
        <v>0</v>
      </c>
    </row>
    <row r="252" spans="1:25" ht="15.75" customHeight="1">
      <c r="A252" s="14" t="s">
        <v>514</v>
      </c>
      <c r="B252" s="15" t="s">
        <v>515</v>
      </c>
      <c r="C252" s="16">
        <v>182.12</v>
      </c>
      <c r="D252" s="16">
        <v>182.12</v>
      </c>
      <c r="E252" s="17">
        <v>1</v>
      </c>
      <c r="F252" s="18">
        <v>0</v>
      </c>
      <c r="G252" s="18">
        <v>0</v>
      </c>
      <c r="H252" s="18">
        <v>0</v>
      </c>
      <c r="I252" s="17">
        <v>0</v>
      </c>
      <c r="J252" s="17">
        <f t="shared" si="0"/>
        <v>1</v>
      </c>
      <c r="K252" s="18">
        <v>1</v>
      </c>
      <c r="L252" s="18">
        <v>0</v>
      </c>
      <c r="M252" s="17">
        <v>0</v>
      </c>
      <c r="N252" s="18">
        <f t="shared" si="1"/>
        <v>1</v>
      </c>
      <c r="O252" s="17">
        <f t="shared" si="2"/>
        <v>0</v>
      </c>
      <c r="P252" s="3"/>
      <c r="Q252" s="19">
        <f t="shared" si="3"/>
        <v>182.12</v>
      </c>
      <c r="R252" s="19">
        <v>0</v>
      </c>
      <c r="S252" s="19">
        <f t="shared" si="4"/>
        <v>0</v>
      </c>
      <c r="T252" s="19">
        <f t="shared" si="5"/>
        <v>0</v>
      </c>
      <c r="U252" s="19">
        <f t="shared" si="6"/>
        <v>0</v>
      </c>
      <c r="V252" s="19">
        <f t="shared" si="7"/>
        <v>0</v>
      </c>
      <c r="W252" s="19">
        <f t="shared" si="8"/>
        <v>182.12</v>
      </c>
      <c r="X252" s="20">
        <f t="shared" si="9"/>
        <v>182.12</v>
      </c>
      <c r="Y252" s="20">
        <f t="shared" si="10"/>
        <v>0</v>
      </c>
    </row>
    <row r="253" spans="1:25" ht="15.75" customHeight="1">
      <c r="A253" s="14" t="s">
        <v>516</v>
      </c>
      <c r="B253" s="15" t="s">
        <v>517</v>
      </c>
      <c r="C253" s="16">
        <v>192.56</v>
      </c>
      <c r="D253" s="16">
        <v>192.56</v>
      </c>
      <c r="E253" s="17">
        <v>1</v>
      </c>
      <c r="F253" s="18">
        <v>0</v>
      </c>
      <c r="G253" s="18">
        <v>0</v>
      </c>
      <c r="H253" s="18">
        <v>0</v>
      </c>
      <c r="I253" s="17">
        <v>0</v>
      </c>
      <c r="J253" s="17">
        <f t="shared" si="0"/>
        <v>1</v>
      </c>
      <c r="K253" s="18">
        <v>1</v>
      </c>
      <c r="L253" s="18">
        <v>0</v>
      </c>
      <c r="M253" s="17">
        <v>0</v>
      </c>
      <c r="N253" s="18">
        <f t="shared" si="1"/>
        <v>1</v>
      </c>
      <c r="O253" s="17">
        <f t="shared" si="2"/>
        <v>0</v>
      </c>
      <c r="P253" s="3"/>
      <c r="Q253" s="19">
        <f t="shared" si="3"/>
        <v>192.56</v>
      </c>
      <c r="R253" s="19">
        <v>0</v>
      </c>
      <c r="S253" s="19">
        <f t="shared" si="4"/>
        <v>0</v>
      </c>
      <c r="T253" s="19">
        <f t="shared" si="5"/>
        <v>0</v>
      </c>
      <c r="U253" s="19">
        <f t="shared" si="6"/>
        <v>0</v>
      </c>
      <c r="V253" s="19">
        <f t="shared" si="7"/>
        <v>0</v>
      </c>
      <c r="W253" s="19">
        <f t="shared" si="8"/>
        <v>192.56</v>
      </c>
      <c r="X253" s="20">
        <f t="shared" si="9"/>
        <v>192.56</v>
      </c>
      <c r="Y253" s="20">
        <f t="shared" si="10"/>
        <v>0</v>
      </c>
    </row>
    <row r="254" spans="1:25" ht="15.75" customHeight="1">
      <c r="A254" s="14" t="s">
        <v>518</v>
      </c>
      <c r="B254" s="15" t="s">
        <v>519</v>
      </c>
      <c r="C254" s="16">
        <v>1983.6</v>
      </c>
      <c r="D254" s="16">
        <v>1983.6</v>
      </c>
      <c r="E254" s="17">
        <v>1</v>
      </c>
      <c r="F254" s="18">
        <v>0</v>
      </c>
      <c r="G254" s="18">
        <v>0</v>
      </c>
      <c r="H254" s="18">
        <v>0</v>
      </c>
      <c r="I254" s="17">
        <v>0</v>
      </c>
      <c r="J254" s="17">
        <f t="shared" si="0"/>
        <v>1</v>
      </c>
      <c r="K254" s="18">
        <v>1</v>
      </c>
      <c r="L254" s="18">
        <v>0</v>
      </c>
      <c r="M254" s="17">
        <v>0</v>
      </c>
      <c r="N254" s="18">
        <f t="shared" si="1"/>
        <v>1</v>
      </c>
      <c r="O254" s="17">
        <f t="shared" si="2"/>
        <v>0</v>
      </c>
      <c r="P254" s="3"/>
      <c r="Q254" s="19">
        <f t="shared" si="3"/>
        <v>1983.6</v>
      </c>
      <c r="R254" s="19">
        <v>0</v>
      </c>
      <c r="S254" s="19">
        <f t="shared" si="4"/>
        <v>0</v>
      </c>
      <c r="T254" s="19">
        <f t="shared" si="5"/>
        <v>0</v>
      </c>
      <c r="U254" s="19">
        <f t="shared" si="6"/>
        <v>0</v>
      </c>
      <c r="V254" s="19">
        <f t="shared" si="7"/>
        <v>0</v>
      </c>
      <c r="W254" s="19">
        <f t="shared" si="8"/>
        <v>1983.6</v>
      </c>
      <c r="X254" s="20">
        <f t="shared" si="9"/>
        <v>1983.6</v>
      </c>
      <c r="Y254" s="20">
        <f t="shared" si="10"/>
        <v>0</v>
      </c>
    </row>
    <row r="255" spans="1:25" ht="15.75" customHeight="1">
      <c r="A255" s="14" t="s">
        <v>520</v>
      </c>
      <c r="B255" s="15" t="s">
        <v>521</v>
      </c>
      <c r="C255" s="16">
        <v>0</v>
      </c>
      <c r="D255" s="16">
        <v>0</v>
      </c>
      <c r="E255" s="17">
        <v>0</v>
      </c>
      <c r="F255" s="18">
        <v>0</v>
      </c>
      <c r="G255" s="18">
        <v>0</v>
      </c>
      <c r="H255" s="18">
        <v>0</v>
      </c>
      <c r="I255" s="17">
        <v>0</v>
      </c>
      <c r="J255" s="17">
        <f t="shared" si="0"/>
        <v>0</v>
      </c>
      <c r="K255" s="18">
        <v>0</v>
      </c>
      <c r="L255" s="18">
        <v>0</v>
      </c>
      <c r="M255" s="17">
        <v>0</v>
      </c>
      <c r="N255" s="18">
        <f t="shared" si="1"/>
        <v>0</v>
      </c>
      <c r="O255" s="17">
        <f t="shared" si="2"/>
        <v>0</v>
      </c>
      <c r="P255" s="3"/>
      <c r="Q255" s="19">
        <f t="shared" si="3"/>
        <v>0</v>
      </c>
      <c r="R255" s="19">
        <v>0</v>
      </c>
      <c r="S255" s="19">
        <f t="shared" si="4"/>
        <v>0</v>
      </c>
      <c r="T255" s="19">
        <f t="shared" si="5"/>
        <v>0</v>
      </c>
      <c r="U255" s="19">
        <f t="shared" si="6"/>
        <v>0</v>
      </c>
      <c r="V255" s="19">
        <f t="shared" si="7"/>
        <v>0</v>
      </c>
      <c r="W255" s="19">
        <f t="shared" si="8"/>
        <v>0</v>
      </c>
      <c r="X255" s="20">
        <f t="shared" si="9"/>
        <v>0</v>
      </c>
      <c r="Y255" s="20">
        <f t="shared" si="10"/>
        <v>0</v>
      </c>
    </row>
    <row r="256" spans="1:25" ht="15.75" customHeight="1">
      <c r="A256" s="14" t="s">
        <v>522</v>
      </c>
      <c r="B256" s="15" t="s">
        <v>523</v>
      </c>
      <c r="C256" s="16">
        <v>723.8</v>
      </c>
      <c r="D256" s="16">
        <v>723.8</v>
      </c>
      <c r="E256" s="17">
        <v>2</v>
      </c>
      <c r="F256" s="18">
        <v>0</v>
      </c>
      <c r="G256" s="18">
        <v>0</v>
      </c>
      <c r="H256" s="18">
        <v>0</v>
      </c>
      <c r="I256" s="17">
        <v>0</v>
      </c>
      <c r="J256" s="17">
        <f t="shared" si="0"/>
        <v>2</v>
      </c>
      <c r="K256" s="18">
        <v>2</v>
      </c>
      <c r="L256" s="18">
        <v>0</v>
      </c>
      <c r="M256" s="17">
        <v>0</v>
      </c>
      <c r="N256" s="18">
        <f t="shared" si="1"/>
        <v>2</v>
      </c>
      <c r="O256" s="17">
        <f t="shared" si="2"/>
        <v>0</v>
      </c>
      <c r="P256" s="3"/>
      <c r="Q256" s="19">
        <f t="shared" si="3"/>
        <v>1447.6</v>
      </c>
      <c r="R256" s="19">
        <v>0</v>
      </c>
      <c r="S256" s="19">
        <f t="shared" si="4"/>
        <v>0</v>
      </c>
      <c r="T256" s="19">
        <f t="shared" si="5"/>
        <v>0</v>
      </c>
      <c r="U256" s="19">
        <f t="shared" si="6"/>
        <v>0</v>
      </c>
      <c r="V256" s="19">
        <f t="shared" si="7"/>
        <v>0</v>
      </c>
      <c r="W256" s="19">
        <f t="shared" si="8"/>
        <v>1447.6</v>
      </c>
      <c r="X256" s="20">
        <f t="shared" si="9"/>
        <v>1447.6</v>
      </c>
      <c r="Y256" s="20">
        <f t="shared" si="10"/>
        <v>0</v>
      </c>
    </row>
    <row r="257" spans="1:25" ht="15.75" customHeight="1">
      <c r="A257" s="14" t="s">
        <v>524</v>
      </c>
      <c r="B257" s="15" t="s">
        <v>525</v>
      </c>
      <c r="C257" s="16">
        <v>460</v>
      </c>
      <c r="D257" s="16">
        <v>460</v>
      </c>
      <c r="E257" s="17">
        <v>2</v>
      </c>
      <c r="F257" s="18">
        <v>0</v>
      </c>
      <c r="G257" s="18">
        <v>0</v>
      </c>
      <c r="H257" s="18">
        <v>0</v>
      </c>
      <c r="I257" s="17">
        <v>0</v>
      </c>
      <c r="J257" s="17">
        <f t="shared" si="0"/>
        <v>2</v>
      </c>
      <c r="K257" s="18">
        <v>1</v>
      </c>
      <c r="L257" s="18">
        <v>0</v>
      </c>
      <c r="M257" s="17">
        <v>1</v>
      </c>
      <c r="N257" s="18">
        <f t="shared" si="1"/>
        <v>2</v>
      </c>
      <c r="O257" s="17">
        <f t="shared" si="2"/>
        <v>0</v>
      </c>
      <c r="P257" s="3"/>
      <c r="Q257" s="19">
        <f t="shared" si="3"/>
        <v>920</v>
      </c>
      <c r="R257" s="19">
        <v>0</v>
      </c>
      <c r="S257" s="19">
        <f t="shared" si="4"/>
        <v>0</v>
      </c>
      <c r="T257" s="19">
        <f t="shared" si="5"/>
        <v>0</v>
      </c>
      <c r="U257" s="19">
        <f t="shared" si="6"/>
        <v>0</v>
      </c>
      <c r="V257" s="19">
        <f t="shared" si="7"/>
        <v>0</v>
      </c>
      <c r="W257" s="19">
        <f t="shared" si="8"/>
        <v>920</v>
      </c>
      <c r="X257" s="20">
        <f t="shared" si="9"/>
        <v>920</v>
      </c>
      <c r="Y257" s="20">
        <f t="shared" si="10"/>
        <v>0</v>
      </c>
    </row>
    <row r="258" spans="1:25" ht="15.75" customHeight="1">
      <c r="A258" s="14" t="s">
        <v>526</v>
      </c>
      <c r="B258" s="15" t="s">
        <v>527</v>
      </c>
      <c r="C258" s="16">
        <v>0</v>
      </c>
      <c r="D258" s="16">
        <v>0</v>
      </c>
      <c r="E258" s="17">
        <v>0</v>
      </c>
      <c r="F258" s="18">
        <v>0</v>
      </c>
      <c r="G258" s="18">
        <v>0</v>
      </c>
      <c r="H258" s="18">
        <v>0</v>
      </c>
      <c r="I258" s="17">
        <v>0</v>
      </c>
      <c r="J258" s="17">
        <f t="shared" si="0"/>
        <v>0</v>
      </c>
      <c r="K258" s="18">
        <v>0</v>
      </c>
      <c r="L258" s="18">
        <v>0</v>
      </c>
      <c r="M258" s="17">
        <v>0</v>
      </c>
      <c r="N258" s="18">
        <f t="shared" si="1"/>
        <v>0</v>
      </c>
      <c r="O258" s="17">
        <f t="shared" si="2"/>
        <v>0</v>
      </c>
      <c r="P258" s="3"/>
      <c r="Q258" s="19">
        <f t="shared" si="3"/>
        <v>0</v>
      </c>
      <c r="R258" s="19">
        <v>0</v>
      </c>
      <c r="S258" s="19">
        <f t="shared" si="4"/>
        <v>0</v>
      </c>
      <c r="T258" s="19">
        <f t="shared" si="5"/>
        <v>0</v>
      </c>
      <c r="U258" s="19">
        <f t="shared" si="6"/>
        <v>0</v>
      </c>
      <c r="V258" s="19">
        <f t="shared" si="7"/>
        <v>0</v>
      </c>
      <c r="W258" s="19">
        <f t="shared" si="8"/>
        <v>0</v>
      </c>
      <c r="X258" s="20">
        <f t="shared" si="9"/>
        <v>0</v>
      </c>
      <c r="Y258" s="20">
        <f t="shared" si="10"/>
        <v>0</v>
      </c>
    </row>
    <row r="259" spans="1:25" ht="15.75" customHeight="1">
      <c r="A259" s="14" t="s">
        <v>528</v>
      </c>
      <c r="B259" s="15" t="s">
        <v>529</v>
      </c>
      <c r="C259" s="16">
        <v>4700</v>
      </c>
      <c r="D259" s="16">
        <v>4700</v>
      </c>
      <c r="E259" s="17">
        <v>0</v>
      </c>
      <c r="F259" s="18">
        <v>0</v>
      </c>
      <c r="G259" s="18">
        <v>0</v>
      </c>
      <c r="H259" s="18">
        <v>0</v>
      </c>
      <c r="I259" s="17">
        <v>0</v>
      </c>
      <c r="J259" s="17">
        <f t="shared" si="0"/>
        <v>0</v>
      </c>
      <c r="K259" s="18">
        <v>0</v>
      </c>
      <c r="L259" s="18">
        <v>0</v>
      </c>
      <c r="M259" s="17">
        <v>0</v>
      </c>
      <c r="N259" s="18">
        <f t="shared" si="1"/>
        <v>0</v>
      </c>
      <c r="O259" s="17">
        <f t="shared" si="2"/>
        <v>0</v>
      </c>
      <c r="P259" s="3"/>
      <c r="Q259" s="19">
        <f t="shared" si="3"/>
        <v>0</v>
      </c>
      <c r="R259" s="19">
        <v>0</v>
      </c>
      <c r="S259" s="19">
        <f t="shared" si="4"/>
        <v>0</v>
      </c>
      <c r="T259" s="19">
        <f t="shared" si="5"/>
        <v>0</v>
      </c>
      <c r="U259" s="19">
        <f t="shared" si="6"/>
        <v>0</v>
      </c>
      <c r="V259" s="19">
        <f t="shared" si="7"/>
        <v>0</v>
      </c>
      <c r="W259" s="19">
        <f t="shared" si="8"/>
        <v>0</v>
      </c>
      <c r="X259" s="20">
        <f t="shared" si="9"/>
        <v>0</v>
      </c>
      <c r="Y259" s="20">
        <f t="shared" si="10"/>
        <v>0</v>
      </c>
    </row>
    <row r="260" spans="1:25" ht="15.75" customHeight="1">
      <c r="A260" s="14" t="s">
        <v>530</v>
      </c>
      <c r="B260" s="15" t="s">
        <v>531</v>
      </c>
      <c r="C260" s="16">
        <v>9600</v>
      </c>
      <c r="D260" s="16">
        <v>9600</v>
      </c>
      <c r="E260" s="17">
        <v>1</v>
      </c>
      <c r="F260" s="18">
        <v>0</v>
      </c>
      <c r="G260" s="18">
        <v>0</v>
      </c>
      <c r="H260" s="18">
        <v>0</v>
      </c>
      <c r="I260" s="17">
        <v>0</v>
      </c>
      <c r="J260" s="17">
        <f t="shared" si="0"/>
        <v>1</v>
      </c>
      <c r="K260" s="18">
        <v>1</v>
      </c>
      <c r="L260" s="18">
        <v>0</v>
      </c>
      <c r="M260" s="18">
        <v>0</v>
      </c>
      <c r="N260" s="18">
        <f t="shared" si="1"/>
        <v>1</v>
      </c>
      <c r="O260" s="17">
        <f t="shared" si="2"/>
        <v>0</v>
      </c>
      <c r="P260" s="3"/>
      <c r="Q260" s="19">
        <f t="shared" si="3"/>
        <v>9600</v>
      </c>
      <c r="R260" s="19">
        <v>0</v>
      </c>
      <c r="S260" s="19">
        <f t="shared" si="4"/>
        <v>0</v>
      </c>
      <c r="T260" s="19">
        <f t="shared" si="5"/>
        <v>0</v>
      </c>
      <c r="U260" s="19">
        <f t="shared" si="6"/>
        <v>0</v>
      </c>
      <c r="V260" s="19">
        <f t="shared" si="7"/>
        <v>0</v>
      </c>
      <c r="W260" s="19">
        <f t="shared" si="8"/>
        <v>9600</v>
      </c>
      <c r="X260" s="20">
        <f t="shared" si="9"/>
        <v>9600</v>
      </c>
      <c r="Y260" s="20">
        <f t="shared" si="10"/>
        <v>0</v>
      </c>
    </row>
    <row r="261" spans="1:25" ht="15.75" customHeight="1">
      <c r="A261" s="14" t="s">
        <v>532</v>
      </c>
      <c r="B261" s="15" t="s">
        <v>533</v>
      </c>
      <c r="C261" s="16">
        <v>652.5</v>
      </c>
      <c r="D261" s="16">
        <v>652.5</v>
      </c>
      <c r="E261" s="17">
        <v>3</v>
      </c>
      <c r="F261" s="18">
        <v>0</v>
      </c>
      <c r="G261" s="18">
        <v>0</v>
      </c>
      <c r="H261" s="18">
        <v>0</v>
      </c>
      <c r="I261" s="17">
        <v>0</v>
      </c>
      <c r="J261" s="17">
        <f t="shared" si="0"/>
        <v>3</v>
      </c>
      <c r="K261" s="18">
        <v>3</v>
      </c>
      <c r="L261" s="18">
        <v>0</v>
      </c>
      <c r="M261" s="17">
        <v>0</v>
      </c>
      <c r="N261" s="18">
        <f t="shared" si="1"/>
        <v>3</v>
      </c>
      <c r="O261" s="17">
        <f t="shared" si="2"/>
        <v>0</v>
      </c>
      <c r="P261" s="3"/>
      <c r="Q261" s="19">
        <f t="shared" si="3"/>
        <v>1957.5</v>
      </c>
      <c r="R261" s="19">
        <v>0</v>
      </c>
      <c r="S261" s="19">
        <f t="shared" si="4"/>
        <v>0</v>
      </c>
      <c r="T261" s="19">
        <f t="shared" si="5"/>
        <v>0</v>
      </c>
      <c r="U261" s="19">
        <f t="shared" si="6"/>
        <v>0</v>
      </c>
      <c r="V261" s="19">
        <f t="shared" si="7"/>
        <v>0</v>
      </c>
      <c r="W261" s="19">
        <f t="shared" si="8"/>
        <v>1957.5</v>
      </c>
      <c r="X261" s="20">
        <f t="shared" si="9"/>
        <v>1957.5</v>
      </c>
      <c r="Y261" s="20">
        <f t="shared" si="10"/>
        <v>0</v>
      </c>
    </row>
    <row r="262" spans="1:25" ht="15.75" customHeight="1">
      <c r="A262" s="14" t="s">
        <v>534</v>
      </c>
      <c r="B262" s="15" t="s">
        <v>535</v>
      </c>
      <c r="C262" s="16">
        <v>652.5</v>
      </c>
      <c r="D262" s="16">
        <v>652.5</v>
      </c>
      <c r="E262" s="17">
        <v>3</v>
      </c>
      <c r="F262" s="18">
        <v>0</v>
      </c>
      <c r="G262" s="18">
        <v>0</v>
      </c>
      <c r="H262" s="18">
        <v>0</v>
      </c>
      <c r="I262" s="17">
        <v>0</v>
      </c>
      <c r="J262" s="17">
        <f t="shared" ref="J262:J304" si="11">E262+F262+G262-H262-I262</f>
        <v>3</v>
      </c>
      <c r="K262" s="18">
        <v>3</v>
      </c>
      <c r="L262" s="18">
        <v>0</v>
      </c>
      <c r="M262" s="17">
        <v>0</v>
      </c>
      <c r="N262" s="18">
        <f t="shared" ref="N262:N304" si="12">K262+L262+M262</f>
        <v>3</v>
      </c>
      <c r="O262" s="17">
        <f t="shared" ref="O262:O304" si="13">N262-J262</f>
        <v>0</v>
      </c>
      <c r="P262" s="3"/>
      <c r="Q262" s="19">
        <f t="shared" ref="Q262:Q304" si="14">C262*E262</f>
        <v>1957.5</v>
      </c>
      <c r="R262" s="19">
        <v>0</v>
      </c>
      <c r="S262" s="19">
        <f t="shared" ref="S262:S304" si="15">D262*F262</f>
        <v>0</v>
      </c>
      <c r="T262" s="19">
        <f t="shared" ref="T262:T304" si="16">D262*G262</f>
        <v>0</v>
      </c>
      <c r="U262" s="19">
        <f t="shared" ref="U262:U304" si="17">D262*H262</f>
        <v>0</v>
      </c>
      <c r="V262" s="19">
        <f t="shared" ref="V262:V304" si="18">D262*I262</f>
        <v>0</v>
      </c>
      <c r="W262" s="19">
        <f t="shared" ref="W262:W304" si="19">Q262+R262+S262+T262-U262-V262</f>
        <v>1957.5</v>
      </c>
      <c r="X262" s="20">
        <f t="shared" ref="X262:X304" si="20">J262*D262</f>
        <v>1957.5</v>
      </c>
      <c r="Y262" s="20">
        <f t="shared" ref="Y262:Y304" si="21">X262-W262</f>
        <v>0</v>
      </c>
    </row>
    <row r="263" spans="1:25" ht="15.75" customHeight="1">
      <c r="A263" s="14" t="s">
        <v>536</v>
      </c>
      <c r="B263" s="15" t="s">
        <v>537</v>
      </c>
      <c r="C263" s="16">
        <v>652.5</v>
      </c>
      <c r="D263" s="16">
        <v>652.5</v>
      </c>
      <c r="E263" s="17">
        <v>3</v>
      </c>
      <c r="F263" s="18">
        <v>0</v>
      </c>
      <c r="G263" s="18">
        <v>0</v>
      </c>
      <c r="H263" s="18">
        <v>0</v>
      </c>
      <c r="I263" s="17">
        <v>0</v>
      </c>
      <c r="J263" s="17">
        <f t="shared" si="11"/>
        <v>3</v>
      </c>
      <c r="K263" s="18">
        <v>3</v>
      </c>
      <c r="L263" s="18">
        <v>0</v>
      </c>
      <c r="M263" s="17">
        <v>0</v>
      </c>
      <c r="N263" s="18">
        <f t="shared" si="12"/>
        <v>3</v>
      </c>
      <c r="O263" s="17">
        <f t="shared" si="13"/>
        <v>0</v>
      </c>
      <c r="P263" s="3"/>
      <c r="Q263" s="19">
        <f t="shared" si="14"/>
        <v>1957.5</v>
      </c>
      <c r="R263" s="19">
        <v>0</v>
      </c>
      <c r="S263" s="19">
        <f t="shared" si="15"/>
        <v>0</v>
      </c>
      <c r="T263" s="19">
        <f t="shared" si="16"/>
        <v>0</v>
      </c>
      <c r="U263" s="19">
        <f t="shared" si="17"/>
        <v>0</v>
      </c>
      <c r="V263" s="19">
        <f t="shared" si="18"/>
        <v>0</v>
      </c>
      <c r="W263" s="19">
        <f t="shared" si="19"/>
        <v>1957.5</v>
      </c>
      <c r="X263" s="20">
        <f t="shared" si="20"/>
        <v>1957.5</v>
      </c>
      <c r="Y263" s="20">
        <f t="shared" si="21"/>
        <v>0</v>
      </c>
    </row>
    <row r="264" spans="1:25" ht="15.75" customHeight="1">
      <c r="A264" s="14" t="s">
        <v>538</v>
      </c>
      <c r="B264" s="15" t="s">
        <v>539</v>
      </c>
      <c r="C264" s="16">
        <v>652</v>
      </c>
      <c r="D264" s="16">
        <v>652</v>
      </c>
      <c r="E264" s="17">
        <v>3</v>
      </c>
      <c r="F264" s="18">
        <v>0</v>
      </c>
      <c r="G264" s="18">
        <v>0</v>
      </c>
      <c r="H264" s="18">
        <v>0</v>
      </c>
      <c r="I264" s="17">
        <v>0</v>
      </c>
      <c r="J264" s="17">
        <f t="shared" si="11"/>
        <v>3</v>
      </c>
      <c r="K264" s="18">
        <v>3</v>
      </c>
      <c r="L264" s="18">
        <v>0</v>
      </c>
      <c r="M264" s="17">
        <v>0</v>
      </c>
      <c r="N264" s="18">
        <f t="shared" si="12"/>
        <v>3</v>
      </c>
      <c r="O264" s="17">
        <f t="shared" si="13"/>
        <v>0</v>
      </c>
      <c r="P264" s="3"/>
      <c r="Q264" s="19">
        <f t="shared" si="14"/>
        <v>1956</v>
      </c>
      <c r="R264" s="19">
        <v>0</v>
      </c>
      <c r="S264" s="19">
        <f t="shared" si="15"/>
        <v>0</v>
      </c>
      <c r="T264" s="19">
        <f t="shared" si="16"/>
        <v>0</v>
      </c>
      <c r="U264" s="19">
        <f t="shared" si="17"/>
        <v>0</v>
      </c>
      <c r="V264" s="19">
        <f t="shared" si="18"/>
        <v>0</v>
      </c>
      <c r="W264" s="19">
        <f t="shared" si="19"/>
        <v>1956</v>
      </c>
      <c r="X264" s="20">
        <f t="shared" si="20"/>
        <v>1956</v>
      </c>
      <c r="Y264" s="20">
        <f t="shared" si="21"/>
        <v>0</v>
      </c>
    </row>
    <row r="265" spans="1:25" ht="15.75" customHeight="1">
      <c r="A265" s="14" t="s">
        <v>540</v>
      </c>
      <c r="B265" s="15" t="s">
        <v>541</v>
      </c>
      <c r="C265" s="16">
        <v>1320.89</v>
      </c>
      <c r="D265" s="16">
        <v>1320.89</v>
      </c>
      <c r="E265" s="17">
        <v>0</v>
      </c>
      <c r="F265" s="18">
        <v>0</v>
      </c>
      <c r="G265" s="18">
        <v>0</v>
      </c>
      <c r="H265" s="18">
        <v>0</v>
      </c>
      <c r="I265" s="17">
        <v>0</v>
      </c>
      <c r="J265" s="17">
        <f t="shared" si="11"/>
        <v>0</v>
      </c>
      <c r="K265" s="18">
        <v>0</v>
      </c>
      <c r="L265" s="18">
        <v>0</v>
      </c>
      <c r="M265" s="17">
        <v>0</v>
      </c>
      <c r="N265" s="18">
        <f t="shared" si="12"/>
        <v>0</v>
      </c>
      <c r="O265" s="17">
        <f t="shared" si="13"/>
        <v>0</v>
      </c>
      <c r="P265" s="3"/>
      <c r="Q265" s="19">
        <f t="shared" si="14"/>
        <v>0</v>
      </c>
      <c r="R265" s="19">
        <v>0</v>
      </c>
      <c r="S265" s="19">
        <f t="shared" si="15"/>
        <v>0</v>
      </c>
      <c r="T265" s="19">
        <f t="shared" si="16"/>
        <v>0</v>
      </c>
      <c r="U265" s="19">
        <f t="shared" si="17"/>
        <v>0</v>
      </c>
      <c r="V265" s="19">
        <f t="shared" si="18"/>
        <v>0</v>
      </c>
      <c r="W265" s="19">
        <f t="shared" si="19"/>
        <v>0</v>
      </c>
      <c r="X265" s="20">
        <f t="shared" si="20"/>
        <v>0</v>
      </c>
      <c r="Y265" s="20">
        <f t="shared" si="21"/>
        <v>0</v>
      </c>
    </row>
    <row r="266" spans="1:25" ht="15.75" customHeight="1">
      <c r="A266" s="14" t="s">
        <v>542</v>
      </c>
      <c r="B266" s="15" t="s">
        <v>543</v>
      </c>
      <c r="C266" s="16">
        <v>2086.2600000000002</v>
      </c>
      <c r="D266" s="16">
        <v>2086.2600000000002</v>
      </c>
      <c r="E266" s="17">
        <v>3</v>
      </c>
      <c r="F266" s="18">
        <v>0</v>
      </c>
      <c r="G266" s="18">
        <v>0</v>
      </c>
      <c r="H266" s="18">
        <v>0</v>
      </c>
      <c r="I266" s="17">
        <v>0</v>
      </c>
      <c r="J266" s="17">
        <f t="shared" si="11"/>
        <v>3</v>
      </c>
      <c r="K266" s="18">
        <v>3</v>
      </c>
      <c r="L266" s="18">
        <v>0</v>
      </c>
      <c r="M266" s="17">
        <v>0</v>
      </c>
      <c r="N266" s="18">
        <f t="shared" si="12"/>
        <v>3</v>
      </c>
      <c r="O266" s="17">
        <f t="shared" si="13"/>
        <v>0</v>
      </c>
      <c r="P266" s="3"/>
      <c r="Q266" s="19">
        <f t="shared" si="14"/>
        <v>6258.7800000000007</v>
      </c>
      <c r="R266" s="19">
        <v>0</v>
      </c>
      <c r="S266" s="19">
        <f t="shared" si="15"/>
        <v>0</v>
      </c>
      <c r="T266" s="19">
        <f t="shared" si="16"/>
        <v>0</v>
      </c>
      <c r="U266" s="19">
        <f t="shared" si="17"/>
        <v>0</v>
      </c>
      <c r="V266" s="19">
        <f t="shared" si="18"/>
        <v>0</v>
      </c>
      <c r="W266" s="19">
        <f t="shared" si="19"/>
        <v>6258.7800000000007</v>
      </c>
      <c r="X266" s="20">
        <f t="shared" si="20"/>
        <v>6258.7800000000007</v>
      </c>
      <c r="Y266" s="20">
        <f t="shared" si="21"/>
        <v>0</v>
      </c>
    </row>
    <row r="267" spans="1:25" ht="15.75" customHeight="1">
      <c r="A267" s="14" t="s">
        <v>544</v>
      </c>
      <c r="B267" s="15" t="s">
        <v>545</v>
      </c>
      <c r="C267" s="16">
        <v>1462.18</v>
      </c>
      <c r="D267" s="16">
        <v>1462.18</v>
      </c>
      <c r="E267" s="17">
        <v>0</v>
      </c>
      <c r="F267" s="18">
        <v>0</v>
      </c>
      <c r="G267" s="18">
        <v>0</v>
      </c>
      <c r="H267" s="18">
        <v>0</v>
      </c>
      <c r="I267" s="17">
        <v>0</v>
      </c>
      <c r="J267" s="17">
        <f t="shared" si="11"/>
        <v>0</v>
      </c>
      <c r="K267" s="18">
        <v>0</v>
      </c>
      <c r="L267" s="18">
        <v>0</v>
      </c>
      <c r="M267" s="17">
        <v>0</v>
      </c>
      <c r="N267" s="18">
        <f t="shared" si="12"/>
        <v>0</v>
      </c>
      <c r="O267" s="17">
        <f t="shared" si="13"/>
        <v>0</v>
      </c>
      <c r="P267" s="3"/>
      <c r="Q267" s="19">
        <f t="shared" si="14"/>
        <v>0</v>
      </c>
      <c r="R267" s="19">
        <v>0</v>
      </c>
      <c r="S267" s="19">
        <f t="shared" si="15"/>
        <v>0</v>
      </c>
      <c r="T267" s="19">
        <f t="shared" si="16"/>
        <v>0</v>
      </c>
      <c r="U267" s="19">
        <f t="shared" si="17"/>
        <v>0</v>
      </c>
      <c r="V267" s="19">
        <f t="shared" si="18"/>
        <v>0</v>
      </c>
      <c r="W267" s="19">
        <f t="shared" si="19"/>
        <v>0</v>
      </c>
      <c r="X267" s="20">
        <f t="shared" si="20"/>
        <v>0</v>
      </c>
      <c r="Y267" s="20">
        <f t="shared" si="21"/>
        <v>0</v>
      </c>
    </row>
    <row r="268" spans="1:25" ht="15.75" customHeight="1">
      <c r="A268" s="14" t="s">
        <v>546</v>
      </c>
      <c r="B268" s="15" t="s">
        <v>547</v>
      </c>
      <c r="C268" s="16">
        <v>1981.28</v>
      </c>
      <c r="D268" s="16">
        <v>1981.28</v>
      </c>
      <c r="E268" s="17">
        <v>0</v>
      </c>
      <c r="F268" s="18">
        <v>0</v>
      </c>
      <c r="G268" s="18">
        <v>0</v>
      </c>
      <c r="H268" s="18">
        <v>0</v>
      </c>
      <c r="I268" s="17">
        <v>0</v>
      </c>
      <c r="J268" s="17">
        <f t="shared" si="11"/>
        <v>0</v>
      </c>
      <c r="K268" s="18">
        <v>0</v>
      </c>
      <c r="L268" s="18">
        <v>0</v>
      </c>
      <c r="M268" s="17">
        <v>0</v>
      </c>
      <c r="N268" s="18">
        <f t="shared" si="12"/>
        <v>0</v>
      </c>
      <c r="O268" s="17">
        <f t="shared" si="13"/>
        <v>0</v>
      </c>
      <c r="P268" s="3"/>
      <c r="Q268" s="19">
        <f t="shared" si="14"/>
        <v>0</v>
      </c>
      <c r="R268" s="19">
        <v>0</v>
      </c>
      <c r="S268" s="19">
        <f t="shared" si="15"/>
        <v>0</v>
      </c>
      <c r="T268" s="19">
        <f t="shared" si="16"/>
        <v>0</v>
      </c>
      <c r="U268" s="19">
        <f t="shared" si="17"/>
        <v>0</v>
      </c>
      <c r="V268" s="19">
        <f t="shared" si="18"/>
        <v>0</v>
      </c>
      <c r="W268" s="19">
        <f t="shared" si="19"/>
        <v>0</v>
      </c>
      <c r="X268" s="20">
        <f t="shared" si="20"/>
        <v>0</v>
      </c>
      <c r="Y268" s="20">
        <f t="shared" si="21"/>
        <v>0</v>
      </c>
    </row>
    <row r="269" spans="1:25" ht="15.75" customHeight="1">
      <c r="A269" s="14" t="s">
        <v>548</v>
      </c>
      <c r="B269" s="15" t="s">
        <v>549</v>
      </c>
      <c r="C269" s="16">
        <v>630</v>
      </c>
      <c r="D269" s="16">
        <v>630</v>
      </c>
      <c r="E269" s="17">
        <v>3</v>
      </c>
      <c r="F269" s="18">
        <v>0</v>
      </c>
      <c r="G269" s="18">
        <v>0</v>
      </c>
      <c r="H269" s="18">
        <v>0</v>
      </c>
      <c r="I269" s="17">
        <v>0</v>
      </c>
      <c r="J269" s="17">
        <f t="shared" si="11"/>
        <v>3</v>
      </c>
      <c r="K269" s="18">
        <v>3</v>
      </c>
      <c r="L269" s="18">
        <v>0</v>
      </c>
      <c r="M269" s="17">
        <v>0</v>
      </c>
      <c r="N269" s="18">
        <f t="shared" si="12"/>
        <v>3</v>
      </c>
      <c r="O269" s="17">
        <f t="shared" si="13"/>
        <v>0</v>
      </c>
      <c r="P269" s="3"/>
      <c r="Q269" s="19">
        <f t="shared" si="14"/>
        <v>1890</v>
      </c>
      <c r="R269" s="19">
        <v>0</v>
      </c>
      <c r="S269" s="19">
        <f t="shared" si="15"/>
        <v>0</v>
      </c>
      <c r="T269" s="19">
        <f t="shared" si="16"/>
        <v>0</v>
      </c>
      <c r="U269" s="19">
        <f t="shared" si="17"/>
        <v>0</v>
      </c>
      <c r="V269" s="19">
        <f t="shared" si="18"/>
        <v>0</v>
      </c>
      <c r="W269" s="19">
        <f t="shared" si="19"/>
        <v>1890</v>
      </c>
      <c r="X269" s="20">
        <f t="shared" si="20"/>
        <v>1890</v>
      </c>
      <c r="Y269" s="20">
        <f t="shared" si="21"/>
        <v>0</v>
      </c>
    </row>
    <row r="270" spans="1:25" ht="15.75" customHeight="1">
      <c r="A270" s="14" t="s">
        <v>550</v>
      </c>
      <c r="B270" s="15" t="s">
        <v>551</v>
      </c>
      <c r="C270" s="16">
        <v>60</v>
      </c>
      <c r="D270" s="16">
        <v>60</v>
      </c>
      <c r="E270" s="17">
        <v>191</v>
      </c>
      <c r="F270" s="18">
        <v>0</v>
      </c>
      <c r="G270" s="18">
        <v>0</v>
      </c>
      <c r="H270" s="18">
        <v>0</v>
      </c>
      <c r="I270" s="17">
        <v>0</v>
      </c>
      <c r="J270" s="17">
        <f t="shared" si="11"/>
        <v>191</v>
      </c>
      <c r="K270" s="18">
        <v>91</v>
      </c>
      <c r="L270" s="18">
        <v>100</v>
      </c>
      <c r="M270" s="17">
        <v>0</v>
      </c>
      <c r="N270" s="18">
        <f t="shared" si="12"/>
        <v>191</v>
      </c>
      <c r="O270" s="17">
        <f t="shared" si="13"/>
        <v>0</v>
      </c>
      <c r="P270" s="3"/>
      <c r="Q270" s="19">
        <f t="shared" si="14"/>
        <v>11460</v>
      </c>
      <c r="R270" s="19">
        <v>0</v>
      </c>
      <c r="S270" s="19">
        <f t="shared" si="15"/>
        <v>0</v>
      </c>
      <c r="T270" s="19">
        <f t="shared" si="16"/>
        <v>0</v>
      </c>
      <c r="U270" s="19">
        <f t="shared" si="17"/>
        <v>0</v>
      </c>
      <c r="V270" s="19">
        <f t="shared" si="18"/>
        <v>0</v>
      </c>
      <c r="W270" s="19">
        <f t="shared" si="19"/>
        <v>11460</v>
      </c>
      <c r="X270" s="20">
        <f t="shared" si="20"/>
        <v>11460</v>
      </c>
      <c r="Y270" s="20">
        <f t="shared" si="21"/>
        <v>0</v>
      </c>
    </row>
    <row r="271" spans="1:25" ht="15.75" customHeight="1">
      <c r="A271" s="14" t="s">
        <v>552</v>
      </c>
      <c r="B271" s="15" t="s">
        <v>553</v>
      </c>
      <c r="C271" s="16">
        <v>120</v>
      </c>
      <c r="D271" s="16">
        <v>120</v>
      </c>
      <c r="E271" s="17">
        <v>1</v>
      </c>
      <c r="F271" s="18">
        <v>0</v>
      </c>
      <c r="G271" s="18">
        <v>0</v>
      </c>
      <c r="H271" s="18">
        <v>0</v>
      </c>
      <c r="I271" s="17">
        <v>0</v>
      </c>
      <c r="J271" s="17">
        <f t="shared" si="11"/>
        <v>1</v>
      </c>
      <c r="K271" s="18">
        <v>1</v>
      </c>
      <c r="L271" s="18">
        <v>0</v>
      </c>
      <c r="M271" s="17">
        <v>0</v>
      </c>
      <c r="N271" s="18">
        <f t="shared" si="12"/>
        <v>1</v>
      </c>
      <c r="O271" s="17">
        <f t="shared" si="13"/>
        <v>0</v>
      </c>
      <c r="P271" s="3"/>
      <c r="Q271" s="19">
        <f t="shared" si="14"/>
        <v>120</v>
      </c>
      <c r="R271" s="19">
        <v>0</v>
      </c>
      <c r="S271" s="19">
        <f t="shared" si="15"/>
        <v>0</v>
      </c>
      <c r="T271" s="19">
        <f t="shared" si="16"/>
        <v>0</v>
      </c>
      <c r="U271" s="19">
        <f t="shared" si="17"/>
        <v>0</v>
      </c>
      <c r="V271" s="19">
        <f t="shared" si="18"/>
        <v>0</v>
      </c>
      <c r="W271" s="19">
        <f t="shared" si="19"/>
        <v>120</v>
      </c>
      <c r="X271" s="20">
        <f t="shared" si="20"/>
        <v>120</v>
      </c>
      <c r="Y271" s="20">
        <f t="shared" si="21"/>
        <v>0</v>
      </c>
    </row>
    <row r="272" spans="1:25" ht="15.75" customHeight="1">
      <c r="A272" s="14" t="s">
        <v>554</v>
      </c>
      <c r="B272" s="15" t="s">
        <v>555</v>
      </c>
      <c r="C272" s="16">
        <v>0</v>
      </c>
      <c r="D272" s="16">
        <v>0</v>
      </c>
      <c r="E272" s="17">
        <v>0</v>
      </c>
      <c r="F272" s="18">
        <v>0</v>
      </c>
      <c r="G272" s="18">
        <v>0</v>
      </c>
      <c r="H272" s="18">
        <v>0</v>
      </c>
      <c r="I272" s="17">
        <v>0</v>
      </c>
      <c r="J272" s="17">
        <f t="shared" si="11"/>
        <v>0</v>
      </c>
      <c r="K272" s="18">
        <v>0</v>
      </c>
      <c r="L272" s="18">
        <v>0</v>
      </c>
      <c r="M272" s="17">
        <v>0</v>
      </c>
      <c r="N272" s="18">
        <f t="shared" si="12"/>
        <v>0</v>
      </c>
      <c r="O272" s="17">
        <f t="shared" si="13"/>
        <v>0</v>
      </c>
      <c r="P272" s="3"/>
      <c r="Q272" s="19">
        <f t="shared" si="14"/>
        <v>0</v>
      </c>
      <c r="R272" s="19">
        <v>0</v>
      </c>
      <c r="S272" s="19">
        <f t="shared" si="15"/>
        <v>0</v>
      </c>
      <c r="T272" s="19">
        <f t="shared" si="16"/>
        <v>0</v>
      </c>
      <c r="U272" s="19">
        <f t="shared" si="17"/>
        <v>0</v>
      </c>
      <c r="V272" s="19">
        <f t="shared" si="18"/>
        <v>0</v>
      </c>
      <c r="W272" s="19">
        <f t="shared" si="19"/>
        <v>0</v>
      </c>
      <c r="X272" s="20">
        <f t="shared" si="20"/>
        <v>0</v>
      </c>
      <c r="Y272" s="20">
        <f t="shared" si="21"/>
        <v>0</v>
      </c>
    </row>
    <row r="273" spans="1:25" ht="15.75" customHeight="1">
      <c r="A273" s="14" t="s">
        <v>556</v>
      </c>
      <c r="B273" s="15" t="s">
        <v>557</v>
      </c>
      <c r="C273" s="16">
        <v>48.28</v>
      </c>
      <c r="D273" s="16">
        <v>48.28</v>
      </c>
      <c r="E273" s="17">
        <v>0</v>
      </c>
      <c r="F273" s="18">
        <v>0</v>
      </c>
      <c r="G273" s="18">
        <v>0</v>
      </c>
      <c r="H273" s="18">
        <v>0</v>
      </c>
      <c r="I273" s="17">
        <v>0</v>
      </c>
      <c r="J273" s="17">
        <f t="shared" si="11"/>
        <v>0</v>
      </c>
      <c r="K273" s="18">
        <v>0</v>
      </c>
      <c r="L273" s="18">
        <v>0</v>
      </c>
      <c r="M273" s="17">
        <v>0</v>
      </c>
      <c r="N273" s="18">
        <f t="shared" si="12"/>
        <v>0</v>
      </c>
      <c r="O273" s="17">
        <f t="shared" si="13"/>
        <v>0</v>
      </c>
      <c r="P273" s="3"/>
      <c r="Q273" s="19">
        <f t="shared" si="14"/>
        <v>0</v>
      </c>
      <c r="R273" s="19">
        <v>0</v>
      </c>
      <c r="S273" s="19">
        <f t="shared" si="15"/>
        <v>0</v>
      </c>
      <c r="T273" s="19">
        <f t="shared" si="16"/>
        <v>0</v>
      </c>
      <c r="U273" s="19">
        <f t="shared" si="17"/>
        <v>0</v>
      </c>
      <c r="V273" s="19">
        <f t="shared" si="18"/>
        <v>0</v>
      </c>
      <c r="W273" s="19">
        <f t="shared" si="19"/>
        <v>0</v>
      </c>
      <c r="X273" s="20">
        <f t="shared" si="20"/>
        <v>0</v>
      </c>
      <c r="Y273" s="20">
        <f t="shared" si="21"/>
        <v>0</v>
      </c>
    </row>
    <row r="274" spans="1:25" ht="15.75" customHeight="1">
      <c r="A274" s="14" t="s">
        <v>558</v>
      </c>
      <c r="B274" s="15" t="s">
        <v>559</v>
      </c>
      <c r="C274" s="16">
        <v>0</v>
      </c>
      <c r="D274" s="16">
        <v>0</v>
      </c>
      <c r="E274" s="17">
        <v>0</v>
      </c>
      <c r="F274" s="18">
        <v>0</v>
      </c>
      <c r="G274" s="18">
        <v>0</v>
      </c>
      <c r="H274" s="18">
        <v>0</v>
      </c>
      <c r="I274" s="17">
        <v>0</v>
      </c>
      <c r="J274" s="17">
        <f t="shared" si="11"/>
        <v>0</v>
      </c>
      <c r="K274" s="18">
        <v>0</v>
      </c>
      <c r="L274" s="18">
        <v>0</v>
      </c>
      <c r="M274" s="17">
        <v>0</v>
      </c>
      <c r="N274" s="18">
        <f t="shared" si="12"/>
        <v>0</v>
      </c>
      <c r="O274" s="17">
        <f t="shared" si="13"/>
        <v>0</v>
      </c>
      <c r="P274" s="3"/>
      <c r="Q274" s="19">
        <f t="shared" si="14"/>
        <v>0</v>
      </c>
      <c r="R274" s="19">
        <v>0</v>
      </c>
      <c r="S274" s="19">
        <f t="shared" si="15"/>
        <v>0</v>
      </c>
      <c r="T274" s="19">
        <f t="shared" si="16"/>
        <v>0</v>
      </c>
      <c r="U274" s="19">
        <f t="shared" si="17"/>
        <v>0</v>
      </c>
      <c r="V274" s="19">
        <f t="shared" si="18"/>
        <v>0</v>
      </c>
      <c r="W274" s="19">
        <f t="shared" si="19"/>
        <v>0</v>
      </c>
      <c r="X274" s="20">
        <f t="shared" si="20"/>
        <v>0</v>
      </c>
      <c r="Y274" s="20">
        <f t="shared" si="21"/>
        <v>0</v>
      </c>
    </row>
    <row r="275" spans="1:25" ht="15.75" customHeight="1">
      <c r="A275" s="14" t="s">
        <v>560</v>
      </c>
      <c r="B275" s="15" t="s">
        <v>561</v>
      </c>
      <c r="C275" s="16">
        <v>2250</v>
      </c>
      <c r="D275" s="16">
        <v>2250</v>
      </c>
      <c r="E275" s="17">
        <v>1</v>
      </c>
      <c r="F275" s="18">
        <v>0</v>
      </c>
      <c r="G275" s="18">
        <v>0</v>
      </c>
      <c r="H275" s="18">
        <v>0</v>
      </c>
      <c r="I275" s="17">
        <v>0</v>
      </c>
      <c r="J275" s="17">
        <f t="shared" si="11"/>
        <v>1</v>
      </c>
      <c r="K275" s="18">
        <v>1</v>
      </c>
      <c r="L275" s="18">
        <v>0</v>
      </c>
      <c r="M275" s="17">
        <v>0</v>
      </c>
      <c r="N275" s="18">
        <f t="shared" si="12"/>
        <v>1</v>
      </c>
      <c r="O275" s="17">
        <f t="shared" si="13"/>
        <v>0</v>
      </c>
      <c r="P275" s="3"/>
      <c r="Q275" s="19">
        <f t="shared" si="14"/>
        <v>2250</v>
      </c>
      <c r="R275" s="19">
        <v>0</v>
      </c>
      <c r="S275" s="19">
        <f t="shared" si="15"/>
        <v>0</v>
      </c>
      <c r="T275" s="19">
        <f t="shared" si="16"/>
        <v>0</v>
      </c>
      <c r="U275" s="19">
        <f t="shared" si="17"/>
        <v>0</v>
      </c>
      <c r="V275" s="19">
        <f t="shared" si="18"/>
        <v>0</v>
      </c>
      <c r="W275" s="19">
        <f t="shared" si="19"/>
        <v>2250</v>
      </c>
      <c r="X275" s="20">
        <f t="shared" si="20"/>
        <v>2250</v>
      </c>
      <c r="Y275" s="20">
        <f t="shared" si="21"/>
        <v>0</v>
      </c>
    </row>
    <row r="276" spans="1:25" ht="15.75" customHeight="1">
      <c r="A276" s="14" t="s">
        <v>562</v>
      </c>
      <c r="B276" s="15" t="s">
        <v>563</v>
      </c>
      <c r="C276" s="16">
        <v>473</v>
      </c>
      <c r="D276" s="16">
        <v>473</v>
      </c>
      <c r="E276" s="17">
        <v>0</v>
      </c>
      <c r="F276" s="18">
        <v>0</v>
      </c>
      <c r="G276" s="18">
        <v>0</v>
      </c>
      <c r="H276" s="18">
        <v>0</v>
      </c>
      <c r="I276" s="17">
        <v>0</v>
      </c>
      <c r="J276" s="17">
        <f t="shared" si="11"/>
        <v>0</v>
      </c>
      <c r="K276" s="18">
        <v>0</v>
      </c>
      <c r="L276" s="18">
        <v>0</v>
      </c>
      <c r="M276" s="17">
        <v>0</v>
      </c>
      <c r="N276" s="18">
        <f t="shared" si="12"/>
        <v>0</v>
      </c>
      <c r="O276" s="17">
        <f t="shared" si="13"/>
        <v>0</v>
      </c>
      <c r="P276" s="3"/>
      <c r="Q276" s="19">
        <f t="shared" si="14"/>
        <v>0</v>
      </c>
      <c r="R276" s="19">
        <v>0</v>
      </c>
      <c r="S276" s="19">
        <f t="shared" si="15"/>
        <v>0</v>
      </c>
      <c r="T276" s="19">
        <f t="shared" si="16"/>
        <v>0</v>
      </c>
      <c r="U276" s="19">
        <f t="shared" si="17"/>
        <v>0</v>
      </c>
      <c r="V276" s="19">
        <f t="shared" si="18"/>
        <v>0</v>
      </c>
      <c r="W276" s="19">
        <f t="shared" si="19"/>
        <v>0</v>
      </c>
      <c r="X276" s="20">
        <f t="shared" si="20"/>
        <v>0</v>
      </c>
      <c r="Y276" s="20">
        <f t="shared" si="21"/>
        <v>0</v>
      </c>
    </row>
    <row r="277" spans="1:25" ht="15.75" customHeight="1">
      <c r="A277" s="14" t="s">
        <v>564</v>
      </c>
      <c r="B277" s="15" t="s">
        <v>565</v>
      </c>
      <c r="C277" s="16">
        <v>0</v>
      </c>
      <c r="D277" s="16">
        <v>0</v>
      </c>
      <c r="E277" s="17">
        <v>0</v>
      </c>
      <c r="F277" s="18">
        <v>0</v>
      </c>
      <c r="G277" s="18">
        <v>0</v>
      </c>
      <c r="H277" s="18">
        <v>0</v>
      </c>
      <c r="I277" s="17">
        <v>0</v>
      </c>
      <c r="J277" s="17">
        <f t="shared" si="11"/>
        <v>0</v>
      </c>
      <c r="K277" s="18">
        <v>0</v>
      </c>
      <c r="L277" s="18">
        <v>0</v>
      </c>
      <c r="M277" s="17">
        <v>0</v>
      </c>
      <c r="N277" s="18">
        <f t="shared" si="12"/>
        <v>0</v>
      </c>
      <c r="O277" s="17">
        <f t="shared" si="13"/>
        <v>0</v>
      </c>
      <c r="P277" s="3"/>
      <c r="Q277" s="19">
        <f t="shared" si="14"/>
        <v>0</v>
      </c>
      <c r="R277" s="19">
        <v>0</v>
      </c>
      <c r="S277" s="19">
        <f t="shared" si="15"/>
        <v>0</v>
      </c>
      <c r="T277" s="19">
        <f t="shared" si="16"/>
        <v>0</v>
      </c>
      <c r="U277" s="19">
        <f t="shared" si="17"/>
        <v>0</v>
      </c>
      <c r="V277" s="19">
        <f t="shared" si="18"/>
        <v>0</v>
      </c>
      <c r="W277" s="19">
        <f t="shared" si="19"/>
        <v>0</v>
      </c>
      <c r="X277" s="20">
        <f t="shared" si="20"/>
        <v>0</v>
      </c>
      <c r="Y277" s="20">
        <f t="shared" si="21"/>
        <v>0</v>
      </c>
    </row>
    <row r="278" spans="1:25" ht="15.75" customHeight="1">
      <c r="A278" s="14" t="s">
        <v>566</v>
      </c>
      <c r="B278" s="15" t="s">
        <v>567</v>
      </c>
      <c r="C278" s="16">
        <v>1850</v>
      </c>
      <c r="D278" s="16">
        <v>1850</v>
      </c>
      <c r="E278" s="17">
        <v>0</v>
      </c>
      <c r="F278" s="18">
        <v>0</v>
      </c>
      <c r="G278" s="18">
        <v>0</v>
      </c>
      <c r="H278" s="18">
        <v>0</v>
      </c>
      <c r="I278" s="17">
        <v>0</v>
      </c>
      <c r="J278" s="17">
        <f t="shared" si="11"/>
        <v>0</v>
      </c>
      <c r="K278" s="18">
        <v>0</v>
      </c>
      <c r="L278" s="18">
        <v>0</v>
      </c>
      <c r="M278" s="17">
        <v>0</v>
      </c>
      <c r="N278" s="18">
        <f t="shared" si="12"/>
        <v>0</v>
      </c>
      <c r="O278" s="17">
        <f t="shared" si="13"/>
        <v>0</v>
      </c>
      <c r="P278" s="3"/>
      <c r="Q278" s="19">
        <f t="shared" si="14"/>
        <v>0</v>
      </c>
      <c r="R278" s="19">
        <v>0</v>
      </c>
      <c r="S278" s="19">
        <f t="shared" si="15"/>
        <v>0</v>
      </c>
      <c r="T278" s="19">
        <f t="shared" si="16"/>
        <v>0</v>
      </c>
      <c r="U278" s="19">
        <f t="shared" si="17"/>
        <v>0</v>
      </c>
      <c r="V278" s="19">
        <f t="shared" si="18"/>
        <v>0</v>
      </c>
      <c r="W278" s="19">
        <f t="shared" si="19"/>
        <v>0</v>
      </c>
      <c r="X278" s="20">
        <f t="shared" si="20"/>
        <v>0</v>
      </c>
      <c r="Y278" s="20">
        <f t="shared" si="21"/>
        <v>0</v>
      </c>
    </row>
    <row r="279" spans="1:25" ht="15.75" customHeight="1">
      <c r="A279" s="14" t="s">
        <v>568</v>
      </c>
      <c r="B279" s="15" t="s">
        <v>569</v>
      </c>
      <c r="C279" s="16">
        <v>108.9</v>
      </c>
      <c r="D279" s="16">
        <v>108.9</v>
      </c>
      <c r="E279" s="17">
        <v>0</v>
      </c>
      <c r="F279" s="18">
        <v>0</v>
      </c>
      <c r="G279" s="18">
        <v>0</v>
      </c>
      <c r="H279" s="18">
        <v>0</v>
      </c>
      <c r="I279" s="17">
        <v>0</v>
      </c>
      <c r="J279" s="17">
        <f t="shared" si="11"/>
        <v>0</v>
      </c>
      <c r="K279" s="18">
        <v>0</v>
      </c>
      <c r="L279" s="18">
        <v>0</v>
      </c>
      <c r="M279" s="17">
        <v>0</v>
      </c>
      <c r="N279" s="18">
        <f t="shared" si="12"/>
        <v>0</v>
      </c>
      <c r="O279" s="17">
        <f t="shared" si="13"/>
        <v>0</v>
      </c>
      <c r="P279" s="3"/>
      <c r="Q279" s="19">
        <f t="shared" si="14"/>
        <v>0</v>
      </c>
      <c r="R279" s="19">
        <v>0</v>
      </c>
      <c r="S279" s="19">
        <f t="shared" si="15"/>
        <v>0</v>
      </c>
      <c r="T279" s="19">
        <f t="shared" si="16"/>
        <v>0</v>
      </c>
      <c r="U279" s="19">
        <f t="shared" si="17"/>
        <v>0</v>
      </c>
      <c r="V279" s="19">
        <f t="shared" si="18"/>
        <v>0</v>
      </c>
      <c r="W279" s="19">
        <f t="shared" si="19"/>
        <v>0</v>
      </c>
      <c r="X279" s="20">
        <f t="shared" si="20"/>
        <v>0</v>
      </c>
      <c r="Y279" s="20">
        <f t="shared" si="21"/>
        <v>0</v>
      </c>
    </row>
    <row r="280" spans="1:25" ht="15.75" customHeight="1">
      <c r="A280" s="14" t="s">
        <v>570</v>
      </c>
      <c r="B280" s="15" t="s">
        <v>571</v>
      </c>
      <c r="C280" s="16">
        <v>0</v>
      </c>
      <c r="D280" s="16">
        <v>0</v>
      </c>
      <c r="E280" s="17">
        <v>0</v>
      </c>
      <c r="F280" s="18">
        <v>0</v>
      </c>
      <c r="G280" s="18">
        <v>0</v>
      </c>
      <c r="H280" s="18">
        <v>0</v>
      </c>
      <c r="I280" s="17">
        <v>0</v>
      </c>
      <c r="J280" s="17">
        <f t="shared" si="11"/>
        <v>0</v>
      </c>
      <c r="K280" s="18">
        <v>0</v>
      </c>
      <c r="L280" s="18">
        <v>0</v>
      </c>
      <c r="M280" s="17">
        <v>0</v>
      </c>
      <c r="N280" s="18">
        <f t="shared" si="12"/>
        <v>0</v>
      </c>
      <c r="O280" s="17">
        <f t="shared" si="13"/>
        <v>0</v>
      </c>
      <c r="P280" s="3"/>
      <c r="Q280" s="19">
        <f t="shared" si="14"/>
        <v>0</v>
      </c>
      <c r="R280" s="19">
        <v>0</v>
      </c>
      <c r="S280" s="19">
        <f t="shared" si="15"/>
        <v>0</v>
      </c>
      <c r="T280" s="19">
        <f t="shared" si="16"/>
        <v>0</v>
      </c>
      <c r="U280" s="19">
        <f t="shared" si="17"/>
        <v>0</v>
      </c>
      <c r="V280" s="19">
        <f t="shared" si="18"/>
        <v>0</v>
      </c>
      <c r="W280" s="19">
        <f t="shared" si="19"/>
        <v>0</v>
      </c>
      <c r="X280" s="20">
        <f t="shared" si="20"/>
        <v>0</v>
      </c>
      <c r="Y280" s="20">
        <f t="shared" si="21"/>
        <v>0</v>
      </c>
    </row>
    <row r="281" spans="1:25" ht="15.75" customHeight="1">
      <c r="A281" s="14" t="s">
        <v>572</v>
      </c>
      <c r="B281" s="15" t="s">
        <v>573</v>
      </c>
      <c r="C281" s="16">
        <v>12.18</v>
      </c>
      <c r="D281" s="16">
        <v>12.18</v>
      </c>
      <c r="E281" s="17">
        <v>50</v>
      </c>
      <c r="F281" s="18">
        <v>0</v>
      </c>
      <c r="G281" s="18">
        <v>0</v>
      </c>
      <c r="H281" s="18">
        <v>0</v>
      </c>
      <c r="I281" s="17">
        <v>0</v>
      </c>
      <c r="J281" s="17">
        <f t="shared" si="11"/>
        <v>50</v>
      </c>
      <c r="K281" s="18">
        <v>50</v>
      </c>
      <c r="L281" s="18">
        <v>0</v>
      </c>
      <c r="M281" s="17">
        <v>0</v>
      </c>
      <c r="N281" s="18">
        <f t="shared" si="12"/>
        <v>50</v>
      </c>
      <c r="O281" s="17">
        <f t="shared" si="13"/>
        <v>0</v>
      </c>
      <c r="P281" s="3"/>
      <c r="Q281" s="19">
        <f t="shared" si="14"/>
        <v>609</v>
      </c>
      <c r="R281" s="19">
        <v>0</v>
      </c>
      <c r="S281" s="19">
        <f t="shared" si="15"/>
        <v>0</v>
      </c>
      <c r="T281" s="19">
        <f t="shared" si="16"/>
        <v>0</v>
      </c>
      <c r="U281" s="19">
        <f t="shared" si="17"/>
        <v>0</v>
      </c>
      <c r="V281" s="19">
        <f t="shared" si="18"/>
        <v>0</v>
      </c>
      <c r="W281" s="19">
        <f t="shared" si="19"/>
        <v>609</v>
      </c>
      <c r="X281" s="20">
        <f t="shared" si="20"/>
        <v>609</v>
      </c>
      <c r="Y281" s="20">
        <f t="shared" si="21"/>
        <v>0</v>
      </c>
    </row>
    <row r="282" spans="1:25" ht="15.75" customHeight="1">
      <c r="A282" s="14" t="s">
        <v>574</v>
      </c>
      <c r="B282" s="15" t="s">
        <v>575</v>
      </c>
      <c r="C282" s="16">
        <v>12.18</v>
      </c>
      <c r="D282" s="16">
        <v>12.18</v>
      </c>
      <c r="E282" s="17">
        <v>50</v>
      </c>
      <c r="F282" s="18">
        <v>0</v>
      </c>
      <c r="G282" s="18">
        <v>0</v>
      </c>
      <c r="H282" s="18">
        <v>0</v>
      </c>
      <c r="I282" s="17">
        <v>0</v>
      </c>
      <c r="J282" s="17">
        <f t="shared" si="11"/>
        <v>50</v>
      </c>
      <c r="K282" s="18">
        <v>50</v>
      </c>
      <c r="L282" s="18">
        <v>0</v>
      </c>
      <c r="M282" s="17">
        <v>0</v>
      </c>
      <c r="N282" s="18">
        <f t="shared" si="12"/>
        <v>50</v>
      </c>
      <c r="O282" s="17">
        <f t="shared" si="13"/>
        <v>0</v>
      </c>
      <c r="P282" s="3"/>
      <c r="Q282" s="19">
        <f t="shared" si="14"/>
        <v>609</v>
      </c>
      <c r="R282" s="19">
        <v>0</v>
      </c>
      <c r="S282" s="19">
        <f t="shared" si="15"/>
        <v>0</v>
      </c>
      <c r="T282" s="19">
        <f t="shared" si="16"/>
        <v>0</v>
      </c>
      <c r="U282" s="19">
        <f t="shared" si="17"/>
        <v>0</v>
      </c>
      <c r="V282" s="19">
        <f t="shared" si="18"/>
        <v>0</v>
      </c>
      <c r="W282" s="19">
        <f t="shared" si="19"/>
        <v>609</v>
      </c>
      <c r="X282" s="20">
        <f t="shared" si="20"/>
        <v>609</v>
      </c>
      <c r="Y282" s="20">
        <f t="shared" si="21"/>
        <v>0</v>
      </c>
    </row>
    <row r="283" spans="1:25" ht="15.75" customHeight="1">
      <c r="A283" s="14" t="s">
        <v>576</v>
      </c>
      <c r="B283" s="15" t="s">
        <v>577</v>
      </c>
      <c r="C283" s="16">
        <v>820</v>
      </c>
      <c r="D283" s="16">
        <v>820</v>
      </c>
      <c r="E283" s="17">
        <v>2</v>
      </c>
      <c r="F283" s="18">
        <v>0</v>
      </c>
      <c r="G283" s="18">
        <v>0</v>
      </c>
      <c r="H283" s="18">
        <v>0</v>
      </c>
      <c r="I283" s="17">
        <v>0</v>
      </c>
      <c r="J283" s="17">
        <f t="shared" si="11"/>
        <v>2</v>
      </c>
      <c r="K283" s="18">
        <v>2</v>
      </c>
      <c r="L283" s="18">
        <v>0</v>
      </c>
      <c r="M283" s="17">
        <v>0</v>
      </c>
      <c r="N283" s="18">
        <f t="shared" si="12"/>
        <v>2</v>
      </c>
      <c r="O283" s="17">
        <f t="shared" si="13"/>
        <v>0</v>
      </c>
      <c r="P283" s="3"/>
      <c r="Q283" s="19">
        <f t="shared" si="14"/>
        <v>1640</v>
      </c>
      <c r="R283" s="19">
        <v>0</v>
      </c>
      <c r="S283" s="19">
        <f t="shared" si="15"/>
        <v>0</v>
      </c>
      <c r="T283" s="19">
        <f t="shared" si="16"/>
        <v>0</v>
      </c>
      <c r="U283" s="19">
        <f t="shared" si="17"/>
        <v>0</v>
      </c>
      <c r="V283" s="19">
        <f t="shared" si="18"/>
        <v>0</v>
      </c>
      <c r="W283" s="19">
        <f t="shared" si="19"/>
        <v>1640</v>
      </c>
      <c r="X283" s="20">
        <f t="shared" si="20"/>
        <v>1640</v>
      </c>
      <c r="Y283" s="20">
        <f t="shared" si="21"/>
        <v>0</v>
      </c>
    </row>
    <row r="284" spans="1:25" ht="15.75" customHeight="1">
      <c r="A284" s="14" t="s">
        <v>578</v>
      </c>
      <c r="B284" s="15" t="s">
        <v>579</v>
      </c>
      <c r="C284" s="16">
        <v>0</v>
      </c>
      <c r="D284" s="16">
        <v>0</v>
      </c>
      <c r="E284" s="17">
        <v>0</v>
      </c>
      <c r="F284" s="18">
        <v>0</v>
      </c>
      <c r="G284" s="18">
        <v>0</v>
      </c>
      <c r="H284" s="18">
        <v>0</v>
      </c>
      <c r="I284" s="17">
        <v>0</v>
      </c>
      <c r="J284" s="17">
        <f t="shared" si="11"/>
        <v>0</v>
      </c>
      <c r="K284" s="18">
        <v>0</v>
      </c>
      <c r="L284" s="18">
        <v>0</v>
      </c>
      <c r="M284" s="17">
        <v>0</v>
      </c>
      <c r="N284" s="18">
        <f t="shared" si="12"/>
        <v>0</v>
      </c>
      <c r="O284" s="17">
        <f t="shared" si="13"/>
        <v>0</v>
      </c>
      <c r="P284" s="3"/>
      <c r="Q284" s="19">
        <f t="shared" si="14"/>
        <v>0</v>
      </c>
      <c r="R284" s="19">
        <v>0</v>
      </c>
      <c r="S284" s="19">
        <f t="shared" si="15"/>
        <v>0</v>
      </c>
      <c r="T284" s="19">
        <f t="shared" si="16"/>
        <v>0</v>
      </c>
      <c r="U284" s="19">
        <f t="shared" si="17"/>
        <v>0</v>
      </c>
      <c r="V284" s="19">
        <f t="shared" si="18"/>
        <v>0</v>
      </c>
      <c r="W284" s="19">
        <f t="shared" si="19"/>
        <v>0</v>
      </c>
      <c r="X284" s="20">
        <f t="shared" si="20"/>
        <v>0</v>
      </c>
      <c r="Y284" s="20">
        <f t="shared" si="21"/>
        <v>0</v>
      </c>
    </row>
    <row r="285" spans="1:25" ht="15.75" customHeight="1">
      <c r="A285" s="23" t="s">
        <v>580</v>
      </c>
      <c r="B285" s="15" t="s">
        <v>581</v>
      </c>
      <c r="C285" s="16">
        <v>276.57</v>
      </c>
      <c r="D285" s="16">
        <v>276.57</v>
      </c>
      <c r="E285" s="17">
        <v>17</v>
      </c>
      <c r="F285" s="18">
        <v>0</v>
      </c>
      <c r="G285" s="18">
        <v>0</v>
      </c>
      <c r="H285" s="18">
        <v>0</v>
      </c>
      <c r="I285" s="17">
        <v>0</v>
      </c>
      <c r="J285" s="17">
        <f t="shared" si="11"/>
        <v>17</v>
      </c>
      <c r="K285" s="18">
        <v>17</v>
      </c>
      <c r="L285" s="18">
        <v>0</v>
      </c>
      <c r="M285" s="17">
        <v>0</v>
      </c>
      <c r="N285" s="18">
        <f t="shared" si="12"/>
        <v>17</v>
      </c>
      <c r="O285" s="17">
        <f t="shared" si="13"/>
        <v>0</v>
      </c>
      <c r="P285" s="3"/>
      <c r="Q285" s="19">
        <f t="shared" si="14"/>
        <v>4701.6899999999996</v>
      </c>
      <c r="R285" s="19">
        <v>0</v>
      </c>
      <c r="S285" s="19">
        <f t="shared" si="15"/>
        <v>0</v>
      </c>
      <c r="T285" s="19">
        <f t="shared" si="16"/>
        <v>0</v>
      </c>
      <c r="U285" s="19">
        <f t="shared" si="17"/>
        <v>0</v>
      </c>
      <c r="V285" s="19">
        <f t="shared" si="18"/>
        <v>0</v>
      </c>
      <c r="W285" s="19">
        <f t="shared" si="19"/>
        <v>4701.6899999999996</v>
      </c>
      <c r="X285" s="20">
        <f t="shared" si="20"/>
        <v>4701.6899999999996</v>
      </c>
      <c r="Y285" s="20">
        <f t="shared" si="21"/>
        <v>0</v>
      </c>
    </row>
    <row r="286" spans="1:25" ht="15.75" customHeight="1">
      <c r="A286" s="14" t="s">
        <v>582</v>
      </c>
      <c r="B286" s="15" t="s">
        <v>583</v>
      </c>
      <c r="C286" s="16">
        <v>34.53</v>
      </c>
      <c r="D286" s="16">
        <v>34.53</v>
      </c>
      <c r="E286" s="17">
        <v>1</v>
      </c>
      <c r="F286" s="18">
        <v>0</v>
      </c>
      <c r="G286" s="18">
        <v>0</v>
      </c>
      <c r="H286" s="18">
        <v>0</v>
      </c>
      <c r="I286" s="17">
        <v>0</v>
      </c>
      <c r="J286" s="17">
        <f t="shared" si="11"/>
        <v>1</v>
      </c>
      <c r="K286" s="18">
        <v>1</v>
      </c>
      <c r="L286" s="18">
        <v>0</v>
      </c>
      <c r="M286" s="17">
        <v>0</v>
      </c>
      <c r="N286" s="18">
        <f t="shared" si="12"/>
        <v>1</v>
      </c>
      <c r="O286" s="17">
        <f t="shared" si="13"/>
        <v>0</v>
      </c>
      <c r="P286" s="3"/>
      <c r="Q286" s="19">
        <f t="shared" si="14"/>
        <v>34.53</v>
      </c>
      <c r="R286" s="19">
        <v>0</v>
      </c>
      <c r="S286" s="19">
        <f t="shared" si="15"/>
        <v>0</v>
      </c>
      <c r="T286" s="19">
        <f t="shared" si="16"/>
        <v>0</v>
      </c>
      <c r="U286" s="19">
        <f t="shared" si="17"/>
        <v>0</v>
      </c>
      <c r="V286" s="19">
        <f t="shared" si="18"/>
        <v>0</v>
      </c>
      <c r="W286" s="19">
        <f t="shared" si="19"/>
        <v>34.53</v>
      </c>
      <c r="X286" s="20">
        <f t="shared" si="20"/>
        <v>34.53</v>
      </c>
      <c r="Y286" s="20">
        <f t="shared" si="21"/>
        <v>0</v>
      </c>
    </row>
    <row r="287" spans="1:25" ht="15.75" customHeight="1">
      <c r="A287" s="14" t="s">
        <v>584</v>
      </c>
      <c r="B287" s="15" t="s">
        <v>585</v>
      </c>
      <c r="C287" s="16">
        <v>94.83</v>
      </c>
      <c r="D287" s="16">
        <v>94.83</v>
      </c>
      <c r="E287" s="17">
        <v>1</v>
      </c>
      <c r="F287" s="18">
        <v>0</v>
      </c>
      <c r="G287" s="18">
        <v>0</v>
      </c>
      <c r="H287" s="18">
        <v>0</v>
      </c>
      <c r="I287" s="17">
        <v>0</v>
      </c>
      <c r="J287" s="17">
        <f t="shared" si="11"/>
        <v>1</v>
      </c>
      <c r="K287" s="18">
        <v>1</v>
      </c>
      <c r="L287" s="18">
        <v>0</v>
      </c>
      <c r="M287" s="17">
        <v>0</v>
      </c>
      <c r="N287" s="18">
        <f t="shared" si="12"/>
        <v>1</v>
      </c>
      <c r="O287" s="17">
        <f t="shared" si="13"/>
        <v>0</v>
      </c>
      <c r="P287" s="3"/>
      <c r="Q287" s="19">
        <f t="shared" si="14"/>
        <v>94.83</v>
      </c>
      <c r="R287" s="19">
        <v>0</v>
      </c>
      <c r="S287" s="19">
        <f t="shared" si="15"/>
        <v>0</v>
      </c>
      <c r="T287" s="19">
        <f t="shared" si="16"/>
        <v>0</v>
      </c>
      <c r="U287" s="19">
        <f t="shared" si="17"/>
        <v>0</v>
      </c>
      <c r="V287" s="19">
        <f t="shared" si="18"/>
        <v>0</v>
      </c>
      <c r="W287" s="19">
        <f t="shared" si="19"/>
        <v>94.83</v>
      </c>
      <c r="X287" s="20">
        <f t="shared" si="20"/>
        <v>94.83</v>
      </c>
      <c r="Y287" s="20">
        <f t="shared" si="21"/>
        <v>0</v>
      </c>
    </row>
    <row r="288" spans="1:25" ht="15.75" customHeight="1">
      <c r="A288" s="14" t="s">
        <v>586</v>
      </c>
      <c r="B288" s="15" t="s">
        <v>587</v>
      </c>
      <c r="C288" s="16">
        <v>168.1</v>
      </c>
      <c r="D288" s="16">
        <v>168.1</v>
      </c>
      <c r="E288" s="17">
        <v>1</v>
      </c>
      <c r="F288" s="18">
        <v>0</v>
      </c>
      <c r="G288" s="18">
        <v>0</v>
      </c>
      <c r="H288" s="18">
        <v>0</v>
      </c>
      <c r="I288" s="17">
        <v>0</v>
      </c>
      <c r="J288" s="17">
        <f t="shared" si="11"/>
        <v>1</v>
      </c>
      <c r="K288" s="18">
        <v>1</v>
      </c>
      <c r="L288" s="18">
        <v>0</v>
      </c>
      <c r="M288" s="17">
        <v>0</v>
      </c>
      <c r="N288" s="18">
        <f t="shared" si="12"/>
        <v>1</v>
      </c>
      <c r="O288" s="17">
        <f t="shared" si="13"/>
        <v>0</v>
      </c>
      <c r="P288" s="3"/>
      <c r="Q288" s="19">
        <f t="shared" si="14"/>
        <v>168.1</v>
      </c>
      <c r="R288" s="19">
        <v>0</v>
      </c>
      <c r="S288" s="19">
        <f t="shared" si="15"/>
        <v>0</v>
      </c>
      <c r="T288" s="19">
        <f t="shared" si="16"/>
        <v>0</v>
      </c>
      <c r="U288" s="19">
        <f t="shared" si="17"/>
        <v>0</v>
      </c>
      <c r="V288" s="19">
        <f t="shared" si="18"/>
        <v>0</v>
      </c>
      <c r="W288" s="19">
        <f t="shared" si="19"/>
        <v>168.1</v>
      </c>
      <c r="X288" s="20">
        <f t="shared" si="20"/>
        <v>168.1</v>
      </c>
      <c r="Y288" s="20">
        <f t="shared" si="21"/>
        <v>0</v>
      </c>
    </row>
    <row r="289" spans="1:25" ht="15.75" customHeight="1">
      <c r="A289" s="14" t="s">
        <v>588</v>
      </c>
      <c r="B289" s="15" t="s">
        <v>589</v>
      </c>
      <c r="C289" s="16">
        <v>652.5</v>
      </c>
      <c r="D289" s="16">
        <v>652.5</v>
      </c>
      <c r="E289" s="17">
        <v>5</v>
      </c>
      <c r="F289" s="18">
        <v>0</v>
      </c>
      <c r="G289" s="18">
        <v>0</v>
      </c>
      <c r="H289" s="18">
        <v>0</v>
      </c>
      <c r="I289" s="17">
        <v>0</v>
      </c>
      <c r="J289" s="17">
        <f t="shared" si="11"/>
        <v>5</v>
      </c>
      <c r="K289" s="18">
        <v>5</v>
      </c>
      <c r="L289" s="18">
        <v>0</v>
      </c>
      <c r="M289" s="17">
        <v>0</v>
      </c>
      <c r="N289" s="18">
        <f t="shared" si="12"/>
        <v>5</v>
      </c>
      <c r="O289" s="17">
        <f t="shared" si="13"/>
        <v>0</v>
      </c>
      <c r="P289" s="3"/>
      <c r="Q289" s="19">
        <f t="shared" si="14"/>
        <v>3262.5</v>
      </c>
      <c r="R289" s="19">
        <v>0</v>
      </c>
      <c r="S289" s="19">
        <f t="shared" si="15"/>
        <v>0</v>
      </c>
      <c r="T289" s="19">
        <f t="shared" si="16"/>
        <v>0</v>
      </c>
      <c r="U289" s="19">
        <f t="shared" si="17"/>
        <v>0</v>
      </c>
      <c r="V289" s="19">
        <f t="shared" si="18"/>
        <v>0</v>
      </c>
      <c r="W289" s="19">
        <f t="shared" si="19"/>
        <v>3262.5</v>
      </c>
      <c r="X289" s="20">
        <f t="shared" si="20"/>
        <v>3262.5</v>
      </c>
      <c r="Y289" s="20">
        <f t="shared" si="21"/>
        <v>0</v>
      </c>
    </row>
    <row r="290" spans="1:25" ht="15.75" customHeight="1">
      <c r="A290" s="14" t="s">
        <v>590</v>
      </c>
      <c r="B290" s="15" t="s">
        <v>591</v>
      </c>
      <c r="C290" s="16">
        <v>507.5</v>
      </c>
      <c r="D290" s="16">
        <v>507.5</v>
      </c>
      <c r="E290" s="17">
        <v>2</v>
      </c>
      <c r="F290" s="18">
        <v>0</v>
      </c>
      <c r="G290" s="18">
        <v>0</v>
      </c>
      <c r="H290" s="18">
        <v>0</v>
      </c>
      <c r="I290" s="17">
        <v>0</v>
      </c>
      <c r="J290" s="17">
        <f t="shared" si="11"/>
        <v>2</v>
      </c>
      <c r="K290" s="18">
        <v>2</v>
      </c>
      <c r="L290" s="18">
        <v>0</v>
      </c>
      <c r="M290" s="17">
        <v>0</v>
      </c>
      <c r="N290" s="18">
        <f t="shared" si="12"/>
        <v>2</v>
      </c>
      <c r="O290" s="17">
        <f t="shared" si="13"/>
        <v>0</v>
      </c>
      <c r="P290" s="3"/>
      <c r="Q290" s="19">
        <f t="shared" si="14"/>
        <v>1015</v>
      </c>
      <c r="R290" s="19">
        <v>0</v>
      </c>
      <c r="S290" s="19">
        <f t="shared" si="15"/>
        <v>0</v>
      </c>
      <c r="T290" s="19">
        <f t="shared" si="16"/>
        <v>0</v>
      </c>
      <c r="U290" s="19">
        <f t="shared" si="17"/>
        <v>0</v>
      </c>
      <c r="V290" s="19">
        <f t="shared" si="18"/>
        <v>0</v>
      </c>
      <c r="W290" s="19">
        <f t="shared" si="19"/>
        <v>1015</v>
      </c>
      <c r="X290" s="20">
        <f t="shared" si="20"/>
        <v>1015</v>
      </c>
      <c r="Y290" s="20">
        <f t="shared" si="21"/>
        <v>0</v>
      </c>
    </row>
    <row r="291" spans="1:25" ht="15.75" customHeight="1">
      <c r="A291" s="14" t="s">
        <v>592</v>
      </c>
      <c r="B291" s="15" t="s">
        <v>593</v>
      </c>
      <c r="C291" s="16">
        <v>0</v>
      </c>
      <c r="D291" s="16">
        <v>0</v>
      </c>
      <c r="E291" s="17">
        <v>0</v>
      </c>
      <c r="F291" s="18">
        <v>0</v>
      </c>
      <c r="G291" s="18">
        <v>0</v>
      </c>
      <c r="H291" s="18">
        <v>0</v>
      </c>
      <c r="I291" s="17">
        <v>0</v>
      </c>
      <c r="J291" s="17">
        <f t="shared" si="11"/>
        <v>0</v>
      </c>
      <c r="K291" s="18">
        <v>0</v>
      </c>
      <c r="L291" s="18">
        <v>0</v>
      </c>
      <c r="M291" s="17">
        <v>0</v>
      </c>
      <c r="N291" s="18">
        <f t="shared" si="12"/>
        <v>0</v>
      </c>
      <c r="O291" s="17">
        <f t="shared" si="13"/>
        <v>0</v>
      </c>
      <c r="P291" s="3"/>
      <c r="Q291" s="19">
        <f t="shared" si="14"/>
        <v>0</v>
      </c>
      <c r="R291" s="19">
        <v>0</v>
      </c>
      <c r="S291" s="19">
        <f t="shared" si="15"/>
        <v>0</v>
      </c>
      <c r="T291" s="19">
        <f t="shared" si="16"/>
        <v>0</v>
      </c>
      <c r="U291" s="19">
        <f t="shared" si="17"/>
        <v>0</v>
      </c>
      <c r="V291" s="19">
        <f t="shared" si="18"/>
        <v>0</v>
      </c>
      <c r="W291" s="19">
        <f t="shared" si="19"/>
        <v>0</v>
      </c>
      <c r="X291" s="20">
        <f t="shared" si="20"/>
        <v>0</v>
      </c>
      <c r="Y291" s="20">
        <f t="shared" si="21"/>
        <v>0</v>
      </c>
    </row>
    <row r="292" spans="1:25" ht="15.75" customHeight="1">
      <c r="A292" s="14" t="s">
        <v>594</v>
      </c>
      <c r="B292" s="15" t="s">
        <v>595</v>
      </c>
      <c r="C292" s="16">
        <v>19.510000000000002</v>
      </c>
      <c r="D292" s="16">
        <v>19.510000000000002</v>
      </c>
      <c r="E292" s="17">
        <v>0</v>
      </c>
      <c r="F292" s="18">
        <v>0</v>
      </c>
      <c r="G292" s="18">
        <v>0</v>
      </c>
      <c r="H292" s="18">
        <v>0</v>
      </c>
      <c r="I292" s="17">
        <v>0</v>
      </c>
      <c r="J292" s="17">
        <f t="shared" si="11"/>
        <v>0</v>
      </c>
      <c r="K292" s="18">
        <v>0</v>
      </c>
      <c r="L292" s="18">
        <v>0</v>
      </c>
      <c r="M292" s="17">
        <v>0</v>
      </c>
      <c r="N292" s="18">
        <f t="shared" si="12"/>
        <v>0</v>
      </c>
      <c r="O292" s="17">
        <f t="shared" si="13"/>
        <v>0</v>
      </c>
      <c r="P292" s="3"/>
      <c r="Q292" s="19">
        <f t="shared" si="14"/>
        <v>0</v>
      </c>
      <c r="R292" s="19">
        <v>0</v>
      </c>
      <c r="S292" s="19">
        <f t="shared" si="15"/>
        <v>0</v>
      </c>
      <c r="T292" s="19">
        <f t="shared" si="16"/>
        <v>0</v>
      </c>
      <c r="U292" s="19">
        <f t="shared" si="17"/>
        <v>0</v>
      </c>
      <c r="V292" s="19">
        <f t="shared" si="18"/>
        <v>0</v>
      </c>
      <c r="W292" s="19">
        <f t="shared" si="19"/>
        <v>0</v>
      </c>
      <c r="X292" s="20">
        <f t="shared" si="20"/>
        <v>0</v>
      </c>
      <c r="Y292" s="20">
        <f t="shared" si="21"/>
        <v>0</v>
      </c>
    </row>
    <row r="293" spans="1:25" ht="15.75" customHeight="1">
      <c r="A293" s="14" t="s">
        <v>596</v>
      </c>
      <c r="B293" s="15" t="s">
        <v>597</v>
      </c>
      <c r="C293" s="16">
        <v>142.65</v>
      </c>
      <c r="D293" s="16">
        <v>142.65</v>
      </c>
      <c r="E293" s="17">
        <v>2</v>
      </c>
      <c r="F293" s="18">
        <v>0</v>
      </c>
      <c r="G293" s="18">
        <v>0</v>
      </c>
      <c r="H293" s="18">
        <v>0</v>
      </c>
      <c r="I293" s="17">
        <v>0</v>
      </c>
      <c r="J293" s="17">
        <f t="shared" si="11"/>
        <v>2</v>
      </c>
      <c r="K293" s="18">
        <v>2</v>
      </c>
      <c r="L293" s="18">
        <v>0</v>
      </c>
      <c r="M293" s="17">
        <v>0</v>
      </c>
      <c r="N293" s="18">
        <f t="shared" si="12"/>
        <v>2</v>
      </c>
      <c r="O293" s="17">
        <f t="shared" si="13"/>
        <v>0</v>
      </c>
      <c r="P293" s="3"/>
      <c r="Q293" s="19">
        <f t="shared" si="14"/>
        <v>285.3</v>
      </c>
      <c r="R293" s="19">
        <v>0</v>
      </c>
      <c r="S293" s="19">
        <f t="shared" si="15"/>
        <v>0</v>
      </c>
      <c r="T293" s="19">
        <f t="shared" si="16"/>
        <v>0</v>
      </c>
      <c r="U293" s="19">
        <f t="shared" si="17"/>
        <v>0</v>
      </c>
      <c r="V293" s="19">
        <f t="shared" si="18"/>
        <v>0</v>
      </c>
      <c r="W293" s="19">
        <f t="shared" si="19"/>
        <v>285.3</v>
      </c>
      <c r="X293" s="20">
        <f t="shared" si="20"/>
        <v>285.3</v>
      </c>
      <c r="Y293" s="20">
        <f t="shared" si="21"/>
        <v>0</v>
      </c>
    </row>
    <row r="294" spans="1:25" ht="15.75" customHeight="1">
      <c r="A294" s="14" t="s">
        <v>598</v>
      </c>
      <c r="B294" s="15" t="s">
        <v>599</v>
      </c>
      <c r="C294" s="16">
        <v>7.05</v>
      </c>
      <c r="D294" s="16">
        <v>7.05</v>
      </c>
      <c r="E294" s="17">
        <v>0</v>
      </c>
      <c r="F294" s="18">
        <v>0</v>
      </c>
      <c r="G294" s="18">
        <v>0</v>
      </c>
      <c r="H294" s="18">
        <v>0</v>
      </c>
      <c r="I294" s="17">
        <v>0</v>
      </c>
      <c r="J294" s="17">
        <f t="shared" si="11"/>
        <v>0</v>
      </c>
      <c r="K294" s="18">
        <v>0</v>
      </c>
      <c r="L294" s="18">
        <v>0</v>
      </c>
      <c r="M294" s="17">
        <v>0</v>
      </c>
      <c r="N294" s="18">
        <f t="shared" si="12"/>
        <v>0</v>
      </c>
      <c r="O294" s="17">
        <f t="shared" si="13"/>
        <v>0</v>
      </c>
      <c r="P294" s="3"/>
      <c r="Q294" s="19">
        <f t="shared" si="14"/>
        <v>0</v>
      </c>
      <c r="R294" s="19">
        <v>0</v>
      </c>
      <c r="S294" s="19">
        <f t="shared" si="15"/>
        <v>0</v>
      </c>
      <c r="T294" s="19">
        <f t="shared" si="16"/>
        <v>0</v>
      </c>
      <c r="U294" s="19">
        <f t="shared" si="17"/>
        <v>0</v>
      </c>
      <c r="V294" s="19">
        <f t="shared" si="18"/>
        <v>0</v>
      </c>
      <c r="W294" s="19">
        <f t="shared" si="19"/>
        <v>0</v>
      </c>
      <c r="X294" s="20">
        <f t="shared" si="20"/>
        <v>0</v>
      </c>
      <c r="Y294" s="20">
        <f t="shared" si="21"/>
        <v>0</v>
      </c>
    </row>
    <row r="295" spans="1:25" ht="15.75" customHeight="1">
      <c r="A295" s="14" t="s">
        <v>600</v>
      </c>
      <c r="B295" s="15" t="s">
        <v>601</v>
      </c>
      <c r="C295" s="16">
        <v>522</v>
      </c>
      <c r="D295" s="16">
        <v>522</v>
      </c>
      <c r="E295" s="17">
        <v>18</v>
      </c>
      <c r="F295" s="18">
        <v>0</v>
      </c>
      <c r="G295" s="18">
        <v>0</v>
      </c>
      <c r="H295" s="18">
        <v>0</v>
      </c>
      <c r="I295" s="17">
        <v>0</v>
      </c>
      <c r="J295" s="17">
        <f t="shared" si="11"/>
        <v>18</v>
      </c>
      <c r="K295" s="18">
        <v>18</v>
      </c>
      <c r="L295" s="18">
        <v>0</v>
      </c>
      <c r="M295" s="17">
        <v>0</v>
      </c>
      <c r="N295" s="18">
        <f t="shared" si="12"/>
        <v>18</v>
      </c>
      <c r="O295" s="17">
        <f t="shared" si="13"/>
        <v>0</v>
      </c>
      <c r="P295" s="3"/>
      <c r="Q295" s="19">
        <f t="shared" si="14"/>
        <v>9396</v>
      </c>
      <c r="R295" s="19">
        <v>0</v>
      </c>
      <c r="S295" s="19">
        <f t="shared" si="15"/>
        <v>0</v>
      </c>
      <c r="T295" s="19">
        <f t="shared" si="16"/>
        <v>0</v>
      </c>
      <c r="U295" s="19">
        <f t="shared" si="17"/>
        <v>0</v>
      </c>
      <c r="V295" s="19">
        <f t="shared" si="18"/>
        <v>0</v>
      </c>
      <c r="W295" s="19">
        <f t="shared" si="19"/>
        <v>9396</v>
      </c>
      <c r="X295" s="20">
        <f t="shared" si="20"/>
        <v>9396</v>
      </c>
      <c r="Y295" s="20">
        <f t="shared" si="21"/>
        <v>0</v>
      </c>
    </row>
    <row r="296" spans="1:25" ht="15.75" customHeight="1">
      <c r="A296" s="14" t="s">
        <v>602</v>
      </c>
      <c r="B296" s="15" t="s">
        <v>603</v>
      </c>
      <c r="C296" s="16">
        <v>30.91</v>
      </c>
      <c r="D296" s="16">
        <v>30.91</v>
      </c>
      <c r="E296" s="17">
        <v>0</v>
      </c>
      <c r="F296" s="18">
        <v>0</v>
      </c>
      <c r="G296" s="18">
        <v>0</v>
      </c>
      <c r="H296" s="18">
        <v>0</v>
      </c>
      <c r="I296" s="17">
        <v>0</v>
      </c>
      <c r="J296" s="17">
        <f t="shared" si="11"/>
        <v>0</v>
      </c>
      <c r="K296" s="18">
        <v>0</v>
      </c>
      <c r="L296" s="18">
        <v>0</v>
      </c>
      <c r="M296" s="17">
        <v>0</v>
      </c>
      <c r="N296" s="18">
        <f t="shared" si="12"/>
        <v>0</v>
      </c>
      <c r="O296" s="17">
        <f t="shared" si="13"/>
        <v>0</v>
      </c>
      <c r="P296" s="3"/>
      <c r="Q296" s="19">
        <f t="shared" si="14"/>
        <v>0</v>
      </c>
      <c r="R296" s="19">
        <v>0</v>
      </c>
      <c r="S296" s="19">
        <f t="shared" si="15"/>
        <v>0</v>
      </c>
      <c r="T296" s="19">
        <f t="shared" si="16"/>
        <v>0</v>
      </c>
      <c r="U296" s="19">
        <f t="shared" si="17"/>
        <v>0</v>
      </c>
      <c r="V296" s="19">
        <f t="shared" si="18"/>
        <v>0</v>
      </c>
      <c r="W296" s="19">
        <f t="shared" si="19"/>
        <v>0</v>
      </c>
      <c r="X296" s="20">
        <f t="shared" si="20"/>
        <v>0</v>
      </c>
      <c r="Y296" s="20">
        <f t="shared" si="21"/>
        <v>0</v>
      </c>
    </row>
    <row r="297" spans="1:25" ht="15.75" customHeight="1">
      <c r="A297" s="14" t="s">
        <v>604</v>
      </c>
      <c r="B297" s="15" t="s">
        <v>605</v>
      </c>
      <c r="C297" s="16">
        <v>570</v>
      </c>
      <c r="D297" s="16">
        <v>570</v>
      </c>
      <c r="E297" s="17">
        <v>4</v>
      </c>
      <c r="F297" s="18">
        <v>0</v>
      </c>
      <c r="G297" s="18">
        <v>0</v>
      </c>
      <c r="H297" s="18">
        <v>0</v>
      </c>
      <c r="I297" s="17">
        <v>0</v>
      </c>
      <c r="J297" s="17">
        <f t="shared" si="11"/>
        <v>4</v>
      </c>
      <c r="K297" s="18">
        <v>4</v>
      </c>
      <c r="L297" s="18">
        <v>0</v>
      </c>
      <c r="M297" s="17">
        <v>0</v>
      </c>
      <c r="N297" s="18">
        <f t="shared" si="12"/>
        <v>4</v>
      </c>
      <c r="O297" s="17">
        <f t="shared" si="13"/>
        <v>0</v>
      </c>
      <c r="P297" s="3"/>
      <c r="Q297" s="19">
        <f t="shared" si="14"/>
        <v>2280</v>
      </c>
      <c r="R297" s="19">
        <v>0</v>
      </c>
      <c r="S297" s="19">
        <f t="shared" si="15"/>
        <v>0</v>
      </c>
      <c r="T297" s="19">
        <f t="shared" si="16"/>
        <v>0</v>
      </c>
      <c r="U297" s="19">
        <f t="shared" si="17"/>
        <v>0</v>
      </c>
      <c r="V297" s="19">
        <f t="shared" si="18"/>
        <v>0</v>
      </c>
      <c r="W297" s="19">
        <f t="shared" si="19"/>
        <v>2280</v>
      </c>
      <c r="X297" s="20">
        <f t="shared" si="20"/>
        <v>2280</v>
      </c>
      <c r="Y297" s="20">
        <f t="shared" si="21"/>
        <v>0</v>
      </c>
    </row>
    <row r="298" spans="1:25" ht="15.75" customHeight="1">
      <c r="A298" s="14" t="s">
        <v>606</v>
      </c>
      <c r="B298" s="15" t="s">
        <v>607</v>
      </c>
      <c r="C298" s="16">
        <v>380</v>
      </c>
      <c r="D298" s="16">
        <v>380</v>
      </c>
      <c r="E298" s="17">
        <v>0</v>
      </c>
      <c r="F298" s="18">
        <v>0</v>
      </c>
      <c r="G298" s="18">
        <v>0</v>
      </c>
      <c r="H298" s="18">
        <v>0</v>
      </c>
      <c r="I298" s="17">
        <v>0</v>
      </c>
      <c r="J298" s="17">
        <f t="shared" si="11"/>
        <v>0</v>
      </c>
      <c r="K298" s="18">
        <v>0</v>
      </c>
      <c r="L298" s="18">
        <v>0</v>
      </c>
      <c r="M298" s="17">
        <v>0</v>
      </c>
      <c r="N298" s="18">
        <f t="shared" si="12"/>
        <v>0</v>
      </c>
      <c r="O298" s="17">
        <f t="shared" si="13"/>
        <v>0</v>
      </c>
      <c r="P298" s="3"/>
      <c r="Q298" s="19">
        <f t="shared" si="14"/>
        <v>0</v>
      </c>
      <c r="R298" s="19">
        <v>0</v>
      </c>
      <c r="S298" s="19">
        <f t="shared" si="15"/>
        <v>0</v>
      </c>
      <c r="T298" s="19">
        <f t="shared" si="16"/>
        <v>0</v>
      </c>
      <c r="U298" s="19">
        <f t="shared" si="17"/>
        <v>0</v>
      </c>
      <c r="V298" s="19">
        <f t="shared" si="18"/>
        <v>0</v>
      </c>
      <c r="W298" s="19">
        <f t="shared" si="19"/>
        <v>0</v>
      </c>
      <c r="X298" s="20">
        <f t="shared" si="20"/>
        <v>0</v>
      </c>
      <c r="Y298" s="20">
        <f t="shared" si="21"/>
        <v>0</v>
      </c>
    </row>
    <row r="299" spans="1:25" ht="15.75" customHeight="1">
      <c r="A299" s="14" t="s">
        <v>608</v>
      </c>
      <c r="B299" s="15" t="s">
        <v>609</v>
      </c>
      <c r="C299" s="16">
        <v>985</v>
      </c>
      <c r="D299" s="16">
        <v>985</v>
      </c>
      <c r="E299" s="17">
        <v>0</v>
      </c>
      <c r="F299" s="18">
        <v>0</v>
      </c>
      <c r="G299" s="18">
        <v>0</v>
      </c>
      <c r="H299" s="18">
        <v>0</v>
      </c>
      <c r="I299" s="17">
        <v>0</v>
      </c>
      <c r="J299" s="17">
        <f t="shared" si="11"/>
        <v>0</v>
      </c>
      <c r="K299" s="18">
        <v>0</v>
      </c>
      <c r="L299" s="18">
        <v>0</v>
      </c>
      <c r="M299" s="17">
        <v>0</v>
      </c>
      <c r="N299" s="18">
        <f t="shared" si="12"/>
        <v>0</v>
      </c>
      <c r="O299" s="17">
        <f t="shared" si="13"/>
        <v>0</v>
      </c>
      <c r="P299" s="3"/>
      <c r="Q299" s="19">
        <f t="shared" si="14"/>
        <v>0</v>
      </c>
      <c r="R299" s="19">
        <v>0</v>
      </c>
      <c r="S299" s="19">
        <f t="shared" si="15"/>
        <v>0</v>
      </c>
      <c r="T299" s="19">
        <f t="shared" si="16"/>
        <v>0</v>
      </c>
      <c r="U299" s="19">
        <f t="shared" si="17"/>
        <v>0</v>
      </c>
      <c r="V299" s="19">
        <f t="shared" si="18"/>
        <v>0</v>
      </c>
      <c r="W299" s="19">
        <f t="shared" si="19"/>
        <v>0</v>
      </c>
      <c r="X299" s="20">
        <f t="shared" si="20"/>
        <v>0</v>
      </c>
      <c r="Y299" s="20">
        <f t="shared" si="21"/>
        <v>0</v>
      </c>
    </row>
    <row r="300" spans="1:25" ht="15.75" customHeight="1">
      <c r="A300" s="14" t="s">
        <v>610</v>
      </c>
      <c r="B300" s="15" t="s">
        <v>611</v>
      </c>
      <c r="C300" s="16">
        <v>450</v>
      </c>
      <c r="D300" s="16">
        <v>450</v>
      </c>
      <c r="E300" s="17">
        <v>1</v>
      </c>
      <c r="F300" s="18">
        <v>0</v>
      </c>
      <c r="G300" s="18">
        <v>0</v>
      </c>
      <c r="H300" s="18">
        <v>0</v>
      </c>
      <c r="I300" s="17">
        <v>0</v>
      </c>
      <c r="J300" s="17">
        <f t="shared" si="11"/>
        <v>1</v>
      </c>
      <c r="K300" s="18">
        <v>1</v>
      </c>
      <c r="L300" s="18">
        <v>0</v>
      </c>
      <c r="M300" s="18">
        <v>0</v>
      </c>
      <c r="N300" s="18">
        <f t="shared" si="12"/>
        <v>1</v>
      </c>
      <c r="O300" s="17">
        <f t="shared" si="13"/>
        <v>0</v>
      </c>
      <c r="P300" s="3"/>
      <c r="Q300" s="19">
        <f t="shared" si="14"/>
        <v>450</v>
      </c>
      <c r="R300" s="19">
        <v>0</v>
      </c>
      <c r="S300" s="19">
        <f t="shared" si="15"/>
        <v>0</v>
      </c>
      <c r="T300" s="19">
        <f t="shared" si="16"/>
        <v>0</v>
      </c>
      <c r="U300" s="19">
        <f t="shared" si="17"/>
        <v>0</v>
      </c>
      <c r="V300" s="19">
        <f t="shared" si="18"/>
        <v>0</v>
      </c>
      <c r="W300" s="19">
        <f t="shared" si="19"/>
        <v>450</v>
      </c>
      <c r="X300" s="20">
        <f t="shared" si="20"/>
        <v>450</v>
      </c>
      <c r="Y300" s="20">
        <f t="shared" si="21"/>
        <v>0</v>
      </c>
    </row>
    <row r="301" spans="1:25" ht="15.75" customHeight="1">
      <c r="A301" s="14" t="s">
        <v>612</v>
      </c>
      <c r="B301" s="15" t="s">
        <v>613</v>
      </c>
      <c r="C301" s="16">
        <v>888</v>
      </c>
      <c r="D301" s="16">
        <v>888</v>
      </c>
      <c r="E301" s="17">
        <v>1</v>
      </c>
      <c r="F301" s="18">
        <v>0</v>
      </c>
      <c r="G301" s="18">
        <v>0</v>
      </c>
      <c r="H301" s="18">
        <v>0</v>
      </c>
      <c r="I301" s="17">
        <v>0</v>
      </c>
      <c r="J301" s="17">
        <f t="shared" si="11"/>
        <v>1</v>
      </c>
      <c r="K301" s="18">
        <v>1</v>
      </c>
      <c r="L301" s="18">
        <v>0</v>
      </c>
      <c r="M301" s="17">
        <v>0</v>
      </c>
      <c r="N301" s="18">
        <f t="shared" si="12"/>
        <v>1</v>
      </c>
      <c r="O301" s="17">
        <f t="shared" si="13"/>
        <v>0</v>
      </c>
      <c r="P301" s="3"/>
      <c r="Q301" s="19">
        <f t="shared" si="14"/>
        <v>888</v>
      </c>
      <c r="R301" s="19">
        <v>0</v>
      </c>
      <c r="S301" s="19">
        <f t="shared" si="15"/>
        <v>0</v>
      </c>
      <c r="T301" s="19">
        <f t="shared" si="16"/>
        <v>0</v>
      </c>
      <c r="U301" s="19">
        <f t="shared" si="17"/>
        <v>0</v>
      </c>
      <c r="V301" s="19">
        <f t="shared" si="18"/>
        <v>0</v>
      </c>
      <c r="W301" s="19">
        <f t="shared" si="19"/>
        <v>888</v>
      </c>
      <c r="X301" s="20">
        <f t="shared" si="20"/>
        <v>888</v>
      </c>
      <c r="Y301" s="20">
        <f t="shared" si="21"/>
        <v>0</v>
      </c>
    </row>
    <row r="302" spans="1:25" ht="15.75" customHeight="1">
      <c r="A302" s="14" t="s">
        <v>614</v>
      </c>
      <c r="B302" s="15" t="s">
        <v>615</v>
      </c>
      <c r="C302" s="16">
        <v>1204.43</v>
      </c>
      <c r="D302" s="16">
        <v>1204.43</v>
      </c>
      <c r="E302" s="17">
        <v>1</v>
      </c>
      <c r="F302" s="18">
        <v>0</v>
      </c>
      <c r="G302" s="18">
        <v>0</v>
      </c>
      <c r="H302" s="18">
        <v>0</v>
      </c>
      <c r="I302" s="17">
        <v>0</v>
      </c>
      <c r="J302" s="17">
        <f t="shared" si="11"/>
        <v>1</v>
      </c>
      <c r="K302" s="18">
        <v>1</v>
      </c>
      <c r="L302" s="18">
        <v>0</v>
      </c>
      <c r="M302" s="17">
        <v>0</v>
      </c>
      <c r="N302" s="18">
        <f t="shared" si="12"/>
        <v>1</v>
      </c>
      <c r="O302" s="17">
        <f t="shared" si="13"/>
        <v>0</v>
      </c>
      <c r="P302" s="3"/>
      <c r="Q302" s="19">
        <f t="shared" si="14"/>
        <v>1204.43</v>
      </c>
      <c r="R302" s="19">
        <v>0</v>
      </c>
      <c r="S302" s="19">
        <f t="shared" si="15"/>
        <v>0</v>
      </c>
      <c r="T302" s="19">
        <f t="shared" si="16"/>
        <v>0</v>
      </c>
      <c r="U302" s="19">
        <f t="shared" si="17"/>
        <v>0</v>
      </c>
      <c r="V302" s="19">
        <f t="shared" si="18"/>
        <v>0</v>
      </c>
      <c r="W302" s="19">
        <f t="shared" si="19"/>
        <v>1204.43</v>
      </c>
      <c r="X302" s="20">
        <f t="shared" si="20"/>
        <v>1204.43</v>
      </c>
      <c r="Y302" s="20">
        <f t="shared" si="21"/>
        <v>0</v>
      </c>
    </row>
    <row r="303" spans="1:25" ht="15.75" customHeight="1">
      <c r="A303" s="14" t="s">
        <v>616</v>
      </c>
      <c r="B303" s="15" t="s">
        <v>617</v>
      </c>
      <c r="C303" s="16">
        <v>890</v>
      </c>
      <c r="D303" s="16">
        <v>890</v>
      </c>
      <c r="E303" s="17">
        <v>2</v>
      </c>
      <c r="F303" s="18">
        <v>0</v>
      </c>
      <c r="G303" s="18">
        <v>0</v>
      </c>
      <c r="H303" s="18">
        <v>0</v>
      </c>
      <c r="I303" s="17">
        <v>0</v>
      </c>
      <c r="J303" s="17">
        <f t="shared" si="11"/>
        <v>2</v>
      </c>
      <c r="K303" s="18">
        <v>2</v>
      </c>
      <c r="L303" s="18">
        <v>0</v>
      </c>
      <c r="M303" s="17">
        <v>0</v>
      </c>
      <c r="N303" s="18">
        <f t="shared" si="12"/>
        <v>2</v>
      </c>
      <c r="O303" s="17">
        <f t="shared" si="13"/>
        <v>0</v>
      </c>
      <c r="P303" s="3"/>
      <c r="Q303" s="19">
        <f t="shared" si="14"/>
        <v>1780</v>
      </c>
      <c r="R303" s="19">
        <v>0</v>
      </c>
      <c r="S303" s="19">
        <f t="shared" si="15"/>
        <v>0</v>
      </c>
      <c r="T303" s="19">
        <f t="shared" si="16"/>
        <v>0</v>
      </c>
      <c r="U303" s="19">
        <f t="shared" si="17"/>
        <v>0</v>
      </c>
      <c r="V303" s="19">
        <f t="shared" si="18"/>
        <v>0</v>
      </c>
      <c r="W303" s="19">
        <f t="shared" si="19"/>
        <v>1780</v>
      </c>
      <c r="X303" s="20">
        <f t="shared" si="20"/>
        <v>1780</v>
      </c>
      <c r="Y303" s="20">
        <f t="shared" si="21"/>
        <v>0</v>
      </c>
    </row>
    <row r="304" spans="1:25" ht="15.75" customHeight="1">
      <c r="A304" s="14" t="s">
        <v>618</v>
      </c>
      <c r="B304" s="15" t="s">
        <v>619</v>
      </c>
      <c r="C304" s="16">
        <v>695</v>
      </c>
      <c r="D304" s="16">
        <v>695</v>
      </c>
      <c r="E304" s="17">
        <v>14</v>
      </c>
      <c r="F304" s="18">
        <v>0</v>
      </c>
      <c r="G304" s="18">
        <v>0</v>
      </c>
      <c r="H304" s="18">
        <v>0</v>
      </c>
      <c r="I304" s="17">
        <v>0</v>
      </c>
      <c r="J304" s="17">
        <f t="shared" si="11"/>
        <v>14</v>
      </c>
      <c r="K304" s="18">
        <v>14</v>
      </c>
      <c r="L304" s="18">
        <v>0</v>
      </c>
      <c r="M304" s="17">
        <v>0</v>
      </c>
      <c r="N304" s="18">
        <f t="shared" si="12"/>
        <v>14</v>
      </c>
      <c r="O304" s="17">
        <f t="shared" si="13"/>
        <v>0</v>
      </c>
      <c r="P304" s="3"/>
      <c r="Q304" s="19">
        <f t="shared" si="14"/>
        <v>9730</v>
      </c>
      <c r="R304" s="19">
        <v>0</v>
      </c>
      <c r="S304" s="19">
        <f t="shared" si="15"/>
        <v>0</v>
      </c>
      <c r="T304" s="19">
        <f t="shared" si="16"/>
        <v>0</v>
      </c>
      <c r="U304" s="19">
        <f t="shared" si="17"/>
        <v>0</v>
      </c>
      <c r="V304" s="19">
        <f t="shared" si="18"/>
        <v>0</v>
      </c>
      <c r="W304" s="19">
        <f t="shared" si="19"/>
        <v>9730</v>
      </c>
      <c r="X304" s="20">
        <f t="shared" si="20"/>
        <v>9730</v>
      </c>
      <c r="Y304" s="20">
        <f t="shared" si="21"/>
        <v>0</v>
      </c>
    </row>
    <row r="305" spans="1:26" ht="15.75" customHeight="1">
      <c r="A305" s="25" t="s">
        <v>16</v>
      </c>
      <c r="B305" s="25"/>
      <c r="C305" s="26"/>
      <c r="D305" s="26"/>
      <c r="E305" s="27">
        <f t="shared" ref="E305:O305" si="22">SUM(E7:E304)</f>
        <v>1630</v>
      </c>
      <c r="F305" s="27">
        <f t="shared" si="22"/>
        <v>0</v>
      </c>
      <c r="G305" s="27">
        <f t="shared" si="22"/>
        <v>0</v>
      </c>
      <c r="H305" s="27">
        <f t="shared" si="22"/>
        <v>0</v>
      </c>
      <c r="I305" s="27">
        <f t="shared" si="22"/>
        <v>0</v>
      </c>
      <c r="J305" s="27">
        <f t="shared" si="22"/>
        <v>1630</v>
      </c>
      <c r="K305" s="28">
        <f t="shared" si="22"/>
        <v>1478</v>
      </c>
      <c r="L305" s="28">
        <f t="shared" si="22"/>
        <v>104</v>
      </c>
      <c r="M305" s="28">
        <f t="shared" si="22"/>
        <v>51</v>
      </c>
      <c r="N305" s="28">
        <f t="shared" si="22"/>
        <v>1633</v>
      </c>
      <c r="O305" s="28">
        <f t="shared" si="22"/>
        <v>3</v>
      </c>
      <c r="P305" s="3"/>
      <c r="Q305" s="29">
        <f t="shared" ref="Q305:W305" si="23">SUM(Q7:Q304)</f>
        <v>407268.76</v>
      </c>
      <c r="R305" s="29">
        <f t="shared" si="23"/>
        <v>0</v>
      </c>
      <c r="S305" s="29">
        <f t="shared" si="23"/>
        <v>0</v>
      </c>
      <c r="T305" s="29">
        <f t="shared" si="23"/>
        <v>0</v>
      </c>
      <c r="U305" s="29">
        <f t="shared" si="23"/>
        <v>0</v>
      </c>
      <c r="V305" s="29">
        <f t="shared" si="23"/>
        <v>0</v>
      </c>
      <c r="W305" s="29">
        <f t="shared" si="23"/>
        <v>407268.76</v>
      </c>
      <c r="X305" s="30"/>
      <c r="Y305" s="30"/>
    </row>
    <row r="306" spans="1:26" ht="15.75" customHeight="1">
      <c r="A306" s="31"/>
      <c r="B306" s="32"/>
      <c r="C306" s="33"/>
      <c r="D306" s="34"/>
      <c r="E306" s="34"/>
      <c r="F306" s="10"/>
      <c r="G306" s="31"/>
      <c r="H306" s="31"/>
      <c r="I306" s="31"/>
      <c r="J306" s="31"/>
      <c r="K306" s="31"/>
      <c r="L306" s="31"/>
      <c r="M306" s="31"/>
      <c r="N306" s="31"/>
      <c r="O306" s="3"/>
      <c r="P306" s="3"/>
      <c r="Q306" s="3"/>
      <c r="R306" s="3"/>
      <c r="S306" s="3"/>
      <c r="T306" s="3"/>
      <c r="U306" s="3"/>
      <c r="V306" s="31"/>
      <c r="W306" s="31"/>
      <c r="X306" s="31"/>
      <c r="Y306" s="31"/>
      <c r="Z306" s="31"/>
    </row>
    <row r="307" spans="1:26" ht="15.75" customHeight="1"/>
    <row r="308" spans="1:26" ht="15.75" customHeight="1"/>
    <row r="309" spans="1:26" ht="15.75" customHeight="1"/>
    <row r="310" spans="1:26" ht="15.75" customHeight="1"/>
    <row r="311" spans="1:26" ht="15.75" customHeight="1"/>
    <row r="312" spans="1:26" ht="15.75" customHeight="1">
      <c r="O312" s="4"/>
    </row>
    <row r="313" spans="1:26" ht="15.75" customHeight="1">
      <c r="O313" s="4"/>
    </row>
    <row r="314" spans="1:26" ht="15.75" customHeight="1"/>
    <row r="315" spans="1:26" ht="15.75" customHeight="1"/>
    <row r="316" spans="1:26" ht="15.75" customHeight="1"/>
    <row r="317" spans="1:26" ht="15.75" customHeight="1"/>
    <row r="318" spans="1:26" ht="15.75" customHeight="1"/>
    <row r="319" spans="1:26" ht="15.75" customHeight="1"/>
    <row r="320" spans="1:2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6:Z305" xr:uid="{00000000-0009-0000-0000-000001000000}">
    <sortState xmlns:xlrd2="http://schemas.microsoft.com/office/spreadsheetml/2017/richdata2" ref="A6:Z305">
      <sortCondition ref="B6:B305"/>
    </sortState>
  </autoFilter>
  <mergeCells count="4">
    <mergeCell ref="A1:W1"/>
    <mergeCell ref="A2:W2"/>
    <mergeCell ref="A3:W3"/>
    <mergeCell ref="Q4:T4"/>
  </mergeCells>
  <pageMargins left="0.25" right="0.25" top="0.75" bottom="0.75" header="0" footer="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BD62-E602-4CCE-A74E-BAB340BB08B9}">
  <sheetPr>
    <pageSetUpPr fitToPage="1"/>
  </sheetPr>
  <dimension ref="A1:AC339"/>
  <sheetViews>
    <sheetView topLeftCell="O1" zoomScaleNormal="100" workbookViewId="0">
      <pane ySplit="6" topLeftCell="A313" activePane="bottomLeft" state="frozen"/>
      <selection activeCell="B1" sqref="B1"/>
      <selection pane="bottomLeft" activeCell="V316" sqref="V316"/>
    </sheetView>
  </sheetViews>
  <sheetFormatPr baseColWidth="10" defaultColWidth="11.42578125" defaultRowHeight="15"/>
  <cols>
    <col min="1" max="1" width="11.42578125" style="53"/>
    <col min="2" max="3" width="18" style="53" customWidth="1"/>
    <col min="4" max="4" width="26.7109375" style="53" customWidth="1"/>
    <col min="5" max="5" width="12.5703125" style="53" customWidth="1"/>
    <col min="6" max="6" width="13.7109375" style="53" customWidth="1"/>
    <col min="7" max="9" width="11.42578125" style="53" customWidth="1"/>
    <col min="10" max="10" width="12.7109375" style="53" customWidth="1"/>
    <col min="11" max="16" width="11.42578125" style="53" customWidth="1"/>
    <col min="17" max="17" width="14.85546875" style="53" customWidth="1"/>
    <col min="18" max="18" width="11.42578125" style="53" customWidth="1"/>
    <col min="19" max="19" width="5" style="53" customWidth="1"/>
    <col min="20" max="20" width="13.7109375" style="53" customWidth="1"/>
    <col min="21" max="23" width="11.42578125" style="53" customWidth="1"/>
    <col min="24" max="24" width="14.7109375" style="53" customWidth="1"/>
    <col min="25" max="25" width="11.42578125" style="53" customWidth="1"/>
    <col min="26" max="26" width="20.5703125" style="53" customWidth="1"/>
    <col min="27" max="28" width="11.42578125" style="53" customWidth="1"/>
    <col min="29" max="29" width="11.85546875" style="53" bestFit="1" customWidth="1"/>
    <col min="30" max="16384" width="11.42578125" style="53"/>
  </cols>
  <sheetData>
    <row r="1" spans="1:28">
      <c r="A1" s="248"/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8">
      <c r="A2" s="249" t="s">
        <v>0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</row>
    <row r="3" spans="1:28">
      <c r="A3" s="248" t="s">
        <v>1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</row>
    <row r="4" spans="1:28">
      <c r="A4" s="52"/>
      <c r="B4" s="52"/>
      <c r="C4" s="52"/>
      <c r="D4" s="52"/>
      <c r="E4" s="54"/>
      <c r="F4" s="54"/>
      <c r="G4" s="55"/>
      <c r="H4" s="52"/>
      <c r="M4" s="52"/>
      <c r="N4" s="52"/>
      <c r="O4" s="52"/>
      <c r="P4" s="52"/>
      <c r="Q4" s="52"/>
      <c r="R4" s="52"/>
      <c r="S4" s="56"/>
      <c r="T4" s="250" t="s">
        <v>678</v>
      </c>
      <c r="U4" s="248"/>
      <c r="V4" s="248"/>
      <c r="W4" s="248"/>
      <c r="X4" s="57"/>
      <c r="Y4" s="57"/>
      <c r="Z4" s="57"/>
    </row>
    <row r="5" spans="1:28" ht="14.25" customHeight="1">
      <c r="E5" s="57"/>
      <c r="F5" s="57"/>
      <c r="H5" s="56"/>
      <c r="I5" s="56"/>
      <c r="J5" s="56"/>
      <c r="K5" s="56"/>
      <c r="L5" s="56"/>
      <c r="M5" s="56"/>
      <c r="N5" s="58"/>
      <c r="O5" s="56"/>
      <c r="P5" s="56"/>
      <c r="Q5" s="59" t="s">
        <v>2</v>
      </c>
      <c r="R5" s="59"/>
      <c r="S5" s="56"/>
      <c r="T5" s="57"/>
      <c r="U5" s="57"/>
      <c r="V5" s="57"/>
      <c r="W5" s="57"/>
      <c r="X5" s="57"/>
      <c r="Y5" s="57"/>
      <c r="Z5" s="57"/>
    </row>
    <row r="6" spans="1:28" ht="45">
      <c r="A6" s="60" t="s">
        <v>3</v>
      </c>
      <c r="B6" s="60" t="s">
        <v>734</v>
      </c>
      <c r="C6" s="60" t="s">
        <v>736</v>
      </c>
      <c r="D6" s="60" t="s">
        <v>733</v>
      </c>
      <c r="E6" s="61" t="s">
        <v>666</v>
      </c>
      <c r="F6" s="61" t="s">
        <v>677</v>
      </c>
      <c r="G6" s="60" t="s">
        <v>7</v>
      </c>
      <c r="H6" s="60" t="s">
        <v>8</v>
      </c>
      <c r="I6" s="62" t="s">
        <v>9</v>
      </c>
      <c r="J6" s="62" t="s">
        <v>10</v>
      </c>
      <c r="K6" s="62" t="s">
        <v>11</v>
      </c>
      <c r="L6" s="60" t="s">
        <v>12</v>
      </c>
      <c r="M6" s="63" t="s">
        <v>13</v>
      </c>
      <c r="N6" s="64" t="s">
        <v>14</v>
      </c>
      <c r="O6" s="64" t="s">
        <v>15</v>
      </c>
      <c r="P6" s="64" t="s">
        <v>16</v>
      </c>
      <c r="Q6" s="64" t="s">
        <v>17</v>
      </c>
      <c r="R6" s="64" t="s">
        <v>679</v>
      </c>
      <c r="S6" s="65"/>
      <c r="T6" s="66" t="s">
        <v>18</v>
      </c>
      <c r="U6" s="67" t="s">
        <v>19</v>
      </c>
      <c r="V6" s="66" t="s">
        <v>20</v>
      </c>
      <c r="W6" s="66" t="s">
        <v>21</v>
      </c>
      <c r="X6" s="66" t="s">
        <v>22</v>
      </c>
      <c r="Y6" s="66" t="s">
        <v>23</v>
      </c>
      <c r="Z6" s="66" t="s">
        <v>16</v>
      </c>
      <c r="AA6" s="68"/>
      <c r="AB6" s="68"/>
    </row>
    <row r="7" spans="1:28" s="157" customFormat="1" ht="36">
      <c r="A7" s="158" t="s">
        <v>24</v>
      </c>
      <c r="B7" s="70" t="s">
        <v>796</v>
      </c>
      <c r="C7" s="70"/>
      <c r="D7" s="70" t="s">
        <v>25</v>
      </c>
      <c r="E7" s="71">
        <v>125</v>
      </c>
      <c r="F7" s="71">
        <v>125</v>
      </c>
      <c r="G7" s="76">
        <v>5</v>
      </c>
      <c r="H7" s="169">
        <v>0</v>
      </c>
      <c r="I7" s="169">
        <v>0</v>
      </c>
      <c r="J7" s="169">
        <v>0</v>
      </c>
      <c r="K7" s="76">
        <v>0</v>
      </c>
      <c r="L7" s="76">
        <f t="shared" ref="L7:L70" si="0">G7+H7+I7-J7-K7</f>
        <v>5</v>
      </c>
      <c r="M7" s="160">
        <v>5</v>
      </c>
      <c r="N7" s="76">
        <v>0</v>
      </c>
      <c r="O7" s="76">
        <v>0</v>
      </c>
      <c r="P7" s="76">
        <f t="shared" ref="P7:P70" si="1">M7+N7+O7</f>
        <v>5</v>
      </c>
      <c r="Q7" s="76">
        <f t="shared" ref="Q7:Q70" si="2">P7-L7</f>
        <v>0</v>
      </c>
      <c r="R7" s="76"/>
      <c r="S7" s="56"/>
      <c r="T7" s="74">
        <f t="shared" ref="T7:T70" si="3">E7*G7</f>
        <v>625</v>
      </c>
      <c r="U7" s="74">
        <v>0</v>
      </c>
      <c r="V7" s="74">
        <f t="shared" ref="V7:V70" si="4">F7*H7</f>
        <v>0</v>
      </c>
      <c r="W7" s="74">
        <f t="shared" ref="W7:W70" si="5">F7*I7</f>
        <v>0</v>
      </c>
      <c r="X7" s="74">
        <f t="shared" ref="X7:X70" si="6">F7*J7</f>
        <v>0</v>
      </c>
      <c r="Y7" s="74">
        <f t="shared" ref="Y7:Y70" si="7">F7*K7</f>
        <v>0</v>
      </c>
      <c r="Z7" s="74">
        <f>T7+U7+V7+W7-X7-Y7</f>
        <v>625</v>
      </c>
      <c r="AA7" s="75">
        <f t="shared" ref="AA7:AA38" si="8">L7*F7</f>
        <v>625</v>
      </c>
      <c r="AB7" s="75">
        <f t="shared" ref="AB7:AB70" si="9">AA7-Z7</f>
        <v>0</v>
      </c>
    </row>
    <row r="8" spans="1:28">
      <c r="A8" s="69" t="s">
        <v>26</v>
      </c>
      <c r="B8" s="69"/>
      <c r="C8" s="69"/>
      <c r="D8" s="70" t="s">
        <v>27</v>
      </c>
      <c r="E8" s="71">
        <v>325</v>
      </c>
      <c r="F8" s="71">
        <v>325</v>
      </c>
      <c r="G8" s="72">
        <v>0</v>
      </c>
      <c r="H8" s="73">
        <v>0</v>
      </c>
      <c r="I8" s="73">
        <v>0</v>
      </c>
      <c r="J8" s="73">
        <v>0</v>
      </c>
      <c r="K8" s="72">
        <v>0</v>
      </c>
      <c r="L8" s="72">
        <f t="shared" si="0"/>
        <v>0</v>
      </c>
      <c r="M8" s="146">
        <v>0</v>
      </c>
      <c r="N8" s="72">
        <v>0</v>
      </c>
      <c r="O8" s="72">
        <v>0</v>
      </c>
      <c r="P8" s="72">
        <f t="shared" si="1"/>
        <v>0</v>
      </c>
      <c r="Q8" s="72">
        <f t="shared" si="2"/>
        <v>0</v>
      </c>
      <c r="R8" s="72"/>
      <c r="S8" s="56"/>
      <c r="T8" s="74">
        <f t="shared" si="3"/>
        <v>0</v>
      </c>
      <c r="U8" s="74">
        <v>0</v>
      </c>
      <c r="V8" s="74">
        <f t="shared" si="4"/>
        <v>0</v>
      </c>
      <c r="W8" s="74">
        <f t="shared" si="5"/>
        <v>0</v>
      </c>
      <c r="X8" s="74">
        <f t="shared" si="6"/>
        <v>0</v>
      </c>
      <c r="Y8" s="74">
        <f t="shared" si="7"/>
        <v>0</v>
      </c>
      <c r="Z8" s="74">
        <f t="shared" ref="Z8:Z71" si="10">T8+U8+V8+W8-X8-Y8</f>
        <v>0</v>
      </c>
      <c r="AA8" s="75">
        <f t="shared" si="8"/>
        <v>0</v>
      </c>
      <c r="AB8" s="75">
        <f t="shared" si="9"/>
        <v>0</v>
      </c>
    </row>
    <row r="9" spans="1:28">
      <c r="A9" s="123" t="s">
        <v>28</v>
      </c>
      <c r="B9" s="69"/>
      <c r="C9" s="69"/>
      <c r="D9" s="124" t="s">
        <v>29</v>
      </c>
      <c r="E9" s="125">
        <v>105.56</v>
      </c>
      <c r="F9" s="125">
        <v>105.56</v>
      </c>
      <c r="G9" s="120">
        <v>0</v>
      </c>
      <c r="H9" s="122">
        <v>0</v>
      </c>
      <c r="I9" s="122">
        <v>0</v>
      </c>
      <c r="J9" s="122">
        <v>0</v>
      </c>
      <c r="K9" s="120">
        <v>0</v>
      </c>
      <c r="L9" s="72">
        <f t="shared" si="0"/>
        <v>0</v>
      </c>
      <c r="M9" s="146">
        <v>0</v>
      </c>
      <c r="N9" s="72">
        <v>0</v>
      </c>
      <c r="O9" s="72">
        <v>0</v>
      </c>
      <c r="P9" s="72">
        <f t="shared" si="1"/>
        <v>0</v>
      </c>
      <c r="Q9" s="72">
        <f t="shared" si="2"/>
        <v>0</v>
      </c>
      <c r="R9" s="72"/>
      <c r="S9" s="56"/>
      <c r="T9" s="74">
        <f t="shared" si="3"/>
        <v>0</v>
      </c>
      <c r="U9" s="74">
        <v>0</v>
      </c>
      <c r="V9" s="74">
        <f t="shared" si="4"/>
        <v>0</v>
      </c>
      <c r="W9" s="74">
        <f t="shared" si="5"/>
        <v>0</v>
      </c>
      <c r="X9" s="74">
        <f t="shared" si="6"/>
        <v>0</v>
      </c>
      <c r="Y9" s="74">
        <f t="shared" si="7"/>
        <v>0</v>
      </c>
      <c r="Z9" s="74">
        <f t="shared" si="10"/>
        <v>0</v>
      </c>
      <c r="AA9" s="75">
        <f t="shared" si="8"/>
        <v>0</v>
      </c>
      <c r="AB9" s="75">
        <f t="shared" si="9"/>
        <v>0</v>
      </c>
    </row>
    <row r="10" spans="1:28">
      <c r="A10" s="123" t="s">
        <v>30</v>
      </c>
      <c r="B10" s="69"/>
      <c r="C10" s="69"/>
      <c r="D10" s="124" t="s">
        <v>31</v>
      </c>
      <c r="E10" s="125">
        <v>105.56</v>
      </c>
      <c r="F10" s="125">
        <v>105.56</v>
      </c>
      <c r="G10" s="120">
        <v>0</v>
      </c>
      <c r="H10" s="122">
        <v>0</v>
      </c>
      <c r="I10" s="122">
        <v>0</v>
      </c>
      <c r="J10" s="122">
        <v>0</v>
      </c>
      <c r="K10" s="120">
        <v>0</v>
      </c>
      <c r="L10" s="72">
        <f t="shared" si="0"/>
        <v>0</v>
      </c>
      <c r="M10" s="146">
        <v>0</v>
      </c>
      <c r="N10" s="72">
        <v>0</v>
      </c>
      <c r="O10" s="72">
        <v>0</v>
      </c>
      <c r="P10" s="72">
        <f t="shared" si="1"/>
        <v>0</v>
      </c>
      <c r="Q10" s="72">
        <f t="shared" si="2"/>
        <v>0</v>
      </c>
      <c r="R10" s="72"/>
      <c r="S10" s="56"/>
      <c r="T10" s="74">
        <f t="shared" si="3"/>
        <v>0</v>
      </c>
      <c r="U10" s="74">
        <v>0</v>
      </c>
      <c r="V10" s="74">
        <f t="shared" si="4"/>
        <v>0</v>
      </c>
      <c r="W10" s="74">
        <f t="shared" si="5"/>
        <v>0</v>
      </c>
      <c r="X10" s="74">
        <f t="shared" si="6"/>
        <v>0</v>
      </c>
      <c r="Y10" s="74">
        <f t="shared" si="7"/>
        <v>0</v>
      </c>
      <c r="Z10" s="74">
        <f t="shared" si="10"/>
        <v>0</v>
      </c>
      <c r="AA10" s="75">
        <f t="shared" si="8"/>
        <v>0</v>
      </c>
      <c r="AB10" s="75">
        <f t="shared" si="9"/>
        <v>0</v>
      </c>
    </row>
    <row r="11" spans="1:28">
      <c r="A11" s="123" t="s">
        <v>32</v>
      </c>
      <c r="B11" s="69"/>
      <c r="C11" s="69"/>
      <c r="D11" s="124" t="s">
        <v>33</v>
      </c>
      <c r="E11" s="125">
        <v>325</v>
      </c>
      <c r="F11" s="125">
        <v>325</v>
      </c>
      <c r="G11" s="120">
        <v>0</v>
      </c>
      <c r="H11" s="122">
        <v>0</v>
      </c>
      <c r="I11" s="122">
        <v>0</v>
      </c>
      <c r="J11" s="122">
        <v>0</v>
      </c>
      <c r="K11" s="120">
        <v>0</v>
      </c>
      <c r="L11" s="72">
        <f t="shared" si="0"/>
        <v>0</v>
      </c>
      <c r="M11" s="146">
        <v>0</v>
      </c>
      <c r="N11" s="72">
        <v>0</v>
      </c>
      <c r="O11" s="72">
        <v>0</v>
      </c>
      <c r="P11" s="72">
        <f t="shared" si="1"/>
        <v>0</v>
      </c>
      <c r="Q11" s="72">
        <f t="shared" si="2"/>
        <v>0</v>
      </c>
      <c r="R11" s="72"/>
      <c r="S11" s="56"/>
      <c r="T11" s="74">
        <f t="shared" si="3"/>
        <v>0</v>
      </c>
      <c r="U11" s="74">
        <v>0</v>
      </c>
      <c r="V11" s="74">
        <f t="shared" si="4"/>
        <v>0</v>
      </c>
      <c r="W11" s="74">
        <f t="shared" si="5"/>
        <v>0</v>
      </c>
      <c r="X11" s="74">
        <f t="shared" si="6"/>
        <v>0</v>
      </c>
      <c r="Y11" s="74">
        <f t="shared" si="7"/>
        <v>0</v>
      </c>
      <c r="Z11" s="74">
        <f t="shared" si="10"/>
        <v>0</v>
      </c>
      <c r="AA11" s="75">
        <f t="shared" si="8"/>
        <v>0</v>
      </c>
      <c r="AB11" s="75">
        <f t="shared" si="9"/>
        <v>0</v>
      </c>
    </row>
    <row r="12" spans="1:28">
      <c r="A12" s="123" t="s">
        <v>34</v>
      </c>
      <c r="B12" s="69"/>
      <c r="C12" s="69"/>
      <c r="D12" s="124" t="s">
        <v>35</v>
      </c>
      <c r="E12" s="125">
        <v>263.58</v>
      </c>
      <c r="F12" s="125">
        <v>263.58</v>
      </c>
      <c r="G12" s="120">
        <v>15</v>
      </c>
      <c r="H12" s="122">
        <v>0</v>
      </c>
      <c r="I12" s="122">
        <v>0</v>
      </c>
      <c r="J12" s="122">
        <v>15</v>
      </c>
      <c r="K12" s="120">
        <v>0</v>
      </c>
      <c r="L12" s="72">
        <f t="shared" si="0"/>
        <v>0</v>
      </c>
      <c r="M12" s="146">
        <v>0</v>
      </c>
      <c r="N12" s="72">
        <v>0</v>
      </c>
      <c r="O12" s="72">
        <v>0</v>
      </c>
      <c r="P12" s="72">
        <f t="shared" si="1"/>
        <v>0</v>
      </c>
      <c r="Q12" s="72">
        <f t="shared" si="2"/>
        <v>0</v>
      </c>
      <c r="R12" s="72"/>
      <c r="S12" s="56"/>
      <c r="T12" s="74">
        <f t="shared" si="3"/>
        <v>3953.7</v>
      </c>
      <c r="U12" s="74">
        <v>0</v>
      </c>
      <c r="V12" s="74">
        <f t="shared" si="4"/>
        <v>0</v>
      </c>
      <c r="W12" s="74">
        <f t="shared" si="5"/>
        <v>0</v>
      </c>
      <c r="X12" s="74">
        <f t="shared" si="6"/>
        <v>3953.7</v>
      </c>
      <c r="Y12" s="74">
        <f t="shared" si="7"/>
        <v>0</v>
      </c>
      <c r="Z12" s="74">
        <f t="shared" si="10"/>
        <v>0</v>
      </c>
      <c r="AA12" s="75">
        <f t="shared" si="8"/>
        <v>0</v>
      </c>
      <c r="AB12" s="75">
        <f t="shared" si="9"/>
        <v>0</v>
      </c>
    </row>
    <row r="13" spans="1:28">
      <c r="A13" s="123" t="s">
        <v>36</v>
      </c>
      <c r="B13" s="69"/>
      <c r="C13" s="69"/>
      <c r="D13" s="124" t="s">
        <v>37</v>
      </c>
      <c r="E13" s="125">
        <v>0</v>
      </c>
      <c r="F13" s="125">
        <v>0</v>
      </c>
      <c r="G13" s="120">
        <v>0</v>
      </c>
      <c r="H13" s="122">
        <v>0</v>
      </c>
      <c r="I13" s="122">
        <v>0</v>
      </c>
      <c r="J13" s="122">
        <v>0</v>
      </c>
      <c r="K13" s="120">
        <v>0</v>
      </c>
      <c r="L13" s="72">
        <f t="shared" si="0"/>
        <v>0</v>
      </c>
      <c r="M13" s="146">
        <v>0</v>
      </c>
      <c r="N13" s="72">
        <v>0</v>
      </c>
      <c r="O13" s="72">
        <v>0</v>
      </c>
      <c r="P13" s="72">
        <f t="shared" si="1"/>
        <v>0</v>
      </c>
      <c r="Q13" s="72">
        <f t="shared" si="2"/>
        <v>0</v>
      </c>
      <c r="R13" s="72"/>
      <c r="S13" s="56"/>
      <c r="T13" s="74">
        <f t="shared" si="3"/>
        <v>0</v>
      </c>
      <c r="U13" s="74">
        <v>0</v>
      </c>
      <c r="V13" s="74">
        <f t="shared" si="4"/>
        <v>0</v>
      </c>
      <c r="W13" s="74">
        <f t="shared" si="5"/>
        <v>0</v>
      </c>
      <c r="X13" s="74">
        <f t="shared" si="6"/>
        <v>0</v>
      </c>
      <c r="Y13" s="74">
        <f t="shared" si="7"/>
        <v>0</v>
      </c>
      <c r="Z13" s="74">
        <f t="shared" si="10"/>
        <v>0</v>
      </c>
      <c r="AA13" s="75">
        <f t="shared" si="8"/>
        <v>0</v>
      </c>
      <c r="AB13" s="75">
        <f t="shared" si="9"/>
        <v>0</v>
      </c>
    </row>
    <row r="14" spans="1:28">
      <c r="A14" s="123" t="s">
        <v>38</v>
      </c>
      <c r="B14" s="139" t="s">
        <v>701</v>
      </c>
      <c r="C14" s="139"/>
      <c r="D14" s="124" t="s">
        <v>39</v>
      </c>
      <c r="E14" s="125">
        <v>1010</v>
      </c>
      <c r="F14" s="125">
        <v>1010</v>
      </c>
      <c r="G14" s="120">
        <v>1</v>
      </c>
      <c r="H14" s="122">
        <v>0</v>
      </c>
      <c r="I14" s="122">
        <v>0</v>
      </c>
      <c r="J14" s="122">
        <v>0</v>
      </c>
      <c r="K14" s="120">
        <v>0</v>
      </c>
      <c r="L14" s="72">
        <f t="shared" si="0"/>
        <v>1</v>
      </c>
      <c r="M14" s="146">
        <v>1</v>
      </c>
      <c r="N14" s="72">
        <v>0</v>
      </c>
      <c r="O14" s="72">
        <v>0</v>
      </c>
      <c r="P14" s="72">
        <f t="shared" si="1"/>
        <v>1</v>
      </c>
      <c r="Q14" s="72">
        <f t="shared" si="2"/>
        <v>0</v>
      </c>
      <c r="R14" s="72"/>
      <c r="S14" s="56"/>
      <c r="T14" s="74">
        <f t="shared" si="3"/>
        <v>1010</v>
      </c>
      <c r="U14" s="74">
        <v>0</v>
      </c>
      <c r="V14" s="74">
        <f t="shared" si="4"/>
        <v>0</v>
      </c>
      <c r="W14" s="74">
        <f t="shared" si="5"/>
        <v>0</v>
      </c>
      <c r="X14" s="74">
        <f t="shared" si="6"/>
        <v>0</v>
      </c>
      <c r="Y14" s="74">
        <f t="shared" si="7"/>
        <v>0</v>
      </c>
      <c r="Z14" s="74">
        <f t="shared" si="10"/>
        <v>1010</v>
      </c>
      <c r="AA14" s="75">
        <f t="shared" si="8"/>
        <v>1010</v>
      </c>
      <c r="AB14" s="75">
        <f t="shared" si="9"/>
        <v>0</v>
      </c>
    </row>
    <row r="15" spans="1:28">
      <c r="A15" s="123" t="s">
        <v>40</v>
      </c>
      <c r="B15" s="69" t="s">
        <v>739</v>
      </c>
      <c r="C15" s="69" t="s">
        <v>738</v>
      </c>
      <c r="D15" s="124" t="s">
        <v>41</v>
      </c>
      <c r="E15" s="125">
        <v>320</v>
      </c>
      <c r="F15" s="125">
        <v>320</v>
      </c>
      <c r="G15" s="120">
        <v>2</v>
      </c>
      <c r="H15" s="122">
        <v>0</v>
      </c>
      <c r="I15" s="122">
        <v>0</v>
      </c>
      <c r="J15" s="122">
        <v>0</v>
      </c>
      <c r="K15" s="120">
        <v>0</v>
      </c>
      <c r="L15" s="72">
        <f t="shared" si="0"/>
        <v>2</v>
      </c>
      <c r="M15" s="146">
        <v>2</v>
      </c>
      <c r="N15" s="72">
        <v>0</v>
      </c>
      <c r="O15" s="72">
        <v>0</v>
      </c>
      <c r="P15" s="72">
        <f t="shared" si="1"/>
        <v>2</v>
      </c>
      <c r="Q15" s="72">
        <f t="shared" si="2"/>
        <v>0</v>
      </c>
      <c r="R15" s="72"/>
      <c r="S15" s="56"/>
      <c r="T15" s="74">
        <f t="shared" si="3"/>
        <v>640</v>
      </c>
      <c r="U15" s="74">
        <v>0</v>
      </c>
      <c r="V15" s="74">
        <f t="shared" si="4"/>
        <v>0</v>
      </c>
      <c r="W15" s="74">
        <f t="shared" si="5"/>
        <v>0</v>
      </c>
      <c r="X15" s="74">
        <f t="shared" si="6"/>
        <v>0</v>
      </c>
      <c r="Y15" s="74">
        <f t="shared" si="7"/>
        <v>0</v>
      </c>
      <c r="Z15" s="74">
        <f t="shared" si="10"/>
        <v>640</v>
      </c>
      <c r="AA15" s="75">
        <f t="shared" si="8"/>
        <v>640</v>
      </c>
      <c r="AB15" s="75">
        <f t="shared" si="9"/>
        <v>0</v>
      </c>
    </row>
    <row r="16" spans="1:28">
      <c r="A16" s="123" t="s">
        <v>42</v>
      </c>
      <c r="B16" s="69" t="s">
        <v>740</v>
      </c>
      <c r="C16" s="69" t="s">
        <v>737</v>
      </c>
      <c r="D16" s="124" t="s">
        <v>43</v>
      </c>
      <c r="E16" s="125">
        <v>1</v>
      </c>
      <c r="F16" s="125">
        <v>1</v>
      </c>
      <c r="G16" s="120">
        <v>10</v>
      </c>
      <c r="H16" s="122">
        <v>0</v>
      </c>
      <c r="I16" s="122">
        <v>0</v>
      </c>
      <c r="J16" s="122">
        <v>0</v>
      </c>
      <c r="K16" s="120">
        <v>0</v>
      </c>
      <c r="L16" s="72">
        <f t="shared" si="0"/>
        <v>10</v>
      </c>
      <c r="M16" s="146">
        <v>10</v>
      </c>
      <c r="N16" s="72">
        <v>0</v>
      </c>
      <c r="O16" s="72">
        <v>0</v>
      </c>
      <c r="P16" s="72">
        <f t="shared" si="1"/>
        <v>10</v>
      </c>
      <c r="Q16" s="72">
        <f t="shared" si="2"/>
        <v>0</v>
      </c>
      <c r="R16" s="72"/>
      <c r="S16" s="56"/>
      <c r="T16" s="74">
        <f t="shared" si="3"/>
        <v>10</v>
      </c>
      <c r="U16" s="74">
        <v>0</v>
      </c>
      <c r="V16" s="74">
        <f t="shared" si="4"/>
        <v>0</v>
      </c>
      <c r="W16" s="74">
        <f t="shared" si="5"/>
        <v>0</v>
      </c>
      <c r="X16" s="74">
        <f t="shared" si="6"/>
        <v>0</v>
      </c>
      <c r="Y16" s="74">
        <f t="shared" si="7"/>
        <v>0</v>
      </c>
      <c r="Z16" s="74">
        <f t="shared" si="10"/>
        <v>10</v>
      </c>
      <c r="AA16" s="75">
        <f t="shared" si="8"/>
        <v>10</v>
      </c>
      <c r="AB16" s="75">
        <f t="shared" si="9"/>
        <v>0</v>
      </c>
    </row>
    <row r="17" spans="1:28" ht="24">
      <c r="A17" s="123" t="s">
        <v>44</v>
      </c>
      <c r="B17" s="69"/>
      <c r="C17" s="69"/>
      <c r="D17" s="124" t="s">
        <v>45</v>
      </c>
      <c r="E17" s="125">
        <v>217.5</v>
      </c>
      <c r="F17" s="125">
        <v>217.5</v>
      </c>
      <c r="G17" s="120">
        <v>4</v>
      </c>
      <c r="H17" s="122">
        <v>0</v>
      </c>
      <c r="I17" s="122">
        <v>0</v>
      </c>
      <c r="J17" s="122">
        <v>0</v>
      </c>
      <c r="K17" s="120">
        <v>0</v>
      </c>
      <c r="L17" s="72">
        <f t="shared" si="0"/>
        <v>4</v>
      </c>
      <c r="M17" s="146">
        <v>4</v>
      </c>
      <c r="N17" s="72">
        <v>0</v>
      </c>
      <c r="O17" s="72">
        <v>0</v>
      </c>
      <c r="P17" s="72">
        <f t="shared" si="1"/>
        <v>4</v>
      </c>
      <c r="Q17" s="72">
        <f t="shared" si="2"/>
        <v>0</v>
      </c>
      <c r="R17" s="72"/>
      <c r="S17" s="56"/>
      <c r="T17" s="74">
        <f t="shared" si="3"/>
        <v>870</v>
      </c>
      <c r="U17" s="74">
        <v>0</v>
      </c>
      <c r="V17" s="74">
        <f t="shared" si="4"/>
        <v>0</v>
      </c>
      <c r="W17" s="74">
        <f t="shared" si="5"/>
        <v>0</v>
      </c>
      <c r="X17" s="74">
        <f t="shared" si="6"/>
        <v>0</v>
      </c>
      <c r="Y17" s="74">
        <f t="shared" si="7"/>
        <v>0</v>
      </c>
      <c r="Z17" s="74">
        <f t="shared" si="10"/>
        <v>870</v>
      </c>
      <c r="AA17" s="75">
        <f t="shared" si="8"/>
        <v>870</v>
      </c>
      <c r="AB17" s="75">
        <f t="shared" si="9"/>
        <v>0</v>
      </c>
    </row>
    <row r="18" spans="1:28" ht="22.5">
      <c r="A18" s="123" t="s">
        <v>46</v>
      </c>
      <c r="B18" s="140" t="s">
        <v>702</v>
      </c>
      <c r="C18" s="140"/>
      <c r="D18" s="124" t="s">
        <v>47</v>
      </c>
      <c r="E18" s="125">
        <v>1193.5</v>
      </c>
      <c r="F18" s="125">
        <v>1193.5</v>
      </c>
      <c r="G18" s="120">
        <v>1</v>
      </c>
      <c r="H18" s="122">
        <v>0</v>
      </c>
      <c r="I18" s="122">
        <v>0</v>
      </c>
      <c r="J18" s="122">
        <v>0</v>
      </c>
      <c r="K18" s="120">
        <v>0</v>
      </c>
      <c r="L18" s="72">
        <f t="shared" si="0"/>
        <v>1</v>
      </c>
      <c r="M18" s="146">
        <v>1</v>
      </c>
      <c r="N18" s="72">
        <v>0</v>
      </c>
      <c r="O18" s="72">
        <v>0</v>
      </c>
      <c r="P18" s="72">
        <f t="shared" si="1"/>
        <v>1</v>
      </c>
      <c r="Q18" s="72">
        <f t="shared" si="2"/>
        <v>0</v>
      </c>
      <c r="R18" s="72"/>
      <c r="S18" s="56"/>
      <c r="T18" s="74">
        <f t="shared" si="3"/>
        <v>1193.5</v>
      </c>
      <c r="U18" s="74">
        <v>0</v>
      </c>
      <c r="V18" s="74">
        <f t="shared" si="4"/>
        <v>0</v>
      </c>
      <c r="W18" s="74">
        <f t="shared" si="5"/>
        <v>0</v>
      </c>
      <c r="X18" s="74">
        <f t="shared" si="6"/>
        <v>0</v>
      </c>
      <c r="Y18" s="74">
        <f t="shared" si="7"/>
        <v>0</v>
      </c>
      <c r="Z18" s="74">
        <f t="shared" si="10"/>
        <v>1193.5</v>
      </c>
      <c r="AA18" s="75">
        <f t="shared" si="8"/>
        <v>1193.5</v>
      </c>
      <c r="AB18" s="75">
        <f t="shared" si="9"/>
        <v>0</v>
      </c>
    </row>
    <row r="19" spans="1:28">
      <c r="A19" s="123" t="s">
        <v>48</v>
      </c>
      <c r="B19" s="69"/>
      <c r="C19" s="69"/>
      <c r="D19" s="124" t="s">
        <v>49</v>
      </c>
      <c r="E19" s="125">
        <v>580</v>
      </c>
      <c r="F19" s="125">
        <v>580</v>
      </c>
      <c r="G19" s="120">
        <v>0</v>
      </c>
      <c r="H19" s="122">
        <v>0</v>
      </c>
      <c r="I19" s="122">
        <v>0</v>
      </c>
      <c r="J19" s="122">
        <v>0</v>
      </c>
      <c r="K19" s="120">
        <v>0</v>
      </c>
      <c r="L19" s="72">
        <f t="shared" si="0"/>
        <v>0</v>
      </c>
      <c r="M19" s="146">
        <v>0</v>
      </c>
      <c r="N19" s="72">
        <v>0</v>
      </c>
      <c r="O19" s="72">
        <v>0</v>
      </c>
      <c r="P19" s="72">
        <f t="shared" si="1"/>
        <v>0</v>
      </c>
      <c r="Q19" s="72">
        <f t="shared" si="2"/>
        <v>0</v>
      </c>
      <c r="R19" s="72"/>
      <c r="S19" s="56"/>
      <c r="T19" s="74">
        <f t="shared" si="3"/>
        <v>0</v>
      </c>
      <c r="U19" s="74">
        <v>0</v>
      </c>
      <c r="V19" s="74">
        <f t="shared" si="4"/>
        <v>0</v>
      </c>
      <c r="W19" s="74">
        <f t="shared" si="5"/>
        <v>0</v>
      </c>
      <c r="X19" s="74">
        <f t="shared" si="6"/>
        <v>0</v>
      </c>
      <c r="Y19" s="74">
        <f t="shared" si="7"/>
        <v>0</v>
      </c>
      <c r="Z19" s="74">
        <f t="shared" si="10"/>
        <v>0</v>
      </c>
      <c r="AA19" s="75">
        <f t="shared" si="8"/>
        <v>0</v>
      </c>
      <c r="AB19" s="75">
        <f t="shared" si="9"/>
        <v>0</v>
      </c>
    </row>
    <row r="20" spans="1:28" ht="22.5">
      <c r="A20" s="123" t="s">
        <v>50</v>
      </c>
      <c r="B20" s="140" t="s">
        <v>797</v>
      </c>
      <c r="C20" s="140"/>
      <c r="D20" s="124" t="s">
        <v>51</v>
      </c>
      <c r="E20" s="125">
        <v>700</v>
      </c>
      <c r="F20" s="125">
        <v>700</v>
      </c>
      <c r="G20" s="120">
        <v>2</v>
      </c>
      <c r="H20" s="122">
        <v>0</v>
      </c>
      <c r="I20" s="122">
        <v>0</v>
      </c>
      <c r="J20" s="122">
        <v>0</v>
      </c>
      <c r="K20" s="120">
        <v>0</v>
      </c>
      <c r="L20" s="72">
        <f t="shared" si="0"/>
        <v>2</v>
      </c>
      <c r="M20" s="146">
        <v>2</v>
      </c>
      <c r="N20" s="72">
        <v>0</v>
      </c>
      <c r="O20" s="72">
        <v>0</v>
      </c>
      <c r="P20" s="72">
        <f t="shared" si="1"/>
        <v>2</v>
      </c>
      <c r="Q20" s="72">
        <f t="shared" si="2"/>
        <v>0</v>
      </c>
      <c r="R20" s="72"/>
      <c r="S20" s="56"/>
      <c r="T20" s="74">
        <f t="shared" si="3"/>
        <v>1400</v>
      </c>
      <c r="U20" s="74">
        <v>0</v>
      </c>
      <c r="V20" s="74">
        <f t="shared" si="4"/>
        <v>0</v>
      </c>
      <c r="W20" s="74">
        <f t="shared" si="5"/>
        <v>0</v>
      </c>
      <c r="X20" s="74">
        <f t="shared" si="6"/>
        <v>0</v>
      </c>
      <c r="Y20" s="74">
        <f t="shared" si="7"/>
        <v>0</v>
      </c>
      <c r="Z20" s="74">
        <f t="shared" si="10"/>
        <v>1400</v>
      </c>
      <c r="AA20" s="75">
        <f t="shared" si="8"/>
        <v>1400</v>
      </c>
      <c r="AB20" s="75">
        <f t="shared" si="9"/>
        <v>0</v>
      </c>
    </row>
    <row r="21" spans="1:28">
      <c r="A21" s="123" t="s">
        <v>52</v>
      </c>
      <c r="B21" s="140" t="s">
        <v>766</v>
      </c>
      <c r="C21" s="140"/>
      <c r="D21" s="124" t="s">
        <v>53</v>
      </c>
      <c r="E21" s="125">
        <v>1020</v>
      </c>
      <c r="F21" s="125">
        <v>1020</v>
      </c>
      <c r="G21" s="120">
        <v>1</v>
      </c>
      <c r="H21" s="122">
        <v>0</v>
      </c>
      <c r="I21" s="122">
        <v>0</v>
      </c>
      <c r="J21" s="122">
        <v>0</v>
      </c>
      <c r="K21" s="120">
        <v>0</v>
      </c>
      <c r="L21" s="72">
        <f t="shared" si="0"/>
        <v>1</v>
      </c>
      <c r="M21" s="146">
        <v>1</v>
      </c>
      <c r="N21" s="72">
        <v>0</v>
      </c>
      <c r="O21" s="72">
        <v>0</v>
      </c>
      <c r="P21" s="72">
        <f t="shared" si="1"/>
        <v>1</v>
      </c>
      <c r="Q21" s="72">
        <f t="shared" si="2"/>
        <v>0</v>
      </c>
      <c r="R21" s="72"/>
      <c r="S21" s="56"/>
      <c r="T21" s="74">
        <f t="shared" si="3"/>
        <v>1020</v>
      </c>
      <c r="U21" s="74">
        <v>0</v>
      </c>
      <c r="V21" s="74">
        <f t="shared" si="4"/>
        <v>0</v>
      </c>
      <c r="W21" s="74">
        <f t="shared" si="5"/>
        <v>0</v>
      </c>
      <c r="X21" s="74">
        <f t="shared" si="6"/>
        <v>0</v>
      </c>
      <c r="Y21" s="74">
        <f t="shared" si="7"/>
        <v>0</v>
      </c>
      <c r="Z21" s="74">
        <f t="shared" si="10"/>
        <v>1020</v>
      </c>
      <c r="AA21" s="75">
        <f t="shared" si="8"/>
        <v>1020</v>
      </c>
      <c r="AB21" s="75">
        <f t="shared" si="9"/>
        <v>0</v>
      </c>
    </row>
    <row r="22" spans="1:28">
      <c r="A22" s="123" t="s">
        <v>54</v>
      </c>
      <c r="B22" s="69"/>
      <c r="C22" s="69"/>
      <c r="D22" s="124" t="s">
        <v>55</v>
      </c>
      <c r="E22" s="125">
        <v>253</v>
      </c>
      <c r="F22" s="125">
        <v>253</v>
      </c>
      <c r="G22" s="120">
        <v>0</v>
      </c>
      <c r="H22" s="122">
        <v>0</v>
      </c>
      <c r="I22" s="122">
        <v>0</v>
      </c>
      <c r="J22" s="122">
        <v>0</v>
      </c>
      <c r="K22" s="120">
        <v>0</v>
      </c>
      <c r="L22" s="72">
        <f t="shared" si="0"/>
        <v>0</v>
      </c>
      <c r="M22" s="146">
        <v>0</v>
      </c>
      <c r="N22" s="72">
        <v>0</v>
      </c>
      <c r="O22" s="72">
        <v>0</v>
      </c>
      <c r="P22" s="72">
        <f t="shared" si="1"/>
        <v>0</v>
      </c>
      <c r="Q22" s="72">
        <f t="shared" si="2"/>
        <v>0</v>
      </c>
      <c r="R22" s="72"/>
      <c r="S22" s="56"/>
      <c r="T22" s="74">
        <f t="shared" si="3"/>
        <v>0</v>
      </c>
      <c r="U22" s="74">
        <v>0</v>
      </c>
      <c r="V22" s="74">
        <f t="shared" si="4"/>
        <v>0</v>
      </c>
      <c r="W22" s="74">
        <f t="shared" si="5"/>
        <v>0</v>
      </c>
      <c r="X22" s="74">
        <f t="shared" si="6"/>
        <v>0</v>
      </c>
      <c r="Y22" s="74">
        <f t="shared" si="7"/>
        <v>0</v>
      </c>
      <c r="Z22" s="74">
        <f t="shared" si="10"/>
        <v>0</v>
      </c>
      <c r="AA22" s="75">
        <f t="shared" si="8"/>
        <v>0</v>
      </c>
      <c r="AB22" s="75">
        <f t="shared" si="9"/>
        <v>0</v>
      </c>
    </row>
    <row r="23" spans="1:28" s="157" customFormat="1" ht="24">
      <c r="A23" s="154" t="s">
        <v>56</v>
      </c>
      <c r="B23" s="140" t="s">
        <v>741</v>
      </c>
      <c r="C23" s="140"/>
      <c r="D23" s="126" t="s">
        <v>798</v>
      </c>
      <c r="E23" s="125">
        <v>1222.73</v>
      </c>
      <c r="F23" s="125">
        <v>1222.73</v>
      </c>
      <c r="G23" s="121">
        <v>8</v>
      </c>
      <c r="H23" s="155">
        <v>0</v>
      </c>
      <c r="I23" s="155">
        <v>0</v>
      </c>
      <c r="J23" s="155">
        <v>3</v>
      </c>
      <c r="K23" s="162">
        <v>1</v>
      </c>
      <c r="L23" s="156">
        <f t="shared" si="0"/>
        <v>4</v>
      </c>
      <c r="M23" s="146">
        <v>4</v>
      </c>
      <c r="N23" s="128">
        <v>0</v>
      </c>
      <c r="O23" s="130"/>
      <c r="P23" s="128">
        <f t="shared" si="1"/>
        <v>4</v>
      </c>
      <c r="Q23" s="128">
        <f t="shared" si="2"/>
        <v>0</v>
      </c>
      <c r="R23" s="128"/>
      <c r="S23" s="56"/>
      <c r="T23" s="74">
        <f t="shared" si="3"/>
        <v>9781.84</v>
      </c>
      <c r="U23" s="74">
        <v>0</v>
      </c>
      <c r="V23" s="74">
        <f t="shared" si="4"/>
        <v>0</v>
      </c>
      <c r="W23" s="74">
        <f t="shared" si="5"/>
        <v>0</v>
      </c>
      <c r="X23" s="74">
        <f t="shared" si="6"/>
        <v>3668.19</v>
      </c>
      <c r="Y23" s="74">
        <f t="shared" si="7"/>
        <v>1222.73</v>
      </c>
      <c r="Z23" s="74">
        <f t="shared" si="10"/>
        <v>4890.92</v>
      </c>
      <c r="AA23" s="75">
        <f t="shared" si="8"/>
        <v>4890.92</v>
      </c>
      <c r="AB23" s="75">
        <f t="shared" si="9"/>
        <v>0</v>
      </c>
    </row>
    <row r="24" spans="1:28" ht="24">
      <c r="A24" s="123" t="s">
        <v>58</v>
      </c>
      <c r="B24" s="69"/>
      <c r="C24" s="69"/>
      <c r="D24" s="124" t="s">
        <v>59</v>
      </c>
      <c r="E24" s="125">
        <v>190.5</v>
      </c>
      <c r="F24" s="125">
        <v>190.5</v>
      </c>
      <c r="G24" s="120">
        <v>0</v>
      </c>
      <c r="H24" s="122">
        <v>0</v>
      </c>
      <c r="I24" s="122">
        <v>0</v>
      </c>
      <c r="J24" s="122">
        <v>0</v>
      </c>
      <c r="K24" s="120">
        <v>0</v>
      </c>
      <c r="L24" s="72">
        <f t="shared" si="0"/>
        <v>0</v>
      </c>
      <c r="M24" s="146">
        <v>0</v>
      </c>
      <c r="N24" s="72">
        <v>0</v>
      </c>
      <c r="O24" s="72">
        <v>0</v>
      </c>
      <c r="P24" s="72">
        <f t="shared" si="1"/>
        <v>0</v>
      </c>
      <c r="Q24" s="72">
        <f t="shared" si="2"/>
        <v>0</v>
      </c>
      <c r="R24" s="72"/>
      <c r="S24" s="56"/>
      <c r="T24" s="74">
        <f t="shared" si="3"/>
        <v>0</v>
      </c>
      <c r="U24" s="74">
        <v>0</v>
      </c>
      <c r="V24" s="74">
        <f t="shared" si="4"/>
        <v>0</v>
      </c>
      <c r="W24" s="74">
        <f t="shared" si="5"/>
        <v>0</v>
      </c>
      <c r="X24" s="74">
        <f t="shared" si="6"/>
        <v>0</v>
      </c>
      <c r="Y24" s="74">
        <f t="shared" si="7"/>
        <v>0</v>
      </c>
      <c r="Z24" s="74">
        <f t="shared" si="10"/>
        <v>0</v>
      </c>
      <c r="AA24" s="75">
        <f t="shared" si="8"/>
        <v>0</v>
      </c>
      <c r="AB24" s="75">
        <f t="shared" si="9"/>
        <v>0</v>
      </c>
    </row>
    <row r="25" spans="1:28">
      <c r="A25" s="123" t="s">
        <v>60</v>
      </c>
      <c r="B25" s="69"/>
      <c r="C25" s="69"/>
      <c r="D25" s="124" t="s">
        <v>61</v>
      </c>
      <c r="E25" s="125">
        <v>440</v>
      </c>
      <c r="F25" s="125">
        <v>440</v>
      </c>
      <c r="G25" s="120">
        <v>0</v>
      </c>
      <c r="H25" s="122">
        <v>0</v>
      </c>
      <c r="I25" s="122">
        <v>0</v>
      </c>
      <c r="J25" s="122">
        <v>0</v>
      </c>
      <c r="K25" s="120">
        <v>0</v>
      </c>
      <c r="L25" s="72">
        <f t="shared" si="0"/>
        <v>0</v>
      </c>
      <c r="M25" s="146">
        <v>0</v>
      </c>
      <c r="N25" s="72">
        <v>0</v>
      </c>
      <c r="O25" s="72">
        <v>0</v>
      </c>
      <c r="P25" s="72">
        <f t="shared" si="1"/>
        <v>0</v>
      </c>
      <c r="Q25" s="72">
        <f t="shared" si="2"/>
        <v>0</v>
      </c>
      <c r="R25" s="72"/>
      <c r="S25" s="56"/>
      <c r="T25" s="74">
        <f t="shared" si="3"/>
        <v>0</v>
      </c>
      <c r="U25" s="74">
        <v>0</v>
      </c>
      <c r="V25" s="74">
        <f t="shared" si="4"/>
        <v>0</v>
      </c>
      <c r="W25" s="74">
        <f t="shared" si="5"/>
        <v>0</v>
      </c>
      <c r="X25" s="74">
        <f t="shared" si="6"/>
        <v>0</v>
      </c>
      <c r="Y25" s="74">
        <f t="shared" si="7"/>
        <v>0</v>
      </c>
      <c r="Z25" s="74">
        <f t="shared" si="10"/>
        <v>0</v>
      </c>
      <c r="AA25" s="75">
        <f t="shared" si="8"/>
        <v>0</v>
      </c>
      <c r="AB25" s="75">
        <f t="shared" si="9"/>
        <v>0</v>
      </c>
    </row>
    <row r="26" spans="1:28" ht="24">
      <c r="A26" s="123" t="s">
        <v>62</v>
      </c>
      <c r="B26" s="69"/>
      <c r="C26" s="69"/>
      <c r="D26" s="124" t="s">
        <v>63</v>
      </c>
      <c r="E26" s="125">
        <v>34.4</v>
      </c>
      <c r="F26" s="125">
        <v>34.4</v>
      </c>
      <c r="G26" s="120">
        <v>2</v>
      </c>
      <c r="H26" s="122">
        <v>0</v>
      </c>
      <c r="I26" s="122">
        <v>0</v>
      </c>
      <c r="J26" s="122">
        <v>2</v>
      </c>
      <c r="K26" s="120">
        <v>0</v>
      </c>
      <c r="L26" s="72">
        <f t="shared" si="0"/>
        <v>0</v>
      </c>
      <c r="M26" s="146">
        <v>0</v>
      </c>
      <c r="N26" s="72">
        <v>0</v>
      </c>
      <c r="O26" s="72">
        <v>0</v>
      </c>
      <c r="P26" s="72">
        <f t="shared" si="1"/>
        <v>0</v>
      </c>
      <c r="Q26" s="72">
        <f t="shared" si="2"/>
        <v>0</v>
      </c>
      <c r="R26" s="72"/>
      <c r="S26" s="56"/>
      <c r="T26" s="74">
        <f t="shared" si="3"/>
        <v>68.8</v>
      </c>
      <c r="U26" s="74">
        <v>0</v>
      </c>
      <c r="V26" s="74">
        <f t="shared" si="4"/>
        <v>0</v>
      </c>
      <c r="W26" s="74">
        <f t="shared" si="5"/>
        <v>0</v>
      </c>
      <c r="X26" s="74">
        <f t="shared" si="6"/>
        <v>68.8</v>
      </c>
      <c r="Y26" s="74">
        <f t="shared" si="7"/>
        <v>0</v>
      </c>
      <c r="Z26" s="74">
        <f t="shared" si="10"/>
        <v>0</v>
      </c>
      <c r="AA26" s="75">
        <f t="shared" si="8"/>
        <v>0</v>
      </c>
      <c r="AB26" s="75">
        <f t="shared" si="9"/>
        <v>0</v>
      </c>
    </row>
    <row r="27" spans="1:28" ht="24">
      <c r="A27" s="123" t="s">
        <v>64</v>
      </c>
      <c r="B27" s="69"/>
      <c r="C27" s="69"/>
      <c r="D27" s="124" t="s">
        <v>65</v>
      </c>
      <c r="E27" s="125">
        <v>34.479999999999997</v>
      </c>
      <c r="F27" s="125">
        <v>34.479999999999997</v>
      </c>
      <c r="G27" s="120">
        <v>2</v>
      </c>
      <c r="H27" s="122">
        <v>0</v>
      </c>
      <c r="I27" s="122">
        <v>0</v>
      </c>
      <c r="J27" s="122">
        <v>2</v>
      </c>
      <c r="K27" s="120">
        <v>0</v>
      </c>
      <c r="L27" s="72">
        <f t="shared" si="0"/>
        <v>0</v>
      </c>
      <c r="M27" s="146">
        <v>0</v>
      </c>
      <c r="N27" s="72">
        <v>0</v>
      </c>
      <c r="O27" s="72">
        <v>0</v>
      </c>
      <c r="P27" s="72">
        <f t="shared" si="1"/>
        <v>0</v>
      </c>
      <c r="Q27" s="72">
        <f t="shared" si="2"/>
        <v>0</v>
      </c>
      <c r="R27" s="72"/>
      <c r="S27" s="56"/>
      <c r="T27" s="74">
        <f t="shared" si="3"/>
        <v>68.959999999999994</v>
      </c>
      <c r="U27" s="74">
        <v>0</v>
      </c>
      <c r="V27" s="74">
        <f t="shared" si="4"/>
        <v>0</v>
      </c>
      <c r="W27" s="74">
        <f t="shared" si="5"/>
        <v>0</v>
      </c>
      <c r="X27" s="74">
        <f t="shared" si="6"/>
        <v>68.959999999999994</v>
      </c>
      <c r="Y27" s="74">
        <f t="shared" si="7"/>
        <v>0</v>
      </c>
      <c r="Z27" s="74">
        <f t="shared" si="10"/>
        <v>0</v>
      </c>
      <c r="AA27" s="75">
        <f t="shared" si="8"/>
        <v>0</v>
      </c>
      <c r="AB27" s="75">
        <f t="shared" si="9"/>
        <v>0</v>
      </c>
    </row>
    <row r="28" spans="1:28">
      <c r="A28" s="123" t="s">
        <v>66</v>
      </c>
      <c r="B28" s="69"/>
      <c r="C28" s="69"/>
      <c r="D28" s="124" t="s">
        <v>67</v>
      </c>
      <c r="E28" s="125">
        <v>0</v>
      </c>
      <c r="F28" s="125">
        <v>0</v>
      </c>
      <c r="G28" s="120">
        <v>0</v>
      </c>
      <c r="H28" s="122">
        <v>0</v>
      </c>
      <c r="I28" s="122">
        <v>0</v>
      </c>
      <c r="J28" s="122">
        <v>0</v>
      </c>
      <c r="K28" s="120">
        <v>0</v>
      </c>
      <c r="L28" s="72">
        <f t="shared" si="0"/>
        <v>0</v>
      </c>
      <c r="M28" s="146">
        <v>0</v>
      </c>
      <c r="N28" s="72">
        <v>0</v>
      </c>
      <c r="O28" s="72">
        <v>0</v>
      </c>
      <c r="P28" s="72">
        <f t="shared" si="1"/>
        <v>0</v>
      </c>
      <c r="Q28" s="72">
        <f t="shared" si="2"/>
        <v>0</v>
      </c>
      <c r="R28" s="72"/>
      <c r="S28" s="56"/>
      <c r="T28" s="74">
        <f t="shared" si="3"/>
        <v>0</v>
      </c>
      <c r="U28" s="74">
        <v>0</v>
      </c>
      <c r="V28" s="74">
        <f t="shared" si="4"/>
        <v>0</v>
      </c>
      <c r="W28" s="74">
        <f t="shared" si="5"/>
        <v>0</v>
      </c>
      <c r="X28" s="74">
        <f t="shared" si="6"/>
        <v>0</v>
      </c>
      <c r="Y28" s="74">
        <f t="shared" si="7"/>
        <v>0</v>
      </c>
      <c r="Z28" s="74">
        <f t="shared" si="10"/>
        <v>0</v>
      </c>
      <c r="AA28" s="75">
        <f t="shared" si="8"/>
        <v>0</v>
      </c>
      <c r="AB28" s="75">
        <f t="shared" si="9"/>
        <v>0</v>
      </c>
    </row>
    <row r="29" spans="1:28">
      <c r="A29" s="123" t="s">
        <v>68</v>
      </c>
      <c r="B29" s="69"/>
      <c r="C29" s="69"/>
      <c r="D29" s="124" t="s">
        <v>69</v>
      </c>
      <c r="E29" s="125">
        <v>4500</v>
      </c>
      <c r="F29" s="125">
        <v>4500</v>
      </c>
      <c r="G29" s="120">
        <v>0</v>
      </c>
      <c r="H29" s="122">
        <v>0</v>
      </c>
      <c r="I29" s="122">
        <v>0</v>
      </c>
      <c r="J29" s="122">
        <v>0</v>
      </c>
      <c r="K29" s="120">
        <v>0</v>
      </c>
      <c r="L29" s="72">
        <f t="shared" si="0"/>
        <v>0</v>
      </c>
      <c r="M29" s="146">
        <v>0</v>
      </c>
      <c r="N29" s="72">
        <v>0</v>
      </c>
      <c r="O29" s="72">
        <v>0</v>
      </c>
      <c r="P29" s="72">
        <f t="shared" si="1"/>
        <v>0</v>
      </c>
      <c r="Q29" s="72">
        <f t="shared" si="2"/>
        <v>0</v>
      </c>
      <c r="R29" s="72"/>
      <c r="S29" s="56"/>
      <c r="T29" s="74">
        <f t="shared" si="3"/>
        <v>0</v>
      </c>
      <c r="U29" s="74">
        <v>0</v>
      </c>
      <c r="V29" s="74">
        <f t="shared" si="4"/>
        <v>0</v>
      </c>
      <c r="W29" s="74">
        <f t="shared" si="5"/>
        <v>0</v>
      </c>
      <c r="X29" s="74">
        <f t="shared" si="6"/>
        <v>0</v>
      </c>
      <c r="Y29" s="74">
        <f t="shared" si="7"/>
        <v>0</v>
      </c>
      <c r="Z29" s="74">
        <f t="shared" si="10"/>
        <v>0</v>
      </c>
      <c r="AA29" s="75">
        <f t="shared" si="8"/>
        <v>0</v>
      </c>
      <c r="AB29" s="75">
        <f t="shared" si="9"/>
        <v>0</v>
      </c>
    </row>
    <row r="30" spans="1:28" ht="22.5">
      <c r="A30" s="123" t="s">
        <v>70</v>
      </c>
      <c r="B30" s="139" t="s">
        <v>742</v>
      </c>
      <c r="C30" s="139"/>
      <c r="D30" s="124" t="s">
        <v>71</v>
      </c>
      <c r="E30" s="125">
        <v>250</v>
      </c>
      <c r="F30" s="125">
        <v>250</v>
      </c>
      <c r="G30" s="120">
        <v>1</v>
      </c>
      <c r="H30" s="122">
        <v>0</v>
      </c>
      <c r="I30" s="122">
        <v>0</v>
      </c>
      <c r="J30" s="122">
        <v>0</v>
      </c>
      <c r="K30" s="120">
        <v>0</v>
      </c>
      <c r="L30" s="72">
        <f t="shared" si="0"/>
        <v>1</v>
      </c>
      <c r="M30" s="146">
        <v>1</v>
      </c>
      <c r="N30" s="72">
        <v>0</v>
      </c>
      <c r="O30" s="72">
        <v>0</v>
      </c>
      <c r="P30" s="72">
        <f t="shared" si="1"/>
        <v>1</v>
      </c>
      <c r="Q30" s="72">
        <f t="shared" si="2"/>
        <v>0</v>
      </c>
      <c r="R30" s="72"/>
      <c r="S30" s="56"/>
      <c r="T30" s="74">
        <f t="shared" si="3"/>
        <v>250</v>
      </c>
      <c r="U30" s="74">
        <v>0</v>
      </c>
      <c r="V30" s="74">
        <f t="shared" si="4"/>
        <v>0</v>
      </c>
      <c r="W30" s="74">
        <f t="shared" si="5"/>
        <v>0</v>
      </c>
      <c r="X30" s="74">
        <f t="shared" si="6"/>
        <v>0</v>
      </c>
      <c r="Y30" s="74">
        <f t="shared" si="7"/>
        <v>0</v>
      </c>
      <c r="Z30" s="74">
        <f t="shared" si="10"/>
        <v>250</v>
      </c>
      <c r="AA30" s="75">
        <f t="shared" si="8"/>
        <v>250</v>
      </c>
      <c r="AB30" s="75">
        <f t="shared" si="9"/>
        <v>0</v>
      </c>
    </row>
    <row r="31" spans="1:28" ht="24">
      <c r="A31" s="123" t="s">
        <v>72</v>
      </c>
      <c r="B31" s="69"/>
      <c r="C31" s="69"/>
      <c r="D31" s="124" t="s">
        <v>73</v>
      </c>
      <c r="E31" s="125">
        <v>420.61275000000001</v>
      </c>
      <c r="F31" s="125">
        <v>420.61275000000001</v>
      </c>
      <c r="G31" s="120">
        <v>0</v>
      </c>
      <c r="H31" s="122">
        <v>0</v>
      </c>
      <c r="I31" s="122">
        <v>0</v>
      </c>
      <c r="J31" s="122">
        <v>0</v>
      </c>
      <c r="K31" s="120">
        <v>0</v>
      </c>
      <c r="L31" s="72">
        <f t="shared" si="0"/>
        <v>0</v>
      </c>
      <c r="M31" s="146">
        <v>0</v>
      </c>
      <c r="N31" s="72">
        <v>0</v>
      </c>
      <c r="O31" s="72">
        <v>0</v>
      </c>
      <c r="P31" s="72">
        <f t="shared" si="1"/>
        <v>0</v>
      </c>
      <c r="Q31" s="72">
        <f t="shared" si="2"/>
        <v>0</v>
      </c>
      <c r="R31" s="72"/>
      <c r="S31" s="56"/>
      <c r="T31" s="74">
        <f t="shared" si="3"/>
        <v>0</v>
      </c>
      <c r="U31" s="74">
        <v>0</v>
      </c>
      <c r="V31" s="74">
        <f t="shared" si="4"/>
        <v>0</v>
      </c>
      <c r="W31" s="74">
        <f t="shared" si="5"/>
        <v>0</v>
      </c>
      <c r="X31" s="74">
        <f t="shared" si="6"/>
        <v>0</v>
      </c>
      <c r="Y31" s="74">
        <f t="shared" si="7"/>
        <v>0</v>
      </c>
      <c r="Z31" s="74">
        <f t="shared" si="10"/>
        <v>0</v>
      </c>
      <c r="AA31" s="75">
        <f t="shared" si="8"/>
        <v>0</v>
      </c>
      <c r="AB31" s="75">
        <f t="shared" si="9"/>
        <v>0</v>
      </c>
    </row>
    <row r="32" spans="1:28">
      <c r="A32" s="123" t="s">
        <v>74</v>
      </c>
      <c r="B32" s="69"/>
      <c r="C32" s="69"/>
      <c r="D32" s="124" t="s">
        <v>75</v>
      </c>
      <c r="E32" s="125">
        <v>0</v>
      </c>
      <c r="F32" s="125">
        <v>0</v>
      </c>
      <c r="G32" s="120">
        <v>0</v>
      </c>
      <c r="H32" s="122">
        <v>0</v>
      </c>
      <c r="I32" s="122">
        <v>0</v>
      </c>
      <c r="J32" s="122">
        <v>0</v>
      </c>
      <c r="K32" s="120">
        <v>0</v>
      </c>
      <c r="L32" s="72">
        <f t="shared" si="0"/>
        <v>0</v>
      </c>
      <c r="M32" s="146">
        <v>0</v>
      </c>
      <c r="N32" s="72">
        <v>0</v>
      </c>
      <c r="O32" s="72">
        <v>0</v>
      </c>
      <c r="P32" s="72">
        <f t="shared" si="1"/>
        <v>0</v>
      </c>
      <c r="Q32" s="72">
        <f t="shared" si="2"/>
        <v>0</v>
      </c>
      <c r="R32" s="72"/>
      <c r="S32" s="56"/>
      <c r="T32" s="74">
        <f t="shared" si="3"/>
        <v>0</v>
      </c>
      <c r="U32" s="74">
        <v>0</v>
      </c>
      <c r="V32" s="74">
        <f t="shared" si="4"/>
        <v>0</v>
      </c>
      <c r="W32" s="74">
        <f t="shared" si="5"/>
        <v>0</v>
      </c>
      <c r="X32" s="74">
        <f t="shared" si="6"/>
        <v>0</v>
      </c>
      <c r="Y32" s="74">
        <f t="shared" si="7"/>
        <v>0</v>
      </c>
      <c r="Z32" s="74">
        <f t="shared" si="10"/>
        <v>0</v>
      </c>
      <c r="AA32" s="75">
        <f t="shared" si="8"/>
        <v>0</v>
      </c>
      <c r="AB32" s="75">
        <f t="shared" si="9"/>
        <v>0</v>
      </c>
    </row>
    <row r="33" spans="1:28">
      <c r="A33" s="123" t="s">
        <v>76</v>
      </c>
      <c r="B33" s="69"/>
      <c r="C33" s="69"/>
      <c r="D33" s="124" t="s">
        <v>77</v>
      </c>
      <c r="E33" s="125">
        <v>0</v>
      </c>
      <c r="F33" s="125">
        <v>0</v>
      </c>
      <c r="G33" s="120">
        <v>0</v>
      </c>
      <c r="H33" s="122">
        <v>0</v>
      </c>
      <c r="I33" s="122">
        <v>0</v>
      </c>
      <c r="J33" s="122">
        <v>0</v>
      </c>
      <c r="K33" s="120">
        <v>0</v>
      </c>
      <c r="L33" s="72">
        <f t="shared" si="0"/>
        <v>0</v>
      </c>
      <c r="M33" s="146">
        <v>0</v>
      </c>
      <c r="N33" s="72">
        <v>0</v>
      </c>
      <c r="O33" s="72">
        <v>0</v>
      </c>
      <c r="P33" s="72">
        <f t="shared" si="1"/>
        <v>0</v>
      </c>
      <c r="Q33" s="72">
        <f t="shared" si="2"/>
        <v>0</v>
      </c>
      <c r="R33" s="72"/>
      <c r="S33" s="56"/>
      <c r="T33" s="74">
        <f t="shared" si="3"/>
        <v>0</v>
      </c>
      <c r="U33" s="74">
        <v>0</v>
      </c>
      <c r="V33" s="74">
        <f t="shared" si="4"/>
        <v>0</v>
      </c>
      <c r="W33" s="74">
        <f t="shared" si="5"/>
        <v>0</v>
      </c>
      <c r="X33" s="74">
        <f t="shared" si="6"/>
        <v>0</v>
      </c>
      <c r="Y33" s="74">
        <f t="shared" si="7"/>
        <v>0</v>
      </c>
      <c r="Z33" s="74">
        <f t="shared" si="10"/>
        <v>0</v>
      </c>
      <c r="AA33" s="75">
        <f t="shared" si="8"/>
        <v>0</v>
      </c>
      <c r="AB33" s="75">
        <f t="shared" si="9"/>
        <v>0</v>
      </c>
    </row>
    <row r="34" spans="1:28" s="157" customFormat="1" ht="33.75">
      <c r="A34" s="167" t="s">
        <v>78</v>
      </c>
      <c r="B34" s="140" t="s">
        <v>768</v>
      </c>
      <c r="C34" s="140"/>
      <c r="D34" s="124" t="s">
        <v>79</v>
      </c>
      <c r="E34" s="125">
        <v>350</v>
      </c>
      <c r="F34" s="125">
        <v>350</v>
      </c>
      <c r="G34" s="121">
        <v>2</v>
      </c>
      <c r="H34" s="168">
        <v>0</v>
      </c>
      <c r="I34" s="168">
        <v>0</v>
      </c>
      <c r="J34" s="168">
        <v>0</v>
      </c>
      <c r="K34" s="121">
        <v>0</v>
      </c>
      <c r="L34" s="76">
        <f t="shared" si="0"/>
        <v>2</v>
      </c>
      <c r="M34" s="160">
        <v>2</v>
      </c>
      <c r="N34" s="76">
        <v>0</v>
      </c>
      <c r="O34" s="76">
        <v>0</v>
      </c>
      <c r="P34" s="76">
        <f t="shared" si="1"/>
        <v>2</v>
      </c>
      <c r="Q34" s="76">
        <f t="shared" si="2"/>
        <v>0</v>
      </c>
      <c r="R34" s="76"/>
      <c r="S34" s="56"/>
      <c r="T34" s="74">
        <f t="shared" si="3"/>
        <v>700</v>
      </c>
      <c r="U34" s="74">
        <v>0</v>
      </c>
      <c r="V34" s="74">
        <f t="shared" si="4"/>
        <v>0</v>
      </c>
      <c r="W34" s="74">
        <f t="shared" si="5"/>
        <v>0</v>
      </c>
      <c r="X34" s="74">
        <f t="shared" si="6"/>
        <v>0</v>
      </c>
      <c r="Y34" s="74">
        <f t="shared" si="7"/>
        <v>0</v>
      </c>
      <c r="Z34" s="74">
        <f t="shared" si="10"/>
        <v>700</v>
      </c>
      <c r="AA34" s="75">
        <f t="shared" si="8"/>
        <v>700</v>
      </c>
      <c r="AB34" s="75">
        <f t="shared" si="9"/>
        <v>0</v>
      </c>
    </row>
    <row r="35" spans="1:28">
      <c r="A35" s="123" t="s">
        <v>80</v>
      </c>
      <c r="B35" s="69"/>
      <c r="C35" s="69"/>
      <c r="D35" s="124" t="s">
        <v>81</v>
      </c>
      <c r="E35" s="125">
        <v>0</v>
      </c>
      <c r="F35" s="125">
        <v>0</v>
      </c>
      <c r="G35" s="120">
        <v>0</v>
      </c>
      <c r="H35" s="122">
        <v>0</v>
      </c>
      <c r="I35" s="122">
        <v>0</v>
      </c>
      <c r="J35" s="122">
        <v>0</v>
      </c>
      <c r="K35" s="120">
        <v>0</v>
      </c>
      <c r="L35" s="72">
        <f t="shared" si="0"/>
        <v>0</v>
      </c>
      <c r="M35" s="160">
        <v>0</v>
      </c>
      <c r="N35" s="72">
        <v>0</v>
      </c>
      <c r="O35" s="72">
        <v>0</v>
      </c>
      <c r="P35" s="72">
        <f t="shared" si="1"/>
        <v>0</v>
      </c>
      <c r="Q35" s="72">
        <f t="shared" si="2"/>
        <v>0</v>
      </c>
      <c r="R35" s="72"/>
      <c r="S35" s="56"/>
      <c r="T35" s="74">
        <f t="shared" si="3"/>
        <v>0</v>
      </c>
      <c r="U35" s="74">
        <v>0</v>
      </c>
      <c r="V35" s="74">
        <f t="shared" si="4"/>
        <v>0</v>
      </c>
      <c r="W35" s="74">
        <f t="shared" si="5"/>
        <v>0</v>
      </c>
      <c r="X35" s="74">
        <f t="shared" si="6"/>
        <v>0</v>
      </c>
      <c r="Y35" s="74">
        <f t="shared" si="7"/>
        <v>0</v>
      </c>
      <c r="Z35" s="74">
        <f t="shared" si="10"/>
        <v>0</v>
      </c>
      <c r="AA35" s="75">
        <f t="shared" si="8"/>
        <v>0</v>
      </c>
      <c r="AB35" s="75">
        <f t="shared" si="9"/>
        <v>0</v>
      </c>
    </row>
    <row r="36" spans="1:28" ht="24">
      <c r="A36" s="123" t="s">
        <v>82</v>
      </c>
      <c r="B36" s="69"/>
      <c r="C36" s="69"/>
      <c r="D36" s="124" t="s">
        <v>83</v>
      </c>
      <c r="E36" s="125">
        <v>19</v>
      </c>
      <c r="F36" s="125">
        <v>19</v>
      </c>
      <c r="G36" s="120">
        <v>2</v>
      </c>
      <c r="H36" s="122">
        <v>0</v>
      </c>
      <c r="I36" s="122">
        <v>0</v>
      </c>
      <c r="J36" s="122">
        <v>2</v>
      </c>
      <c r="K36" s="120">
        <v>0</v>
      </c>
      <c r="L36" s="72">
        <f t="shared" si="0"/>
        <v>0</v>
      </c>
      <c r="M36" s="146">
        <v>0</v>
      </c>
      <c r="N36" s="72">
        <v>0</v>
      </c>
      <c r="O36" s="72">
        <v>0</v>
      </c>
      <c r="P36" s="72">
        <f t="shared" si="1"/>
        <v>0</v>
      </c>
      <c r="Q36" s="72">
        <f t="shared" si="2"/>
        <v>0</v>
      </c>
      <c r="R36" s="72"/>
      <c r="S36" s="56"/>
      <c r="T36" s="74">
        <f t="shared" si="3"/>
        <v>38</v>
      </c>
      <c r="U36" s="74">
        <v>0</v>
      </c>
      <c r="V36" s="74">
        <f t="shared" si="4"/>
        <v>0</v>
      </c>
      <c r="W36" s="74">
        <f t="shared" si="5"/>
        <v>0</v>
      </c>
      <c r="X36" s="74">
        <f t="shared" si="6"/>
        <v>38</v>
      </c>
      <c r="Y36" s="74">
        <f t="shared" si="7"/>
        <v>0</v>
      </c>
      <c r="Z36" s="74">
        <f t="shared" si="10"/>
        <v>0</v>
      </c>
      <c r="AA36" s="75">
        <f t="shared" si="8"/>
        <v>0</v>
      </c>
      <c r="AB36" s="75">
        <f t="shared" si="9"/>
        <v>0</v>
      </c>
    </row>
    <row r="37" spans="1:28">
      <c r="A37" s="123" t="s">
        <v>84</v>
      </c>
      <c r="B37" s="69"/>
      <c r="C37" s="69"/>
      <c r="D37" s="124" t="s">
        <v>85</v>
      </c>
      <c r="E37" s="125">
        <v>262.36</v>
      </c>
      <c r="F37" s="125">
        <v>262.36</v>
      </c>
      <c r="G37" s="120">
        <v>3</v>
      </c>
      <c r="H37" s="122">
        <v>0</v>
      </c>
      <c r="I37" s="122">
        <v>0</v>
      </c>
      <c r="J37" s="122">
        <v>3</v>
      </c>
      <c r="K37" s="120">
        <v>0</v>
      </c>
      <c r="L37" s="72">
        <f t="shared" si="0"/>
        <v>0</v>
      </c>
      <c r="M37" s="146">
        <v>0</v>
      </c>
      <c r="N37" s="72">
        <v>0</v>
      </c>
      <c r="O37" s="72">
        <v>0</v>
      </c>
      <c r="P37" s="72">
        <f t="shared" si="1"/>
        <v>0</v>
      </c>
      <c r="Q37" s="72">
        <f t="shared" si="2"/>
        <v>0</v>
      </c>
      <c r="R37" s="72"/>
      <c r="S37" s="56"/>
      <c r="T37" s="74">
        <f t="shared" si="3"/>
        <v>787.08</v>
      </c>
      <c r="U37" s="74">
        <v>0</v>
      </c>
      <c r="V37" s="74">
        <f t="shared" si="4"/>
        <v>0</v>
      </c>
      <c r="W37" s="74">
        <f t="shared" si="5"/>
        <v>0</v>
      </c>
      <c r="X37" s="74">
        <f t="shared" si="6"/>
        <v>787.08</v>
      </c>
      <c r="Y37" s="74">
        <f t="shared" si="7"/>
        <v>0</v>
      </c>
      <c r="Z37" s="74">
        <f t="shared" si="10"/>
        <v>0</v>
      </c>
      <c r="AA37" s="75">
        <f t="shared" si="8"/>
        <v>0</v>
      </c>
      <c r="AB37" s="75">
        <f t="shared" si="9"/>
        <v>0</v>
      </c>
    </row>
    <row r="38" spans="1:28" ht="22.5">
      <c r="A38" s="123" t="s">
        <v>86</v>
      </c>
      <c r="B38" s="140" t="s">
        <v>743</v>
      </c>
      <c r="C38" s="140"/>
      <c r="D38" s="124" t="s">
        <v>87</v>
      </c>
      <c r="E38" s="125">
        <v>5590</v>
      </c>
      <c r="F38" s="125">
        <v>5590</v>
      </c>
      <c r="G38" s="120">
        <v>1</v>
      </c>
      <c r="H38" s="122">
        <v>0</v>
      </c>
      <c r="I38" s="122">
        <v>0</v>
      </c>
      <c r="J38" s="122">
        <v>0</v>
      </c>
      <c r="K38" s="120">
        <v>0</v>
      </c>
      <c r="L38" s="72">
        <f t="shared" si="0"/>
        <v>1</v>
      </c>
      <c r="M38" s="146">
        <v>1</v>
      </c>
      <c r="N38" s="72">
        <v>0</v>
      </c>
      <c r="O38" s="72">
        <v>0</v>
      </c>
      <c r="P38" s="72">
        <f t="shared" si="1"/>
        <v>1</v>
      </c>
      <c r="Q38" s="72">
        <f t="shared" si="2"/>
        <v>0</v>
      </c>
      <c r="R38" s="72"/>
      <c r="S38" s="56"/>
      <c r="T38" s="74">
        <f t="shared" si="3"/>
        <v>5590</v>
      </c>
      <c r="U38" s="74">
        <v>0</v>
      </c>
      <c r="V38" s="74">
        <f t="shared" si="4"/>
        <v>0</v>
      </c>
      <c r="W38" s="74">
        <f t="shared" si="5"/>
        <v>0</v>
      </c>
      <c r="X38" s="74">
        <f t="shared" si="6"/>
        <v>0</v>
      </c>
      <c r="Y38" s="74">
        <f t="shared" si="7"/>
        <v>0</v>
      </c>
      <c r="Z38" s="74">
        <f t="shared" si="10"/>
        <v>5590</v>
      </c>
      <c r="AA38" s="75">
        <f t="shared" si="8"/>
        <v>5590</v>
      </c>
      <c r="AB38" s="75">
        <f t="shared" si="9"/>
        <v>0</v>
      </c>
    </row>
    <row r="39" spans="1:28" ht="21" customHeight="1">
      <c r="A39" s="123" t="s">
        <v>88</v>
      </c>
      <c r="B39" s="140" t="s">
        <v>799</v>
      </c>
      <c r="C39" s="140"/>
      <c r="D39" s="124" t="s">
        <v>89</v>
      </c>
      <c r="E39" s="125">
        <v>1250</v>
      </c>
      <c r="F39" s="125">
        <v>1250</v>
      </c>
      <c r="G39" s="120">
        <v>3</v>
      </c>
      <c r="H39" s="122">
        <v>0</v>
      </c>
      <c r="I39" s="122">
        <v>0</v>
      </c>
      <c r="J39" s="122">
        <v>0</v>
      </c>
      <c r="K39" s="120">
        <v>0</v>
      </c>
      <c r="L39" s="72">
        <f t="shared" si="0"/>
        <v>3</v>
      </c>
      <c r="M39" s="146">
        <v>3</v>
      </c>
      <c r="N39" s="72">
        <v>0</v>
      </c>
      <c r="O39" s="72">
        <v>0</v>
      </c>
      <c r="P39" s="72">
        <f t="shared" si="1"/>
        <v>3</v>
      </c>
      <c r="Q39" s="72">
        <f t="shared" si="2"/>
        <v>0</v>
      </c>
      <c r="R39" s="72"/>
      <c r="S39" s="56"/>
      <c r="T39" s="74">
        <f t="shared" si="3"/>
        <v>3750</v>
      </c>
      <c r="U39" s="74">
        <v>0</v>
      </c>
      <c r="V39" s="74">
        <f t="shared" si="4"/>
        <v>0</v>
      </c>
      <c r="W39" s="74">
        <f t="shared" si="5"/>
        <v>0</v>
      </c>
      <c r="X39" s="74">
        <f t="shared" si="6"/>
        <v>0</v>
      </c>
      <c r="Y39" s="74">
        <f t="shared" si="7"/>
        <v>0</v>
      </c>
      <c r="Z39" s="74">
        <f t="shared" si="10"/>
        <v>3750</v>
      </c>
      <c r="AA39" s="75">
        <f t="shared" ref="AA39:AA70" si="11">L39*F39</f>
        <v>3750</v>
      </c>
      <c r="AB39" s="75">
        <f t="shared" si="9"/>
        <v>0</v>
      </c>
    </row>
    <row r="40" spans="1:28" ht="22.5" customHeight="1">
      <c r="A40" s="123" t="s">
        <v>90</v>
      </c>
      <c r="B40" s="140" t="s">
        <v>800</v>
      </c>
      <c r="C40" s="140"/>
      <c r="D40" s="124" t="s">
        <v>91</v>
      </c>
      <c r="E40" s="125">
        <v>760</v>
      </c>
      <c r="F40" s="125">
        <v>760</v>
      </c>
      <c r="G40" s="120">
        <v>2</v>
      </c>
      <c r="H40" s="122">
        <v>0</v>
      </c>
      <c r="I40" s="122">
        <v>0</v>
      </c>
      <c r="J40" s="122">
        <v>0</v>
      </c>
      <c r="K40" s="120">
        <v>0</v>
      </c>
      <c r="L40" s="72">
        <f t="shared" si="0"/>
        <v>2</v>
      </c>
      <c r="M40" s="146">
        <v>2</v>
      </c>
      <c r="N40" s="72">
        <v>0</v>
      </c>
      <c r="O40" s="72">
        <v>0</v>
      </c>
      <c r="P40" s="72">
        <f t="shared" si="1"/>
        <v>2</v>
      </c>
      <c r="Q40" s="72">
        <f t="shared" si="2"/>
        <v>0</v>
      </c>
      <c r="R40" s="72"/>
      <c r="S40" s="56"/>
      <c r="T40" s="74">
        <f t="shared" si="3"/>
        <v>1520</v>
      </c>
      <c r="U40" s="74">
        <v>0</v>
      </c>
      <c r="V40" s="74">
        <f t="shared" si="4"/>
        <v>0</v>
      </c>
      <c r="W40" s="74">
        <f t="shared" si="5"/>
        <v>0</v>
      </c>
      <c r="X40" s="74">
        <f t="shared" si="6"/>
        <v>0</v>
      </c>
      <c r="Y40" s="74">
        <f t="shared" si="7"/>
        <v>0</v>
      </c>
      <c r="Z40" s="74">
        <f t="shared" si="10"/>
        <v>1520</v>
      </c>
      <c r="AA40" s="75">
        <f t="shared" si="11"/>
        <v>1520</v>
      </c>
      <c r="AB40" s="75">
        <f t="shared" si="9"/>
        <v>0</v>
      </c>
    </row>
    <row r="41" spans="1:28" ht="22.5">
      <c r="A41" s="123" t="s">
        <v>92</v>
      </c>
      <c r="B41" s="140" t="s">
        <v>801</v>
      </c>
      <c r="C41" s="140"/>
      <c r="D41" s="124" t="s">
        <v>93</v>
      </c>
      <c r="E41" s="125">
        <v>755</v>
      </c>
      <c r="F41" s="125">
        <v>755</v>
      </c>
      <c r="G41" s="120">
        <v>2</v>
      </c>
      <c r="H41" s="122">
        <v>0</v>
      </c>
      <c r="I41" s="122">
        <v>0</v>
      </c>
      <c r="J41" s="122">
        <v>0</v>
      </c>
      <c r="K41" s="120">
        <v>0</v>
      </c>
      <c r="L41" s="72">
        <f t="shared" si="0"/>
        <v>2</v>
      </c>
      <c r="M41" s="146">
        <v>2</v>
      </c>
      <c r="N41" s="72">
        <v>0</v>
      </c>
      <c r="O41" s="72">
        <v>0</v>
      </c>
      <c r="P41" s="72">
        <f t="shared" si="1"/>
        <v>2</v>
      </c>
      <c r="Q41" s="72">
        <f t="shared" si="2"/>
        <v>0</v>
      </c>
      <c r="R41" s="72"/>
      <c r="S41" s="56"/>
      <c r="T41" s="74">
        <f t="shared" si="3"/>
        <v>1510</v>
      </c>
      <c r="U41" s="74">
        <v>0</v>
      </c>
      <c r="V41" s="74">
        <f t="shared" si="4"/>
        <v>0</v>
      </c>
      <c r="W41" s="74">
        <f t="shared" si="5"/>
        <v>0</v>
      </c>
      <c r="X41" s="74">
        <f t="shared" si="6"/>
        <v>0</v>
      </c>
      <c r="Y41" s="74">
        <f t="shared" si="7"/>
        <v>0</v>
      </c>
      <c r="Z41" s="74">
        <f t="shared" si="10"/>
        <v>1510</v>
      </c>
      <c r="AA41" s="75">
        <f t="shared" si="11"/>
        <v>1510</v>
      </c>
      <c r="AB41" s="75">
        <f t="shared" si="9"/>
        <v>0</v>
      </c>
    </row>
    <row r="42" spans="1:28" ht="22.5">
      <c r="A42" s="123" t="s">
        <v>94</v>
      </c>
      <c r="B42" s="140" t="s">
        <v>744</v>
      </c>
      <c r="C42" s="69"/>
      <c r="D42" s="124" t="s">
        <v>95</v>
      </c>
      <c r="E42" s="125">
        <v>0</v>
      </c>
      <c r="F42" s="125">
        <v>0</v>
      </c>
      <c r="G42" s="120">
        <v>0</v>
      </c>
      <c r="H42" s="122">
        <v>0</v>
      </c>
      <c r="I42" s="122">
        <v>0</v>
      </c>
      <c r="J42" s="122">
        <v>0</v>
      </c>
      <c r="K42" s="120">
        <v>0</v>
      </c>
      <c r="L42" s="72">
        <f t="shared" si="0"/>
        <v>0</v>
      </c>
      <c r="M42" s="146">
        <v>0</v>
      </c>
      <c r="N42" s="72">
        <v>0</v>
      </c>
      <c r="O42" s="72">
        <v>0</v>
      </c>
      <c r="P42" s="72">
        <f t="shared" si="1"/>
        <v>0</v>
      </c>
      <c r="Q42" s="72">
        <f t="shared" si="2"/>
        <v>0</v>
      </c>
      <c r="R42" s="72"/>
      <c r="S42" s="56"/>
      <c r="T42" s="74">
        <f t="shared" si="3"/>
        <v>0</v>
      </c>
      <c r="U42" s="74">
        <v>0</v>
      </c>
      <c r="V42" s="74">
        <f t="shared" si="4"/>
        <v>0</v>
      </c>
      <c r="W42" s="74">
        <f t="shared" si="5"/>
        <v>0</v>
      </c>
      <c r="X42" s="74">
        <f t="shared" si="6"/>
        <v>0</v>
      </c>
      <c r="Y42" s="74">
        <f t="shared" si="7"/>
        <v>0</v>
      </c>
      <c r="Z42" s="74">
        <f t="shared" si="10"/>
        <v>0</v>
      </c>
      <c r="AA42" s="75">
        <f t="shared" si="11"/>
        <v>0</v>
      </c>
      <c r="AB42" s="75">
        <f t="shared" si="9"/>
        <v>0</v>
      </c>
    </row>
    <row r="43" spans="1:28" ht="24">
      <c r="A43" s="123" t="s">
        <v>96</v>
      </c>
      <c r="B43" s="140" t="s">
        <v>745</v>
      </c>
      <c r="C43" s="140"/>
      <c r="D43" s="124" t="s">
        <v>802</v>
      </c>
      <c r="E43" s="125">
        <v>610</v>
      </c>
      <c r="F43" s="125">
        <v>610</v>
      </c>
      <c r="G43" s="120">
        <v>2</v>
      </c>
      <c r="H43" s="122">
        <v>0</v>
      </c>
      <c r="I43" s="122">
        <v>0</v>
      </c>
      <c r="J43" s="122">
        <v>0</v>
      </c>
      <c r="K43" s="120">
        <v>0</v>
      </c>
      <c r="L43" s="72">
        <f t="shared" si="0"/>
        <v>2</v>
      </c>
      <c r="M43" s="146">
        <v>2</v>
      </c>
      <c r="N43" s="72">
        <v>0</v>
      </c>
      <c r="O43" s="72">
        <v>0</v>
      </c>
      <c r="P43" s="72">
        <f t="shared" si="1"/>
        <v>2</v>
      </c>
      <c r="Q43" s="72">
        <f t="shared" si="2"/>
        <v>0</v>
      </c>
      <c r="R43" s="72"/>
      <c r="S43" s="56"/>
      <c r="T43" s="74">
        <f t="shared" si="3"/>
        <v>1220</v>
      </c>
      <c r="U43" s="74">
        <v>0</v>
      </c>
      <c r="V43" s="74">
        <f t="shared" si="4"/>
        <v>0</v>
      </c>
      <c r="W43" s="74">
        <f t="shared" si="5"/>
        <v>0</v>
      </c>
      <c r="X43" s="74">
        <f t="shared" si="6"/>
        <v>0</v>
      </c>
      <c r="Y43" s="74">
        <f t="shared" si="7"/>
        <v>0</v>
      </c>
      <c r="Z43" s="74">
        <f t="shared" si="10"/>
        <v>1220</v>
      </c>
      <c r="AA43" s="75">
        <f t="shared" si="11"/>
        <v>1220</v>
      </c>
      <c r="AB43" s="75">
        <f t="shared" si="9"/>
        <v>0</v>
      </c>
    </row>
    <row r="44" spans="1:28" ht="24">
      <c r="A44" s="123" t="s">
        <v>98</v>
      </c>
      <c r="B44" s="140" t="s">
        <v>746</v>
      </c>
      <c r="C44" s="140"/>
      <c r="D44" s="124" t="s">
        <v>99</v>
      </c>
      <c r="E44" s="125">
        <v>780</v>
      </c>
      <c r="F44" s="125">
        <v>780</v>
      </c>
      <c r="G44" s="120">
        <v>3</v>
      </c>
      <c r="H44" s="122">
        <v>0</v>
      </c>
      <c r="I44" s="122">
        <v>0</v>
      </c>
      <c r="J44" s="122">
        <v>2</v>
      </c>
      <c r="K44" s="120">
        <v>0</v>
      </c>
      <c r="L44" s="72">
        <f t="shared" si="0"/>
        <v>1</v>
      </c>
      <c r="M44" s="146">
        <v>1</v>
      </c>
      <c r="N44" s="72">
        <v>0</v>
      </c>
      <c r="O44" s="72">
        <v>0</v>
      </c>
      <c r="P44" s="72">
        <f t="shared" si="1"/>
        <v>1</v>
      </c>
      <c r="Q44" s="72">
        <f t="shared" si="2"/>
        <v>0</v>
      </c>
      <c r="R44" s="72"/>
      <c r="S44" s="56"/>
      <c r="T44" s="74">
        <f t="shared" si="3"/>
        <v>2340</v>
      </c>
      <c r="U44" s="74">
        <v>0</v>
      </c>
      <c r="V44" s="74">
        <f t="shared" si="4"/>
        <v>0</v>
      </c>
      <c r="W44" s="74">
        <f t="shared" si="5"/>
        <v>0</v>
      </c>
      <c r="X44" s="74">
        <f t="shared" si="6"/>
        <v>1560</v>
      </c>
      <c r="Y44" s="74">
        <f t="shared" si="7"/>
        <v>0</v>
      </c>
      <c r="Z44" s="74">
        <f t="shared" si="10"/>
        <v>780</v>
      </c>
      <c r="AA44" s="75">
        <f t="shared" si="11"/>
        <v>780</v>
      </c>
      <c r="AB44" s="75">
        <f t="shared" si="9"/>
        <v>0</v>
      </c>
    </row>
    <row r="45" spans="1:28" ht="24">
      <c r="A45" s="123" t="s">
        <v>100</v>
      </c>
      <c r="B45" s="140" t="s">
        <v>747</v>
      </c>
      <c r="C45" s="140"/>
      <c r="D45" s="124" t="s">
        <v>101</v>
      </c>
      <c r="E45" s="125">
        <v>960</v>
      </c>
      <c r="F45" s="125">
        <v>960</v>
      </c>
      <c r="G45" s="120">
        <v>3</v>
      </c>
      <c r="H45" s="122">
        <v>0</v>
      </c>
      <c r="I45" s="122">
        <v>0</v>
      </c>
      <c r="J45" s="122">
        <v>0</v>
      </c>
      <c r="K45" s="120">
        <v>0</v>
      </c>
      <c r="L45" s="72">
        <f t="shared" si="0"/>
        <v>3</v>
      </c>
      <c r="M45" s="146">
        <v>3</v>
      </c>
      <c r="N45" s="72">
        <v>0</v>
      </c>
      <c r="O45" s="72">
        <v>0</v>
      </c>
      <c r="P45" s="72">
        <f t="shared" si="1"/>
        <v>3</v>
      </c>
      <c r="Q45" s="72">
        <f t="shared" si="2"/>
        <v>0</v>
      </c>
      <c r="R45" s="72"/>
      <c r="S45" s="56"/>
      <c r="T45" s="74">
        <f t="shared" si="3"/>
        <v>2880</v>
      </c>
      <c r="U45" s="74">
        <v>0</v>
      </c>
      <c r="V45" s="74">
        <f t="shared" si="4"/>
        <v>0</v>
      </c>
      <c r="W45" s="74">
        <f t="shared" si="5"/>
        <v>0</v>
      </c>
      <c r="X45" s="74">
        <f t="shared" si="6"/>
        <v>0</v>
      </c>
      <c r="Y45" s="74">
        <f t="shared" si="7"/>
        <v>0</v>
      </c>
      <c r="Z45" s="74">
        <f t="shared" si="10"/>
        <v>2880</v>
      </c>
      <c r="AA45" s="75">
        <f t="shared" si="11"/>
        <v>2880</v>
      </c>
      <c r="AB45" s="75">
        <f t="shared" si="9"/>
        <v>0</v>
      </c>
    </row>
    <row r="46" spans="1:28" ht="22.5">
      <c r="A46" s="123" t="s">
        <v>102</v>
      </c>
      <c r="B46" s="140" t="s">
        <v>704</v>
      </c>
      <c r="C46" s="140"/>
      <c r="D46" s="124" t="s">
        <v>803</v>
      </c>
      <c r="E46" s="125">
        <v>8.6</v>
      </c>
      <c r="F46" s="125">
        <v>8.6</v>
      </c>
      <c r="G46" s="120">
        <v>50</v>
      </c>
      <c r="H46" s="122">
        <v>0</v>
      </c>
      <c r="I46" s="122">
        <v>0</v>
      </c>
      <c r="J46" s="122">
        <v>10</v>
      </c>
      <c r="K46" s="120">
        <v>0</v>
      </c>
      <c r="L46" s="72">
        <f t="shared" si="0"/>
        <v>40</v>
      </c>
      <c r="M46" s="146">
        <v>40</v>
      </c>
      <c r="N46" s="72">
        <v>0</v>
      </c>
      <c r="O46" s="72">
        <v>0</v>
      </c>
      <c r="P46" s="72">
        <f t="shared" si="1"/>
        <v>40</v>
      </c>
      <c r="Q46" s="72">
        <f t="shared" si="2"/>
        <v>0</v>
      </c>
      <c r="R46" s="72"/>
      <c r="S46" s="56"/>
      <c r="T46" s="74">
        <f t="shared" si="3"/>
        <v>430</v>
      </c>
      <c r="U46" s="74">
        <v>0</v>
      </c>
      <c r="V46" s="74">
        <f t="shared" si="4"/>
        <v>0</v>
      </c>
      <c r="W46" s="74">
        <f t="shared" si="5"/>
        <v>0</v>
      </c>
      <c r="X46" s="74">
        <f t="shared" si="6"/>
        <v>86</v>
      </c>
      <c r="Y46" s="74">
        <f t="shared" si="7"/>
        <v>0</v>
      </c>
      <c r="Z46" s="74">
        <f t="shared" si="10"/>
        <v>344</v>
      </c>
      <c r="AA46" s="75">
        <f t="shared" si="11"/>
        <v>344</v>
      </c>
      <c r="AB46" s="75">
        <f t="shared" si="9"/>
        <v>0</v>
      </c>
    </row>
    <row r="47" spans="1:28">
      <c r="A47" s="123" t="s">
        <v>104</v>
      </c>
      <c r="B47" s="140" t="s">
        <v>705</v>
      </c>
      <c r="C47" s="140"/>
      <c r="D47" s="124" t="s">
        <v>105</v>
      </c>
      <c r="E47" s="125">
        <v>1120</v>
      </c>
      <c r="F47" s="125">
        <v>1120</v>
      </c>
      <c r="G47" s="120">
        <v>1</v>
      </c>
      <c r="H47" s="122">
        <v>0</v>
      </c>
      <c r="I47" s="122">
        <v>0</v>
      </c>
      <c r="J47" s="122">
        <v>0</v>
      </c>
      <c r="K47" s="120">
        <v>0</v>
      </c>
      <c r="L47" s="72">
        <f t="shared" si="0"/>
        <v>1</v>
      </c>
      <c r="M47" s="146">
        <v>1</v>
      </c>
      <c r="N47" s="72">
        <v>0</v>
      </c>
      <c r="O47" s="72">
        <v>0</v>
      </c>
      <c r="P47" s="72">
        <f t="shared" si="1"/>
        <v>1</v>
      </c>
      <c r="Q47" s="72">
        <f t="shared" si="2"/>
        <v>0</v>
      </c>
      <c r="R47" s="72"/>
      <c r="S47" s="56"/>
      <c r="T47" s="74">
        <f t="shared" si="3"/>
        <v>1120</v>
      </c>
      <c r="U47" s="74">
        <v>0</v>
      </c>
      <c r="V47" s="74">
        <f t="shared" si="4"/>
        <v>0</v>
      </c>
      <c r="W47" s="74">
        <f t="shared" si="5"/>
        <v>0</v>
      </c>
      <c r="X47" s="74">
        <f t="shared" si="6"/>
        <v>0</v>
      </c>
      <c r="Y47" s="74">
        <f t="shared" si="7"/>
        <v>0</v>
      </c>
      <c r="Z47" s="74">
        <f t="shared" si="10"/>
        <v>1120</v>
      </c>
      <c r="AA47" s="75">
        <f t="shared" si="11"/>
        <v>1120</v>
      </c>
      <c r="AB47" s="75">
        <f t="shared" si="9"/>
        <v>0</v>
      </c>
    </row>
    <row r="48" spans="1:28">
      <c r="A48" s="123" t="s">
        <v>106</v>
      </c>
      <c r="B48" s="140" t="s">
        <v>706</v>
      </c>
      <c r="C48" s="140"/>
      <c r="D48" s="124" t="s">
        <v>804</v>
      </c>
      <c r="E48" s="125">
        <v>1949.99</v>
      </c>
      <c r="F48" s="125">
        <v>1949.99</v>
      </c>
      <c r="G48" s="120">
        <v>2</v>
      </c>
      <c r="H48" s="122">
        <v>0</v>
      </c>
      <c r="I48" s="122">
        <v>0</v>
      </c>
      <c r="J48" s="122">
        <v>0</v>
      </c>
      <c r="K48" s="120">
        <v>0</v>
      </c>
      <c r="L48" s="72">
        <f t="shared" si="0"/>
        <v>2</v>
      </c>
      <c r="M48" s="146">
        <v>2</v>
      </c>
      <c r="N48" s="72">
        <v>0</v>
      </c>
      <c r="O48" s="72">
        <v>0</v>
      </c>
      <c r="P48" s="72">
        <f t="shared" si="1"/>
        <v>2</v>
      </c>
      <c r="Q48" s="72">
        <f t="shared" si="2"/>
        <v>0</v>
      </c>
      <c r="R48" s="72"/>
      <c r="S48" s="56"/>
      <c r="T48" s="74">
        <f t="shared" si="3"/>
        <v>3899.98</v>
      </c>
      <c r="U48" s="74">
        <v>0</v>
      </c>
      <c r="V48" s="74">
        <f t="shared" si="4"/>
        <v>0</v>
      </c>
      <c r="W48" s="74">
        <f t="shared" si="5"/>
        <v>0</v>
      </c>
      <c r="X48" s="74">
        <f t="shared" si="6"/>
        <v>0</v>
      </c>
      <c r="Y48" s="74">
        <f t="shared" si="7"/>
        <v>0</v>
      </c>
      <c r="Z48" s="74">
        <f t="shared" si="10"/>
        <v>3899.98</v>
      </c>
      <c r="AA48" s="75">
        <f t="shared" si="11"/>
        <v>3899.98</v>
      </c>
      <c r="AB48" s="75">
        <f t="shared" si="9"/>
        <v>0</v>
      </c>
    </row>
    <row r="49" spans="1:29">
      <c r="A49" s="123" t="s">
        <v>108</v>
      </c>
      <c r="B49" s="69" t="s">
        <v>748</v>
      </c>
      <c r="C49" s="69"/>
      <c r="D49" s="124" t="s">
        <v>109</v>
      </c>
      <c r="E49" s="125">
        <v>0</v>
      </c>
      <c r="F49" s="125">
        <v>0</v>
      </c>
      <c r="G49" s="120">
        <v>0</v>
      </c>
      <c r="H49" s="122">
        <v>0</v>
      </c>
      <c r="I49" s="122">
        <v>0</v>
      </c>
      <c r="J49" s="122">
        <v>0</v>
      </c>
      <c r="K49" s="120">
        <v>0</v>
      </c>
      <c r="L49" s="72">
        <f t="shared" si="0"/>
        <v>0</v>
      </c>
      <c r="M49" s="146">
        <v>0</v>
      </c>
      <c r="N49" s="72">
        <v>0</v>
      </c>
      <c r="O49" s="72">
        <v>0</v>
      </c>
      <c r="P49" s="72">
        <f t="shared" si="1"/>
        <v>0</v>
      </c>
      <c r="Q49" s="72">
        <f t="shared" si="2"/>
        <v>0</v>
      </c>
      <c r="R49" s="72"/>
      <c r="S49" s="56"/>
      <c r="T49" s="74">
        <f t="shared" si="3"/>
        <v>0</v>
      </c>
      <c r="U49" s="74">
        <v>0</v>
      </c>
      <c r="V49" s="74">
        <f t="shared" si="4"/>
        <v>0</v>
      </c>
      <c r="W49" s="74">
        <f t="shared" si="5"/>
        <v>0</v>
      </c>
      <c r="X49" s="74">
        <f t="shared" si="6"/>
        <v>0</v>
      </c>
      <c r="Y49" s="74">
        <f t="shared" si="7"/>
        <v>0</v>
      </c>
      <c r="Z49" s="74">
        <f t="shared" si="10"/>
        <v>0</v>
      </c>
      <c r="AA49" s="75">
        <f t="shared" si="11"/>
        <v>0</v>
      </c>
      <c r="AB49" s="75">
        <f t="shared" si="9"/>
        <v>0</v>
      </c>
    </row>
    <row r="50" spans="1:29">
      <c r="A50" s="123" t="s">
        <v>110</v>
      </c>
      <c r="B50" s="69"/>
      <c r="C50" s="69"/>
      <c r="D50" s="124" t="s">
        <v>111</v>
      </c>
      <c r="E50" s="125">
        <v>480</v>
      </c>
      <c r="F50" s="125">
        <v>480</v>
      </c>
      <c r="G50" s="120">
        <v>0</v>
      </c>
      <c r="H50" s="122">
        <v>0</v>
      </c>
      <c r="I50" s="122">
        <v>0</v>
      </c>
      <c r="J50" s="122">
        <v>0</v>
      </c>
      <c r="K50" s="120">
        <v>0</v>
      </c>
      <c r="L50" s="72">
        <f t="shared" si="0"/>
        <v>0</v>
      </c>
      <c r="M50" s="146">
        <v>0</v>
      </c>
      <c r="N50" s="72">
        <v>0</v>
      </c>
      <c r="O50" s="72">
        <v>0</v>
      </c>
      <c r="P50" s="72">
        <f t="shared" si="1"/>
        <v>0</v>
      </c>
      <c r="Q50" s="72">
        <f t="shared" si="2"/>
        <v>0</v>
      </c>
      <c r="R50" s="72"/>
      <c r="S50" s="56"/>
      <c r="T50" s="74">
        <f t="shared" si="3"/>
        <v>0</v>
      </c>
      <c r="U50" s="74">
        <v>0</v>
      </c>
      <c r="V50" s="74">
        <f t="shared" si="4"/>
        <v>0</v>
      </c>
      <c r="W50" s="74">
        <f t="shared" si="5"/>
        <v>0</v>
      </c>
      <c r="X50" s="74">
        <f t="shared" si="6"/>
        <v>0</v>
      </c>
      <c r="Y50" s="74">
        <f t="shared" si="7"/>
        <v>0</v>
      </c>
      <c r="Z50" s="74">
        <f t="shared" si="10"/>
        <v>0</v>
      </c>
      <c r="AA50" s="75">
        <f t="shared" si="11"/>
        <v>0</v>
      </c>
      <c r="AB50" s="75">
        <f t="shared" si="9"/>
        <v>0</v>
      </c>
    </row>
    <row r="51" spans="1:29">
      <c r="A51" s="123" t="s">
        <v>112</v>
      </c>
      <c r="B51" s="140" t="s">
        <v>707</v>
      </c>
      <c r="C51" s="140"/>
      <c r="D51" s="124" t="s">
        <v>805</v>
      </c>
      <c r="E51" s="125">
        <v>310</v>
      </c>
      <c r="F51" s="125">
        <v>310</v>
      </c>
      <c r="G51" s="120">
        <v>1</v>
      </c>
      <c r="H51" s="122">
        <v>0</v>
      </c>
      <c r="I51" s="122">
        <v>0</v>
      </c>
      <c r="J51" s="122">
        <v>0</v>
      </c>
      <c r="K51" s="120">
        <v>0</v>
      </c>
      <c r="L51" s="72">
        <f t="shared" si="0"/>
        <v>1</v>
      </c>
      <c r="M51" s="146">
        <v>1</v>
      </c>
      <c r="N51" s="72">
        <v>0</v>
      </c>
      <c r="O51" s="72">
        <v>0</v>
      </c>
      <c r="P51" s="72">
        <f t="shared" si="1"/>
        <v>1</v>
      </c>
      <c r="Q51" s="72">
        <f t="shared" si="2"/>
        <v>0</v>
      </c>
      <c r="R51" s="72"/>
      <c r="S51" s="56"/>
      <c r="T51" s="74">
        <f t="shared" si="3"/>
        <v>310</v>
      </c>
      <c r="U51" s="74">
        <v>0</v>
      </c>
      <c r="V51" s="74">
        <f t="shared" si="4"/>
        <v>0</v>
      </c>
      <c r="W51" s="74">
        <f t="shared" si="5"/>
        <v>0</v>
      </c>
      <c r="X51" s="74">
        <f t="shared" si="6"/>
        <v>0</v>
      </c>
      <c r="Y51" s="74">
        <f t="shared" si="7"/>
        <v>0</v>
      </c>
      <c r="Z51" s="74">
        <f t="shared" si="10"/>
        <v>310</v>
      </c>
      <c r="AA51" s="75">
        <f t="shared" si="11"/>
        <v>310</v>
      </c>
      <c r="AB51" s="75">
        <f t="shared" si="9"/>
        <v>0</v>
      </c>
    </row>
    <row r="52" spans="1:29">
      <c r="A52" s="123" t="s">
        <v>114</v>
      </c>
      <c r="B52" s="69"/>
      <c r="C52" s="69"/>
      <c r="D52" s="124" t="s">
        <v>115</v>
      </c>
      <c r="E52" s="125">
        <v>2.46</v>
      </c>
      <c r="F52" s="125">
        <v>2.46</v>
      </c>
      <c r="G52" s="120">
        <v>100</v>
      </c>
      <c r="H52" s="122">
        <v>0</v>
      </c>
      <c r="I52" s="122">
        <v>0</v>
      </c>
      <c r="J52" s="122">
        <v>0</v>
      </c>
      <c r="K52" s="120">
        <v>0</v>
      </c>
      <c r="L52" s="72">
        <f t="shared" si="0"/>
        <v>100</v>
      </c>
      <c r="M52" s="146">
        <v>100</v>
      </c>
      <c r="N52" s="72">
        <v>0</v>
      </c>
      <c r="O52" s="72">
        <v>0</v>
      </c>
      <c r="P52" s="72">
        <f t="shared" si="1"/>
        <v>100</v>
      </c>
      <c r="Q52" s="72">
        <f t="shared" si="2"/>
        <v>0</v>
      </c>
      <c r="R52" s="72"/>
      <c r="S52" s="56"/>
      <c r="T52" s="74">
        <f t="shared" si="3"/>
        <v>246</v>
      </c>
      <c r="U52" s="74">
        <v>0</v>
      </c>
      <c r="V52" s="74">
        <f t="shared" si="4"/>
        <v>0</v>
      </c>
      <c r="W52" s="74">
        <f t="shared" si="5"/>
        <v>0</v>
      </c>
      <c r="X52" s="74">
        <f t="shared" si="6"/>
        <v>0</v>
      </c>
      <c r="Y52" s="74">
        <f t="shared" si="7"/>
        <v>0</v>
      </c>
      <c r="Z52" s="74">
        <f t="shared" si="10"/>
        <v>246</v>
      </c>
      <c r="AA52" s="75">
        <f t="shared" si="11"/>
        <v>246</v>
      </c>
      <c r="AB52" s="75">
        <f t="shared" si="9"/>
        <v>0</v>
      </c>
    </row>
    <row r="53" spans="1:29" ht="24">
      <c r="A53" s="123" t="s">
        <v>116</v>
      </c>
      <c r="B53" s="69"/>
      <c r="C53" s="69"/>
      <c r="D53" s="124" t="s">
        <v>117</v>
      </c>
      <c r="E53" s="125">
        <v>625.82000000000005</v>
      </c>
      <c r="F53" s="125">
        <v>625.82000000000005</v>
      </c>
      <c r="G53" s="120">
        <v>2</v>
      </c>
      <c r="H53" s="122">
        <v>0</v>
      </c>
      <c r="I53" s="122">
        <v>0</v>
      </c>
      <c r="J53" s="122">
        <v>0</v>
      </c>
      <c r="K53" s="120">
        <v>0</v>
      </c>
      <c r="L53" s="72">
        <f t="shared" si="0"/>
        <v>2</v>
      </c>
      <c r="M53" s="146">
        <v>2</v>
      </c>
      <c r="N53" s="72">
        <v>0</v>
      </c>
      <c r="O53" s="72">
        <v>0</v>
      </c>
      <c r="P53" s="72">
        <f t="shared" si="1"/>
        <v>2</v>
      </c>
      <c r="Q53" s="72">
        <f t="shared" si="2"/>
        <v>0</v>
      </c>
      <c r="R53" s="72"/>
      <c r="S53" s="56"/>
      <c r="T53" s="74">
        <f t="shared" si="3"/>
        <v>1251.6400000000001</v>
      </c>
      <c r="U53" s="74">
        <v>0</v>
      </c>
      <c r="V53" s="74">
        <f t="shared" si="4"/>
        <v>0</v>
      </c>
      <c r="W53" s="74">
        <f t="shared" si="5"/>
        <v>0</v>
      </c>
      <c r="X53" s="74">
        <f t="shared" si="6"/>
        <v>0</v>
      </c>
      <c r="Y53" s="74">
        <f t="shared" si="7"/>
        <v>0</v>
      </c>
      <c r="Z53" s="74">
        <f t="shared" si="10"/>
        <v>1251.6400000000001</v>
      </c>
      <c r="AA53" s="75">
        <f t="shared" si="11"/>
        <v>1251.6400000000001</v>
      </c>
      <c r="AB53" s="75">
        <f t="shared" si="9"/>
        <v>0</v>
      </c>
    </row>
    <row r="54" spans="1:29" ht="24">
      <c r="A54" s="123" t="s">
        <v>118</v>
      </c>
      <c r="B54" s="69"/>
      <c r="C54" s="69"/>
      <c r="D54" s="124" t="s">
        <v>119</v>
      </c>
      <c r="E54" s="125">
        <v>625.82000000000005</v>
      </c>
      <c r="F54" s="125">
        <v>625.82000000000005</v>
      </c>
      <c r="G54" s="120">
        <v>2</v>
      </c>
      <c r="H54" s="122">
        <v>0</v>
      </c>
      <c r="I54" s="122">
        <v>0</v>
      </c>
      <c r="J54" s="122">
        <v>0</v>
      </c>
      <c r="K54" s="120">
        <v>0</v>
      </c>
      <c r="L54" s="72">
        <f t="shared" si="0"/>
        <v>2</v>
      </c>
      <c r="M54" s="146">
        <v>2</v>
      </c>
      <c r="N54" s="72">
        <v>0</v>
      </c>
      <c r="O54" s="72">
        <v>0</v>
      </c>
      <c r="P54" s="72">
        <f t="shared" si="1"/>
        <v>2</v>
      </c>
      <c r="Q54" s="72">
        <f t="shared" si="2"/>
        <v>0</v>
      </c>
      <c r="R54" s="72"/>
      <c r="S54" s="56"/>
      <c r="T54" s="74">
        <f t="shared" si="3"/>
        <v>1251.6400000000001</v>
      </c>
      <c r="U54" s="74">
        <v>0</v>
      </c>
      <c r="V54" s="74">
        <f t="shared" si="4"/>
        <v>0</v>
      </c>
      <c r="W54" s="74">
        <f t="shared" si="5"/>
        <v>0</v>
      </c>
      <c r="X54" s="74">
        <f t="shared" si="6"/>
        <v>0</v>
      </c>
      <c r="Y54" s="74">
        <f t="shared" si="7"/>
        <v>0</v>
      </c>
      <c r="Z54" s="74">
        <f t="shared" si="10"/>
        <v>1251.6400000000001</v>
      </c>
      <c r="AA54" s="75">
        <f t="shared" si="11"/>
        <v>1251.6400000000001</v>
      </c>
      <c r="AB54" s="75">
        <f t="shared" si="9"/>
        <v>0</v>
      </c>
    </row>
    <row r="55" spans="1:29" ht="24">
      <c r="A55" s="123" t="s">
        <v>120</v>
      </c>
      <c r="B55" s="69"/>
      <c r="C55" s="69"/>
      <c r="D55" s="124" t="s">
        <v>121</v>
      </c>
      <c r="E55" s="125">
        <v>625.82000000000005</v>
      </c>
      <c r="F55" s="125">
        <v>625.82000000000005</v>
      </c>
      <c r="G55" s="120">
        <v>2</v>
      </c>
      <c r="H55" s="122">
        <v>0</v>
      </c>
      <c r="I55" s="122">
        <v>0</v>
      </c>
      <c r="J55" s="122">
        <v>0</v>
      </c>
      <c r="K55" s="120">
        <v>0</v>
      </c>
      <c r="L55" s="72">
        <f t="shared" si="0"/>
        <v>2</v>
      </c>
      <c r="M55" s="146">
        <v>2</v>
      </c>
      <c r="N55" s="72">
        <v>0</v>
      </c>
      <c r="O55" s="72">
        <v>0</v>
      </c>
      <c r="P55" s="72">
        <f t="shared" si="1"/>
        <v>2</v>
      </c>
      <c r="Q55" s="72">
        <f t="shared" si="2"/>
        <v>0</v>
      </c>
      <c r="R55" s="72"/>
      <c r="S55" s="56"/>
      <c r="T55" s="74">
        <f t="shared" si="3"/>
        <v>1251.6400000000001</v>
      </c>
      <c r="U55" s="74">
        <v>0</v>
      </c>
      <c r="V55" s="74">
        <f t="shared" si="4"/>
        <v>0</v>
      </c>
      <c r="W55" s="74">
        <f t="shared" si="5"/>
        <v>0</v>
      </c>
      <c r="X55" s="74">
        <f t="shared" si="6"/>
        <v>0</v>
      </c>
      <c r="Y55" s="74">
        <f t="shared" si="7"/>
        <v>0</v>
      </c>
      <c r="Z55" s="74">
        <f t="shared" si="10"/>
        <v>1251.6400000000001</v>
      </c>
      <c r="AA55" s="75">
        <f t="shared" si="11"/>
        <v>1251.6400000000001</v>
      </c>
      <c r="AB55" s="75">
        <f t="shared" si="9"/>
        <v>0</v>
      </c>
    </row>
    <row r="56" spans="1:29" ht="24">
      <c r="A56" s="123" t="s">
        <v>122</v>
      </c>
      <c r="B56" s="69"/>
      <c r="C56" s="69"/>
      <c r="D56" s="124" t="s">
        <v>123</v>
      </c>
      <c r="E56" s="125">
        <v>625.82000000000005</v>
      </c>
      <c r="F56" s="125">
        <v>625.82000000000005</v>
      </c>
      <c r="G56" s="120">
        <v>2</v>
      </c>
      <c r="H56" s="122">
        <v>0</v>
      </c>
      <c r="I56" s="122">
        <v>0</v>
      </c>
      <c r="J56" s="122">
        <v>0</v>
      </c>
      <c r="K56" s="120">
        <v>0</v>
      </c>
      <c r="L56" s="72">
        <f t="shared" si="0"/>
        <v>2</v>
      </c>
      <c r="M56" s="146">
        <v>2</v>
      </c>
      <c r="N56" s="72">
        <v>0</v>
      </c>
      <c r="O56" s="72">
        <v>0</v>
      </c>
      <c r="P56" s="72">
        <f t="shared" si="1"/>
        <v>2</v>
      </c>
      <c r="Q56" s="72">
        <f t="shared" si="2"/>
        <v>0</v>
      </c>
      <c r="R56" s="72"/>
      <c r="S56" s="56"/>
      <c r="T56" s="74">
        <f t="shared" si="3"/>
        <v>1251.6400000000001</v>
      </c>
      <c r="U56" s="74">
        <v>0</v>
      </c>
      <c r="V56" s="74">
        <f t="shared" si="4"/>
        <v>0</v>
      </c>
      <c r="W56" s="74">
        <f t="shared" si="5"/>
        <v>0</v>
      </c>
      <c r="X56" s="74">
        <f t="shared" si="6"/>
        <v>0</v>
      </c>
      <c r="Y56" s="74">
        <f t="shared" si="7"/>
        <v>0</v>
      </c>
      <c r="Z56" s="74">
        <f t="shared" si="10"/>
        <v>1251.6400000000001</v>
      </c>
      <c r="AA56" s="75">
        <f t="shared" si="11"/>
        <v>1251.6400000000001</v>
      </c>
      <c r="AB56" s="75">
        <f t="shared" si="9"/>
        <v>0</v>
      </c>
    </row>
    <row r="57" spans="1:29">
      <c r="A57" s="123" t="s">
        <v>124</v>
      </c>
      <c r="B57" s="140" t="s">
        <v>708</v>
      </c>
      <c r="C57" s="140" t="s">
        <v>737</v>
      </c>
      <c r="D57" s="124" t="s">
        <v>806</v>
      </c>
      <c r="E57" s="125">
        <v>1300</v>
      </c>
      <c r="F57" s="125">
        <v>1300</v>
      </c>
      <c r="G57" s="120">
        <v>1</v>
      </c>
      <c r="H57" s="122">
        <v>0</v>
      </c>
      <c r="I57" s="122">
        <v>0</v>
      </c>
      <c r="J57" s="122">
        <v>0</v>
      </c>
      <c r="K57" s="120">
        <v>0</v>
      </c>
      <c r="L57" s="72">
        <f t="shared" si="0"/>
        <v>1</v>
      </c>
      <c r="M57" s="146">
        <v>1</v>
      </c>
      <c r="N57" s="72">
        <v>0</v>
      </c>
      <c r="O57" s="72">
        <v>0</v>
      </c>
      <c r="P57" s="72">
        <f t="shared" si="1"/>
        <v>1</v>
      </c>
      <c r="Q57" s="72">
        <f t="shared" si="2"/>
        <v>0</v>
      </c>
      <c r="R57" s="72"/>
      <c r="S57" s="56"/>
      <c r="T57" s="74">
        <f t="shared" si="3"/>
        <v>1300</v>
      </c>
      <c r="U57" s="74">
        <v>0</v>
      </c>
      <c r="V57" s="74">
        <f t="shared" si="4"/>
        <v>0</v>
      </c>
      <c r="W57" s="74">
        <f t="shared" si="5"/>
        <v>0</v>
      </c>
      <c r="X57" s="74">
        <f t="shared" si="6"/>
        <v>0</v>
      </c>
      <c r="Y57" s="74">
        <f t="shared" si="7"/>
        <v>0</v>
      </c>
      <c r="Z57" s="74">
        <f t="shared" si="10"/>
        <v>1300</v>
      </c>
      <c r="AA57" s="75">
        <f t="shared" si="11"/>
        <v>1300</v>
      </c>
      <c r="AB57" s="75">
        <f t="shared" si="9"/>
        <v>0</v>
      </c>
    </row>
    <row r="58" spans="1:29">
      <c r="A58" s="123" t="s">
        <v>126</v>
      </c>
      <c r="B58" s="69"/>
      <c r="C58" s="69"/>
      <c r="D58" s="124" t="s">
        <v>127</v>
      </c>
      <c r="E58" s="125">
        <v>185</v>
      </c>
      <c r="F58" s="125">
        <v>185</v>
      </c>
      <c r="G58" s="120">
        <v>0</v>
      </c>
      <c r="H58" s="122">
        <v>0</v>
      </c>
      <c r="I58" s="122">
        <v>0</v>
      </c>
      <c r="J58" s="122">
        <v>0</v>
      </c>
      <c r="K58" s="120">
        <v>0</v>
      </c>
      <c r="L58" s="72">
        <f t="shared" si="0"/>
        <v>0</v>
      </c>
      <c r="M58" s="146">
        <v>0</v>
      </c>
      <c r="N58" s="72">
        <v>0</v>
      </c>
      <c r="O58" s="72">
        <v>0</v>
      </c>
      <c r="P58" s="72">
        <f t="shared" si="1"/>
        <v>0</v>
      </c>
      <c r="Q58" s="72">
        <f t="shared" si="2"/>
        <v>0</v>
      </c>
      <c r="R58" s="72"/>
      <c r="S58" s="56"/>
      <c r="T58" s="74">
        <f t="shared" si="3"/>
        <v>0</v>
      </c>
      <c r="U58" s="74">
        <v>0</v>
      </c>
      <c r="V58" s="74">
        <f t="shared" si="4"/>
        <v>0</v>
      </c>
      <c r="W58" s="74">
        <f t="shared" si="5"/>
        <v>0</v>
      </c>
      <c r="X58" s="74">
        <f t="shared" si="6"/>
        <v>0</v>
      </c>
      <c r="Y58" s="74">
        <f t="shared" si="7"/>
        <v>0</v>
      </c>
      <c r="Z58" s="74">
        <f t="shared" si="10"/>
        <v>0</v>
      </c>
      <c r="AA58" s="75">
        <f t="shared" si="11"/>
        <v>0</v>
      </c>
      <c r="AB58" s="75">
        <f t="shared" si="9"/>
        <v>0</v>
      </c>
    </row>
    <row r="59" spans="1:29" ht="22.5">
      <c r="A59" s="123" t="s">
        <v>128</v>
      </c>
      <c r="B59" s="140" t="s">
        <v>749</v>
      </c>
      <c r="C59" s="140"/>
      <c r="D59" s="124" t="s">
        <v>129</v>
      </c>
      <c r="E59" s="125">
        <v>465</v>
      </c>
      <c r="F59" s="125">
        <v>465</v>
      </c>
      <c r="G59" s="120">
        <v>1</v>
      </c>
      <c r="H59" s="122">
        <v>0</v>
      </c>
      <c r="I59" s="122">
        <v>0</v>
      </c>
      <c r="J59" s="122">
        <v>0</v>
      </c>
      <c r="K59" s="120">
        <v>0</v>
      </c>
      <c r="L59" s="72">
        <f t="shared" si="0"/>
        <v>1</v>
      </c>
      <c r="M59" s="146">
        <v>1</v>
      </c>
      <c r="N59" s="72">
        <v>0</v>
      </c>
      <c r="O59" s="72">
        <v>0</v>
      </c>
      <c r="P59" s="72">
        <f t="shared" si="1"/>
        <v>1</v>
      </c>
      <c r="Q59" s="72">
        <f t="shared" si="2"/>
        <v>0</v>
      </c>
      <c r="R59" s="72"/>
      <c r="S59" s="56"/>
      <c r="T59" s="74">
        <f t="shared" si="3"/>
        <v>465</v>
      </c>
      <c r="U59" s="74">
        <v>0</v>
      </c>
      <c r="V59" s="74">
        <f t="shared" si="4"/>
        <v>0</v>
      </c>
      <c r="W59" s="74">
        <f t="shared" si="5"/>
        <v>0</v>
      </c>
      <c r="X59" s="74">
        <f t="shared" si="6"/>
        <v>0</v>
      </c>
      <c r="Y59" s="74">
        <f t="shared" si="7"/>
        <v>0</v>
      </c>
      <c r="Z59" s="74">
        <f t="shared" si="10"/>
        <v>465</v>
      </c>
      <c r="AA59" s="75">
        <f t="shared" si="11"/>
        <v>465</v>
      </c>
      <c r="AB59" s="75">
        <f t="shared" si="9"/>
        <v>0</v>
      </c>
    </row>
    <row r="60" spans="1:29">
      <c r="A60" s="123" t="s">
        <v>130</v>
      </c>
      <c r="B60" s="140" t="s">
        <v>709</v>
      </c>
      <c r="C60" s="140" t="s">
        <v>750</v>
      </c>
      <c r="D60" s="124" t="s">
        <v>131</v>
      </c>
      <c r="E60" s="125">
        <v>8.99</v>
      </c>
      <c r="F60" s="125">
        <v>8.99</v>
      </c>
      <c r="G60" s="120">
        <v>50</v>
      </c>
      <c r="H60" s="122">
        <v>0</v>
      </c>
      <c r="I60" s="122">
        <v>0</v>
      </c>
      <c r="J60" s="122">
        <v>0</v>
      </c>
      <c r="K60" s="120">
        <v>0</v>
      </c>
      <c r="L60" s="72">
        <f t="shared" si="0"/>
        <v>50</v>
      </c>
      <c r="M60" s="146">
        <v>50</v>
      </c>
      <c r="N60" s="72">
        <v>0</v>
      </c>
      <c r="O60" s="72">
        <v>0</v>
      </c>
      <c r="P60" s="72">
        <f t="shared" si="1"/>
        <v>50</v>
      </c>
      <c r="Q60" s="72">
        <f t="shared" si="2"/>
        <v>0</v>
      </c>
      <c r="R60" s="72"/>
      <c r="S60" s="56"/>
      <c r="T60" s="74">
        <f t="shared" si="3"/>
        <v>449.5</v>
      </c>
      <c r="U60" s="74">
        <v>0</v>
      </c>
      <c r="V60" s="74">
        <f t="shared" si="4"/>
        <v>0</v>
      </c>
      <c r="W60" s="74">
        <f t="shared" si="5"/>
        <v>0</v>
      </c>
      <c r="X60" s="74">
        <f t="shared" si="6"/>
        <v>0</v>
      </c>
      <c r="Y60" s="74">
        <f t="shared" si="7"/>
        <v>0</v>
      </c>
      <c r="Z60" s="74">
        <f t="shared" si="10"/>
        <v>449.5</v>
      </c>
      <c r="AA60" s="75">
        <f t="shared" si="11"/>
        <v>449.5</v>
      </c>
      <c r="AB60" s="75">
        <f t="shared" si="9"/>
        <v>0</v>
      </c>
    </row>
    <row r="61" spans="1:29" ht="24">
      <c r="A61" s="123" t="s">
        <v>132</v>
      </c>
      <c r="B61" s="124" t="s">
        <v>784</v>
      </c>
      <c r="C61" s="69"/>
      <c r="D61" s="124" t="s">
        <v>133</v>
      </c>
      <c r="E61" s="125">
        <v>2100</v>
      </c>
      <c r="F61" s="125">
        <v>2100</v>
      </c>
      <c r="G61" s="120">
        <v>1</v>
      </c>
      <c r="H61" s="122">
        <v>0</v>
      </c>
      <c r="I61" s="122">
        <v>0</v>
      </c>
      <c r="J61" s="122">
        <v>1</v>
      </c>
      <c r="K61" s="120">
        <v>0</v>
      </c>
      <c r="L61" s="72">
        <f t="shared" si="0"/>
        <v>0</v>
      </c>
      <c r="M61" s="146">
        <v>0</v>
      </c>
      <c r="N61" s="72">
        <v>0</v>
      </c>
      <c r="O61" s="72">
        <v>0</v>
      </c>
      <c r="P61" s="72">
        <f t="shared" si="1"/>
        <v>0</v>
      </c>
      <c r="Q61" s="72">
        <f t="shared" si="2"/>
        <v>0</v>
      </c>
      <c r="R61" s="72"/>
      <c r="S61" s="56"/>
      <c r="T61" s="74">
        <f t="shared" si="3"/>
        <v>2100</v>
      </c>
      <c r="U61" s="74">
        <v>0</v>
      </c>
      <c r="V61" s="74">
        <f t="shared" si="4"/>
        <v>0</v>
      </c>
      <c r="W61" s="74">
        <f t="shared" si="5"/>
        <v>0</v>
      </c>
      <c r="X61" s="74">
        <f t="shared" si="6"/>
        <v>2100</v>
      </c>
      <c r="Y61" s="74">
        <f t="shared" si="7"/>
        <v>0</v>
      </c>
      <c r="Z61" s="74">
        <f t="shared" si="10"/>
        <v>0</v>
      </c>
      <c r="AA61" s="75">
        <f t="shared" si="11"/>
        <v>0</v>
      </c>
      <c r="AB61" s="75">
        <f t="shared" si="9"/>
        <v>0</v>
      </c>
      <c r="AC61" s="153" t="s">
        <v>783</v>
      </c>
    </row>
    <row r="62" spans="1:29">
      <c r="A62" s="123" t="s">
        <v>134</v>
      </c>
      <c r="B62" s="69"/>
      <c r="C62" s="69"/>
      <c r="D62" s="124" t="s">
        <v>135</v>
      </c>
      <c r="E62" s="125">
        <v>4205</v>
      </c>
      <c r="F62" s="125">
        <v>4205</v>
      </c>
      <c r="G62" s="120">
        <v>1</v>
      </c>
      <c r="H62" s="122">
        <v>0</v>
      </c>
      <c r="I62" s="122">
        <v>0</v>
      </c>
      <c r="J62" s="122">
        <v>1</v>
      </c>
      <c r="K62" s="120">
        <v>0</v>
      </c>
      <c r="L62" s="72">
        <f t="shared" si="0"/>
        <v>0</v>
      </c>
      <c r="M62" s="146">
        <v>0</v>
      </c>
      <c r="N62" s="72">
        <v>0</v>
      </c>
      <c r="O62" s="72">
        <v>0</v>
      </c>
      <c r="P62" s="72">
        <f t="shared" si="1"/>
        <v>0</v>
      </c>
      <c r="Q62" s="72">
        <f t="shared" si="2"/>
        <v>0</v>
      </c>
      <c r="R62" s="72"/>
      <c r="S62" s="56"/>
      <c r="T62" s="74">
        <f t="shared" si="3"/>
        <v>4205</v>
      </c>
      <c r="U62" s="74">
        <v>0</v>
      </c>
      <c r="V62" s="74">
        <f t="shared" si="4"/>
        <v>0</v>
      </c>
      <c r="W62" s="74">
        <f t="shared" si="5"/>
        <v>0</v>
      </c>
      <c r="X62" s="74">
        <f t="shared" si="6"/>
        <v>4205</v>
      </c>
      <c r="Y62" s="74">
        <f t="shared" si="7"/>
        <v>0</v>
      </c>
      <c r="Z62" s="74">
        <f t="shared" si="10"/>
        <v>0</v>
      </c>
      <c r="AA62" s="75">
        <f t="shared" si="11"/>
        <v>0</v>
      </c>
      <c r="AB62" s="75">
        <f t="shared" si="9"/>
        <v>0</v>
      </c>
    </row>
    <row r="63" spans="1:29" s="157" customFormat="1">
      <c r="A63" s="154" t="s">
        <v>136</v>
      </c>
      <c r="B63" s="158"/>
      <c r="C63" s="158"/>
      <c r="D63" s="126" t="s">
        <v>137</v>
      </c>
      <c r="E63" s="125">
        <v>406</v>
      </c>
      <c r="F63" s="125">
        <v>406</v>
      </c>
      <c r="G63" s="121">
        <v>3</v>
      </c>
      <c r="H63" s="155">
        <v>0</v>
      </c>
      <c r="I63" s="155">
        <v>0</v>
      </c>
      <c r="J63" s="155">
        <v>0</v>
      </c>
      <c r="K63" s="162">
        <v>3</v>
      </c>
      <c r="L63" s="156">
        <f t="shared" si="0"/>
        <v>0</v>
      </c>
      <c r="M63" s="146">
        <v>0</v>
      </c>
      <c r="N63" s="128">
        <v>0</v>
      </c>
      <c r="O63" s="130"/>
      <c r="P63" s="128">
        <f t="shared" si="1"/>
        <v>0</v>
      </c>
      <c r="Q63" s="128">
        <f t="shared" si="2"/>
        <v>0</v>
      </c>
      <c r="R63" s="128"/>
      <c r="S63" s="56"/>
      <c r="T63" s="74">
        <f t="shared" si="3"/>
        <v>1218</v>
      </c>
      <c r="U63" s="74">
        <v>0</v>
      </c>
      <c r="V63" s="74">
        <f t="shared" si="4"/>
        <v>0</v>
      </c>
      <c r="W63" s="74">
        <f t="shared" si="5"/>
        <v>0</v>
      </c>
      <c r="X63" s="74">
        <f t="shared" si="6"/>
        <v>0</v>
      </c>
      <c r="Y63" s="74">
        <f t="shared" si="7"/>
        <v>1218</v>
      </c>
      <c r="Z63" s="74">
        <f t="shared" si="10"/>
        <v>0</v>
      </c>
      <c r="AA63" s="75">
        <f t="shared" si="11"/>
        <v>0</v>
      </c>
      <c r="AB63" s="75">
        <f t="shared" si="9"/>
        <v>0</v>
      </c>
    </row>
    <row r="64" spans="1:29">
      <c r="A64" s="123" t="s">
        <v>138</v>
      </c>
      <c r="B64" s="69"/>
      <c r="C64" s="69"/>
      <c r="D64" s="124" t="s">
        <v>139</v>
      </c>
      <c r="E64" s="125">
        <v>580</v>
      </c>
      <c r="F64" s="125">
        <v>580</v>
      </c>
      <c r="G64" s="120">
        <v>0</v>
      </c>
      <c r="H64" s="122">
        <v>0</v>
      </c>
      <c r="I64" s="122">
        <v>0</v>
      </c>
      <c r="J64" s="122">
        <v>0</v>
      </c>
      <c r="K64" s="120">
        <v>0</v>
      </c>
      <c r="L64" s="72">
        <f t="shared" si="0"/>
        <v>0</v>
      </c>
      <c r="M64" s="146">
        <v>0</v>
      </c>
      <c r="N64" s="72">
        <v>0</v>
      </c>
      <c r="O64" s="72">
        <v>0</v>
      </c>
      <c r="P64" s="72">
        <f t="shared" si="1"/>
        <v>0</v>
      </c>
      <c r="Q64" s="72">
        <f t="shared" si="2"/>
        <v>0</v>
      </c>
      <c r="R64" s="72"/>
      <c r="S64" s="56"/>
      <c r="T64" s="74">
        <f t="shared" si="3"/>
        <v>0</v>
      </c>
      <c r="U64" s="74">
        <v>0</v>
      </c>
      <c r="V64" s="74">
        <f t="shared" si="4"/>
        <v>0</v>
      </c>
      <c r="W64" s="74">
        <f t="shared" si="5"/>
        <v>0</v>
      </c>
      <c r="X64" s="74">
        <f t="shared" si="6"/>
        <v>0</v>
      </c>
      <c r="Y64" s="74">
        <f t="shared" si="7"/>
        <v>0</v>
      </c>
      <c r="Z64" s="74">
        <f t="shared" si="10"/>
        <v>0</v>
      </c>
      <c r="AA64" s="75">
        <f t="shared" si="11"/>
        <v>0</v>
      </c>
      <c r="AB64" s="75">
        <f t="shared" si="9"/>
        <v>0</v>
      </c>
    </row>
    <row r="65" spans="1:28">
      <c r="A65" s="123" t="s">
        <v>140</v>
      </c>
      <c r="B65" s="69"/>
      <c r="C65" s="69"/>
      <c r="D65" s="124" t="s">
        <v>141</v>
      </c>
      <c r="E65" s="125">
        <v>9</v>
      </c>
      <c r="F65" s="125">
        <v>9</v>
      </c>
      <c r="G65" s="120">
        <v>10</v>
      </c>
      <c r="H65" s="122">
        <v>0</v>
      </c>
      <c r="I65" s="122">
        <v>0</v>
      </c>
      <c r="J65" s="122">
        <v>0</v>
      </c>
      <c r="K65" s="120">
        <v>0</v>
      </c>
      <c r="L65" s="72">
        <f t="shared" si="0"/>
        <v>10</v>
      </c>
      <c r="M65" s="146">
        <v>10</v>
      </c>
      <c r="N65" s="72">
        <v>0</v>
      </c>
      <c r="O65" s="72">
        <v>0</v>
      </c>
      <c r="P65" s="72">
        <f t="shared" si="1"/>
        <v>10</v>
      </c>
      <c r="Q65" s="72">
        <f t="shared" si="2"/>
        <v>0</v>
      </c>
      <c r="R65" s="72"/>
      <c r="S65" s="56"/>
      <c r="T65" s="74">
        <f t="shared" si="3"/>
        <v>90</v>
      </c>
      <c r="U65" s="74">
        <v>0</v>
      </c>
      <c r="V65" s="74">
        <f t="shared" si="4"/>
        <v>0</v>
      </c>
      <c r="W65" s="74">
        <f t="shared" si="5"/>
        <v>0</v>
      </c>
      <c r="X65" s="74">
        <f t="shared" si="6"/>
        <v>0</v>
      </c>
      <c r="Y65" s="74">
        <f t="shared" si="7"/>
        <v>0</v>
      </c>
      <c r="Z65" s="74">
        <f t="shared" si="10"/>
        <v>90</v>
      </c>
      <c r="AA65" s="75">
        <f t="shared" si="11"/>
        <v>90</v>
      </c>
      <c r="AB65" s="75">
        <f t="shared" si="9"/>
        <v>0</v>
      </c>
    </row>
    <row r="66" spans="1:28">
      <c r="A66" s="123" t="s">
        <v>142</v>
      </c>
      <c r="B66" s="69"/>
      <c r="C66" s="69"/>
      <c r="D66" s="124" t="s">
        <v>143</v>
      </c>
      <c r="E66" s="125">
        <v>13720</v>
      </c>
      <c r="F66" s="125">
        <v>13720</v>
      </c>
      <c r="G66" s="120">
        <v>2</v>
      </c>
      <c r="H66" s="122">
        <v>0</v>
      </c>
      <c r="I66" s="122">
        <v>0</v>
      </c>
      <c r="J66" s="122">
        <v>0</v>
      </c>
      <c r="K66" s="120">
        <v>0</v>
      </c>
      <c r="L66" s="72">
        <f t="shared" si="0"/>
        <v>2</v>
      </c>
      <c r="M66" s="146">
        <v>2</v>
      </c>
      <c r="N66" s="72">
        <v>0</v>
      </c>
      <c r="O66" s="72">
        <v>0</v>
      </c>
      <c r="P66" s="72">
        <f t="shared" si="1"/>
        <v>2</v>
      </c>
      <c r="Q66" s="72">
        <f t="shared" si="2"/>
        <v>0</v>
      </c>
      <c r="R66" s="72"/>
      <c r="S66" s="56"/>
      <c r="T66" s="74">
        <f t="shared" si="3"/>
        <v>27440</v>
      </c>
      <c r="U66" s="74">
        <v>0</v>
      </c>
      <c r="V66" s="74">
        <f t="shared" si="4"/>
        <v>0</v>
      </c>
      <c r="W66" s="74">
        <f t="shared" si="5"/>
        <v>0</v>
      </c>
      <c r="X66" s="74">
        <f t="shared" si="6"/>
        <v>0</v>
      </c>
      <c r="Y66" s="74">
        <f t="shared" si="7"/>
        <v>0</v>
      </c>
      <c r="Z66" s="74">
        <f t="shared" si="10"/>
        <v>27440</v>
      </c>
      <c r="AA66" s="75">
        <f t="shared" si="11"/>
        <v>27440</v>
      </c>
      <c r="AB66" s="75">
        <f t="shared" si="9"/>
        <v>0</v>
      </c>
    </row>
    <row r="67" spans="1:28" ht="22.5">
      <c r="A67" s="123" t="s">
        <v>144</v>
      </c>
      <c r="B67" s="140" t="s">
        <v>763</v>
      </c>
      <c r="C67" s="140"/>
      <c r="D67" s="124" t="s">
        <v>807</v>
      </c>
      <c r="E67" s="125">
        <v>940</v>
      </c>
      <c r="F67" s="125">
        <v>940</v>
      </c>
      <c r="G67" s="120">
        <v>1</v>
      </c>
      <c r="H67" s="122">
        <v>0</v>
      </c>
      <c r="I67" s="122">
        <v>0</v>
      </c>
      <c r="J67" s="122">
        <v>0</v>
      </c>
      <c r="K67" s="120">
        <v>0</v>
      </c>
      <c r="L67" s="72">
        <f t="shared" si="0"/>
        <v>1</v>
      </c>
      <c r="M67" s="146">
        <v>1</v>
      </c>
      <c r="N67" s="72">
        <v>0</v>
      </c>
      <c r="O67" s="72">
        <v>0</v>
      </c>
      <c r="P67" s="72">
        <f t="shared" si="1"/>
        <v>1</v>
      </c>
      <c r="Q67" s="72">
        <f t="shared" si="2"/>
        <v>0</v>
      </c>
      <c r="R67" s="72"/>
      <c r="S67" s="56"/>
      <c r="T67" s="74">
        <f t="shared" si="3"/>
        <v>940</v>
      </c>
      <c r="U67" s="74">
        <v>0</v>
      </c>
      <c r="V67" s="74">
        <f t="shared" si="4"/>
        <v>0</v>
      </c>
      <c r="W67" s="74">
        <f t="shared" si="5"/>
        <v>0</v>
      </c>
      <c r="X67" s="74">
        <f t="shared" si="6"/>
        <v>0</v>
      </c>
      <c r="Y67" s="74">
        <f t="shared" si="7"/>
        <v>0</v>
      </c>
      <c r="Z67" s="74">
        <f t="shared" si="10"/>
        <v>940</v>
      </c>
      <c r="AA67" s="75">
        <f t="shared" si="11"/>
        <v>940</v>
      </c>
      <c r="AB67" s="75">
        <f t="shared" si="9"/>
        <v>0</v>
      </c>
    </row>
    <row r="68" spans="1:28">
      <c r="A68" s="123" t="s">
        <v>146</v>
      </c>
      <c r="B68" s="69"/>
      <c r="C68" s="69"/>
      <c r="D68" s="124" t="s">
        <v>147</v>
      </c>
      <c r="E68" s="125">
        <v>24.58</v>
      </c>
      <c r="F68" s="125">
        <v>24.58</v>
      </c>
      <c r="G68" s="120">
        <v>2</v>
      </c>
      <c r="H68" s="122">
        <v>0</v>
      </c>
      <c r="I68" s="122">
        <v>0</v>
      </c>
      <c r="J68" s="122">
        <v>2</v>
      </c>
      <c r="K68" s="120">
        <v>0</v>
      </c>
      <c r="L68" s="72">
        <f t="shared" si="0"/>
        <v>0</v>
      </c>
      <c r="M68" s="146">
        <v>0</v>
      </c>
      <c r="N68" s="72">
        <v>0</v>
      </c>
      <c r="O68" s="72">
        <v>0</v>
      </c>
      <c r="P68" s="72">
        <f t="shared" si="1"/>
        <v>0</v>
      </c>
      <c r="Q68" s="72">
        <f t="shared" si="2"/>
        <v>0</v>
      </c>
      <c r="R68" s="72"/>
      <c r="S68" s="56"/>
      <c r="T68" s="74">
        <f t="shared" si="3"/>
        <v>49.16</v>
      </c>
      <c r="U68" s="74">
        <v>0</v>
      </c>
      <c r="V68" s="74">
        <f t="shared" si="4"/>
        <v>0</v>
      </c>
      <c r="W68" s="74">
        <f t="shared" si="5"/>
        <v>0</v>
      </c>
      <c r="X68" s="74">
        <f t="shared" si="6"/>
        <v>49.16</v>
      </c>
      <c r="Y68" s="74">
        <f t="shared" si="7"/>
        <v>0</v>
      </c>
      <c r="Z68" s="74">
        <f t="shared" si="10"/>
        <v>0</v>
      </c>
      <c r="AA68" s="75">
        <f t="shared" si="11"/>
        <v>0</v>
      </c>
      <c r="AB68" s="75">
        <f t="shared" si="9"/>
        <v>0</v>
      </c>
    </row>
    <row r="69" spans="1:28" ht="22.5">
      <c r="A69" s="123" t="s">
        <v>148</v>
      </c>
      <c r="B69" s="140" t="s">
        <v>751</v>
      </c>
      <c r="C69" s="140"/>
      <c r="D69" s="124" t="s">
        <v>149</v>
      </c>
      <c r="E69" s="125">
        <v>890</v>
      </c>
      <c r="F69" s="125">
        <v>890</v>
      </c>
      <c r="G69" s="120">
        <v>1</v>
      </c>
      <c r="H69" s="122">
        <v>0</v>
      </c>
      <c r="I69" s="122">
        <v>0</v>
      </c>
      <c r="J69" s="122">
        <v>0</v>
      </c>
      <c r="K69" s="120">
        <v>0</v>
      </c>
      <c r="L69" s="72">
        <f t="shared" si="0"/>
        <v>1</v>
      </c>
      <c r="M69" s="146">
        <v>1</v>
      </c>
      <c r="N69" s="72">
        <v>0</v>
      </c>
      <c r="O69" s="72">
        <v>0</v>
      </c>
      <c r="P69" s="72">
        <f t="shared" si="1"/>
        <v>1</v>
      </c>
      <c r="Q69" s="72">
        <f t="shared" si="2"/>
        <v>0</v>
      </c>
      <c r="R69" s="72"/>
      <c r="S69" s="56"/>
      <c r="T69" s="74">
        <f t="shared" si="3"/>
        <v>890</v>
      </c>
      <c r="U69" s="74">
        <v>0</v>
      </c>
      <c r="V69" s="74">
        <f t="shared" si="4"/>
        <v>0</v>
      </c>
      <c r="W69" s="74">
        <f t="shared" si="5"/>
        <v>0</v>
      </c>
      <c r="X69" s="74">
        <f t="shared" si="6"/>
        <v>0</v>
      </c>
      <c r="Y69" s="74">
        <f t="shared" si="7"/>
        <v>0</v>
      </c>
      <c r="Z69" s="74">
        <f t="shared" si="10"/>
        <v>890</v>
      </c>
      <c r="AA69" s="75">
        <f t="shared" si="11"/>
        <v>890</v>
      </c>
      <c r="AB69" s="75">
        <f t="shared" si="9"/>
        <v>0</v>
      </c>
    </row>
    <row r="70" spans="1:28">
      <c r="A70" s="123" t="s">
        <v>150</v>
      </c>
      <c r="B70" s="69"/>
      <c r="C70" s="69"/>
      <c r="D70" s="124" t="s">
        <v>151</v>
      </c>
      <c r="E70" s="125">
        <v>0</v>
      </c>
      <c r="F70" s="125">
        <v>0</v>
      </c>
      <c r="G70" s="120">
        <v>0</v>
      </c>
      <c r="H70" s="122">
        <v>0</v>
      </c>
      <c r="I70" s="122">
        <v>0</v>
      </c>
      <c r="J70" s="122">
        <v>0</v>
      </c>
      <c r="K70" s="120">
        <v>0</v>
      </c>
      <c r="L70" s="72">
        <f t="shared" si="0"/>
        <v>0</v>
      </c>
      <c r="M70" s="146">
        <v>0</v>
      </c>
      <c r="N70" s="72">
        <v>0</v>
      </c>
      <c r="O70" s="72">
        <v>0</v>
      </c>
      <c r="P70" s="72">
        <f t="shared" si="1"/>
        <v>0</v>
      </c>
      <c r="Q70" s="72">
        <f t="shared" si="2"/>
        <v>0</v>
      </c>
      <c r="R70" s="72"/>
      <c r="S70" s="56"/>
      <c r="T70" s="74">
        <f t="shared" si="3"/>
        <v>0</v>
      </c>
      <c r="U70" s="74">
        <v>0</v>
      </c>
      <c r="V70" s="74">
        <f t="shared" si="4"/>
        <v>0</v>
      </c>
      <c r="W70" s="74">
        <f t="shared" si="5"/>
        <v>0</v>
      </c>
      <c r="X70" s="74">
        <f t="shared" si="6"/>
        <v>0</v>
      </c>
      <c r="Y70" s="74">
        <f t="shared" si="7"/>
        <v>0</v>
      </c>
      <c r="Z70" s="74">
        <f t="shared" si="10"/>
        <v>0</v>
      </c>
      <c r="AA70" s="75">
        <f t="shared" si="11"/>
        <v>0</v>
      </c>
      <c r="AB70" s="75">
        <f t="shared" si="9"/>
        <v>0</v>
      </c>
    </row>
    <row r="71" spans="1:28">
      <c r="A71" s="123" t="s">
        <v>152</v>
      </c>
      <c r="B71" s="69"/>
      <c r="C71" s="69"/>
      <c r="D71" s="124" t="s">
        <v>153</v>
      </c>
      <c r="E71" s="125">
        <v>560</v>
      </c>
      <c r="F71" s="125">
        <v>560</v>
      </c>
      <c r="G71" s="120">
        <v>2</v>
      </c>
      <c r="H71" s="122">
        <v>0</v>
      </c>
      <c r="I71" s="122">
        <v>0</v>
      </c>
      <c r="J71" s="122">
        <v>2</v>
      </c>
      <c r="K71" s="120">
        <v>0</v>
      </c>
      <c r="L71" s="72">
        <f t="shared" ref="L71:L136" si="12">G71+H71+I71-J71-K71</f>
        <v>0</v>
      </c>
      <c r="M71" s="146">
        <v>0</v>
      </c>
      <c r="N71" s="72">
        <v>0</v>
      </c>
      <c r="O71" s="72">
        <v>0</v>
      </c>
      <c r="P71" s="72">
        <f t="shared" ref="P71:P136" si="13">M71+N71+O71</f>
        <v>0</v>
      </c>
      <c r="Q71" s="72">
        <f t="shared" ref="Q71:Q134" si="14">P71-L71</f>
        <v>0</v>
      </c>
      <c r="R71" s="72"/>
      <c r="S71" s="56"/>
      <c r="T71" s="74">
        <f t="shared" ref="T71:T134" si="15">E71*G71</f>
        <v>1120</v>
      </c>
      <c r="U71" s="74">
        <v>0</v>
      </c>
      <c r="V71" s="74">
        <f t="shared" ref="V71:V134" si="16">F71*H71</f>
        <v>0</v>
      </c>
      <c r="W71" s="74">
        <f t="shared" ref="W71:W134" si="17">F71*I71</f>
        <v>0</v>
      </c>
      <c r="X71" s="74">
        <f t="shared" ref="X71:X134" si="18">F71*J71</f>
        <v>1120</v>
      </c>
      <c r="Y71" s="74">
        <f t="shared" ref="Y71:Y134" si="19">F71*K71</f>
        <v>0</v>
      </c>
      <c r="Z71" s="74">
        <f t="shared" si="10"/>
        <v>0</v>
      </c>
      <c r="AA71" s="75">
        <f t="shared" ref="AA71:AA97" si="20">L71*F71</f>
        <v>0</v>
      </c>
      <c r="AB71" s="75">
        <f t="shared" ref="AB71:AB136" si="21">AA71-Z71</f>
        <v>0</v>
      </c>
    </row>
    <row r="72" spans="1:28" ht="24">
      <c r="A72" s="123" t="s">
        <v>154</v>
      </c>
      <c r="B72" s="69"/>
      <c r="C72" s="69"/>
      <c r="D72" s="124" t="s">
        <v>155</v>
      </c>
      <c r="E72" s="125">
        <v>36</v>
      </c>
      <c r="F72" s="125">
        <v>36</v>
      </c>
      <c r="G72" s="120">
        <v>0</v>
      </c>
      <c r="H72" s="122">
        <v>0</v>
      </c>
      <c r="I72" s="122">
        <v>0</v>
      </c>
      <c r="J72" s="122">
        <v>0</v>
      </c>
      <c r="K72" s="120">
        <v>0</v>
      </c>
      <c r="L72" s="72">
        <f t="shared" si="12"/>
        <v>0</v>
      </c>
      <c r="M72" s="146">
        <v>0</v>
      </c>
      <c r="N72" s="72">
        <v>0</v>
      </c>
      <c r="O72" s="72">
        <v>0</v>
      </c>
      <c r="P72" s="72">
        <f t="shared" si="13"/>
        <v>0</v>
      </c>
      <c r="Q72" s="72">
        <f t="shared" si="14"/>
        <v>0</v>
      </c>
      <c r="R72" s="72"/>
      <c r="S72" s="56"/>
      <c r="T72" s="74">
        <f t="shared" si="15"/>
        <v>0</v>
      </c>
      <c r="U72" s="74">
        <v>0</v>
      </c>
      <c r="V72" s="74">
        <f t="shared" si="16"/>
        <v>0</v>
      </c>
      <c r="W72" s="74">
        <f t="shared" si="17"/>
        <v>0</v>
      </c>
      <c r="X72" s="74">
        <f t="shared" si="18"/>
        <v>0</v>
      </c>
      <c r="Y72" s="74">
        <f t="shared" si="19"/>
        <v>0</v>
      </c>
      <c r="Z72" s="74">
        <f t="shared" ref="Z72:Z135" si="22">T72+U72+V72+W72-X72-Y72</f>
        <v>0</v>
      </c>
      <c r="AA72" s="75">
        <f t="shared" si="20"/>
        <v>0</v>
      </c>
      <c r="AB72" s="75">
        <f t="shared" si="21"/>
        <v>0</v>
      </c>
    </row>
    <row r="73" spans="1:28">
      <c r="A73" s="123" t="s">
        <v>156</v>
      </c>
      <c r="B73" s="69"/>
      <c r="C73" s="69"/>
      <c r="D73" s="124" t="s">
        <v>157</v>
      </c>
      <c r="E73" s="125">
        <v>1122</v>
      </c>
      <c r="F73" s="125">
        <v>1122</v>
      </c>
      <c r="G73" s="120">
        <v>0</v>
      </c>
      <c r="H73" s="122">
        <v>0</v>
      </c>
      <c r="I73" s="122">
        <v>0</v>
      </c>
      <c r="J73" s="122">
        <v>0</v>
      </c>
      <c r="K73" s="120">
        <v>0</v>
      </c>
      <c r="L73" s="72">
        <f t="shared" si="12"/>
        <v>0</v>
      </c>
      <c r="M73" s="146">
        <v>0</v>
      </c>
      <c r="N73" s="72">
        <v>0</v>
      </c>
      <c r="O73" s="72">
        <v>0</v>
      </c>
      <c r="P73" s="72">
        <f t="shared" si="13"/>
        <v>0</v>
      </c>
      <c r="Q73" s="72">
        <f t="shared" si="14"/>
        <v>0</v>
      </c>
      <c r="R73" s="72"/>
      <c r="S73" s="56"/>
      <c r="T73" s="74">
        <f t="shared" si="15"/>
        <v>0</v>
      </c>
      <c r="U73" s="74">
        <v>0</v>
      </c>
      <c r="V73" s="74">
        <f t="shared" si="16"/>
        <v>0</v>
      </c>
      <c r="W73" s="74">
        <f t="shared" si="17"/>
        <v>0</v>
      </c>
      <c r="X73" s="74">
        <f t="shared" si="18"/>
        <v>0</v>
      </c>
      <c r="Y73" s="74">
        <f t="shared" si="19"/>
        <v>0</v>
      </c>
      <c r="Z73" s="74">
        <f t="shared" si="22"/>
        <v>0</v>
      </c>
      <c r="AA73" s="75">
        <f t="shared" si="20"/>
        <v>0</v>
      </c>
      <c r="AB73" s="75">
        <f t="shared" si="21"/>
        <v>0</v>
      </c>
    </row>
    <row r="74" spans="1:28" ht="24">
      <c r="A74" s="123" t="s">
        <v>158</v>
      </c>
      <c r="B74" s="69"/>
      <c r="C74" s="69"/>
      <c r="D74" s="124" t="s">
        <v>159</v>
      </c>
      <c r="E74" s="125">
        <v>0</v>
      </c>
      <c r="F74" s="125">
        <v>0</v>
      </c>
      <c r="G74" s="120">
        <v>0</v>
      </c>
      <c r="H74" s="122">
        <v>0</v>
      </c>
      <c r="I74" s="122">
        <v>0</v>
      </c>
      <c r="J74" s="122">
        <v>0</v>
      </c>
      <c r="K74" s="120">
        <v>0</v>
      </c>
      <c r="L74" s="72">
        <f t="shared" si="12"/>
        <v>0</v>
      </c>
      <c r="M74" s="146">
        <v>0</v>
      </c>
      <c r="N74" s="72">
        <v>0</v>
      </c>
      <c r="O74" s="72">
        <v>0</v>
      </c>
      <c r="P74" s="72">
        <f t="shared" si="13"/>
        <v>0</v>
      </c>
      <c r="Q74" s="72">
        <f t="shared" si="14"/>
        <v>0</v>
      </c>
      <c r="R74" s="72"/>
      <c r="S74" s="56"/>
      <c r="T74" s="74">
        <f t="shared" si="15"/>
        <v>0</v>
      </c>
      <c r="U74" s="74">
        <v>0</v>
      </c>
      <c r="V74" s="74">
        <f t="shared" si="16"/>
        <v>0</v>
      </c>
      <c r="W74" s="74">
        <f t="shared" si="17"/>
        <v>0</v>
      </c>
      <c r="X74" s="74">
        <f t="shared" si="18"/>
        <v>0</v>
      </c>
      <c r="Y74" s="74">
        <f t="shared" si="19"/>
        <v>0</v>
      </c>
      <c r="Z74" s="74">
        <f t="shared" si="22"/>
        <v>0</v>
      </c>
      <c r="AA74" s="75">
        <f t="shared" si="20"/>
        <v>0</v>
      </c>
      <c r="AB74" s="75">
        <f t="shared" si="21"/>
        <v>0</v>
      </c>
    </row>
    <row r="75" spans="1:28" ht="24">
      <c r="A75" s="123" t="s">
        <v>160</v>
      </c>
      <c r="B75" s="69"/>
      <c r="C75" s="69"/>
      <c r="D75" s="124" t="s">
        <v>161</v>
      </c>
      <c r="E75" s="125">
        <v>0</v>
      </c>
      <c r="F75" s="125">
        <v>0</v>
      </c>
      <c r="G75" s="120">
        <v>0</v>
      </c>
      <c r="H75" s="122">
        <v>0</v>
      </c>
      <c r="I75" s="122">
        <v>0</v>
      </c>
      <c r="J75" s="122">
        <v>0</v>
      </c>
      <c r="K75" s="120">
        <v>0</v>
      </c>
      <c r="L75" s="72">
        <f t="shared" si="12"/>
        <v>0</v>
      </c>
      <c r="M75" s="146">
        <v>0</v>
      </c>
      <c r="N75" s="72">
        <v>0</v>
      </c>
      <c r="O75" s="72">
        <v>0</v>
      </c>
      <c r="P75" s="72">
        <f t="shared" si="13"/>
        <v>0</v>
      </c>
      <c r="Q75" s="72">
        <f t="shared" si="14"/>
        <v>0</v>
      </c>
      <c r="R75" s="72"/>
      <c r="S75" s="56"/>
      <c r="T75" s="74">
        <f t="shared" si="15"/>
        <v>0</v>
      </c>
      <c r="U75" s="74">
        <v>0</v>
      </c>
      <c r="V75" s="74">
        <f t="shared" si="16"/>
        <v>0</v>
      </c>
      <c r="W75" s="74">
        <f t="shared" si="17"/>
        <v>0</v>
      </c>
      <c r="X75" s="74">
        <f t="shared" si="18"/>
        <v>0</v>
      </c>
      <c r="Y75" s="74">
        <f t="shared" si="19"/>
        <v>0</v>
      </c>
      <c r="Z75" s="74">
        <f t="shared" si="22"/>
        <v>0</v>
      </c>
      <c r="AA75" s="75">
        <f t="shared" si="20"/>
        <v>0</v>
      </c>
      <c r="AB75" s="75">
        <f t="shared" si="21"/>
        <v>0</v>
      </c>
    </row>
    <row r="76" spans="1:28" s="157" customFormat="1">
      <c r="A76" s="154" t="s">
        <v>162</v>
      </c>
      <c r="B76" s="158"/>
      <c r="C76" s="158"/>
      <c r="D76" s="126" t="s">
        <v>163</v>
      </c>
      <c r="E76" s="127">
        <v>1000</v>
      </c>
      <c r="F76" s="127">
        <v>1000</v>
      </c>
      <c r="G76" s="156">
        <v>2</v>
      </c>
      <c r="H76" s="155">
        <v>0</v>
      </c>
      <c r="I76" s="155">
        <v>0</v>
      </c>
      <c r="J76" s="155">
        <v>0</v>
      </c>
      <c r="K76" s="162">
        <v>2</v>
      </c>
      <c r="L76" s="156">
        <f t="shared" si="12"/>
        <v>0</v>
      </c>
      <c r="M76" s="146">
        <v>0</v>
      </c>
      <c r="N76" s="128">
        <v>0</v>
      </c>
      <c r="O76" s="130"/>
      <c r="P76" s="128">
        <f t="shared" si="13"/>
        <v>0</v>
      </c>
      <c r="Q76" s="128">
        <f t="shared" si="14"/>
        <v>0</v>
      </c>
      <c r="R76" s="128"/>
      <c r="S76" s="56"/>
      <c r="T76" s="74">
        <f t="shared" si="15"/>
        <v>2000</v>
      </c>
      <c r="U76" s="74">
        <v>0</v>
      </c>
      <c r="V76" s="74">
        <f t="shared" si="16"/>
        <v>0</v>
      </c>
      <c r="W76" s="74">
        <f t="shared" si="17"/>
        <v>0</v>
      </c>
      <c r="X76" s="74">
        <f t="shared" si="18"/>
        <v>0</v>
      </c>
      <c r="Y76" s="74">
        <f t="shared" si="19"/>
        <v>2000</v>
      </c>
      <c r="Z76" s="74">
        <f t="shared" si="22"/>
        <v>0</v>
      </c>
      <c r="AA76" s="75">
        <f t="shared" si="20"/>
        <v>0</v>
      </c>
      <c r="AB76" s="75">
        <f t="shared" si="21"/>
        <v>0</v>
      </c>
    </row>
    <row r="77" spans="1:28">
      <c r="A77" s="123" t="s">
        <v>164</v>
      </c>
      <c r="B77" s="69"/>
      <c r="C77" s="69"/>
      <c r="D77" s="124" t="s">
        <v>165</v>
      </c>
      <c r="E77" s="125">
        <v>900</v>
      </c>
      <c r="F77" s="125">
        <v>900</v>
      </c>
      <c r="G77" s="120">
        <v>0</v>
      </c>
      <c r="H77" s="122">
        <v>0</v>
      </c>
      <c r="I77" s="122">
        <v>0</v>
      </c>
      <c r="J77" s="122">
        <v>0</v>
      </c>
      <c r="K77" s="120">
        <v>0</v>
      </c>
      <c r="L77" s="72">
        <f t="shared" si="12"/>
        <v>0</v>
      </c>
      <c r="M77" s="146">
        <v>0</v>
      </c>
      <c r="N77" s="72">
        <v>0</v>
      </c>
      <c r="O77" s="72">
        <v>0</v>
      </c>
      <c r="P77" s="72">
        <f t="shared" si="13"/>
        <v>0</v>
      </c>
      <c r="Q77" s="72">
        <f t="shared" si="14"/>
        <v>0</v>
      </c>
      <c r="R77" s="72"/>
      <c r="S77" s="56"/>
      <c r="T77" s="74">
        <f t="shared" si="15"/>
        <v>0</v>
      </c>
      <c r="U77" s="74">
        <v>0</v>
      </c>
      <c r="V77" s="74">
        <f t="shared" si="16"/>
        <v>0</v>
      </c>
      <c r="W77" s="74">
        <f t="shared" si="17"/>
        <v>0</v>
      </c>
      <c r="X77" s="74">
        <f t="shared" si="18"/>
        <v>0</v>
      </c>
      <c r="Y77" s="74">
        <f t="shared" si="19"/>
        <v>0</v>
      </c>
      <c r="Z77" s="74">
        <f t="shared" si="22"/>
        <v>0</v>
      </c>
      <c r="AA77" s="75">
        <f t="shared" si="20"/>
        <v>0</v>
      </c>
      <c r="AB77" s="75">
        <f t="shared" si="21"/>
        <v>0</v>
      </c>
    </row>
    <row r="78" spans="1:28" s="157" customFormat="1">
      <c r="A78" s="154" t="s">
        <v>166</v>
      </c>
      <c r="B78" s="158"/>
      <c r="C78" s="158"/>
      <c r="D78" s="126" t="s">
        <v>167</v>
      </c>
      <c r="E78" s="125">
        <v>1712</v>
      </c>
      <c r="F78" s="125">
        <v>1712</v>
      </c>
      <c r="G78" s="121">
        <v>2</v>
      </c>
      <c r="H78" s="155">
        <v>0</v>
      </c>
      <c r="I78" s="155">
        <v>0</v>
      </c>
      <c r="J78" s="155">
        <v>0</v>
      </c>
      <c r="K78" s="162">
        <v>2</v>
      </c>
      <c r="L78" s="156">
        <f t="shared" si="12"/>
        <v>0</v>
      </c>
      <c r="M78" s="146">
        <v>0</v>
      </c>
      <c r="N78" s="128">
        <v>0</v>
      </c>
      <c r="O78" s="130"/>
      <c r="P78" s="128">
        <f t="shared" si="13"/>
        <v>0</v>
      </c>
      <c r="Q78" s="128">
        <f t="shared" si="14"/>
        <v>0</v>
      </c>
      <c r="R78" s="128"/>
      <c r="S78" s="56"/>
      <c r="T78" s="74">
        <f t="shared" si="15"/>
        <v>3424</v>
      </c>
      <c r="U78" s="74">
        <v>0</v>
      </c>
      <c r="V78" s="74">
        <f t="shared" si="16"/>
        <v>0</v>
      </c>
      <c r="W78" s="74">
        <f t="shared" si="17"/>
        <v>0</v>
      </c>
      <c r="X78" s="74">
        <f t="shared" si="18"/>
        <v>0</v>
      </c>
      <c r="Y78" s="74">
        <f t="shared" si="19"/>
        <v>3424</v>
      </c>
      <c r="Z78" s="74">
        <f t="shared" si="22"/>
        <v>0</v>
      </c>
      <c r="AA78" s="75">
        <f t="shared" si="20"/>
        <v>0</v>
      </c>
      <c r="AB78" s="75">
        <f t="shared" si="21"/>
        <v>0</v>
      </c>
    </row>
    <row r="79" spans="1:28" ht="24">
      <c r="A79" s="123" t="s">
        <v>168</v>
      </c>
      <c r="B79" s="140" t="s">
        <v>752</v>
      </c>
      <c r="C79" s="140"/>
      <c r="D79" s="124" t="s">
        <v>169</v>
      </c>
      <c r="E79" s="125">
        <v>490</v>
      </c>
      <c r="F79" s="125">
        <v>490</v>
      </c>
      <c r="G79" s="120">
        <v>4</v>
      </c>
      <c r="H79" s="122">
        <v>0</v>
      </c>
      <c r="I79" s="122">
        <v>0</v>
      </c>
      <c r="J79" s="122">
        <v>0</v>
      </c>
      <c r="K79" s="120">
        <v>0</v>
      </c>
      <c r="L79" s="72">
        <f t="shared" si="12"/>
        <v>4</v>
      </c>
      <c r="M79" s="146">
        <v>4</v>
      </c>
      <c r="N79" s="72">
        <v>0</v>
      </c>
      <c r="O79" s="72">
        <v>0</v>
      </c>
      <c r="P79" s="72">
        <f t="shared" si="13"/>
        <v>4</v>
      </c>
      <c r="Q79" s="72">
        <f t="shared" si="14"/>
        <v>0</v>
      </c>
      <c r="R79" s="72"/>
      <c r="S79" s="56"/>
      <c r="T79" s="74">
        <f t="shared" si="15"/>
        <v>1960</v>
      </c>
      <c r="U79" s="74">
        <v>0</v>
      </c>
      <c r="V79" s="74">
        <f t="shared" si="16"/>
        <v>0</v>
      </c>
      <c r="W79" s="74">
        <f t="shared" si="17"/>
        <v>0</v>
      </c>
      <c r="X79" s="74">
        <f t="shared" si="18"/>
        <v>0</v>
      </c>
      <c r="Y79" s="74">
        <f t="shared" si="19"/>
        <v>0</v>
      </c>
      <c r="Z79" s="74">
        <f t="shared" si="22"/>
        <v>1960</v>
      </c>
      <c r="AA79" s="75">
        <f t="shared" si="20"/>
        <v>1960</v>
      </c>
      <c r="AB79" s="75">
        <f t="shared" si="21"/>
        <v>0</v>
      </c>
    </row>
    <row r="80" spans="1:28">
      <c r="A80" s="123" t="s">
        <v>170</v>
      </c>
      <c r="B80" s="69"/>
      <c r="C80" s="69"/>
      <c r="D80" s="124" t="s">
        <v>171</v>
      </c>
      <c r="E80" s="125">
        <v>5100</v>
      </c>
      <c r="F80" s="125">
        <v>5100</v>
      </c>
      <c r="G80" s="120">
        <v>1</v>
      </c>
      <c r="H80" s="122">
        <v>0</v>
      </c>
      <c r="I80" s="122">
        <v>0</v>
      </c>
      <c r="J80" s="122">
        <v>1</v>
      </c>
      <c r="K80" s="120">
        <v>0</v>
      </c>
      <c r="L80" s="72">
        <f t="shared" si="12"/>
        <v>0</v>
      </c>
      <c r="M80" s="146">
        <v>0</v>
      </c>
      <c r="N80" s="72">
        <v>0</v>
      </c>
      <c r="O80" s="72">
        <v>0</v>
      </c>
      <c r="P80" s="72">
        <f t="shared" si="13"/>
        <v>0</v>
      </c>
      <c r="Q80" s="72">
        <f t="shared" si="14"/>
        <v>0</v>
      </c>
      <c r="R80" s="72"/>
      <c r="S80" s="56"/>
      <c r="T80" s="74">
        <f t="shared" si="15"/>
        <v>5100</v>
      </c>
      <c r="U80" s="74">
        <v>0</v>
      </c>
      <c r="V80" s="74">
        <f t="shared" si="16"/>
        <v>0</v>
      </c>
      <c r="W80" s="74">
        <f t="shared" si="17"/>
        <v>0</v>
      </c>
      <c r="X80" s="74">
        <f t="shared" si="18"/>
        <v>5100</v>
      </c>
      <c r="Y80" s="74">
        <f t="shared" si="19"/>
        <v>0</v>
      </c>
      <c r="Z80" s="74">
        <f t="shared" si="22"/>
        <v>0</v>
      </c>
      <c r="AA80" s="75">
        <f t="shared" si="20"/>
        <v>0</v>
      </c>
      <c r="AB80" s="75">
        <f t="shared" si="21"/>
        <v>0</v>
      </c>
    </row>
    <row r="81" spans="1:28">
      <c r="A81" s="123" t="s">
        <v>172</v>
      </c>
      <c r="B81" s="69"/>
      <c r="C81" s="69"/>
      <c r="D81" s="124" t="s">
        <v>173</v>
      </c>
      <c r="E81" s="125">
        <v>79.92</v>
      </c>
      <c r="F81" s="125">
        <v>79.92</v>
      </c>
      <c r="G81" s="120">
        <v>2</v>
      </c>
      <c r="H81" s="122">
        <v>0</v>
      </c>
      <c r="I81" s="122">
        <v>0</v>
      </c>
      <c r="J81" s="122">
        <v>0</v>
      </c>
      <c r="K81" s="120">
        <v>0</v>
      </c>
      <c r="L81" s="72">
        <f t="shared" si="12"/>
        <v>2</v>
      </c>
      <c r="M81" s="146">
        <v>2</v>
      </c>
      <c r="N81" s="72">
        <v>0</v>
      </c>
      <c r="O81" s="72">
        <v>0</v>
      </c>
      <c r="P81" s="72">
        <f t="shared" si="13"/>
        <v>2</v>
      </c>
      <c r="Q81" s="72">
        <f t="shared" si="14"/>
        <v>0</v>
      </c>
      <c r="R81" s="72"/>
      <c r="S81" s="56"/>
      <c r="T81" s="74">
        <f t="shared" si="15"/>
        <v>159.84</v>
      </c>
      <c r="U81" s="74">
        <v>0</v>
      </c>
      <c r="V81" s="74">
        <f t="shared" si="16"/>
        <v>0</v>
      </c>
      <c r="W81" s="74">
        <f t="shared" si="17"/>
        <v>0</v>
      </c>
      <c r="X81" s="74">
        <f t="shared" si="18"/>
        <v>0</v>
      </c>
      <c r="Y81" s="74">
        <f t="shared" si="19"/>
        <v>0</v>
      </c>
      <c r="Z81" s="74">
        <f t="shared" si="22"/>
        <v>159.84</v>
      </c>
      <c r="AA81" s="75">
        <f t="shared" si="20"/>
        <v>159.84</v>
      </c>
      <c r="AB81" s="75">
        <f t="shared" si="21"/>
        <v>0</v>
      </c>
    </row>
    <row r="82" spans="1:28">
      <c r="A82" s="123" t="s">
        <v>174</v>
      </c>
      <c r="B82" s="69"/>
      <c r="C82" s="69"/>
      <c r="D82" s="124" t="s">
        <v>175</v>
      </c>
      <c r="E82" s="125">
        <v>60.08</v>
      </c>
      <c r="F82" s="125">
        <v>60.08</v>
      </c>
      <c r="G82" s="120">
        <v>1</v>
      </c>
      <c r="H82" s="122">
        <v>0</v>
      </c>
      <c r="I82" s="122">
        <v>0</v>
      </c>
      <c r="J82" s="122">
        <v>1</v>
      </c>
      <c r="K82" s="120">
        <v>0</v>
      </c>
      <c r="L82" s="72">
        <f t="shared" si="12"/>
        <v>0</v>
      </c>
      <c r="M82" s="146">
        <v>0</v>
      </c>
      <c r="N82" s="72">
        <v>0</v>
      </c>
      <c r="O82" s="72">
        <v>0</v>
      </c>
      <c r="P82" s="72">
        <f t="shared" si="13"/>
        <v>0</v>
      </c>
      <c r="Q82" s="72">
        <f t="shared" si="14"/>
        <v>0</v>
      </c>
      <c r="R82" s="72"/>
      <c r="S82" s="56"/>
      <c r="T82" s="74">
        <f t="shared" si="15"/>
        <v>60.08</v>
      </c>
      <c r="U82" s="74">
        <v>0</v>
      </c>
      <c r="V82" s="74">
        <f t="shared" si="16"/>
        <v>0</v>
      </c>
      <c r="W82" s="74">
        <f t="shared" si="17"/>
        <v>0</v>
      </c>
      <c r="X82" s="74">
        <f t="shared" si="18"/>
        <v>60.08</v>
      </c>
      <c r="Y82" s="74">
        <f t="shared" si="19"/>
        <v>0</v>
      </c>
      <c r="Z82" s="74">
        <f t="shared" si="22"/>
        <v>0</v>
      </c>
      <c r="AA82" s="75">
        <f t="shared" si="20"/>
        <v>0</v>
      </c>
      <c r="AB82" s="75">
        <f t="shared" si="21"/>
        <v>0</v>
      </c>
    </row>
    <row r="83" spans="1:28" ht="24">
      <c r="A83" s="123" t="s">
        <v>176</v>
      </c>
      <c r="B83" s="69"/>
      <c r="C83" s="69"/>
      <c r="D83" s="124" t="s">
        <v>177</v>
      </c>
      <c r="E83" s="125">
        <v>780</v>
      </c>
      <c r="F83" s="125">
        <v>780</v>
      </c>
      <c r="G83" s="120">
        <v>1</v>
      </c>
      <c r="H83" s="122">
        <v>0</v>
      </c>
      <c r="I83" s="122">
        <v>0</v>
      </c>
      <c r="J83" s="122">
        <v>1</v>
      </c>
      <c r="K83" s="120">
        <v>0</v>
      </c>
      <c r="L83" s="72">
        <f t="shared" si="12"/>
        <v>0</v>
      </c>
      <c r="M83" s="146">
        <v>0</v>
      </c>
      <c r="N83" s="72">
        <v>0</v>
      </c>
      <c r="O83" s="72">
        <v>0</v>
      </c>
      <c r="P83" s="72">
        <f t="shared" si="13"/>
        <v>0</v>
      </c>
      <c r="Q83" s="72">
        <f t="shared" si="14"/>
        <v>0</v>
      </c>
      <c r="R83" s="72"/>
      <c r="S83" s="56"/>
      <c r="T83" s="74">
        <f t="shared" si="15"/>
        <v>780</v>
      </c>
      <c r="U83" s="74">
        <v>0</v>
      </c>
      <c r="V83" s="74">
        <f t="shared" si="16"/>
        <v>0</v>
      </c>
      <c r="W83" s="74">
        <f t="shared" si="17"/>
        <v>0</v>
      </c>
      <c r="X83" s="74">
        <f t="shared" si="18"/>
        <v>780</v>
      </c>
      <c r="Y83" s="74">
        <f t="shared" si="19"/>
        <v>0</v>
      </c>
      <c r="Z83" s="74">
        <f t="shared" si="22"/>
        <v>0</v>
      </c>
      <c r="AA83" s="75">
        <f t="shared" si="20"/>
        <v>0</v>
      </c>
      <c r="AB83" s="75">
        <f t="shared" si="21"/>
        <v>0</v>
      </c>
    </row>
    <row r="84" spans="1:28">
      <c r="A84" s="123" t="s">
        <v>178</v>
      </c>
      <c r="B84" s="69"/>
      <c r="C84" s="69"/>
      <c r="D84" s="124" t="s">
        <v>179</v>
      </c>
      <c r="E84" s="125">
        <v>18.600000000000001</v>
      </c>
      <c r="F84" s="125">
        <v>18.600000000000001</v>
      </c>
      <c r="G84" s="120">
        <v>0</v>
      </c>
      <c r="H84" s="122">
        <v>0</v>
      </c>
      <c r="I84" s="122">
        <v>0</v>
      </c>
      <c r="J84" s="122">
        <v>0</v>
      </c>
      <c r="K84" s="120">
        <v>0</v>
      </c>
      <c r="L84" s="72">
        <f t="shared" si="12"/>
        <v>0</v>
      </c>
      <c r="M84" s="146">
        <v>0</v>
      </c>
      <c r="N84" s="72">
        <v>0</v>
      </c>
      <c r="O84" s="72">
        <v>0</v>
      </c>
      <c r="P84" s="72">
        <f t="shared" si="13"/>
        <v>0</v>
      </c>
      <c r="Q84" s="72">
        <f t="shared" si="14"/>
        <v>0</v>
      </c>
      <c r="R84" s="72"/>
      <c r="S84" s="56"/>
      <c r="T84" s="74">
        <f t="shared" si="15"/>
        <v>0</v>
      </c>
      <c r="U84" s="74">
        <v>0</v>
      </c>
      <c r="V84" s="74">
        <f t="shared" si="16"/>
        <v>0</v>
      </c>
      <c r="W84" s="74">
        <f t="shared" si="17"/>
        <v>0</v>
      </c>
      <c r="X84" s="74">
        <f t="shared" si="18"/>
        <v>0</v>
      </c>
      <c r="Y84" s="74">
        <f t="shared" si="19"/>
        <v>0</v>
      </c>
      <c r="Z84" s="74">
        <f t="shared" si="22"/>
        <v>0</v>
      </c>
      <c r="AA84" s="75">
        <f t="shared" si="20"/>
        <v>0</v>
      </c>
      <c r="AB84" s="75">
        <f t="shared" si="21"/>
        <v>0</v>
      </c>
    </row>
    <row r="85" spans="1:28" ht="24">
      <c r="A85" s="123" t="s">
        <v>180</v>
      </c>
      <c r="B85" s="69"/>
      <c r="C85" s="69"/>
      <c r="D85" s="124" t="s">
        <v>181</v>
      </c>
      <c r="E85" s="125">
        <v>852</v>
      </c>
      <c r="F85" s="125">
        <v>852</v>
      </c>
      <c r="G85" s="120">
        <v>2</v>
      </c>
      <c r="H85" s="122">
        <v>0</v>
      </c>
      <c r="I85" s="122">
        <v>0</v>
      </c>
      <c r="J85" s="122">
        <v>2</v>
      </c>
      <c r="K85" s="120">
        <v>0</v>
      </c>
      <c r="L85" s="72">
        <f t="shared" si="12"/>
        <v>0</v>
      </c>
      <c r="M85" s="146">
        <v>0</v>
      </c>
      <c r="N85" s="72">
        <v>0</v>
      </c>
      <c r="O85" s="72">
        <v>0</v>
      </c>
      <c r="P85" s="72">
        <f t="shared" si="13"/>
        <v>0</v>
      </c>
      <c r="Q85" s="72">
        <f t="shared" si="14"/>
        <v>0</v>
      </c>
      <c r="R85" s="72"/>
      <c r="S85" s="56"/>
      <c r="T85" s="74">
        <f t="shared" si="15"/>
        <v>1704</v>
      </c>
      <c r="U85" s="74">
        <v>0</v>
      </c>
      <c r="V85" s="74">
        <f t="shared" si="16"/>
        <v>0</v>
      </c>
      <c r="W85" s="74">
        <f t="shared" si="17"/>
        <v>0</v>
      </c>
      <c r="X85" s="74">
        <f t="shared" si="18"/>
        <v>1704</v>
      </c>
      <c r="Y85" s="74">
        <f t="shared" si="19"/>
        <v>0</v>
      </c>
      <c r="Z85" s="74">
        <f t="shared" si="22"/>
        <v>0</v>
      </c>
      <c r="AA85" s="75">
        <f t="shared" si="20"/>
        <v>0</v>
      </c>
      <c r="AB85" s="75">
        <f t="shared" si="21"/>
        <v>0</v>
      </c>
    </row>
    <row r="86" spans="1:28">
      <c r="A86" s="123" t="s">
        <v>182</v>
      </c>
      <c r="B86" s="69"/>
      <c r="C86" s="69"/>
      <c r="D86" s="124" t="s">
        <v>183</v>
      </c>
      <c r="E86" s="125">
        <v>1750</v>
      </c>
      <c r="F86" s="125">
        <v>1750</v>
      </c>
      <c r="G86" s="120">
        <v>3</v>
      </c>
      <c r="H86" s="122">
        <v>0</v>
      </c>
      <c r="I86" s="122">
        <v>0</v>
      </c>
      <c r="J86" s="122">
        <v>0</v>
      </c>
      <c r="K86" s="120">
        <v>0</v>
      </c>
      <c r="L86" s="72">
        <f t="shared" si="12"/>
        <v>3</v>
      </c>
      <c r="M86" s="146">
        <v>2</v>
      </c>
      <c r="N86" s="72">
        <v>1</v>
      </c>
      <c r="O86" s="72">
        <v>0</v>
      </c>
      <c r="P86" s="72">
        <f t="shared" si="13"/>
        <v>3</v>
      </c>
      <c r="Q86" s="72">
        <f t="shared" si="14"/>
        <v>0</v>
      </c>
      <c r="R86" s="72"/>
      <c r="S86" s="56"/>
      <c r="T86" s="74">
        <f t="shared" si="15"/>
        <v>5250</v>
      </c>
      <c r="U86" s="74">
        <v>0</v>
      </c>
      <c r="V86" s="74">
        <f t="shared" si="16"/>
        <v>0</v>
      </c>
      <c r="W86" s="74">
        <f t="shared" si="17"/>
        <v>0</v>
      </c>
      <c r="X86" s="74">
        <f t="shared" si="18"/>
        <v>0</v>
      </c>
      <c r="Y86" s="74">
        <f t="shared" si="19"/>
        <v>0</v>
      </c>
      <c r="Z86" s="74">
        <f t="shared" si="22"/>
        <v>5250</v>
      </c>
      <c r="AA86" s="75">
        <f t="shared" si="20"/>
        <v>5250</v>
      </c>
      <c r="AB86" s="75">
        <f t="shared" si="21"/>
        <v>0</v>
      </c>
    </row>
    <row r="87" spans="1:28">
      <c r="A87" s="123" t="s">
        <v>184</v>
      </c>
      <c r="B87" s="69"/>
      <c r="C87" s="69"/>
      <c r="D87" s="124" t="s">
        <v>185</v>
      </c>
      <c r="E87" s="125">
        <v>1550</v>
      </c>
      <c r="F87" s="125">
        <v>1550</v>
      </c>
      <c r="G87" s="120">
        <v>1</v>
      </c>
      <c r="H87" s="122">
        <v>0</v>
      </c>
      <c r="I87" s="122">
        <v>0</v>
      </c>
      <c r="J87" s="122">
        <v>0</v>
      </c>
      <c r="K87" s="120">
        <v>0</v>
      </c>
      <c r="L87" s="72">
        <f t="shared" si="12"/>
        <v>1</v>
      </c>
      <c r="M87" s="146">
        <v>1</v>
      </c>
      <c r="N87" s="72">
        <v>0</v>
      </c>
      <c r="O87" s="72">
        <v>0</v>
      </c>
      <c r="P87" s="72">
        <f t="shared" si="13"/>
        <v>1</v>
      </c>
      <c r="Q87" s="72">
        <f t="shared" si="14"/>
        <v>0</v>
      </c>
      <c r="R87" s="72"/>
      <c r="S87" s="56"/>
      <c r="T87" s="74">
        <f t="shared" si="15"/>
        <v>1550</v>
      </c>
      <c r="U87" s="74">
        <v>0</v>
      </c>
      <c r="V87" s="74">
        <f t="shared" si="16"/>
        <v>0</v>
      </c>
      <c r="W87" s="74">
        <f t="shared" si="17"/>
        <v>0</v>
      </c>
      <c r="X87" s="74">
        <f t="shared" si="18"/>
        <v>0</v>
      </c>
      <c r="Y87" s="74">
        <f t="shared" si="19"/>
        <v>0</v>
      </c>
      <c r="Z87" s="74">
        <f t="shared" si="22"/>
        <v>1550</v>
      </c>
      <c r="AA87" s="75">
        <f t="shared" si="20"/>
        <v>1550</v>
      </c>
      <c r="AB87" s="75">
        <f t="shared" si="21"/>
        <v>0</v>
      </c>
    </row>
    <row r="88" spans="1:28">
      <c r="A88" s="123" t="s">
        <v>186</v>
      </c>
      <c r="B88" s="69"/>
      <c r="C88" s="69"/>
      <c r="D88" s="124" t="s">
        <v>187</v>
      </c>
      <c r="E88" s="125">
        <v>1750</v>
      </c>
      <c r="F88" s="125">
        <v>1750</v>
      </c>
      <c r="G88" s="120">
        <v>0</v>
      </c>
      <c r="H88" s="122">
        <v>0</v>
      </c>
      <c r="I88" s="122">
        <v>0</v>
      </c>
      <c r="J88" s="122">
        <v>0</v>
      </c>
      <c r="K88" s="120">
        <v>0</v>
      </c>
      <c r="L88" s="72">
        <f t="shared" si="12"/>
        <v>0</v>
      </c>
      <c r="M88" s="146">
        <v>0</v>
      </c>
      <c r="N88" s="72">
        <v>3</v>
      </c>
      <c r="O88" s="72">
        <v>0</v>
      </c>
      <c r="P88" s="72">
        <f t="shared" si="13"/>
        <v>3</v>
      </c>
      <c r="Q88" s="72">
        <f t="shared" si="14"/>
        <v>3</v>
      </c>
      <c r="R88" s="72"/>
      <c r="S88" s="56"/>
      <c r="T88" s="74">
        <f t="shared" si="15"/>
        <v>0</v>
      </c>
      <c r="U88" s="74">
        <v>0</v>
      </c>
      <c r="V88" s="74">
        <f t="shared" si="16"/>
        <v>0</v>
      </c>
      <c r="W88" s="74">
        <f t="shared" si="17"/>
        <v>0</v>
      </c>
      <c r="X88" s="74">
        <f t="shared" si="18"/>
        <v>0</v>
      </c>
      <c r="Y88" s="74">
        <f t="shared" si="19"/>
        <v>0</v>
      </c>
      <c r="Z88" s="74">
        <f t="shared" si="22"/>
        <v>0</v>
      </c>
      <c r="AA88" s="75">
        <f t="shared" si="20"/>
        <v>0</v>
      </c>
      <c r="AB88" s="75">
        <f t="shared" si="21"/>
        <v>0</v>
      </c>
    </row>
    <row r="89" spans="1:28">
      <c r="A89" s="123" t="s">
        <v>188</v>
      </c>
      <c r="B89" s="69"/>
      <c r="C89" s="69"/>
      <c r="D89" s="124" t="s">
        <v>189</v>
      </c>
      <c r="E89" s="125">
        <v>1750</v>
      </c>
      <c r="F89" s="125">
        <v>1750</v>
      </c>
      <c r="G89" s="120">
        <v>0</v>
      </c>
      <c r="H89" s="122">
        <v>0</v>
      </c>
      <c r="I89" s="122">
        <v>0</v>
      </c>
      <c r="J89" s="122">
        <v>0</v>
      </c>
      <c r="K89" s="120">
        <v>0</v>
      </c>
      <c r="L89" s="72">
        <f t="shared" si="12"/>
        <v>0</v>
      </c>
      <c r="M89" s="146">
        <v>0</v>
      </c>
      <c r="N89" s="72">
        <v>0</v>
      </c>
      <c r="O89" s="72">
        <v>0</v>
      </c>
      <c r="P89" s="72">
        <f t="shared" si="13"/>
        <v>0</v>
      </c>
      <c r="Q89" s="72">
        <f t="shared" si="14"/>
        <v>0</v>
      </c>
      <c r="R89" s="72"/>
      <c r="S89" s="56"/>
      <c r="T89" s="74">
        <f t="shared" si="15"/>
        <v>0</v>
      </c>
      <c r="U89" s="74">
        <v>0</v>
      </c>
      <c r="V89" s="74">
        <f t="shared" si="16"/>
        <v>0</v>
      </c>
      <c r="W89" s="74">
        <f t="shared" si="17"/>
        <v>0</v>
      </c>
      <c r="X89" s="74">
        <f t="shared" si="18"/>
        <v>0</v>
      </c>
      <c r="Y89" s="74">
        <f t="shared" si="19"/>
        <v>0</v>
      </c>
      <c r="Z89" s="74">
        <f t="shared" si="22"/>
        <v>0</v>
      </c>
      <c r="AA89" s="75">
        <f t="shared" si="20"/>
        <v>0</v>
      </c>
      <c r="AB89" s="75">
        <f t="shared" si="21"/>
        <v>0</v>
      </c>
    </row>
    <row r="90" spans="1:28">
      <c r="A90" s="123" t="s">
        <v>190</v>
      </c>
      <c r="B90" s="69"/>
      <c r="C90" s="69"/>
      <c r="D90" s="124" t="s">
        <v>191</v>
      </c>
      <c r="E90" s="125">
        <v>1850</v>
      </c>
      <c r="F90" s="125">
        <v>1850</v>
      </c>
      <c r="G90" s="120">
        <v>2</v>
      </c>
      <c r="H90" s="122">
        <v>0</v>
      </c>
      <c r="I90" s="122">
        <v>0</v>
      </c>
      <c r="J90" s="122">
        <v>0</v>
      </c>
      <c r="K90" s="120">
        <v>0</v>
      </c>
      <c r="L90" s="72">
        <f t="shared" si="12"/>
        <v>2</v>
      </c>
      <c r="M90" s="146">
        <v>2</v>
      </c>
      <c r="N90" s="72">
        <v>0</v>
      </c>
      <c r="O90" s="72">
        <v>0</v>
      </c>
      <c r="P90" s="72">
        <f t="shared" si="13"/>
        <v>2</v>
      </c>
      <c r="Q90" s="72">
        <f t="shared" si="14"/>
        <v>0</v>
      </c>
      <c r="R90" s="72"/>
      <c r="S90" s="56"/>
      <c r="T90" s="74">
        <f t="shared" si="15"/>
        <v>3700</v>
      </c>
      <c r="U90" s="74">
        <v>0</v>
      </c>
      <c r="V90" s="74">
        <f t="shared" si="16"/>
        <v>0</v>
      </c>
      <c r="W90" s="74">
        <f t="shared" si="17"/>
        <v>0</v>
      </c>
      <c r="X90" s="74">
        <f t="shared" si="18"/>
        <v>0</v>
      </c>
      <c r="Y90" s="74">
        <f t="shared" si="19"/>
        <v>0</v>
      </c>
      <c r="Z90" s="74">
        <f t="shared" si="22"/>
        <v>3700</v>
      </c>
      <c r="AA90" s="75">
        <f t="shared" si="20"/>
        <v>3700</v>
      </c>
      <c r="AB90" s="75">
        <f t="shared" si="21"/>
        <v>0</v>
      </c>
    </row>
    <row r="91" spans="1:28">
      <c r="A91" s="123" t="s">
        <v>192</v>
      </c>
      <c r="B91" s="69"/>
      <c r="C91" s="69"/>
      <c r="D91" s="124" t="s">
        <v>193</v>
      </c>
      <c r="E91" s="125">
        <v>432</v>
      </c>
      <c r="F91" s="125">
        <v>432</v>
      </c>
      <c r="G91" s="120">
        <v>0</v>
      </c>
      <c r="H91" s="122">
        <v>0</v>
      </c>
      <c r="I91" s="122">
        <v>0</v>
      </c>
      <c r="J91" s="122">
        <v>0</v>
      </c>
      <c r="K91" s="120">
        <v>0</v>
      </c>
      <c r="L91" s="72">
        <f t="shared" si="12"/>
        <v>0</v>
      </c>
      <c r="M91" s="146">
        <v>0</v>
      </c>
      <c r="N91" s="72">
        <v>0</v>
      </c>
      <c r="O91" s="72">
        <v>0</v>
      </c>
      <c r="P91" s="72">
        <f t="shared" si="13"/>
        <v>0</v>
      </c>
      <c r="Q91" s="72">
        <f t="shared" si="14"/>
        <v>0</v>
      </c>
      <c r="R91" s="72"/>
      <c r="S91" s="56"/>
      <c r="T91" s="74">
        <f t="shared" si="15"/>
        <v>0</v>
      </c>
      <c r="U91" s="74">
        <v>0</v>
      </c>
      <c r="V91" s="74">
        <f t="shared" si="16"/>
        <v>0</v>
      </c>
      <c r="W91" s="74">
        <f t="shared" si="17"/>
        <v>0</v>
      </c>
      <c r="X91" s="74">
        <f t="shared" si="18"/>
        <v>0</v>
      </c>
      <c r="Y91" s="74">
        <f t="shared" si="19"/>
        <v>0</v>
      </c>
      <c r="Z91" s="74">
        <f t="shared" si="22"/>
        <v>0</v>
      </c>
      <c r="AA91" s="75">
        <f t="shared" si="20"/>
        <v>0</v>
      </c>
      <c r="AB91" s="75">
        <f t="shared" si="21"/>
        <v>0</v>
      </c>
    </row>
    <row r="92" spans="1:28">
      <c r="A92" s="123" t="s">
        <v>194</v>
      </c>
      <c r="B92" s="140" t="s">
        <v>710</v>
      </c>
      <c r="C92" s="140"/>
      <c r="D92" s="124" t="s">
        <v>195</v>
      </c>
      <c r="E92" s="125">
        <v>2300</v>
      </c>
      <c r="F92" s="125">
        <v>2300</v>
      </c>
      <c r="G92" s="120">
        <v>2</v>
      </c>
      <c r="H92" s="122">
        <v>0</v>
      </c>
      <c r="I92" s="122">
        <v>0</v>
      </c>
      <c r="J92" s="122">
        <v>0</v>
      </c>
      <c r="K92" s="120">
        <v>0</v>
      </c>
      <c r="L92" s="72">
        <f t="shared" si="12"/>
        <v>2</v>
      </c>
      <c r="M92" s="146">
        <v>2</v>
      </c>
      <c r="N92" s="72">
        <v>0</v>
      </c>
      <c r="O92" s="72">
        <v>0</v>
      </c>
      <c r="P92" s="72">
        <f t="shared" si="13"/>
        <v>2</v>
      </c>
      <c r="Q92" s="72">
        <f t="shared" si="14"/>
        <v>0</v>
      </c>
      <c r="R92" s="72"/>
      <c r="S92" s="56"/>
      <c r="T92" s="74">
        <f t="shared" si="15"/>
        <v>4600</v>
      </c>
      <c r="U92" s="74">
        <v>0</v>
      </c>
      <c r="V92" s="74">
        <f t="shared" si="16"/>
        <v>0</v>
      </c>
      <c r="W92" s="74">
        <f t="shared" si="17"/>
        <v>0</v>
      </c>
      <c r="X92" s="74">
        <f t="shared" si="18"/>
        <v>0</v>
      </c>
      <c r="Y92" s="74">
        <f t="shared" si="19"/>
        <v>0</v>
      </c>
      <c r="Z92" s="74">
        <f t="shared" si="22"/>
        <v>4600</v>
      </c>
      <c r="AA92" s="75">
        <f t="shared" si="20"/>
        <v>4600</v>
      </c>
      <c r="AB92" s="75">
        <f t="shared" si="21"/>
        <v>0</v>
      </c>
    </row>
    <row r="93" spans="1:28">
      <c r="A93" s="123" t="s">
        <v>196</v>
      </c>
      <c r="B93" s="140" t="s">
        <v>711</v>
      </c>
      <c r="C93" s="140"/>
      <c r="D93" s="124" t="s">
        <v>197</v>
      </c>
      <c r="E93" s="125">
        <v>1200</v>
      </c>
      <c r="F93" s="125">
        <v>1200</v>
      </c>
      <c r="G93" s="120">
        <v>1</v>
      </c>
      <c r="H93" s="122">
        <v>0</v>
      </c>
      <c r="I93" s="122">
        <v>0</v>
      </c>
      <c r="J93" s="122">
        <v>0</v>
      </c>
      <c r="K93" s="120">
        <v>0</v>
      </c>
      <c r="L93" s="72">
        <f t="shared" si="12"/>
        <v>1</v>
      </c>
      <c r="M93" s="146">
        <v>1</v>
      </c>
      <c r="N93" s="72">
        <v>0</v>
      </c>
      <c r="O93" s="72">
        <v>0</v>
      </c>
      <c r="P93" s="72">
        <f t="shared" si="13"/>
        <v>1</v>
      </c>
      <c r="Q93" s="72">
        <f t="shared" si="14"/>
        <v>0</v>
      </c>
      <c r="R93" s="72"/>
      <c r="S93" s="56"/>
      <c r="T93" s="74">
        <f t="shared" si="15"/>
        <v>1200</v>
      </c>
      <c r="U93" s="74">
        <v>0</v>
      </c>
      <c r="V93" s="74">
        <f t="shared" si="16"/>
        <v>0</v>
      </c>
      <c r="W93" s="74">
        <f t="shared" si="17"/>
        <v>0</v>
      </c>
      <c r="X93" s="74">
        <f t="shared" si="18"/>
        <v>0</v>
      </c>
      <c r="Y93" s="74">
        <f t="shared" si="19"/>
        <v>0</v>
      </c>
      <c r="Z93" s="74">
        <f t="shared" si="22"/>
        <v>1200</v>
      </c>
      <c r="AA93" s="75">
        <f t="shared" si="20"/>
        <v>1200</v>
      </c>
      <c r="AB93" s="75">
        <f t="shared" si="21"/>
        <v>0</v>
      </c>
    </row>
    <row r="94" spans="1:28" s="151" customFormat="1" ht="22.5">
      <c r="A94" s="143" t="s">
        <v>198</v>
      </c>
      <c r="B94" s="152" t="s">
        <v>770</v>
      </c>
      <c r="C94" s="152"/>
      <c r="D94" s="144" t="s">
        <v>199</v>
      </c>
      <c r="E94" s="145">
        <v>4600</v>
      </c>
      <c r="F94" s="145">
        <v>4600</v>
      </c>
      <c r="G94" s="146">
        <v>7</v>
      </c>
      <c r="H94" s="147">
        <v>0</v>
      </c>
      <c r="I94" s="147">
        <v>0</v>
      </c>
      <c r="J94" s="147">
        <v>0</v>
      </c>
      <c r="K94" s="146">
        <v>7</v>
      </c>
      <c r="L94" s="146">
        <f t="shared" si="12"/>
        <v>0</v>
      </c>
      <c r="M94" s="146">
        <v>0</v>
      </c>
      <c r="N94" s="146">
        <v>0</v>
      </c>
      <c r="O94" s="146">
        <v>0</v>
      </c>
      <c r="P94" s="146">
        <f t="shared" si="13"/>
        <v>0</v>
      </c>
      <c r="Q94" s="146">
        <f t="shared" si="14"/>
        <v>0</v>
      </c>
      <c r="R94" s="146"/>
      <c r="S94" s="148"/>
      <c r="T94" s="170">
        <f t="shared" si="15"/>
        <v>32200</v>
      </c>
      <c r="U94" s="149">
        <v>0</v>
      </c>
      <c r="V94" s="149">
        <f t="shared" si="16"/>
        <v>0</v>
      </c>
      <c r="W94" s="149">
        <f t="shared" si="17"/>
        <v>0</v>
      </c>
      <c r="X94" s="149">
        <f t="shared" si="18"/>
        <v>0</v>
      </c>
      <c r="Y94" s="149">
        <f t="shared" si="19"/>
        <v>32200</v>
      </c>
      <c r="Z94" s="149">
        <f t="shared" si="22"/>
        <v>0</v>
      </c>
      <c r="AA94" s="150">
        <f t="shared" si="20"/>
        <v>0</v>
      </c>
      <c r="AB94" s="150">
        <f t="shared" si="21"/>
        <v>0</v>
      </c>
    </row>
    <row r="95" spans="1:28" s="151" customFormat="1" ht="22.5">
      <c r="A95" s="143"/>
      <c r="B95" s="152" t="s">
        <v>771</v>
      </c>
      <c r="C95" s="152"/>
      <c r="D95" s="144" t="s">
        <v>199</v>
      </c>
      <c r="E95" s="145">
        <v>0</v>
      </c>
      <c r="F95" s="145">
        <v>3577.78</v>
      </c>
      <c r="G95" s="146">
        <v>0</v>
      </c>
      <c r="H95" s="147">
        <v>0</v>
      </c>
      <c r="I95" s="147">
        <f>7+2</f>
        <v>9</v>
      </c>
      <c r="J95" s="147">
        <v>0</v>
      </c>
      <c r="K95" s="146">
        <v>0</v>
      </c>
      <c r="L95" s="146">
        <f t="shared" ref="L95" si="23">G95+H95+I95-J95-K95</f>
        <v>9</v>
      </c>
      <c r="M95" s="146">
        <v>9</v>
      </c>
      <c r="N95" s="146">
        <v>0</v>
      </c>
      <c r="O95" s="146">
        <v>0</v>
      </c>
      <c r="P95" s="146">
        <f t="shared" ref="P95" si="24">M95+N95+O95</f>
        <v>9</v>
      </c>
      <c r="Q95" s="146">
        <f t="shared" si="14"/>
        <v>0</v>
      </c>
      <c r="R95" s="146"/>
      <c r="S95" s="148"/>
      <c r="T95" s="149">
        <f t="shared" si="15"/>
        <v>0</v>
      </c>
      <c r="U95" s="149">
        <v>0</v>
      </c>
      <c r="V95" s="149">
        <f t="shared" si="16"/>
        <v>0</v>
      </c>
      <c r="W95" s="170">
        <f t="shared" si="17"/>
        <v>32200.02</v>
      </c>
      <c r="X95" s="149">
        <f t="shared" si="18"/>
        <v>0</v>
      </c>
      <c r="Y95" s="149">
        <f t="shared" si="19"/>
        <v>0</v>
      </c>
      <c r="Z95" s="149">
        <f t="shared" si="22"/>
        <v>32200.02</v>
      </c>
      <c r="AA95" s="150">
        <f t="shared" si="20"/>
        <v>32200.02</v>
      </c>
      <c r="AB95" s="150">
        <f t="shared" si="21"/>
        <v>0</v>
      </c>
    </row>
    <row r="96" spans="1:28" ht="22.5">
      <c r="A96" s="123" t="s">
        <v>200</v>
      </c>
      <c r="B96" s="140" t="s">
        <v>753</v>
      </c>
      <c r="C96" s="140"/>
      <c r="D96" s="124" t="s">
        <v>201</v>
      </c>
      <c r="E96" s="125">
        <v>820</v>
      </c>
      <c r="F96" s="125">
        <v>820</v>
      </c>
      <c r="G96" s="120">
        <v>2</v>
      </c>
      <c r="H96" s="122">
        <v>0</v>
      </c>
      <c r="I96" s="122">
        <v>0</v>
      </c>
      <c r="J96" s="122">
        <v>0</v>
      </c>
      <c r="K96" s="120">
        <v>0</v>
      </c>
      <c r="L96" s="72">
        <f t="shared" si="12"/>
        <v>2</v>
      </c>
      <c r="M96" s="146">
        <v>2</v>
      </c>
      <c r="N96" s="72">
        <v>0</v>
      </c>
      <c r="O96" s="72">
        <v>0</v>
      </c>
      <c r="P96" s="72">
        <f t="shared" si="13"/>
        <v>2</v>
      </c>
      <c r="Q96" s="72">
        <f t="shared" si="14"/>
        <v>0</v>
      </c>
      <c r="R96" s="72"/>
      <c r="S96" s="56"/>
      <c r="T96" s="74">
        <f t="shared" si="15"/>
        <v>1640</v>
      </c>
      <c r="U96" s="74">
        <v>0</v>
      </c>
      <c r="V96" s="74">
        <f t="shared" si="16"/>
        <v>0</v>
      </c>
      <c r="W96" s="74">
        <f t="shared" si="17"/>
        <v>0</v>
      </c>
      <c r="X96" s="74">
        <f t="shared" si="18"/>
        <v>0</v>
      </c>
      <c r="Y96" s="74">
        <f t="shared" si="19"/>
        <v>0</v>
      </c>
      <c r="Z96" s="74">
        <f t="shared" si="22"/>
        <v>1640</v>
      </c>
      <c r="AA96" s="75">
        <f t="shared" si="20"/>
        <v>1640</v>
      </c>
      <c r="AB96" s="75">
        <f t="shared" si="21"/>
        <v>0</v>
      </c>
    </row>
    <row r="97" spans="1:29" s="165" customFormat="1">
      <c r="A97" s="159" t="s">
        <v>202</v>
      </c>
      <c r="B97" s="159"/>
      <c r="C97" s="159"/>
      <c r="D97" s="144" t="s">
        <v>203</v>
      </c>
      <c r="E97" s="145">
        <v>5735</v>
      </c>
      <c r="F97" s="145">
        <v>5735</v>
      </c>
      <c r="G97" s="160">
        <v>1</v>
      </c>
      <c r="H97" s="161">
        <v>0</v>
      </c>
      <c r="I97" s="161">
        <v>0</v>
      </c>
      <c r="J97" s="161">
        <v>0</v>
      </c>
      <c r="K97" s="160">
        <v>1</v>
      </c>
      <c r="L97" s="160">
        <f t="shared" si="12"/>
        <v>0</v>
      </c>
      <c r="M97" s="146">
        <v>0</v>
      </c>
      <c r="N97" s="146">
        <v>0</v>
      </c>
      <c r="O97" s="146">
        <v>0</v>
      </c>
      <c r="P97" s="146">
        <f t="shared" si="13"/>
        <v>0</v>
      </c>
      <c r="Q97" s="146">
        <f t="shared" si="14"/>
        <v>0</v>
      </c>
      <c r="R97" s="146"/>
      <c r="S97" s="148"/>
      <c r="T97" s="149">
        <f t="shared" si="15"/>
        <v>5735</v>
      </c>
      <c r="U97" s="149">
        <v>0</v>
      </c>
      <c r="V97" s="149">
        <f t="shared" si="16"/>
        <v>0</v>
      </c>
      <c r="W97" s="149">
        <f t="shared" si="17"/>
        <v>0</v>
      </c>
      <c r="X97" s="149">
        <f t="shared" si="18"/>
        <v>0</v>
      </c>
      <c r="Y97" s="171">
        <f t="shared" si="19"/>
        <v>5735</v>
      </c>
      <c r="Z97" s="149">
        <f t="shared" si="22"/>
        <v>0</v>
      </c>
      <c r="AA97" s="150">
        <f t="shared" si="20"/>
        <v>0</v>
      </c>
      <c r="AB97" s="150">
        <f t="shared" si="21"/>
        <v>0</v>
      </c>
    </row>
    <row r="98" spans="1:29" s="151" customFormat="1">
      <c r="A98" s="143"/>
      <c r="B98" s="143"/>
      <c r="C98" s="143"/>
      <c r="D98" s="144" t="s">
        <v>774</v>
      </c>
      <c r="E98" s="145"/>
      <c r="F98" s="145">
        <f>5735/2</f>
        <v>2867.5</v>
      </c>
      <c r="G98" s="146">
        <v>0</v>
      </c>
      <c r="H98" s="147">
        <v>0</v>
      </c>
      <c r="I98" s="147">
        <v>2</v>
      </c>
      <c r="J98" s="147">
        <v>0</v>
      </c>
      <c r="K98" s="146">
        <v>0</v>
      </c>
      <c r="L98" s="146">
        <f t="shared" si="12"/>
        <v>2</v>
      </c>
      <c r="M98" s="146">
        <v>2</v>
      </c>
      <c r="N98" s="146">
        <v>0</v>
      </c>
      <c r="O98" s="146">
        <v>0</v>
      </c>
      <c r="P98" s="146">
        <f t="shared" ref="P98" si="25">M98+N98+O98</f>
        <v>2</v>
      </c>
      <c r="Q98" s="146">
        <f t="shared" si="14"/>
        <v>0</v>
      </c>
      <c r="R98" s="146"/>
      <c r="S98" s="148"/>
      <c r="T98" s="149">
        <f t="shared" si="15"/>
        <v>0</v>
      </c>
      <c r="U98" s="149">
        <v>0</v>
      </c>
      <c r="V98" s="149">
        <f t="shared" si="16"/>
        <v>0</v>
      </c>
      <c r="W98" s="171">
        <f t="shared" si="17"/>
        <v>5735</v>
      </c>
      <c r="X98" s="149">
        <f t="shared" si="18"/>
        <v>0</v>
      </c>
      <c r="Y98" s="149">
        <f t="shared" si="19"/>
        <v>0</v>
      </c>
      <c r="Z98" s="149">
        <f t="shared" si="22"/>
        <v>5735</v>
      </c>
      <c r="AA98" s="150"/>
      <c r="AB98" s="150"/>
      <c r="AC98" s="166" t="s">
        <v>775</v>
      </c>
    </row>
    <row r="99" spans="1:29">
      <c r="A99" s="123" t="s">
        <v>204</v>
      </c>
      <c r="B99" s="69"/>
      <c r="C99" s="69"/>
      <c r="D99" s="124" t="s">
        <v>205</v>
      </c>
      <c r="E99" s="125">
        <v>150.36000000000001</v>
      </c>
      <c r="F99" s="125">
        <v>150.36000000000001</v>
      </c>
      <c r="G99" s="120">
        <v>2</v>
      </c>
      <c r="H99" s="122">
        <v>0</v>
      </c>
      <c r="I99" s="122">
        <v>0</v>
      </c>
      <c r="J99" s="122">
        <v>0</v>
      </c>
      <c r="K99" s="120">
        <v>0</v>
      </c>
      <c r="L99" s="72">
        <f t="shared" si="12"/>
        <v>2</v>
      </c>
      <c r="M99" s="146">
        <v>2</v>
      </c>
      <c r="N99" s="72">
        <v>0</v>
      </c>
      <c r="O99" s="72">
        <v>0</v>
      </c>
      <c r="P99" s="72">
        <f t="shared" si="13"/>
        <v>2</v>
      </c>
      <c r="Q99" s="72">
        <f t="shared" si="14"/>
        <v>0</v>
      </c>
      <c r="R99" s="72"/>
      <c r="S99" s="56"/>
      <c r="T99" s="74">
        <f t="shared" si="15"/>
        <v>300.72000000000003</v>
      </c>
      <c r="U99" s="74">
        <v>0</v>
      </c>
      <c r="V99" s="74">
        <f t="shared" si="16"/>
        <v>0</v>
      </c>
      <c r="W99" s="74">
        <f t="shared" si="17"/>
        <v>0</v>
      </c>
      <c r="X99" s="74">
        <f t="shared" si="18"/>
        <v>0</v>
      </c>
      <c r="Y99" s="74">
        <f t="shared" si="19"/>
        <v>0</v>
      </c>
      <c r="Z99" s="74">
        <f t="shared" si="22"/>
        <v>300.72000000000003</v>
      </c>
      <c r="AA99" s="75">
        <f t="shared" ref="AA99:AA162" si="26">L99*F99</f>
        <v>300.72000000000003</v>
      </c>
      <c r="AB99" s="75">
        <f t="shared" si="21"/>
        <v>0</v>
      </c>
    </row>
    <row r="100" spans="1:29">
      <c r="A100" s="123" t="s">
        <v>206</v>
      </c>
      <c r="B100" s="69"/>
      <c r="C100" s="69"/>
      <c r="D100" s="124" t="s">
        <v>207</v>
      </c>
      <c r="E100" s="125">
        <v>680</v>
      </c>
      <c r="F100" s="125">
        <v>680</v>
      </c>
      <c r="G100" s="120">
        <v>2</v>
      </c>
      <c r="H100" s="122">
        <v>0</v>
      </c>
      <c r="I100" s="122">
        <v>0</v>
      </c>
      <c r="J100" s="122">
        <v>0</v>
      </c>
      <c r="K100" s="120">
        <v>0</v>
      </c>
      <c r="L100" s="72">
        <f t="shared" si="12"/>
        <v>2</v>
      </c>
      <c r="M100" s="146">
        <v>2</v>
      </c>
      <c r="N100" s="72">
        <v>0</v>
      </c>
      <c r="O100" s="72">
        <v>0</v>
      </c>
      <c r="P100" s="72">
        <f t="shared" si="13"/>
        <v>2</v>
      </c>
      <c r="Q100" s="72">
        <f t="shared" si="14"/>
        <v>0</v>
      </c>
      <c r="R100" s="72"/>
      <c r="S100" s="56"/>
      <c r="T100" s="74">
        <f t="shared" si="15"/>
        <v>1360</v>
      </c>
      <c r="U100" s="74">
        <v>0</v>
      </c>
      <c r="V100" s="74">
        <f t="shared" si="16"/>
        <v>0</v>
      </c>
      <c r="W100" s="74">
        <f t="shared" si="17"/>
        <v>0</v>
      </c>
      <c r="X100" s="74">
        <f t="shared" si="18"/>
        <v>0</v>
      </c>
      <c r="Y100" s="74">
        <f t="shared" si="19"/>
        <v>0</v>
      </c>
      <c r="Z100" s="74">
        <f t="shared" si="22"/>
        <v>1360</v>
      </c>
      <c r="AA100" s="75">
        <f t="shared" si="26"/>
        <v>1360</v>
      </c>
      <c r="AB100" s="75">
        <f t="shared" si="21"/>
        <v>0</v>
      </c>
    </row>
    <row r="101" spans="1:29">
      <c r="A101" s="123" t="s">
        <v>208</v>
      </c>
      <c r="B101" s="69"/>
      <c r="C101" s="69"/>
      <c r="D101" s="124" t="s">
        <v>209</v>
      </c>
      <c r="E101" s="125">
        <v>374.22</v>
      </c>
      <c r="F101" s="125">
        <v>374.22</v>
      </c>
      <c r="G101" s="120">
        <v>3</v>
      </c>
      <c r="H101" s="122">
        <v>0</v>
      </c>
      <c r="I101" s="122">
        <v>0</v>
      </c>
      <c r="J101" s="122">
        <v>0</v>
      </c>
      <c r="K101" s="120">
        <v>0</v>
      </c>
      <c r="L101" s="72">
        <f t="shared" si="12"/>
        <v>3</v>
      </c>
      <c r="M101" s="146">
        <v>3</v>
      </c>
      <c r="N101" s="72">
        <v>0</v>
      </c>
      <c r="O101" s="72">
        <v>0</v>
      </c>
      <c r="P101" s="72">
        <f t="shared" si="13"/>
        <v>3</v>
      </c>
      <c r="Q101" s="72">
        <f t="shared" si="14"/>
        <v>0</v>
      </c>
      <c r="R101" s="72"/>
      <c r="S101" s="56"/>
      <c r="T101" s="74">
        <f t="shared" si="15"/>
        <v>1122.6600000000001</v>
      </c>
      <c r="U101" s="74">
        <v>0</v>
      </c>
      <c r="V101" s="74">
        <f t="shared" si="16"/>
        <v>0</v>
      </c>
      <c r="W101" s="74">
        <f t="shared" si="17"/>
        <v>0</v>
      </c>
      <c r="X101" s="74">
        <f t="shared" si="18"/>
        <v>0</v>
      </c>
      <c r="Y101" s="74">
        <f t="shared" si="19"/>
        <v>0</v>
      </c>
      <c r="Z101" s="74">
        <f t="shared" si="22"/>
        <v>1122.6600000000001</v>
      </c>
      <c r="AA101" s="75">
        <f t="shared" si="26"/>
        <v>1122.6600000000001</v>
      </c>
      <c r="AB101" s="75">
        <f t="shared" si="21"/>
        <v>0</v>
      </c>
    </row>
    <row r="102" spans="1:29" ht="24">
      <c r="A102" s="123" t="s">
        <v>210</v>
      </c>
      <c r="B102" s="69"/>
      <c r="C102" s="69"/>
      <c r="D102" s="124" t="s">
        <v>211</v>
      </c>
      <c r="E102" s="125">
        <v>1020</v>
      </c>
      <c r="F102" s="125">
        <v>1020</v>
      </c>
      <c r="G102" s="120">
        <v>1</v>
      </c>
      <c r="H102" s="122">
        <v>0</v>
      </c>
      <c r="I102" s="122">
        <v>0</v>
      </c>
      <c r="J102" s="122">
        <v>0</v>
      </c>
      <c r="K102" s="120">
        <v>0</v>
      </c>
      <c r="L102" s="72">
        <f t="shared" si="12"/>
        <v>1</v>
      </c>
      <c r="M102" s="146">
        <v>1</v>
      </c>
      <c r="N102" s="72">
        <v>0</v>
      </c>
      <c r="O102" s="72">
        <v>0</v>
      </c>
      <c r="P102" s="72">
        <f t="shared" si="13"/>
        <v>1</v>
      </c>
      <c r="Q102" s="72">
        <f t="shared" si="14"/>
        <v>0</v>
      </c>
      <c r="R102" s="72"/>
      <c r="S102" s="56"/>
      <c r="T102" s="74">
        <f t="shared" si="15"/>
        <v>1020</v>
      </c>
      <c r="U102" s="74">
        <v>0</v>
      </c>
      <c r="V102" s="74">
        <f t="shared" si="16"/>
        <v>0</v>
      </c>
      <c r="W102" s="74">
        <f t="shared" si="17"/>
        <v>0</v>
      </c>
      <c r="X102" s="74">
        <f t="shared" si="18"/>
        <v>0</v>
      </c>
      <c r="Y102" s="74">
        <f t="shared" si="19"/>
        <v>0</v>
      </c>
      <c r="Z102" s="74">
        <f t="shared" si="22"/>
        <v>1020</v>
      </c>
      <c r="AA102" s="75">
        <f t="shared" si="26"/>
        <v>1020</v>
      </c>
      <c r="AB102" s="75">
        <f t="shared" si="21"/>
        <v>0</v>
      </c>
    </row>
    <row r="103" spans="1:29" ht="24">
      <c r="A103" s="123" t="s">
        <v>212</v>
      </c>
      <c r="B103" s="69"/>
      <c r="C103" s="69"/>
      <c r="D103" s="124" t="s">
        <v>213</v>
      </c>
      <c r="E103" s="125">
        <v>360</v>
      </c>
      <c r="F103" s="125">
        <v>360</v>
      </c>
      <c r="G103" s="120">
        <v>3</v>
      </c>
      <c r="H103" s="122">
        <v>0</v>
      </c>
      <c r="I103" s="122">
        <v>0</v>
      </c>
      <c r="J103" s="122">
        <v>0</v>
      </c>
      <c r="K103" s="120">
        <v>0</v>
      </c>
      <c r="L103" s="72">
        <f t="shared" si="12"/>
        <v>3</v>
      </c>
      <c r="M103" s="146">
        <v>3</v>
      </c>
      <c r="N103" s="72">
        <v>0</v>
      </c>
      <c r="O103" s="72">
        <v>0</v>
      </c>
      <c r="P103" s="72">
        <f t="shared" si="13"/>
        <v>3</v>
      </c>
      <c r="Q103" s="72">
        <f t="shared" si="14"/>
        <v>0</v>
      </c>
      <c r="R103" s="72"/>
      <c r="S103" s="56"/>
      <c r="T103" s="74">
        <f t="shared" si="15"/>
        <v>1080</v>
      </c>
      <c r="U103" s="74">
        <v>0</v>
      </c>
      <c r="V103" s="74">
        <f t="shared" si="16"/>
        <v>0</v>
      </c>
      <c r="W103" s="74">
        <f t="shared" si="17"/>
        <v>0</v>
      </c>
      <c r="X103" s="74">
        <f t="shared" si="18"/>
        <v>0</v>
      </c>
      <c r="Y103" s="74">
        <f t="shared" si="19"/>
        <v>0</v>
      </c>
      <c r="Z103" s="74">
        <f t="shared" si="22"/>
        <v>1080</v>
      </c>
      <c r="AA103" s="75">
        <f t="shared" si="26"/>
        <v>1080</v>
      </c>
      <c r="AB103" s="75">
        <f t="shared" si="21"/>
        <v>0</v>
      </c>
    </row>
    <row r="104" spans="1:29">
      <c r="A104" s="123" t="s">
        <v>214</v>
      </c>
      <c r="B104" s="69"/>
      <c r="C104" s="69"/>
      <c r="D104" s="124" t="s">
        <v>215</v>
      </c>
      <c r="E104" s="125">
        <v>1100</v>
      </c>
      <c r="F104" s="125">
        <v>1100</v>
      </c>
      <c r="G104" s="120">
        <v>1</v>
      </c>
      <c r="H104" s="122">
        <v>0</v>
      </c>
      <c r="I104" s="122">
        <v>0</v>
      </c>
      <c r="J104" s="122">
        <v>0</v>
      </c>
      <c r="K104" s="120">
        <v>0</v>
      </c>
      <c r="L104" s="72">
        <f t="shared" si="12"/>
        <v>1</v>
      </c>
      <c r="M104" s="146">
        <v>1</v>
      </c>
      <c r="N104" s="72">
        <v>0</v>
      </c>
      <c r="O104" s="72">
        <v>0</v>
      </c>
      <c r="P104" s="72">
        <f t="shared" si="13"/>
        <v>1</v>
      </c>
      <c r="Q104" s="72">
        <f t="shared" si="14"/>
        <v>0</v>
      </c>
      <c r="R104" s="72"/>
      <c r="S104" s="56"/>
      <c r="T104" s="74">
        <f t="shared" si="15"/>
        <v>1100</v>
      </c>
      <c r="U104" s="74">
        <v>0</v>
      </c>
      <c r="V104" s="74">
        <f t="shared" si="16"/>
        <v>0</v>
      </c>
      <c r="W104" s="74">
        <f t="shared" si="17"/>
        <v>0</v>
      </c>
      <c r="X104" s="74">
        <f t="shared" si="18"/>
        <v>0</v>
      </c>
      <c r="Y104" s="74">
        <f t="shared" si="19"/>
        <v>0</v>
      </c>
      <c r="Z104" s="74">
        <f t="shared" si="22"/>
        <v>1100</v>
      </c>
      <c r="AA104" s="75">
        <f t="shared" si="26"/>
        <v>1100</v>
      </c>
      <c r="AB104" s="75">
        <f t="shared" si="21"/>
        <v>0</v>
      </c>
    </row>
    <row r="105" spans="1:29">
      <c r="A105" s="123" t="s">
        <v>216</v>
      </c>
      <c r="B105" s="69"/>
      <c r="C105" s="69"/>
      <c r="D105" s="124" t="s">
        <v>217</v>
      </c>
      <c r="E105" s="125">
        <v>498.85</v>
      </c>
      <c r="F105" s="125">
        <v>498.85</v>
      </c>
      <c r="G105" s="120">
        <v>0</v>
      </c>
      <c r="H105" s="122">
        <v>0</v>
      </c>
      <c r="I105" s="122">
        <v>0</v>
      </c>
      <c r="J105" s="122">
        <v>0</v>
      </c>
      <c r="K105" s="120">
        <v>0</v>
      </c>
      <c r="L105" s="72">
        <f t="shared" si="12"/>
        <v>0</v>
      </c>
      <c r="M105" s="146">
        <v>0</v>
      </c>
      <c r="N105" s="72">
        <v>0</v>
      </c>
      <c r="O105" s="72">
        <v>0</v>
      </c>
      <c r="P105" s="72">
        <f t="shared" si="13"/>
        <v>0</v>
      </c>
      <c r="Q105" s="72">
        <f t="shared" si="14"/>
        <v>0</v>
      </c>
      <c r="R105" s="72"/>
      <c r="S105" s="56"/>
      <c r="T105" s="74">
        <f t="shared" si="15"/>
        <v>0</v>
      </c>
      <c r="U105" s="74">
        <v>0</v>
      </c>
      <c r="V105" s="74">
        <f t="shared" si="16"/>
        <v>0</v>
      </c>
      <c r="W105" s="74">
        <f t="shared" si="17"/>
        <v>0</v>
      </c>
      <c r="X105" s="74">
        <f t="shared" si="18"/>
        <v>0</v>
      </c>
      <c r="Y105" s="74">
        <f t="shared" si="19"/>
        <v>0</v>
      </c>
      <c r="Z105" s="74">
        <f t="shared" si="22"/>
        <v>0</v>
      </c>
      <c r="AA105" s="75">
        <f t="shared" si="26"/>
        <v>0</v>
      </c>
      <c r="AB105" s="75">
        <f t="shared" si="21"/>
        <v>0</v>
      </c>
    </row>
    <row r="106" spans="1:29">
      <c r="A106" s="123" t="s">
        <v>218</v>
      </c>
      <c r="B106" s="69"/>
      <c r="C106" s="69"/>
      <c r="D106" s="124" t="s">
        <v>219</v>
      </c>
      <c r="E106" s="125">
        <v>480.5</v>
      </c>
      <c r="F106" s="125">
        <v>480.5</v>
      </c>
      <c r="G106" s="120">
        <v>1</v>
      </c>
      <c r="H106" s="122">
        <v>0</v>
      </c>
      <c r="I106" s="122">
        <v>0</v>
      </c>
      <c r="J106" s="122">
        <v>0</v>
      </c>
      <c r="K106" s="120">
        <v>0</v>
      </c>
      <c r="L106" s="72">
        <f t="shared" si="12"/>
        <v>1</v>
      </c>
      <c r="M106" s="146">
        <v>1</v>
      </c>
      <c r="N106" s="72">
        <v>0</v>
      </c>
      <c r="O106" s="72">
        <v>0</v>
      </c>
      <c r="P106" s="72">
        <f t="shared" si="13"/>
        <v>1</v>
      </c>
      <c r="Q106" s="72">
        <f t="shared" si="14"/>
        <v>0</v>
      </c>
      <c r="R106" s="72"/>
      <c r="S106" s="56"/>
      <c r="T106" s="74">
        <f t="shared" si="15"/>
        <v>480.5</v>
      </c>
      <c r="U106" s="74">
        <v>0</v>
      </c>
      <c r="V106" s="74">
        <f t="shared" si="16"/>
        <v>0</v>
      </c>
      <c r="W106" s="74">
        <f t="shared" si="17"/>
        <v>0</v>
      </c>
      <c r="X106" s="74">
        <f t="shared" si="18"/>
        <v>0</v>
      </c>
      <c r="Y106" s="74">
        <f t="shared" si="19"/>
        <v>0</v>
      </c>
      <c r="Z106" s="74">
        <f t="shared" si="22"/>
        <v>480.5</v>
      </c>
      <c r="AA106" s="75">
        <f t="shared" si="26"/>
        <v>480.5</v>
      </c>
      <c r="AB106" s="75">
        <f t="shared" si="21"/>
        <v>0</v>
      </c>
    </row>
    <row r="107" spans="1:29" s="157" customFormat="1">
      <c r="A107" s="154" t="s">
        <v>220</v>
      </c>
      <c r="B107" s="158"/>
      <c r="C107" s="158"/>
      <c r="D107" s="126" t="s">
        <v>221</v>
      </c>
      <c r="E107" s="127">
        <v>670</v>
      </c>
      <c r="F107" s="127">
        <v>670</v>
      </c>
      <c r="G107" s="156">
        <v>1</v>
      </c>
      <c r="H107" s="155">
        <v>0</v>
      </c>
      <c r="I107" s="155">
        <v>0</v>
      </c>
      <c r="J107" s="155">
        <v>0</v>
      </c>
      <c r="K107" s="162">
        <v>1</v>
      </c>
      <c r="L107" s="156">
        <f t="shared" si="12"/>
        <v>0</v>
      </c>
      <c r="M107" s="146">
        <v>0</v>
      </c>
      <c r="N107" s="128">
        <v>0</v>
      </c>
      <c r="O107" s="130"/>
      <c r="P107" s="128">
        <f t="shared" si="13"/>
        <v>0</v>
      </c>
      <c r="Q107" s="128">
        <f t="shared" si="14"/>
        <v>0</v>
      </c>
      <c r="R107" s="128"/>
      <c r="S107" s="56"/>
      <c r="T107" s="74">
        <f t="shared" si="15"/>
        <v>670</v>
      </c>
      <c r="U107" s="74">
        <v>0</v>
      </c>
      <c r="V107" s="74">
        <f t="shared" si="16"/>
        <v>0</v>
      </c>
      <c r="W107" s="74">
        <f t="shared" si="17"/>
        <v>0</v>
      </c>
      <c r="X107" s="74">
        <f t="shared" si="18"/>
        <v>0</v>
      </c>
      <c r="Y107" s="74">
        <f t="shared" si="19"/>
        <v>670</v>
      </c>
      <c r="Z107" s="74">
        <f t="shared" si="22"/>
        <v>0</v>
      </c>
      <c r="AA107" s="75">
        <f t="shared" si="26"/>
        <v>0</v>
      </c>
      <c r="AB107" s="75">
        <f t="shared" si="21"/>
        <v>0</v>
      </c>
    </row>
    <row r="108" spans="1:29">
      <c r="A108" s="123" t="s">
        <v>222</v>
      </c>
      <c r="B108" s="140" t="s">
        <v>712</v>
      </c>
      <c r="C108" s="140"/>
      <c r="D108" s="124" t="s">
        <v>808</v>
      </c>
      <c r="E108" s="125">
        <v>775</v>
      </c>
      <c r="F108" s="125">
        <v>775</v>
      </c>
      <c r="G108" s="120">
        <v>2</v>
      </c>
      <c r="H108" s="122">
        <v>0</v>
      </c>
      <c r="I108" s="122">
        <v>0</v>
      </c>
      <c r="J108" s="122">
        <v>0</v>
      </c>
      <c r="K108" s="120">
        <v>0</v>
      </c>
      <c r="L108" s="72">
        <f t="shared" si="12"/>
        <v>2</v>
      </c>
      <c r="M108" s="146">
        <v>2</v>
      </c>
      <c r="N108" s="72">
        <v>0</v>
      </c>
      <c r="O108" s="72">
        <v>0</v>
      </c>
      <c r="P108" s="72">
        <f t="shared" si="13"/>
        <v>2</v>
      </c>
      <c r="Q108" s="72">
        <f t="shared" si="14"/>
        <v>0</v>
      </c>
      <c r="R108" s="72"/>
      <c r="S108" s="56"/>
      <c r="T108" s="74">
        <f t="shared" si="15"/>
        <v>1550</v>
      </c>
      <c r="U108" s="74">
        <v>0</v>
      </c>
      <c r="V108" s="74">
        <f t="shared" si="16"/>
        <v>0</v>
      </c>
      <c r="W108" s="74">
        <f t="shared" si="17"/>
        <v>0</v>
      </c>
      <c r="X108" s="74">
        <f t="shared" si="18"/>
        <v>0</v>
      </c>
      <c r="Y108" s="74">
        <f t="shared" si="19"/>
        <v>0</v>
      </c>
      <c r="Z108" s="74">
        <f t="shared" si="22"/>
        <v>1550</v>
      </c>
      <c r="AA108" s="75">
        <f t="shared" si="26"/>
        <v>1550</v>
      </c>
      <c r="AB108" s="75">
        <f t="shared" si="21"/>
        <v>0</v>
      </c>
    </row>
    <row r="109" spans="1:29" ht="24">
      <c r="A109" s="123" t="s">
        <v>224</v>
      </c>
      <c r="B109" s="69"/>
      <c r="C109" s="69"/>
      <c r="D109" s="124" t="s">
        <v>225</v>
      </c>
      <c r="E109" s="125">
        <v>1320</v>
      </c>
      <c r="F109" s="125">
        <v>1320</v>
      </c>
      <c r="G109" s="120">
        <v>1</v>
      </c>
      <c r="H109" s="122">
        <v>0</v>
      </c>
      <c r="I109" s="122">
        <v>0</v>
      </c>
      <c r="J109" s="122">
        <v>0</v>
      </c>
      <c r="K109" s="120">
        <v>0</v>
      </c>
      <c r="L109" s="72">
        <f t="shared" si="12"/>
        <v>1</v>
      </c>
      <c r="M109" s="146">
        <v>1</v>
      </c>
      <c r="N109" s="72">
        <v>0</v>
      </c>
      <c r="O109" s="72">
        <v>0</v>
      </c>
      <c r="P109" s="72">
        <f t="shared" si="13"/>
        <v>1</v>
      </c>
      <c r="Q109" s="72">
        <f t="shared" si="14"/>
        <v>0</v>
      </c>
      <c r="R109" s="72"/>
      <c r="S109" s="56"/>
      <c r="T109" s="74">
        <f t="shared" si="15"/>
        <v>1320</v>
      </c>
      <c r="U109" s="74">
        <v>0</v>
      </c>
      <c r="V109" s="74">
        <f t="shared" si="16"/>
        <v>0</v>
      </c>
      <c r="W109" s="74">
        <f t="shared" si="17"/>
        <v>0</v>
      </c>
      <c r="X109" s="74">
        <f t="shared" si="18"/>
        <v>0</v>
      </c>
      <c r="Y109" s="74">
        <f t="shared" si="19"/>
        <v>0</v>
      </c>
      <c r="Z109" s="74">
        <f t="shared" si="22"/>
        <v>1320</v>
      </c>
      <c r="AA109" s="75">
        <f t="shared" si="26"/>
        <v>1320</v>
      </c>
      <c r="AB109" s="75">
        <f t="shared" si="21"/>
        <v>0</v>
      </c>
    </row>
    <row r="110" spans="1:29" ht="22.5">
      <c r="A110" s="123" t="s">
        <v>226</v>
      </c>
      <c r="B110" s="140" t="s">
        <v>755</v>
      </c>
      <c r="C110" s="140"/>
      <c r="D110" s="124" t="s">
        <v>227</v>
      </c>
      <c r="E110" s="125">
        <v>2400</v>
      </c>
      <c r="F110" s="125">
        <v>2400</v>
      </c>
      <c r="G110" s="120">
        <v>3</v>
      </c>
      <c r="H110" s="122">
        <v>0</v>
      </c>
      <c r="I110" s="122">
        <v>0</v>
      </c>
      <c r="J110" s="122">
        <v>0</v>
      </c>
      <c r="K110" s="120">
        <v>0</v>
      </c>
      <c r="L110" s="72">
        <f t="shared" si="12"/>
        <v>3</v>
      </c>
      <c r="M110" s="146">
        <v>3</v>
      </c>
      <c r="N110" s="72">
        <v>0</v>
      </c>
      <c r="O110" s="72">
        <v>0</v>
      </c>
      <c r="P110" s="72">
        <f t="shared" si="13"/>
        <v>3</v>
      </c>
      <c r="Q110" s="72">
        <f t="shared" si="14"/>
        <v>0</v>
      </c>
      <c r="R110" s="72"/>
      <c r="S110" s="56"/>
      <c r="T110" s="74">
        <f t="shared" si="15"/>
        <v>7200</v>
      </c>
      <c r="U110" s="74">
        <v>0</v>
      </c>
      <c r="V110" s="74">
        <f t="shared" si="16"/>
        <v>0</v>
      </c>
      <c r="W110" s="74">
        <f t="shared" si="17"/>
        <v>0</v>
      </c>
      <c r="X110" s="74">
        <f t="shared" si="18"/>
        <v>0</v>
      </c>
      <c r="Y110" s="74">
        <f t="shared" si="19"/>
        <v>0</v>
      </c>
      <c r="Z110" s="74">
        <f t="shared" si="22"/>
        <v>7200</v>
      </c>
      <c r="AA110" s="75">
        <f t="shared" si="26"/>
        <v>7200</v>
      </c>
      <c r="AB110" s="75">
        <f t="shared" si="21"/>
        <v>0</v>
      </c>
    </row>
    <row r="111" spans="1:29" ht="22.5">
      <c r="A111" s="123" t="s">
        <v>228</v>
      </c>
      <c r="B111" s="140" t="s">
        <v>754</v>
      </c>
      <c r="C111" s="140"/>
      <c r="D111" s="124" t="s">
        <v>229</v>
      </c>
      <c r="E111" s="125">
        <v>5200</v>
      </c>
      <c r="F111" s="125">
        <v>5200</v>
      </c>
      <c r="G111" s="120">
        <v>1</v>
      </c>
      <c r="H111" s="122">
        <v>0</v>
      </c>
      <c r="I111" s="122">
        <v>0</v>
      </c>
      <c r="J111" s="122">
        <v>0</v>
      </c>
      <c r="K111" s="120">
        <v>0</v>
      </c>
      <c r="L111" s="72">
        <f t="shared" si="12"/>
        <v>1</v>
      </c>
      <c r="M111" s="146">
        <v>1</v>
      </c>
      <c r="N111" s="72">
        <v>0</v>
      </c>
      <c r="O111" s="72">
        <v>0</v>
      </c>
      <c r="P111" s="72">
        <f t="shared" si="13"/>
        <v>1</v>
      </c>
      <c r="Q111" s="72">
        <f t="shared" si="14"/>
        <v>0</v>
      </c>
      <c r="R111" s="72"/>
      <c r="S111" s="56"/>
      <c r="T111" s="74">
        <f t="shared" si="15"/>
        <v>5200</v>
      </c>
      <c r="U111" s="74">
        <v>0</v>
      </c>
      <c r="V111" s="74">
        <f t="shared" si="16"/>
        <v>0</v>
      </c>
      <c r="W111" s="74">
        <f t="shared" si="17"/>
        <v>0</v>
      </c>
      <c r="X111" s="74">
        <f t="shared" si="18"/>
        <v>0</v>
      </c>
      <c r="Y111" s="74">
        <f t="shared" si="19"/>
        <v>0</v>
      </c>
      <c r="Z111" s="74">
        <f t="shared" si="22"/>
        <v>5200</v>
      </c>
      <c r="AA111" s="75">
        <f t="shared" si="26"/>
        <v>5200</v>
      </c>
      <c r="AB111" s="75">
        <f t="shared" si="21"/>
        <v>0</v>
      </c>
    </row>
    <row r="112" spans="1:29">
      <c r="A112" s="123" t="s">
        <v>230</v>
      </c>
      <c r="B112" s="69"/>
      <c r="C112" s="69"/>
      <c r="D112" s="124" t="s">
        <v>231</v>
      </c>
      <c r="E112" s="125">
        <v>290</v>
      </c>
      <c r="F112" s="125">
        <v>290</v>
      </c>
      <c r="G112" s="120">
        <v>1</v>
      </c>
      <c r="H112" s="122">
        <v>0</v>
      </c>
      <c r="I112" s="122">
        <v>0</v>
      </c>
      <c r="J112" s="122">
        <v>0</v>
      </c>
      <c r="K112" s="120">
        <v>0</v>
      </c>
      <c r="L112" s="72">
        <f t="shared" si="12"/>
        <v>1</v>
      </c>
      <c r="M112" s="146">
        <v>1</v>
      </c>
      <c r="N112" s="72">
        <v>0</v>
      </c>
      <c r="O112" s="72">
        <v>0</v>
      </c>
      <c r="P112" s="72">
        <f t="shared" si="13"/>
        <v>1</v>
      </c>
      <c r="Q112" s="72">
        <f t="shared" si="14"/>
        <v>0</v>
      </c>
      <c r="R112" s="72"/>
      <c r="S112" s="56"/>
      <c r="T112" s="74">
        <f t="shared" si="15"/>
        <v>290</v>
      </c>
      <c r="U112" s="74">
        <v>0</v>
      </c>
      <c r="V112" s="74">
        <f t="shared" si="16"/>
        <v>0</v>
      </c>
      <c r="W112" s="74">
        <f t="shared" si="17"/>
        <v>0</v>
      </c>
      <c r="X112" s="74">
        <f t="shared" si="18"/>
        <v>0</v>
      </c>
      <c r="Y112" s="74">
        <f t="shared" si="19"/>
        <v>0</v>
      </c>
      <c r="Z112" s="74">
        <f t="shared" si="22"/>
        <v>290</v>
      </c>
      <c r="AA112" s="75">
        <f t="shared" si="26"/>
        <v>290</v>
      </c>
      <c r="AB112" s="75">
        <f t="shared" si="21"/>
        <v>0</v>
      </c>
    </row>
    <row r="113" spans="1:28">
      <c r="A113" s="123" t="s">
        <v>232</v>
      </c>
      <c r="B113" s="124" t="s">
        <v>769</v>
      </c>
      <c r="C113" s="69"/>
      <c r="D113" s="124" t="s">
        <v>233</v>
      </c>
      <c r="E113" s="125">
        <v>420</v>
      </c>
      <c r="F113" s="125">
        <v>420</v>
      </c>
      <c r="G113" s="120">
        <v>0</v>
      </c>
      <c r="H113" s="122">
        <v>0</v>
      </c>
      <c r="I113" s="122">
        <v>0</v>
      </c>
      <c r="J113" s="122">
        <v>0</v>
      </c>
      <c r="K113" s="120">
        <v>0</v>
      </c>
      <c r="L113" s="72">
        <f t="shared" si="12"/>
        <v>0</v>
      </c>
      <c r="M113" s="146">
        <v>0</v>
      </c>
      <c r="N113" s="72">
        <v>0</v>
      </c>
      <c r="O113" s="72">
        <v>0</v>
      </c>
      <c r="P113" s="72">
        <f t="shared" si="13"/>
        <v>0</v>
      </c>
      <c r="Q113" s="72">
        <f t="shared" si="14"/>
        <v>0</v>
      </c>
      <c r="R113" s="72"/>
      <c r="S113" s="56"/>
      <c r="T113" s="74">
        <f t="shared" si="15"/>
        <v>0</v>
      </c>
      <c r="U113" s="74">
        <v>0</v>
      </c>
      <c r="V113" s="74">
        <f t="shared" si="16"/>
        <v>0</v>
      </c>
      <c r="W113" s="74">
        <f t="shared" si="17"/>
        <v>0</v>
      </c>
      <c r="X113" s="74">
        <f t="shared" si="18"/>
        <v>0</v>
      </c>
      <c r="Y113" s="74">
        <f t="shared" si="19"/>
        <v>0</v>
      </c>
      <c r="Z113" s="74">
        <f t="shared" si="22"/>
        <v>0</v>
      </c>
      <c r="AA113" s="75">
        <f t="shared" si="26"/>
        <v>0</v>
      </c>
      <c r="AB113" s="75">
        <f t="shared" si="21"/>
        <v>0</v>
      </c>
    </row>
    <row r="114" spans="1:28" ht="24">
      <c r="A114" s="123" t="s">
        <v>234</v>
      </c>
      <c r="B114" s="140" t="s">
        <v>713</v>
      </c>
      <c r="C114" s="140"/>
      <c r="D114" s="124" t="s">
        <v>235</v>
      </c>
      <c r="E114" s="125">
        <v>31</v>
      </c>
      <c r="F114" s="125">
        <v>31</v>
      </c>
      <c r="G114" s="120">
        <v>116</v>
      </c>
      <c r="H114" s="122">
        <v>0</v>
      </c>
      <c r="I114" s="122">
        <v>0</v>
      </c>
      <c r="J114" s="122">
        <v>0</v>
      </c>
      <c r="K114" s="121">
        <v>0</v>
      </c>
      <c r="L114" s="72">
        <f t="shared" si="12"/>
        <v>116</v>
      </c>
      <c r="M114" s="160">
        <v>116</v>
      </c>
      <c r="N114" s="76">
        <v>0</v>
      </c>
      <c r="O114" s="72">
        <v>0</v>
      </c>
      <c r="P114" s="76">
        <f t="shared" si="13"/>
        <v>116</v>
      </c>
      <c r="Q114" s="72">
        <f t="shared" si="14"/>
        <v>0</v>
      </c>
      <c r="R114" s="72"/>
      <c r="S114" s="56"/>
      <c r="T114" s="74">
        <f t="shared" si="15"/>
        <v>3596</v>
      </c>
      <c r="U114" s="74">
        <v>0</v>
      </c>
      <c r="V114" s="74">
        <f t="shared" si="16"/>
        <v>0</v>
      </c>
      <c r="W114" s="74">
        <f t="shared" si="17"/>
        <v>0</v>
      </c>
      <c r="X114" s="74">
        <f t="shared" si="18"/>
        <v>0</v>
      </c>
      <c r="Y114" s="74">
        <f t="shared" si="19"/>
        <v>0</v>
      </c>
      <c r="Z114" s="74">
        <f t="shared" si="22"/>
        <v>3596</v>
      </c>
      <c r="AA114" s="75">
        <f t="shared" si="26"/>
        <v>3596</v>
      </c>
      <c r="AB114" s="75">
        <f t="shared" si="21"/>
        <v>0</v>
      </c>
    </row>
    <row r="115" spans="1:28" ht="24">
      <c r="A115" s="123" t="s">
        <v>236</v>
      </c>
      <c r="B115" s="69"/>
      <c r="C115" s="69"/>
      <c r="D115" s="124" t="s">
        <v>237</v>
      </c>
      <c r="E115" s="125">
        <v>163.80000000000001</v>
      </c>
      <c r="F115" s="125">
        <v>163.80000000000001</v>
      </c>
      <c r="G115" s="120">
        <v>0</v>
      </c>
      <c r="H115" s="122">
        <v>0</v>
      </c>
      <c r="I115" s="122">
        <v>0</v>
      </c>
      <c r="J115" s="122">
        <v>0</v>
      </c>
      <c r="K115" s="120">
        <v>0</v>
      </c>
      <c r="L115" s="72">
        <f t="shared" si="12"/>
        <v>0</v>
      </c>
      <c r="M115" s="146">
        <v>0</v>
      </c>
      <c r="N115" s="72">
        <v>0</v>
      </c>
      <c r="O115" s="72">
        <v>0</v>
      </c>
      <c r="P115" s="72">
        <f t="shared" si="13"/>
        <v>0</v>
      </c>
      <c r="Q115" s="72">
        <f t="shared" si="14"/>
        <v>0</v>
      </c>
      <c r="R115" s="72"/>
      <c r="S115" s="56"/>
      <c r="T115" s="74">
        <f t="shared" si="15"/>
        <v>0</v>
      </c>
      <c r="U115" s="74">
        <v>0</v>
      </c>
      <c r="V115" s="74">
        <f t="shared" si="16"/>
        <v>0</v>
      </c>
      <c r="W115" s="74">
        <f t="shared" si="17"/>
        <v>0</v>
      </c>
      <c r="X115" s="74">
        <f t="shared" si="18"/>
        <v>0</v>
      </c>
      <c r="Y115" s="74">
        <f t="shared" si="19"/>
        <v>0</v>
      </c>
      <c r="Z115" s="74">
        <f t="shared" si="22"/>
        <v>0</v>
      </c>
      <c r="AA115" s="75">
        <f t="shared" si="26"/>
        <v>0</v>
      </c>
      <c r="AB115" s="75">
        <f t="shared" si="21"/>
        <v>0</v>
      </c>
    </row>
    <row r="116" spans="1:28">
      <c r="A116" s="123" t="s">
        <v>238</v>
      </c>
      <c r="B116" s="69"/>
      <c r="C116" s="69"/>
      <c r="D116" s="124" t="s">
        <v>239</v>
      </c>
      <c r="E116" s="125">
        <v>0</v>
      </c>
      <c r="F116" s="125">
        <v>0</v>
      </c>
      <c r="G116" s="120">
        <v>0</v>
      </c>
      <c r="H116" s="122">
        <v>0</v>
      </c>
      <c r="I116" s="122">
        <v>0</v>
      </c>
      <c r="J116" s="122">
        <v>0</v>
      </c>
      <c r="K116" s="120">
        <v>0</v>
      </c>
      <c r="L116" s="72">
        <f t="shared" si="12"/>
        <v>0</v>
      </c>
      <c r="M116" s="146">
        <v>0</v>
      </c>
      <c r="N116" s="72">
        <v>0</v>
      </c>
      <c r="O116" s="72">
        <v>0</v>
      </c>
      <c r="P116" s="72">
        <f t="shared" si="13"/>
        <v>0</v>
      </c>
      <c r="Q116" s="72">
        <f t="shared" si="14"/>
        <v>0</v>
      </c>
      <c r="R116" s="72"/>
      <c r="S116" s="56"/>
      <c r="T116" s="74">
        <f t="shared" si="15"/>
        <v>0</v>
      </c>
      <c r="U116" s="74">
        <v>0</v>
      </c>
      <c r="V116" s="74">
        <f t="shared" si="16"/>
        <v>0</v>
      </c>
      <c r="W116" s="74">
        <f t="shared" si="17"/>
        <v>0</v>
      </c>
      <c r="X116" s="74">
        <f t="shared" si="18"/>
        <v>0</v>
      </c>
      <c r="Y116" s="74">
        <f t="shared" si="19"/>
        <v>0</v>
      </c>
      <c r="Z116" s="74">
        <f t="shared" si="22"/>
        <v>0</v>
      </c>
      <c r="AA116" s="75">
        <f t="shared" si="26"/>
        <v>0</v>
      </c>
      <c r="AB116" s="75">
        <f t="shared" si="21"/>
        <v>0</v>
      </c>
    </row>
    <row r="117" spans="1:28">
      <c r="A117" s="123" t="s">
        <v>240</v>
      </c>
      <c r="B117" s="69"/>
      <c r="C117" s="69"/>
      <c r="D117" s="124" t="s">
        <v>241</v>
      </c>
      <c r="E117" s="125">
        <v>149.47</v>
      </c>
      <c r="F117" s="125">
        <v>149.47</v>
      </c>
      <c r="G117" s="120">
        <v>50</v>
      </c>
      <c r="H117" s="122">
        <v>0</v>
      </c>
      <c r="I117" s="122">
        <v>0</v>
      </c>
      <c r="J117" s="122">
        <v>0</v>
      </c>
      <c r="K117" s="120">
        <v>0</v>
      </c>
      <c r="L117" s="72">
        <f t="shared" si="12"/>
        <v>50</v>
      </c>
      <c r="M117" s="146">
        <v>50</v>
      </c>
      <c r="N117" s="72">
        <v>0</v>
      </c>
      <c r="O117" s="72">
        <v>0</v>
      </c>
      <c r="P117" s="72">
        <f t="shared" si="13"/>
        <v>50</v>
      </c>
      <c r="Q117" s="72">
        <f t="shared" si="14"/>
        <v>0</v>
      </c>
      <c r="R117" s="72"/>
      <c r="S117" s="56"/>
      <c r="T117" s="74">
        <f t="shared" si="15"/>
        <v>7473.5</v>
      </c>
      <c r="U117" s="74">
        <v>0</v>
      </c>
      <c r="V117" s="74">
        <f t="shared" si="16"/>
        <v>0</v>
      </c>
      <c r="W117" s="74">
        <f t="shared" si="17"/>
        <v>0</v>
      </c>
      <c r="X117" s="74">
        <f t="shared" si="18"/>
        <v>0</v>
      </c>
      <c r="Y117" s="74">
        <f t="shared" si="19"/>
        <v>0</v>
      </c>
      <c r="Z117" s="74">
        <f t="shared" si="22"/>
        <v>7473.5</v>
      </c>
      <c r="AA117" s="75">
        <f t="shared" si="26"/>
        <v>7473.5</v>
      </c>
      <c r="AB117" s="75">
        <f t="shared" si="21"/>
        <v>0</v>
      </c>
    </row>
    <row r="118" spans="1:28" ht="24">
      <c r="A118" s="123" t="s">
        <v>242</v>
      </c>
      <c r="B118" s="140" t="s">
        <v>756</v>
      </c>
      <c r="C118" s="140"/>
      <c r="D118" s="124" t="s">
        <v>809</v>
      </c>
      <c r="E118" s="125">
        <v>66</v>
      </c>
      <c r="F118" s="125">
        <v>66</v>
      </c>
      <c r="G118" s="120">
        <v>50</v>
      </c>
      <c r="H118" s="122">
        <v>0</v>
      </c>
      <c r="I118" s="122">
        <v>0</v>
      </c>
      <c r="J118" s="122">
        <v>0</v>
      </c>
      <c r="K118" s="120">
        <v>0</v>
      </c>
      <c r="L118" s="72">
        <f t="shared" si="12"/>
        <v>50</v>
      </c>
      <c r="M118" s="146">
        <v>50</v>
      </c>
      <c r="N118" s="72">
        <v>0</v>
      </c>
      <c r="O118" s="72">
        <v>0</v>
      </c>
      <c r="P118" s="72">
        <f t="shared" si="13"/>
        <v>50</v>
      </c>
      <c r="Q118" s="72">
        <f t="shared" si="14"/>
        <v>0</v>
      </c>
      <c r="R118" s="72"/>
      <c r="S118" s="56"/>
      <c r="T118" s="74">
        <f t="shared" si="15"/>
        <v>3300</v>
      </c>
      <c r="U118" s="74">
        <v>0</v>
      </c>
      <c r="V118" s="74">
        <f t="shared" si="16"/>
        <v>0</v>
      </c>
      <c r="W118" s="74">
        <f t="shared" si="17"/>
        <v>0</v>
      </c>
      <c r="X118" s="74">
        <f t="shared" si="18"/>
        <v>0</v>
      </c>
      <c r="Y118" s="74">
        <f t="shared" si="19"/>
        <v>0</v>
      </c>
      <c r="Z118" s="74">
        <f t="shared" si="22"/>
        <v>3300</v>
      </c>
      <c r="AA118" s="75">
        <f t="shared" si="26"/>
        <v>3300</v>
      </c>
      <c r="AB118" s="75">
        <f t="shared" si="21"/>
        <v>0</v>
      </c>
    </row>
    <row r="119" spans="1:28">
      <c r="A119" s="123" t="s">
        <v>244</v>
      </c>
      <c r="B119" s="69"/>
      <c r="C119" s="69"/>
      <c r="D119" s="124" t="s">
        <v>245</v>
      </c>
      <c r="E119" s="125">
        <v>0</v>
      </c>
      <c r="F119" s="125">
        <v>0</v>
      </c>
      <c r="G119" s="120">
        <v>0</v>
      </c>
      <c r="H119" s="122">
        <v>0</v>
      </c>
      <c r="I119" s="122">
        <v>0</v>
      </c>
      <c r="J119" s="122">
        <v>0</v>
      </c>
      <c r="K119" s="120">
        <v>0</v>
      </c>
      <c r="L119" s="72">
        <f t="shared" si="12"/>
        <v>0</v>
      </c>
      <c r="M119" s="146">
        <v>0</v>
      </c>
      <c r="N119" s="72">
        <v>0</v>
      </c>
      <c r="O119" s="72">
        <v>0</v>
      </c>
      <c r="P119" s="72">
        <f t="shared" si="13"/>
        <v>0</v>
      </c>
      <c r="Q119" s="72">
        <f t="shared" si="14"/>
        <v>0</v>
      </c>
      <c r="R119" s="72"/>
      <c r="S119" s="56"/>
      <c r="T119" s="74">
        <f t="shared" si="15"/>
        <v>0</v>
      </c>
      <c r="U119" s="74">
        <v>0</v>
      </c>
      <c r="V119" s="74">
        <f t="shared" si="16"/>
        <v>0</v>
      </c>
      <c r="W119" s="74">
        <f t="shared" si="17"/>
        <v>0</v>
      </c>
      <c r="X119" s="74">
        <f t="shared" si="18"/>
        <v>0</v>
      </c>
      <c r="Y119" s="74">
        <f t="shared" si="19"/>
        <v>0</v>
      </c>
      <c r="Z119" s="74">
        <f t="shared" si="22"/>
        <v>0</v>
      </c>
      <c r="AA119" s="75">
        <f t="shared" si="26"/>
        <v>0</v>
      </c>
      <c r="AB119" s="75">
        <f t="shared" si="21"/>
        <v>0</v>
      </c>
    </row>
    <row r="120" spans="1:28" ht="24">
      <c r="A120" s="123" t="s">
        <v>246</v>
      </c>
      <c r="B120" s="69"/>
      <c r="C120" s="69"/>
      <c r="D120" s="124" t="s">
        <v>247</v>
      </c>
      <c r="E120" s="125">
        <v>19.5</v>
      </c>
      <c r="F120" s="125">
        <v>19.5</v>
      </c>
      <c r="G120" s="120">
        <v>0</v>
      </c>
      <c r="H120" s="122">
        <v>0</v>
      </c>
      <c r="I120" s="122">
        <v>0</v>
      </c>
      <c r="J120" s="122">
        <v>0</v>
      </c>
      <c r="K120" s="120">
        <v>0</v>
      </c>
      <c r="L120" s="72">
        <f t="shared" si="12"/>
        <v>0</v>
      </c>
      <c r="M120" s="146">
        <v>0</v>
      </c>
      <c r="N120" s="72">
        <v>0</v>
      </c>
      <c r="O120" s="72">
        <v>0</v>
      </c>
      <c r="P120" s="72">
        <f t="shared" si="13"/>
        <v>0</v>
      </c>
      <c r="Q120" s="72">
        <f t="shared" si="14"/>
        <v>0</v>
      </c>
      <c r="R120" s="72"/>
      <c r="S120" s="56"/>
      <c r="T120" s="74">
        <f t="shared" si="15"/>
        <v>0</v>
      </c>
      <c r="U120" s="74">
        <v>0</v>
      </c>
      <c r="V120" s="74">
        <f t="shared" si="16"/>
        <v>0</v>
      </c>
      <c r="W120" s="74">
        <f t="shared" si="17"/>
        <v>0</v>
      </c>
      <c r="X120" s="74">
        <f t="shared" si="18"/>
        <v>0</v>
      </c>
      <c r="Y120" s="74">
        <f t="shared" si="19"/>
        <v>0</v>
      </c>
      <c r="Z120" s="74">
        <f t="shared" si="22"/>
        <v>0</v>
      </c>
      <c r="AA120" s="75">
        <f t="shared" si="26"/>
        <v>0</v>
      </c>
      <c r="AB120" s="75">
        <f t="shared" si="21"/>
        <v>0</v>
      </c>
    </row>
    <row r="121" spans="1:28">
      <c r="A121" s="123" t="s">
        <v>248</v>
      </c>
      <c r="B121" s="69"/>
      <c r="C121" s="69"/>
      <c r="D121" s="124" t="s">
        <v>249</v>
      </c>
      <c r="E121" s="125">
        <v>0</v>
      </c>
      <c r="F121" s="125">
        <v>0</v>
      </c>
      <c r="G121" s="120">
        <v>0</v>
      </c>
      <c r="H121" s="122">
        <v>0</v>
      </c>
      <c r="I121" s="122">
        <v>0</v>
      </c>
      <c r="J121" s="122">
        <v>0</v>
      </c>
      <c r="K121" s="120">
        <v>0</v>
      </c>
      <c r="L121" s="72">
        <f t="shared" si="12"/>
        <v>0</v>
      </c>
      <c r="M121" s="146">
        <v>0</v>
      </c>
      <c r="N121" s="72">
        <v>0</v>
      </c>
      <c r="O121" s="72">
        <v>0</v>
      </c>
      <c r="P121" s="72">
        <f t="shared" si="13"/>
        <v>0</v>
      </c>
      <c r="Q121" s="72">
        <f t="shared" si="14"/>
        <v>0</v>
      </c>
      <c r="R121" s="72"/>
      <c r="S121" s="56"/>
      <c r="T121" s="74">
        <f t="shared" si="15"/>
        <v>0</v>
      </c>
      <c r="U121" s="74">
        <v>0</v>
      </c>
      <c r="V121" s="74">
        <f t="shared" si="16"/>
        <v>0</v>
      </c>
      <c r="W121" s="74">
        <f t="shared" si="17"/>
        <v>0</v>
      </c>
      <c r="X121" s="74">
        <f t="shared" si="18"/>
        <v>0</v>
      </c>
      <c r="Y121" s="74">
        <f t="shared" si="19"/>
        <v>0</v>
      </c>
      <c r="Z121" s="74">
        <f t="shared" si="22"/>
        <v>0</v>
      </c>
      <c r="AA121" s="75">
        <f t="shared" si="26"/>
        <v>0</v>
      </c>
      <c r="AB121" s="75">
        <f t="shared" si="21"/>
        <v>0</v>
      </c>
    </row>
    <row r="122" spans="1:28">
      <c r="A122" s="123" t="s">
        <v>250</v>
      </c>
      <c r="B122" s="69"/>
      <c r="C122" s="69"/>
      <c r="D122" s="124" t="s">
        <v>772</v>
      </c>
      <c r="E122" s="125">
        <v>3875</v>
      </c>
      <c r="F122" s="125">
        <v>3875</v>
      </c>
      <c r="G122" s="120">
        <v>1</v>
      </c>
      <c r="H122" s="122">
        <v>0</v>
      </c>
      <c r="I122" s="122">
        <v>0</v>
      </c>
      <c r="J122" s="122">
        <v>0</v>
      </c>
      <c r="K122" s="120">
        <v>0</v>
      </c>
      <c r="L122" s="72">
        <f t="shared" si="12"/>
        <v>1</v>
      </c>
      <c r="M122" s="146">
        <v>1</v>
      </c>
      <c r="N122" s="72">
        <v>0</v>
      </c>
      <c r="O122" s="72">
        <v>0</v>
      </c>
      <c r="P122" s="72">
        <f t="shared" si="13"/>
        <v>1</v>
      </c>
      <c r="Q122" s="72">
        <f t="shared" si="14"/>
        <v>0</v>
      </c>
      <c r="R122" s="72"/>
      <c r="S122" s="56"/>
      <c r="T122" s="74">
        <f t="shared" si="15"/>
        <v>3875</v>
      </c>
      <c r="U122" s="74">
        <v>0</v>
      </c>
      <c r="V122" s="74">
        <f t="shared" si="16"/>
        <v>0</v>
      </c>
      <c r="W122" s="74">
        <f t="shared" si="17"/>
        <v>0</v>
      </c>
      <c r="X122" s="74">
        <f t="shared" si="18"/>
        <v>0</v>
      </c>
      <c r="Y122" s="74">
        <f t="shared" si="19"/>
        <v>0</v>
      </c>
      <c r="Z122" s="74">
        <f t="shared" si="22"/>
        <v>3875</v>
      </c>
      <c r="AA122" s="75">
        <f t="shared" si="26"/>
        <v>3875</v>
      </c>
      <c r="AB122" s="75">
        <f t="shared" si="21"/>
        <v>0</v>
      </c>
    </row>
    <row r="123" spans="1:28">
      <c r="A123" s="123" t="s">
        <v>252</v>
      </c>
      <c r="B123" s="69"/>
      <c r="C123" s="69"/>
      <c r="D123" s="124" t="s">
        <v>253</v>
      </c>
      <c r="E123" s="125">
        <v>600</v>
      </c>
      <c r="F123" s="125">
        <v>600</v>
      </c>
      <c r="G123" s="120">
        <v>3</v>
      </c>
      <c r="H123" s="122">
        <v>0</v>
      </c>
      <c r="I123" s="122">
        <v>0</v>
      </c>
      <c r="J123" s="122">
        <v>3</v>
      </c>
      <c r="K123" s="120">
        <v>0</v>
      </c>
      <c r="L123" s="72">
        <f t="shared" si="12"/>
        <v>0</v>
      </c>
      <c r="M123" s="146">
        <v>0</v>
      </c>
      <c r="N123" s="72">
        <v>0</v>
      </c>
      <c r="O123" s="72">
        <v>0</v>
      </c>
      <c r="P123" s="72">
        <f t="shared" si="13"/>
        <v>0</v>
      </c>
      <c r="Q123" s="72">
        <f t="shared" si="14"/>
        <v>0</v>
      </c>
      <c r="R123" s="72"/>
      <c r="S123" s="56"/>
      <c r="T123" s="74">
        <f t="shared" si="15"/>
        <v>1800</v>
      </c>
      <c r="U123" s="74">
        <v>0</v>
      </c>
      <c r="V123" s="74">
        <f t="shared" si="16"/>
        <v>0</v>
      </c>
      <c r="W123" s="74">
        <f t="shared" si="17"/>
        <v>0</v>
      </c>
      <c r="X123" s="74">
        <f t="shared" si="18"/>
        <v>1800</v>
      </c>
      <c r="Y123" s="74">
        <f t="shared" si="19"/>
        <v>0</v>
      </c>
      <c r="Z123" s="74">
        <f t="shared" si="22"/>
        <v>0</v>
      </c>
      <c r="AA123" s="75">
        <f t="shared" si="26"/>
        <v>0</v>
      </c>
      <c r="AB123" s="75">
        <f t="shared" si="21"/>
        <v>0</v>
      </c>
    </row>
    <row r="124" spans="1:28">
      <c r="A124" s="123" t="s">
        <v>254</v>
      </c>
      <c r="B124" s="140" t="s">
        <v>255</v>
      </c>
      <c r="C124" s="140"/>
      <c r="D124" s="124" t="s">
        <v>810</v>
      </c>
      <c r="E124" s="125">
        <v>92.4</v>
      </c>
      <c r="F124" s="125">
        <v>92.4</v>
      </c>
      <c r="G124" s="120">
        <v>3</v>
      </c>
      <c r="H124" s="122">
        <v>0</v>
      </c>
      <c r="I124" s="122">
        <v>0</v>
      </c>
      <c r="J124" s="122">
        <v>0</v>
      </c>
      <c r="K124" s="120">
        <v>0</v>
      </c>
      <c r="L124" s="72">
        <f t="shared" si="12"/>
        <v>3</v>
      </c>
      <c r="M124" s="146">
        <v>3</v>
      </c>
      <c r="N124" s="72">
        <v>0</v>
      </c>
      <c r="O124" s="72">
        <v>0</v>
      </c>
      <c r="P124" s="72">
        <f t="shared" si="13"/>
        <v>3</v>
      </c>
      <c r="Q124" s="72">
        <f t="shared" si="14"/>
        <v>0</v>
      </c>
      <c r="R124" s="72"/>
      <c r="S124" s="56"/>
      <c r="T124" s="74">
        <f t="shared" si="15"/>
        <v>277.20000000000005</v>
      </c>
      <c r="U124" s="74">
        <v>0</v>
      </c>
      <c r="V124" s="74">
        <f t="shared" si="16"/>
        <v>0</v>
      </c>
      <c r="W124" s="74">
        <f t="shared" si="17"/>
        <v>0</v>
      </c>
      <c r="X124" s="74">
        <f t="shared" si="18"/>
        <v>0</v>
      </c>
      <c r="Y124" s="74">
        <f t="shared" si="19"/>
        <v>0</v>
      </c>
      <c r="Z124" s="74">
        <f t="shared" si="22"/>
        <v>277.20000000000005</v>
      </c>
      <c r="AA124" s="75">
        <f t="shared" si="26"/>
        <v>277.20000000000005</v>
      </c>
      <c r="AB124" s="75">
        <f t="shared" si="21"/>
        <v>0</v>
      </c>
    </row>
    <row r="125" spans="1:28">
      <c r="A125" s="123" t="s">
        <v>256</v>
      </c>
      <c r="B125" s="140" t="s">
        <v>714</v>
      </c>
      <c r="C125" s="140"/>
      <c r="D125" s="124" t="s">
        <v>257</v>
      </c>
      <c r="E125" s="125">
        <v>260</v>
      </c>
      <c r="F125" s="125">
        <v>260</v>
      </c>
      <c r="G125" s="120">
        <v>5</v>
      </c>
      <c r="H125" s="122">
        <v>0</v>
      </c>
      <c r="I125" s="122">
        <v>0</v>
      </c>
      <c r="J125" s="122">
        <v>0</v>
      </c>
      <c r="K125" s="120">
        <v>0</v>
      </c>
      <c r="L125" s="72">
        <f t="shared" si="12"/>
        <v>5</v>
      </c>
      <c r="M125" s="146">
        <v>5</v>
      </c>
      <c r="N125" s="72">
        <v>0</v>
      </c>
      <c r="O125" s="72">
        <v>0</v>
      </c>
      <c r="P125" s="72">
        <f t="shared" si="13"/>
        <v>5</v>
      </c>
      <c r="Q125" s="72">
        <f t="shared" si="14"/>
        <v>0</v>
      </c>
      <c r="R125" s="72"/>
      <c r="S125" s="56"/>
      <c r="T125" s="74">
        <f t="shared" si="15"/>
        <v>1300</v>
      </c>
      <c r="U125" s="74">
        <v>0</v>
      </c>
      <c r="V125" s="74">
        <f t="shared" si="16"/>
        <v>0</v>
      </c>
      <c r="W125" s="74">
        <f t="shared" si="17"/>
        <v>0</v>
      </c>
      <c r="X125" s="74">
        <f t="shared" si="18"/>
        <v>0</v>
      </c>
      <c r="Y125" s="74">
        <f t="shared" si="19"/>
        <v>0</v>
      </c>
      <c r="Z125" s="74">
        <f t="shared" si="22"/>
        <v>1300</v>
      </c>
      <c r="AA125" s="75">
        <f t="shared" si="26"/>
        <v>1300</v>
      </c>
      <c r="AB125" s="75">
        <f t="shared" si="21"/>
        <v>0</v>
      </c>
    </row>
    <row r="126" spans="1:28">
      <c r="A126" s="123" t="s">
        <v>258</v>
      </c>
      <c r="B126" s="69"/>
      <c r="C126" s="69"/>
      <c r="D126" s="124" t="s">
        <v>259</v>
      </c>
      <c r="E126" s="125">
        <v>830</v>
      </c>
      <c r="F126" s="125">
        <v>830</v>
      </c>
      <c r="G126" s="120">
        <v>0</v>
      </c>
      <c r="H126" s="122">
        <v>0</v>
      </c>
      <c r="I126" s="122">
        <v>0</v>
      </c>
      <c r="J126" s="122">
        <v>0</v>
      </c>
      <c r="K126" s="120">
        <v>0</v>
      </c>
      <c r="L126" s="72">
        <f t="shared" si="12"/>
        <v>0</v>
      </c>
      <c r="M126" s="146">
        <v>0</v>
      </c>
      <c r="N126" s="72">
        <v>0</v>
      </c>
      <c r="O126" s="72">
        <v>0</v>
      </c>
      <c r="P126" s="72">
        <f t="shared" si="13"/>
        <v>0</v>
      </c>
      <c r="Q126" s="72">
        <f t="shared" si="14"/>
        <v>0</v>
      </c>
      <c r="R126" s="72"/>
      <c r="S126" s="56"/>
      <c r="T126" s="74">
        <f t="shared" si="15"/>
        <v>0</v>
      </c>
      <c r="U126" s="74">
        <v>0</v>
      </c>
      <c r="V126" s="74">
        <f t="shared" si="16"/>
        <v>0</v>
      </c>
      <c r="W126" s="74">
        <f t="shared" si="17"/>
        <v>0</v>
      </c>
      <c r="X126" s="74">
        <f t="shared" si="18"/>
        <v>0</v>
      </c>
      <c r="Y126" s="74">
        <f t="shared" si="19"/>
        <v>0</v>
      </c>
      <c r="Z126" s="74">
        <f t="shared" si="22"/>
        <v>0</v>
      </c>
      <c r="AA126" s="75">
        <f t="shared" si="26"/>
        <v>0</v>
      </c>
      <c r="AB126" s="75">
        <f t="shared" si="21"/>
        <v>0</v>
      </c>
    </row>
    <row r="127" spans="1:28">
      <c r="A127" s="123" t="s">
        <v>260</v>
      </c>
      <c r="B127" s="69"/>
      <c r="C127" s="69"/>
      <c r="D127" s="124" t="s">
        <v>261</v>
      </c>
      <c r="E127" s="125">
        <v>0</v>
      </c>
      <c r="F127" s="125">
        <v>0</v>
      </c>
      <c r="G127" s="120">
        <v>0</v>
      </c>
      <c r="H127" s="122">
        <v>0</v>
      </c>
      <c r="I127" s="122">
        <v>0</v>
      </c>
      <c r="J127" s="122">
        <v>0</v>
      </c>
      <c r="K127" s="120">
        <v>0</v>
      </c>
      <c r="L127" s="72">
        <f t="shared" si="12"/>
        <v>0</v>
      </c>
      <c r="M127" s="146">
        <v>0</v>
      </c>
      <c r="N127" s="72">
        <v>0</v>
      </c>
      <c r="O127" s="72">
        <v>0</v>
      </c>
      <c r="P127" s="72">
        <f t="shared" si="13"/>
        <v>0</v>
      </c>
      <c r="Q127" s="72">
        <f t="shared" si="14"/>
        <v>0</v>
      </c>
      <c r="R127" s="72"/>
      <c r="S127" s="56"/>
      <c r="T127" s="74">
        <f t="shared" si="15"/>
        <v>0</v>
      </c>
      <c r="U127" s="74">
        <v>0</v>
      </c>
      <c r="V127" s="74">
        <f t="shared" si="16"/>
        <v>0</v>
      </c>
      <c r="W127" s="74">
        <f t="shared" si="17"/>
        <v>0</v>
      </c>
      <c r="X127" s="74">
        <f t="shared" si="18"/>
        <v>0</v>
      </c>
      <c r="Y127" s="74">
        <f t="shared" si="19"/>
        <v>0</v>
      </c>
      <c r="Z127" s="74">
        <f t="shared" si="22"/>
        <v>0</v>
      </c>
      <c r="AA127" s="75">
        <f t="shared" si="26"/>
        <v>0</v>
      </c>
      <c r="AB127" s="75">
        <f t="shared" si="21"/>
        <v>0</v>
      </c>
    </row>
    <row r="128" spans="1:28">
      <c r="A128" s="123" t="s">
        <v>262</v>
      </c>
      <c r="B128" s="69"/>
      <c r="C128" s="69"/>
      <c r="D128" s="124" t="s">
        <v>263</v>
      </c>
      <c r="E128" s="125">
        <v>252.37</v>
      </c>
      <c r="F128" s="125">
        <v>252.37</v>
      </c>
      <c r="G128" s="120">
        <v>0</v>
      </c>
      <c r="H128" s="122">
        <v>0</v>
      </c>
      <c r="I128" s="122">
        <v>0</v>
      </c>
      <c r="J128" s="122">
        <v>0</v>
      </c>
      <c r="K128" s="120">
        <v>0</v>
      </c>
      <c r="L128" s="72">
        <f t="shared" si="12"/>
        <v>0</v>
      </c>
      <c r="M128" s="146">
        <v>0</v>
      </c>
      <c r="N128" s="72">
        <v>0</v>
      </c>
      <c r="O128" s="72">
        <v>0</v>
      </c>
      <c r="P128" s="72">
        <f t="shared" si="13"/>
        <v>0</v>
      </c>
      <c r="Q128" s="72">
        <f t="shared" si="14"/>
        <v>0</v>
      </c>
      <c r="R128" s="72"/>
      <c r="S128" s="56"/>
      <c r="T128" s="74">
        <f t="shared" si="15"/>
        <v>0</v>
      </c>
      <c r="U128" s="74">
        <v>0</v>
      </c>
      <c r="V128" s="74">
        <f t="shared" si="16"/>
        <v>0</v>
      </c>
      <c r="W128" s="74">
        <f t="shared" si="17"/>
        <v>0</v>
      </c>
      <c r="X128" s="74">
        <f t="shared" si="18"/>
        <v>0</v>
      </c>
      <c r="Y128" s="74">
        <f t="shared" si="19"/>
        <v>0</v>
      </c>
      <c r="Z128" s="74">
        <f t="shared" si="22"/>
        <v>0</v>
      </c>
      <c r="AA128" s="75">
        <f t="shared" si="26"/>
        <v>0</v>
      </c>
      <c r="AB128" s="75">
        <f t="shared" si="21"/>
        <v>0</v>
      </c>
    </row>
    <row r="129" spans="1:28">
      <c r="A129" s="123" t="s">
        <v>264</v>
      </c>
      <c r="B129" s="69"/>
      <c r="C129" s="69"/>
      <c r="D129" s="124" t="s">
        <v>265</v>
      </c>
      <c r="E129" s="125">
        <v>480</v>
      </c>
      <c r="F129" s="125">
        <v>480</v>
      </c>
      <c r="G129" s="120">
        <v>1</v>
      </c>
      <c r="H129" s="122">
        <v>0</v>
      </c>
      <c r="I129" s="122">
        <v>0</v>
      </c>
      <c r="J129" s="122">
        <v>1</v>
      </c>
      <c r="K129" s="120">
        <v>0</v>
      </c>
      <c r="L129" s="72">
        <f t="shared" si="12"/>
        <v>0</v>
      </c>
      <c r="M129" s="146">
        <v>0</v>
      </c>
      <c r="N129" s="72">
        <v>0</v>
      </c>
      <c r="O129" s="72">
        <v>0</v>
      </c>
      <c r="P129" s="72">
        <f t="shared" si="13"/>
        <v>0</v>
      </c>
      <c r="Q129" s="72">
        <f t="shared" si="14"/>
        <v>0</v>
      </c>
      <c r="R129" s="72"/>
      <c r="S129" s="56"/>
      <c r="T129" s="74">
        <f t="shared" si="15"/>
        <v>480</v>
      </c>
      <c r="U129" s="74">
        <v>0</v>
      </c>
      <c r="V129" s="74">
        <f t="shared" si="16"/>
        <v>0</v>
      </c>
      <c r="W129" s="74">
        <f t="shared" si="17"/>
        <v>0</v>
      </c>
      <c r="X129" s="74">
        <f t="shared" si="18"/>
        <v>480</v>
      </c>
      <c r="Y129" s="74">
        <f t="shared" si="19"/>
        <v>0</v>
      </c>
      <c r="Z129" s="74">
        <f t="shared" si="22"/>
        <v>0</v>
      </c>
      <c r="AA129" s="75">
        <f t="shared" si="26"/>
        <v>0</v>
      </c>
      <c r="AB129" s="75">
        <f t="shared" si="21"/>
        <v>0</v>
      </c>
    </row>
    <row r="130" spans="1:28">
      <c r="A130" s="123" t="s">
        <v>266</v>
      </c>
      <c r="B130" s="69"/>
      <c r="C130" s="69"/>
      <c r="D130" s="124" t="s">
        <v>267</v>
      </c>
      <c r="E130" s="125">
        <v>1040.52</v>
      </c>
      <c r="F130" s="125">
        <v>1040.52</v>
      </c>
      <c r="G130" s="120">
        <v>0</v>
      </c>
      <c r="H130" s="122">
        <v>0</v>
      </c>
      <c r="I130" s="122">
        <v>0</v>
      </c>
      <c r="J130" s="122">
        <v>0</v>
      </c>
      <c r="K130" s="120">
        <v>0</v>
      </c>
      <c r="L130" s="72">
        <f t="shared" si="12"/>
        <v>0</v>
      </c>
      <c r="M130" s="146">
        <v>0</v>
      </c>
      <c r="N130" s="72">
        <v>0</v>
      </c>
      <c r="O130" s="72">
        <v>0</v>
      </c>
      <c r="P130" s="72">
        <f t="shared" si="13"/>
        <v>0</v>
      </c>
      <c r="Q130" s="72">
        <f t="shared" si="14"/>
        <v>0</v>
      </c>
      <c r="R130" s="72"/>
      <c r="S130" s="56"/>
      <c r="T130" s="74">
        <f t="shared" si="15"/>
        <v>0</v>
      </c>
      <c r="U130" s="74">
        <v>0</v>
      </c>
      <c r="V130" s="74">
        <f t="shared" si="16"/>
        <v>0</v>
      </c>
      <c r="W130" s="74">
        <f t="shared" si="17"/>
        <v>0</v>
      </c>
      <c r="X130" s="74">
        <f t="shared" si="18"/>
        <v>0</v>
      </c>
      <c r="Y130" s="74">
        <f t="shared" si="19"/>
        <v>0</v>
      </c>
      <c r="Z130" s="74">
        <f t="shared" si="22"/>
        <v>0</v>
      </c>
      <c r="AA130" s="75">
        <f t="shared" si="26"/>
        <v>0</v>
      </c>
      <c r="AB130" s="75">
        <f t="shared" si="21"/>
        <v>0</v>
      </c>
    </row>
    <row r="131" spans="1:28">
      <c r="A131" s="123" t="s">
        <v>268</v>
      </c>
      <c r="B131" s="69"/>
      <c r="C131" s="69"/>
      <c r="D131" s="124" t="s">
        <v>269</v>
      </c>
      <c r="E131" s="125">
        <v>246.5</v>
      </c>
      <c r="F131" s="125">
        <v>246.5</v>
      </c>
      <c r="G131" s="120">
        <v>3</v>
      </c>
      <c r="H131" s="122">
        <v>0</v>
      </c>
      <c r="I131" s="122">
        <v>0</v>
      </c>
      <c r="J131" s="122">
        <v>1</v>
      </c>
      <c r="K131" s="120">
        <v>0</v>
      </c>
      <c r="L131" s="72">
        <f t="shared" si="12"/>
        <v>2</v>
      </c>
      <c r="M131" s="146">
        <v>2</v>
      </c>
      <c r="N131" s="72">
        <v>0</v>
      </c>
      <c r="O131" s="72">
        <v>0</v>
      </c>
      <c r="P131" s="72">
        <f t="shared" si="13"/>
        <v>2</v>
      </c>
      <c r="Q131" s="72">
        <f t="shared" si="14"/>
        <v>0</v>
      </c>
      <c r="R131" s="72"/>
      <c r="S131" s="56"/>
      <c r="T131" s="74">
        <f t="shared" si="15"/>
        <v>739.5</v>
      </c>
      <c r="U131" s="74">
        <v>0</v>
      </c>
      <c r="V131" s="74">
        <f t="shared" si="16"/>
        <v>0</v>
      </c>
      <c r="W131" s="74">
        <f t="shared" si="17"/>
        <v>0</v>
      </c>
      <c r="X131" s="74">
        <f t="shared" si="18"/>
        <v>246.5</v>
      </c>
      <c r="Y131" s="74">
        <f t="shared" si="19"/>
        <v>0</v>
      </c>
      <c r="Z131" s="74">
        <f t="shared" si="22"/>
        <v>493</v>
      </c>
      <c r="AA131" s="75">
        <f t="shared" si="26"/>
        <v>493</v>
      </c>
      <c r="AB131" s="75">
        <f t="shared" si="21"/>
        <v>0</v>
      </c>
    </row>
    <row r="132" spans="1:28" s="181" customFormat="1">
      <c r="A132" s="172" t="s">
        <v>270</v>
      </c>
      <c r="B132" s="173" t="s">
        <v>273</v>
      </c>
      <c r="C132" s="173" t="s">
        <v>738</v>
      </c>
      <c r="D132" s="174" t="s">
        <v>271</v>
      </c>
      <c r="E132" s="175">
        <v>797.5</v>
      </c>
      <c r="F132" s="175">
        <v>481.42</v>
      </c>
      <c r="G132" s="176">
        <v>1</v>
      </c>
      <c r="H132" s="177">
        <v>0</v>
      </c>
      <c r="I132" s="177">
        <v>1</v>
      </c>
      <c r="J132" s="177">
        <v>0</v>
      </c>
      <c r="K132" s="176">
        <v>0</v>
      </c>
      <c r="L132" s="176">
        <f t="shared" si="12"/>
        <v>2</v>
      </c>
      <c r="M132" s="176">
        <v>1</v>
      </c>
      <c r="N132" s="176">
        <v>0</v>
      </c>
      <c r="O132" s="176">
        <v>0</v>
      </c>
      <c r="P132" s="176">
        <f t="shared" si="13"/>
        <v>1</v>
      </c>
      <c r="Q132" s="176">
        <f t="shared" si="14"/>
        <v>-1</v>
      </c>
      <c r="R132" s="176"/>
      <c r="S132" s="178"/>
      <c r="T132" s="179">
        <f t="shared" si="15"/>
        <v>797.5</v>
      </c>
      <c r="U132" s="179">
        <v>-316.08</v>
      </c>
      <c r="V132" s="179">
        <f t="shared" si="16"/>
        <v>0</v>
      </c>
      <c r="W132" s="179">
        <f t="shared" si="17"/>
        <v>481.42</v>
      </c>
      <c r="X132" s="179">
        <f t="shared" si="18"/>
        <v>0</v>
      </c>
      <c r="Y132" s="179">
        <f t="shared" si="19"/>
        <v>0</v>
      </c>
      <c r="Z132" s="179">
        <f t="shared" si="22"/>
        <v>962.84</v>
      </c>
      <c r="AA132" s="180">
        <f t="shared" si="26"/>
        <v>962.84</v>
      </c>
      <c r="AB132" s="180">
        <f t="shared" si="21"/>
        <v>0</v>
      </c>
    </row>
    <row r="133" spans="1:28" s="181" customFormat="1">
      <c r="A133" s="172" t="s">
        <v>272</v>
      </c>
      <c r="B133" s="173" t="s">
        <v>811</v>
      </c>
      <c r="C133" s="173" t="s">
        <v>737</v>
      </c>
      <c r="D133" s="174" t="s">
        <v>273</v>
      </c>
      <c r="E133" s="175">
        <v>165.33</v>
      </c>
      <c r="F133" s="175">
        <v>165.33</v>
      </c>
      <c r="G133" s="176">
        <v>1</v>
      </c>
      <c r="H133" s="177">
        <v>0</v>
      </c>
      <c r="I133" s="177">
        <v>0</v>
      </c>
      <c r="J133" s="177">
        <v>0</v>
      </c>
      <c r="K133" s="176">
        <v>1</v>
      </c>
      <c r="L133" s="176">
        <f t="shared" si="12"/>
        <v>0</v>
      </c>
      <c r="M133" s="176">
        <v>1</v>
      </c>
      <c r="N133" s="176">
        <v>0</v>
      </c>
      <c r="O133" s="176">
        <v>0</v>
      </c>
      <c r="P133" s="176">
        <f t="shared" si="13"/>
        <v>1</v>
      </c>
      <c r="Q133" s="176">
        <f t="shared" si="14"/>
        <v>1</v>
      </c>
      <c r="R133" s="176"/>
      <c r="S133" s="178"/>
      <c r="T133" s="179">
        <f t="shared" si="15"/>
        <v>165.33</v>
      </c>
      <c r="U133" s="179">
        <v>0</v>
      </c>
      <c r="V133" s="179">
        <f t="shared" si="16"/>
        <v>0</v>
      </c>
      <c r="W133" s="179">
        <f t="shared" si="17"/>
        <v>0</v>
      </c>
      <c r="X133" s="179">
        <f t="shared" si="18"/>
        <v>0</v>
      </c>
      <c r="Y133" s="179">
        <f t="shared" si="19"/>
        <v>165.33</v>
      </c>
      <c r="Z133" s="179">
        <f t="shared" si="22"/>
        <v>0</v>
      </c>
      <c r="AA133" s="180">
        <f t="shared" si="26"/>
        <v>0</v>
      </c>
      <c r="AB133" s="180">
        <f t="shared" si="21"/>
        <v>0</v>
      </c>
    </row>
    <row r="134" spans="1:28">
      <c r="A134" s="69" t="s">
        <v>274</v>
      </c>
      <c r="B134" s="69"/>
      <c r="C134" s="69"/>
      <c r="D134" s="70" t="s">
        <v>275</v>
      </c>
      <c r="E134" s="71">
        <v>350</v>
      </c>
      <c r="F134" s="71">
        <v>350</v>
      </c>
      <c r="G134" s="72">
        <v>0</v>
      </c>
      <c r="H134" s="73">
        <v>0</v>
      </c>
      <c r="I134" s="73">
        <v>0</v>
      </c>
      <c r="J134" s="73">
        <v>0</v>
      </c>
      <c r="K134" s="72">
        <v>0</v>
      </c>
      <c r="L134" s="72">
        <f t="shared" si="12"/>
        <v>0</v>
      </c>
      <c r="M134" s="146">
        <v>0</v>
      </c>
      <c r="N134" s="72">
        <v>0</v>
      </c>
      <c r="O134" s="72">
        <v>0</v>
      </c>
      <c r="P134" s="72">
        <f t="shared" si="13"/>
        <v>0</v>
      </c>
      <c r="Q134" s="72">
        <f t="shared" si="14"/>
        <v>0</v>
      </c>
      <c r="R134" s="72"/>
      <c r="S134" s="56"/>
      <c r="T134" s="74">
        <f t="shared" si="15"/>
        <v>0</v>
      </c>
      <c r="U134" s="74">
        <v>0</v>
      </c>
      <c r="V134" s="74">
        <f t="shared" si="16"/>
        <v>0</v>
      </c>
      <c r="W134" s="74">
        <f t="shared" si="17"/>
        <v>0</v>
      </c>
      <c r="X134" s="74">
        <f t="shared" si="18"/>
        <v>0</v>
      </c>
      <c r="Y134" s="74">
        <f t="shared" si="19"/>
        <v>0</v>
      </c>
      <c r="Z134" s="74">
        <f t="shared" si="22"/>
        <v>0</v>
      </c>
      <c r="AA134" s="75">
        <f t="shared" si="26"/>
        <v>0</v>
      </c>
      <c r="AB134" s="75">
        <f t="shared" si="21"/>
        <v>0</v>
      </c>
    </row>
    <row r="135" spans="1:28">
      <c r="A135" s="69" t="s">
        <v>276</v>
      </c>
      <c r="B135" s="69"/>
      <c r="C135" s="69"/>
      <c r="D135" s="70" t="s">
        <v>277</v>
      </c>
      <c r="E135" s="71">
        <v>820</v>
      </c>
      <c r="F135" s="71">
        <v>820</v>
      </c>
      <c r="G135" s="72">
        <v>0</v>
      </c>
      <c r="H135" s="73">
        <v>0</v>
      </c>
      <c r="I135" s="73">
        <v>0</v>
      </c>
      <c r="J135" s="73">
        <v>0</v>
      </c>
      <c r="K135" s="72">
        <v>0</v>
      </c>
      <c r="L135" s="72">
        <f t="shared" si="12"/>
        <v>0</v>
      </c>
      <c r="M135" s="146">
        <v>0</v>
      </c>
      <c r="N135" s="72">
        <v>0</v>
      </c>
      <c r="O135" s="72">
        <v>0</v>
      </c>
      <c r="P135" s="72">
        <f t="shared" si="13"/>
        <v>0</v>
      </c>
      <c r="Q135" s="72">
        <f t="shared" ref="Q135:Q198" si="27">P135-L135</f>
        <v>0</v>
      </c>
      <c r="R135" s="72"/>
      <c r="S135" s="56"/>
      <c r="T135" s="74">
        <f t="shared" ref="T135:T198" si="28">E135*G135</f>
        <v>0</v>
      </c>
      <c r="U135" s="74">
        <v>0</v>
      </c>
      <c r="V135" s="74">
        <f t="shared" ref="V135:V198" si="29">F135*H135</f>
        <v>0</v>
      </c>
      <c r="W135" s="74">
        <f t="shared" ref="W135:W198" si="30">F135*I135</f>
        <v>0</v>
      </c>
      <c r="X135" s="74">
        <f t="shared" ref="X135:X198" si="31">F135*J135</f>
        <v>0</v>
      </c>
      <c r="Y135" s="74">
        <f t="shared" ref="Y135:Y198" si="32">F135*K135</f>
        <v>0</v>
      </c>
      <c r="Z135" s="74">
        <f t="shared" si="22"/>
        <v>0</v>
      </c>
      <c r="AA135" s="75">
        <f t="shared" si="26"/>
        <v>0</v>
      </c>
      <c r="AB135" s="75">
        <f t="shared" si="21"/>
        <v>0</v>
      </c>
    </row>
    <row r="136" spans="1:28" ht="24">
      <c r="A136" s="123" t="s">
        <v>278</v>
      </c>
      <c r="B136" s="69"/>
      <c r="C136" s="69"/>
      <c r="D136" s="124" t="s">
        <v>279</v>
      </c>
      <c r="E136" s="125">
        <v>176.29</v>
      </c>
      <c r="F136" s="125">
        <v>176.29</v>
      </c>
      <c r="G136" s="120">
        <v>0</v>
      </c>
      <c r="H136" s="122">
        <v>0</v>
      </c>
      <c r="I136" s="122">
        <v>0</v>
      </c>
      <c r="J136" s="122">
        <v>0</v>
      </c>
      <c r="K136" s="120">
        <v>0</v>
      </c>
      <c r="L136" s="72">
        <f t="shared" si="12"/>
        <v>0</v>
      </c>
      <c r="M136" s="146">
        <v>0</v>
      </c>
      <c r="N136" s="72">
        <v>0</v>
      </c>
      <c r="O136" s="72">
        <v>0</v>
      </c>
      <c r="P136" s="72">
        <f t="shared" si="13"/>
        <v>0</v>
      </c>
      <c r="Q136" s="72">
        <f t="shared" si="27"/>
        <v>0</v>
      </c>
      <c r="R136" s="72"/>
      <c r="S136" s="56"/>
      <c r="T136" s="74">
        <f t="shared" si="28"/>
        <v>0</v>
      </c>
      <c r="U136" s="74">
        <v>0</v>
      </c>
      <c r="V136" s="74">
        <f t="shared" si="29"/>
        <v>0</v>
      </c>
      <c r="W136" s="74">
        <f t="shared" si="30"/>
        <v>0</v>
      </c>
      <c r="X136" s="74">
        <f t="shared" si="31"/>
        <v>0</v>
      </c>
      <c r="Y136" s="74">
        <f t="shared" si="32"/>
        <v>0</v>
      </c>
      <c r="Z136" s="74">
        <f t="shared" ref="Z136:Z199" si="33">T136+U136+V136+W136-X136-Y136</f>
        <v>0</v>
      </c>
      <c r="AA136" s="75">
        <f t="shared" si="26"/>
        <v>0</v>
      </c>
      <c r="AB136" s="75">
        <f t="shared" si="21"/>
        <v>0</v>
      </c>
    </row>
    <row r="137" spans="1:28" ht="24">
      <c r="A137" s="123" t="s">
        <v>280</v>
      </c>
      <c r="B137" s="69"/>
      <c r="C137" s="69"/>
      <c r="D137" s="124" t="s">
        <v>281</v>
      </c>
      <c r="E137" s="125">
        <v>159.5</v>
      </c>
      <c r="F137" s="125">
        <v>159.5</v>
      </c>
      <c r="G137" s="120">
        <v>6</v>
      </c>
      <c r="H137" s="122">
        <v>0</v>
      </c>
      <c r="I137" s="122">
        <v>0</v>
      </c>
      <c r="J137" s="122">
        <v>1</v>
      </c>
      <c r="K137" s="120">
        <v>0</v>
      </c>
      <c r="L137" s="72">
        <f t="shared" ref="L137:L200" si="34">G137+H137+I137-J137-K137</f>
        <v>5</v>
      </c>
      <c r="M137" s="146">
        <v>5</v>
      </c>
      <c r="N137" s="72">
        <v>0</v>
      </c>
      <c r="O137" s="72">
        <v>0</v>
      </c>
      <c r="P137" s="72">
        <f t="shared" ref="P137:P200" si="35">M137+N137+O137</f>
        <v>5</v>
      </c>
      <c r="Q137" s="72">
        <f t="shared" si="27"/>
        <v>0</v>
      </c>
      <c r="R137" s="72"/>
      <c r="S137" s="56"/>
      <c r="T137" s="74">
        <f t="shared" si="28"/>
        <v>957</v>
      </c>
      <c r="U137" s="74">
        <v>0</v>
      </c>
      <c r="V137" s="74">
        <f t="shared" si="29"/>
        <v>0</v>
      </c>
      <c r="W137" s="74">
        <f t="shared" si="30"/>
        <v>0</v>
      </c>
      <c r="X137" s="74">
        <f t="shared" si="31"/>
        <v>159.5</v>
      </c>
      <c r="Y137" s="74">
        <f t="shared" si="32"/>
        <v>0</v>
      </c>
      <c r="Z137" s="74">
        <f t="shared" si="33"/>
        <v>797.5</v>
      </c>
      <c r="AA137" s="75">
        <f t="shared" si="26"/>
        <v>797.5</v>
      </c>
      <c r="AB137" s="75">
        <f t="shared" ref="AB137:AB200" si="36">AA137-Z137</f>
        <v>0</v>
      </c>
    </row>
    <row r="138" spans="1:28" ht="24">
      <c r="A138" s="123" t="s">
        <v>282</v>
      </c>
      <c r="B138" s="69"/>
      <c r="C138" s="69"/>
      <c r="D138" s="124" t="s">
        <v>283</v>
      </c>
      <c r="E138" s="125">
        <v>179.8</v>
      </c>
      <c r="F138" s="125">
        <v>179.8</v>
      </c>
      <c r="G138" s="120">
        <v>0</v>
      </c>
      <c r="H138" s="122">
        <v>0</v>
      </c>
      <c r="I138" s="122">
        <v>0</v>
      </c>
      <c r="J138" s="122">
        <v>0</v>
      </c>
      <c r="K138" s="120">
        <v>0</v>
      </c>
      <c r="L138" s="72">
        <f t="shared" si="34"/>
        <v>0</v>
      </c>
      <c r="M138" s="146">
        <v>0</v>
      </c>
      <c r="N138" s="72">
        <v>0</v>
      </c>
      <c r="O138" s="72">
        <v>0</v>
      </c>
      <c r="P138" s="72">
        <f t="shared" si="35"/>
        <v>0</v>
      </c>
      <c r="Q138" s="72">
        <f t="shared" si="27"/>
        <v>0</v>
      </c>
      <c r="R138" s="72"/>
      <c r="S138" s="56"/>
      <c r="T138" s="74">
        <f t="shared" si="28"/>
        <v>0</v>
      </c>
      <c r="U138" s="74">
        <v>0</v>
      </c>
      <c r="V138" s="74">
        <f t="shared" si="29"/>
        <v>0</v>
      </c>
      <c r="W138" s="74">
        <f t="shared" si="30"/>
        <v>0</v>
      </c>
      <c r="X138" s="74">
        <f t="shared" si="31"/>
        <v>0</v>
      </c>
      <c r="Y138" s="74">
        <f t="shared" si="32"/>
        <v>0</v>
      </c>
      <c r="Z138" s="74">
        <f t="shared" si="33"/>
        <v>0</v>
      </c>
      <c r="AA138" s="75">
        <f t="shared" si="26"/>
        <v>0</v>
      </c>
      <c r="AB138" s="75">
        <f t="shared" si="36"/>
        <v>0</v>
      </c>
    </row>
    <row r="139" spans="1:28">
      <c r="A139" s="123" t="s">
        <v>284</v>
      </c>
      <c r="B139" s="69"/>
      <c r="C139" s="69"/>
      <c r="D139" s="124" t="s">
        <v>285</v>
      </c>
      <c r="E139" s="125">
        <v>279.04000000000002</v>
      </c>
      <c r="F139" s="125">
        <v>279.04000000000002</v>
      </c>
      <c r="G139" s="120">
        <v>0</v>
      </c>
      <c r="H139" s="122">
        <v>0</v>
      </c>
      <c r="I139" s="122">
        <v>0</v>
      </c>
      <c r="J139" s="122">
        <v>0</v>
      </c>
      <c r="K139" s="120">
        <v>0</v>
      </c>
      <c r="L139" s="72">
        <f t="shared" si="34"/>
        <v>0</v>
      </c>
      <c r="M139" s="146">
        <v>0</v>
      </c>
      <c r="N139" s="72">
        <v>0</v>
      </c>
      <c r="O139" s="72">
        <v>0</v>
      </c>
      <c r="P139" s="72">
        <f t="shared" si="35"/>
        <v>0</v>
      </c>
      <c r="Q139" s="72">
        <f t="shared" si="27"/>
        <v>0</v>
      </c>
      <c r="R139" s="72"/>
      <c r="S139" s="56"/>
      <c r="T139" s="74">
        <f t="shared" si="28"/>
        <v>0</v>
      </c>
      <c r="U139" s="74">
        <v>0</v>
      </c>
      <c r="V139" s="74">
        <f t="shared" si="29"/>
        <v>0</v>
      </c>
      <c r="W139" s="74">
        <f t="shared" si="30"/>
        <v>0</v>
      </c>
      <c r="X139" s="74">
        <f t="shared" si="31"/>
        <v>0</v>
      </c>
      <c r="Y139" s="74">
        <f t="shared" si="32"/>
        <v>0</v>
      </c>
      <c r="Z139" s="74">
        <f t="shared" si="33"/>
        <v>0</v>
      </c>
      <c r="AA139" s="75">
        <f t="shared" si="26"/>
        <v>0</v>
      </c>
      <c r="AB139" s="75">
        <f t="shared" si="36"/>
        <v>0</v>
      </c>
    </row>
    <row r="140" spans="1:28" s="190" customFormat="1">
      <c r="A140" s="182" t="s">
        <v>286</v>
      </c>
      <c r="B140" s="182"/>
      <c r="C140" s="182"/>
      <c r="D140" s="183" t="s">
        <v>287</v>
      </c>
      <c r="E140" s="184">
        <v>152.25</v>
      </c>
      <c r="F140" s="184">
        <v>152.25</v>
      </c>
      <c r="G140" s="185">
        <v>7</v>
      </c>
      <c r="H140" s="186">
        <v>0</v>
      </c>
      <c r="I140" s="186">
        <v>0</v>
      </c>
      <c r="J140" s="186">
        <v>0</v>
      </c>
      <c r="K140" s="185">
        <v>0</v>
      </c>
      <c r="L140" s="185">
        <f t="shared" si="34"/>
        <v>7</v>
      </c>
      <c r="M140" s="185">
        <v>7</v>
      </c>
      <c r="N140" s="185">
        <v>0</v>
      </c>
      <c r="O140" s="185">
        <v>0</v>
      </c>
      <c r="P140" s="185">
        <f t="shared" si="35"/>
        <v>7</v>
      </c>
      <c r="Q140" s="185">
        <f t="shared" si="27"/>
        <v>0</v>
      </c>
      <c r="R140" s="185"/>
      <c r="S140" s="187"/>
      <c r="T140" s="188">
        <f t="shared" si="28"/>
        <v>1065.75</v>
      </c>
      <c r="U140" s="188">
        <v>0</v>
      </c>
      <c r="V140" s="188">
        <f t="shared" si="29"/>
        <v>0</v>
      </c>
      <c r="W140" s="188">
        <f t="shared" si="30"/>
        <v>0</v>
      </c>
      <c r="X140" s="188">
        <f t="shared" si="31"/>
        <v>0</v>
      </c>
      <c r="Y140" s="188">
        <f t="shared" si="32"/>
        <v>0</v>
      </c>
      <c r="Z140" s="188">
        <f t="shared" si="33"/>
        <v>1065.75</v>
      </c>
      <c r="AA140" s="189">
        <f t="shared" si="26"/>
        <v>1065.75</v>
      </c>
      <c r="AB140" s="189">
        <f t="shared" si="36"/>
        <v>0</v>
      </c>
    </row>
    <row r="141" spans="1:28" s="157" customFormat="1">
      <c r="A141" s="154" t="s">
        <v>288</v>
      </c>
      <c r="B141" s="158"/>
      <c r="C141" s="158"/>
      <c r="D141" s="126" t="s">
        <v>289</v>
      </c>
      <c r="E141" s="127">
        <v>690</v>
      </c>
      <c r="F141" s="127">
        <v>690</v>
      </c>
      <c r="G141" s="156">
        <v>1</v>
      </c>
      <c r="H141" s="155">
        <v>0</v>
      </c>
      <c r="I141" s="155">
        <v>0</v>
      </c>
      <c r="J141" s="155">
        <v>0</v>
      </c>
      <c r="K141" s="162">
        <v>1</v>
      </c>
      <c r="L141" s="156">
        <f t="shared" si="34"/>
        <v>0</v>
      </c>
      <c r="M141" s="146">
        <v>0</v>
      </c>
      <c r="N141" s="128">
        <v>0</v>
      </c>
      <c r="O141" s="130"/>
      <c r="P141" s="128">
        <f t="shared" si="35"/>
        <v>0</v>
      </c>
      <c r="Q141" s="128">
        <f t="shared" si="27"/>
        <v>0</v>
      </c>
      <c r="R141" s="128"/>
      <c r="S141" s="56"/>
      <c r="T141" s="74">
        <f t="shared" si="28"/>
        <v>690</v>
      </c>
      <c r="U141" s="74">
        <v>0</v>
      </c>
      <c r="V141" s="74">
        <f t="shared" si="29"/>
        <v>0</v>
      </c>
      <c r="W141" s="74">
        <f t="shared" si="30"/>
        <v>0</v>
      </c>
      <c r="X141" s="74">
        <f t="shared" si="31"/>
        <v>0</v>
      </c>
      <c r="Y141" s="74">
        <f t="shared" si="32"/>
        <v>690</v>
      </c>
      <c r="Z141" s="74">
        <f t="shared" si="33"/>
        <v>0</v>
      </c>
      <c r="AA141" s="75">
        <f t="shared" si="26"/>
        <v>0</v>
      </c>
      <c r="AB141" s="75">
        <f t="shared" si="36"/>
        <v>0</v>
      </c>
    </row>
    <row r="142" spans="1:28" s="157" customFormat="1">
      <c r="A142" s="154" t="s">
        <v>290</v>
      </c>
      <c r="B142" s="158"/>
      <c r="C142" s="158"/>
      <c r="D142" s="126" t="s">
        <v>291</v>
      </c>
      <c r="E142" s="127">
        <v>650</v>
      </c>
      <c r="F142" s="127">
        <v>650</v>
      </c>
      <c r="G142" s="156">
        <v>2</v>
      </c>
      <c r="H142" s="155">
        <v>0</v>
      </c>
      <c r="I142" s="155">
        <v>0</v>
      </c>
      <c r="J142" s="155">
        <v>0</v>
      </c>
      <c r="K142" s="162">
        <v>2</v>
      </c>
      <c r="L142" s="156">
        <f t="shared" si="34"/>
        <v>0</v>
      </c>
      <c r="M142" s="146">
        <v>0</v>
      </c>
      <c r="N142" s="128">
        <v>0</v>
      </c>
      <c r="O142" s="130"/>
      <c r="P142" s="128">
        <f t="shared" si="35"/>
        <v>0</v>
      </c>
      <c r="Q142" s="128">
        <f t="shared" si="27"/>
        <v>0</v>
      </c>
      <c r="R142" s="128"/>
      <c r="S142" s="56"/>
      <c r="T142" s="74">
        <f t="shared" si="28"/>
        <v>1300</v>
      </c>
      <c r="U142" s="74">
        <v>0</v>
      </c>
      <c r="V142" s="74">
        <f t="shared" si="29"/>
        <v>0</v>
      </c>
      <c r="W142" s="74">
        <f t="shared" si="30"/>
        <v>0</v>
      </c>
      <c r="X142" s="74">
        <f t="shared" si="31"/>
        <v>0</v>
      </c>
      <c r="Y142" s="74">
        <f t="shared" si="32"/>
        <v>1300</v>
      </c>
      <c r="Z142" s="74">
        <f t="shared" si="33"/>
        <v>0</v>
      </c>
      <c r="AA142" s="75">
        <f t="shared" si="26"/>
        <v>0</v>
      </c>
      <c r="AB142" s="75">
        <f t="shared" si="36"/>
        <v>0</v>
      </c>
    </row>
    <row r="143" spans="1:28" s="157" customFormat="1">
      <c r="A143" s="154" t="s">
        <v>292</v>
      </c>
      <c r="B143" s="158"/>
      <c r="C143" s="158"/>
      <c r="D143" s="126" t="s">
        <v>293</v>
      </c>
      <c r="E143" s="127">
        <v>590</v>
      </c>
      <c r="F143" s="127">
        <v>590</v>
      </c>
      <c r="G143" s="156">
        <v>1</v>
      </c>
      <c r="H143" s="155">
        <v>0</v>
      </c>
      <c r="I143" s="155">
        <v>0</v>
      </c>
      <c r="J143" s="155">
        <v>0</v>
      </c>
      <c r="K143" s="162">
        <v>1</v>
      </c>
      <c r="L143" s="156">
        <f t="shared" si="34"/>
        <v>0</v>
      </c>
      <c r="M143" s="146">
        <v>0</v>
      </c>
      <c r="N143" s="128">
        <v>0</v>
      </c>
      <c r="O143" s="130"/>
      <c r="P143" s="128">
        <f t="shared" si="35"/>
        <v>0</v>
      </c>
      <c r="Q143" s="128">
        <f t="shared" si="27"/>
        <v>0</v>
      </c>
      <c r="R143" s="128"/>
      <c r="S143" s="56"/>
      <c r="T143" s="74">
        <f t="shared" si="28"/>
        <v>590</v>
      </c>
      <c r="U143" s="74">
        <v>0</v>
      </c>
      <c r="V143" s="74">
        <f t="shared" si="29"/>
        <v>0</v>
      </c>
      <c r="W143" s="74">
        <f t="shared" si="30"/>
        <v>0</v>
      </c>
      <c r="X143" s="74">
        <f t="shared" si="31"/>
        <v>0</v>
      </c>
      <c r="Y143" s="74">
        <f t="shared" si="32"/>
        <v>590</v>
      </c>
      <c r="Z143" s="74">
        <f t="shared" si="33"/>
        <v>0</v>
      </c>
      <c r="AA143" s="75">
        <f t="shared" si="26"/>
        <v>0</v>
      </c>
      <c r="AB143" s="75">
        <f t="shared" si="36"/>
        <v>0</v>
      </c>
    </row>
    <row r="144" spans="1:28">
      <c r="A144" s="123" t="s">
        <v>294</v>
      </c>
      <c r="B144" s="69"/>
      <c r="C144" s="69"/>
      <c r="D144" s="124" t="s">
        <v>295</v>
      </c>
      <c r="E144" s="125">
        <v>0</v>
      </c>
      <c r="F144" s="125">
        <v>0</v>
      </c>
      <c r="G144" s="120">
        <v>0</v>
      </c>
      <c r="H144" s="122">
        <v>0</v>
      </c>
      <c r="I144" s="122">
        <v>0</v>
      </c>
      <c r="J144" s="122">
        <v>0</v>
      </c>
      <c r="K144" s="120">
        <v>0</v>
      </c>
      <c r="L144" s="72">
        <f t="shared" si="34"/>
        <v>0</v>
      </c>
      <c r="M144" s="146">
        <v>0</v>
      </c>
      <c r="N144" s="72">
        <v>0</v>
      </c>
      <c r="O144" s="72">
        <v>0</v>
      </c>
      <c r="P144" s="72">
        <f t="shared" si="35"/>
        <v>0</v>
      </c>
      <c r="Q144" s="72">
        <f t="shared" si="27"/>
        <v>0</v>
      </c>
      <c r="R144" s="72"/>
      <c r="S144" s="56"/>
      <c r="T144" s="74">
        <f t="shared" si="28"/>
        <v>0</v>
      </c>
      <c r="U144" s="74">
        <v>0</v>
      </c>
      <c r="V144" s="74">
        <f t="shared" si="29"/>
        <v>0</v>
      </c>
      <c r="W144" s="74">
        <f t="shared" si="30"/>
        <v>0</v>
      </c>
      <c r="X144" s="74">
        <f t="shared" si="31"/>
        <v>0</v>
      </c>
      <c r="Y144" s="74">
        <f t="shared" si="32"/>
        <v>0</v>
      </c>
      <c r="Z144" s="74">
        <f t="shared" si="33"/>
        <v>0</v>
      </c>
      <c r="AA144" s="75">
        <f t="shared" si="26"/>
        <v>0</v>
      </c>
      <c r="AB144" s="75">
        <f t="shared" si="36"/>
        <v>0</v>
      </c>
    </row>
    <row r="145" spans="1:29">
      <c r="A145" s="123" t="s">
        <v>296</v>
      </c>
      <c r="B145" s="69"/>
      <c r="C145" s="69"/>
      <c r="D145" s="124" t="s">
        <v>297</v>
      </c>
      <c r="E145" s="125">
        <v>220.17</v>
      </c>
      <c r="F145" s="125">
        <v>220.17</v>
      </c>
      <c r="G145" s="120">
        <v>3</v>
      </c>
      <c r="H145" s="122">
        <v>0</v>
      </c>
      <c r="I145" s="122">
        <v>0</v>
      </c>
      <c r="J145" s="122">
        <v>0</v>
      </c>
      <c r="K145" s="120">
        <v>0</v>
      </c>
      <c r="L145" s="72">
        <f t="shared" si="34"/>
        <v>3</v>
      </c>
      <c r="M145" s="146">
        <v>3</v>
      </c>
      <c r="N145" s="72">
        <v>0</v>
      </c>
      <c r="O145" s="72">
        <v>0</v>
      </c>
      <c r="P145" s="72">
        <f t="shared" si="35"/>
        <v>3</v>
      </c>
      <c r="Q145" s="72">
        <f t="shared" si="27"/>
        <v>0</v>
      </c>
      <c r="R145" s="72"/>
      <c r="S145" s="56"/>
      <c r="T145" s="74">
        <f t="shared" si="28"/>
        <v>660.51</v>
      </c>
      <c r="U145" s="74">
        <v>0</v>
      </c>
      <c r="V145" s="74">
        <f t="shared" si="29"/>
        <v>0</v>
      </c>
      <c r="W145" s="74">
        <f t="shared" si="30"/>
        <v>0</v>
      </c>
      <c r="X145" s="74">
        <f t="shared" si="31"/>
        <v>0</v>
      </c>
      <c r="Y145" s="74">
        <f t="shared" si="32"/>
        <v>0</v>
      </c>
      <c r="Z145" s="74">
        <f t="shared" si="33"/>
        <v>660.51</v>
      </c>
      <c r="AA145" s="75">
        <f t="shared" si="26"/>
        <v>660.51</v>
      </c>
      <c r="AB145" s="75">
        <f t="shared" si="36"/>
        <v>0</v>
      </c>
    </row>
    <row r="146" spans="1:29">
      <c r="A146" s="123" t="s">
        <v>298</v>
      </c>
      <c r="B146" s="69"/>
      <c r="C146" s="69"/>
      <c r="D146" s="124" t="s">
        <v>299</v>
      </c>
      <c r="E146" s="125">
        <v>50</v>
      </c>
      <c r="F146" s="125">
        <v>50</v>
      </c>
      <c r="G146" s="120">
        <v>0</v>
      </c>
      <c r="H146" s="122">
        <v>0</v>
      </c>
      <c r="I146" s="122">
        <v>0</v>
      </c>
      <c r="J146" s="122">
        <v>0</v>
      </c>
      <c r="K146" s="120">
        <v>0</v>
      </c>
      <c r="L146" s="72">
        <f t="shared" si="34"/>
        <v>0</v>
      </c>
      <c r="M146" s="146">
        <v>0</v>
      </c>
      <c r="N146" s="72">
        <v>0</v>
      </c>
      <c r="O146" s="72">
        <v>0</v>
      </c>
      <c r="P146" s="72">
        <f t="shared" si="35"/>
        <v>0</v>
      </c>
      <c r="Q146" s="72">
        <f t="shared" si="27"/>
        <v>0</v>
      </c>
      <c r="R146" s="72"/>
      <c r="S146" s="56"/>
      <c r="T146" s="74">
        <f t="shared" si="28"/>
        <v>0</v>
      </c>
      <c r="U146" s="74">
        <v>0</v>
      </c>
      <c r="V146" s="74">
        <f t="shared" si="29"/>
        <v>0</v>
      </c>
      <c r="W146" s="74">
        <f t="shared" si="30"/>
        <v>0</v>
      </c>
      <c r="X146" s="74">
        <f t="shared" si="31"/>
        <v>0</v>
      </c>
      <c r="Y146" s="74">
        <f t="shared" si="32"/>
        <v>0</v>
      </c>
      <c r="Z146" s="74">
        <f t="shared" si="33"/>
        <v>0</v>
      </c>
      <c r="AA146" s="75">
        <f t="shared" si="26"/>
        <v>0</v>
      </c>
      <c r="AB146" s="75">
        <f t="shared" si="36"/>
        <v>0</v>
      </c>
    </row>
    <row r="147" spans="1:29">
      <c r="A147" s="123" t="s">
        <v>300</v>
      </c>
      <c r="B147" s="69"/>
      <c r="C147" s="69"/>
      <c r="D147" s="124" t="s">
        <v>812</v>
      </c>
      <c r="E147" s="125">
        <v>467.15</v>
      </c>
      <c r="F147" s="125">
        <v>467.15</v>
      </c>
      <c r="G147" s="120">
        <v>0</v>
      </c>
      <c r="H147" s="122">
        <v>0</v>
      </c>
      <c r="I147" s="122">
        <v>0</v>
      </c>
      <c r="J147" s="122">
        <v>0</v>
      </c>
      <c r="K147" s="120">
        <v>0</v>
      </c>
      <c r="L147" s="72">
        <f t="shared" si="34"/>
        <v>0</v>
      </c>
      <c r="M147" s="146">
        <v>0</v>
      </c>
      <c r="N147" s="72">
        <v>0</v>
      </c>
      <c r="O147" s="72">
        <v>0</v>
      </c>
      <c r="P147" s="72">
        <f t="shared" si="35"/>
        <v>0</v>
      </c>
      <c r="Q147" s="72">
        <f t="shared" si="27"/>
        <v>0</v>
      </c>
      <c r="R147" s="72"/>
      <c r="S147" s="56"/>
      <c r="T147" s="74">
        <f t="shared" si="28"/>
        <v>0</v>
      </c>
      <c r="U147" s="74">
        <v>0</v>
      </c>
      <c r="V147" s="74">
        <f t="shared" si="29"/>
        <v>0</v>
      </c>
      <c r="W147" s="74">
        <f t="shared" si="30"/>
        <v>0</v>
      </c>
      <c r="X147" s="74">
        <f t="shared" si="31"/>
        <v>0</v>
      </c>
      <c r="Y147" s="74">
        <f t="shared" si="32"/>
        <v>0</v>
      </c>
      <c r="Z147" s="74">
        <f t="shared" si="33"/>
        <v>0</v>
      </c>
      <c r="AA147" s="75">
        <f t="shared" si="26"/>
        <v>0</v>
      </c>
      <c r="AB147" s="75">
        <f t="shared" si="36"/>
        <v>0</v>
      </c>
    </row>
    <row r="148" spans="1:29">
      <c r="A148" s="123" t="s">
        <v>302</v>
      </c>
      <c r="B148" s="140" t="s">
        <v>715</v>
      </c>
      <c r="C148" s="140"/>
      <c r="D148" s="124" t="s">
        <v>303</v>
      </c>
      <c r="E148" s="125">
        <v>680</v>
      </c>
      <c r="F148" s="125">
        <v>680</v>
      </c>
      <c r="G148" s="120">
        <v>1</v>
      </c>
      <c r="H148" s="122">
        <v>0</v>
      </c>
      <c r="I148" s="122">
        <v>0</v>
      </c>
      <c r="J148" s="122">
        <v>0</v>
      </c>
      <c r="K148" s="120">
        <v>0</v>
      </c>
      <c r="L148" s="72">
        <f t="shared" si="34"/>
        <v>1</v>
      </c>
      <c r="M148" s="146">
        <v>1</v>
      </c>
      <c r="N148" s="72">
        <v>0</v>
      </c>
      <c r="O148" s="72">
        <v>0</v>
      </c>
      <c r="P148" s="72">
        <f t="shared" si="35"/>
        <v>1</v>
      </c>
      <c r="Q148" s="72">
        <f t="shared" si="27"/>
        <v>0</v>
      </c>
      <c r="R148" s="72"/>
      <c r="S148" s="56"/>
      <c r="T148" s="74">
        <f t="shared" si="28"/>
        <v>680</v>
      </c>
      <c r="U148" s="74">
        <v>0</v>
      </c>
      <c r="V148" s="74">
        <f t="shared" si="29"/>
        <v>0</v>
      </c>
      <c r="W148" s="74">
        <f t="shared" si="30"/>
        <v>0</v>
      </c>
      <c r="X148" s="74">
        <f t="shared" si="31"/>
        <v>0</v>
      </c>
      <c r="Y148" s="74">
        <f t="shared" si="32"/>
        <v>0</v>
      </c>
      <c r="Z148" s="74">
        <f t="shared" si="33"/>
        <v>680</v>
      </c>
      <c r="AA148" s="75">
        <f t="shared" si="26"/>
        <v>680</v>
      </c>
      <c r="AB148" s="75">
        <f t="shared" si="36"/>
        <v>0</v>
      </c>
    </row>
    <row r="149" spans="1:29">
      <c r="A149" s="123" t="s">
        <v>304</v>
      </c>
      <c r="B149" s="69"/>
      <c r="C149" s="69"/>
      <c r="D149" s="124" t="s">
        <v>305</v>
      </c>
      <c r="E149" s="125">
        <v>0</v>
      </c>
      <c r="F149" s="125">
        <v>0</v>
      </c>
      <c r="G149" s="120">
        <v>0</v>
      </c>
      <c r="H149" s="122">
        <v>0</v>
      </c>
      <c r="I149" s="122">
        <v>0</v>
      </c>
      <c r="J149" s="122">
        <v>0</v>
      </c>
      <c r="K149" s="120">
        <v>0</v>
      </c>
      <c r="L149" s="72">
        <f t="shared" si="34"/>
        <v>0</v>
      </c>
      <c r="M149" s="146">
        <v>0</v>
      </c>
      <c r="N149" s="72">
        <v>0</v>
      </c>
      <c r="O149" s="72">
        <v>0</v>
      </c>
      <c r="P149" s="72">
        <f t="shared" si="35"/>
        <v>0</v>
      </c>
      <c r="Q149" s="72">
        <f t="shared" si="27"/>
        <v>0</v>
      </c>
      <c r="R149" s="72"/>
      <c r="S149" s="56"/>
      <c r="T149" s="74">
        <f t="shared" si="28"/>
        <v>0</v>
      </c>
      <c r="U149" s="74">
        <v>0</v>
      </c>
      <c r="V149" s="74">
        <f t="shared" si="29"/>
        <v>0</v>
      </c>
      <c r="W149" s="74">
        <f t="shared" si="30"/>
        <v>0</v>
      </c>
      <c r="X149" s="74">
        <f t="shared" si="31"/>
        <v>0</v>
      </c>
      <c r="Y149" s="74">
        <f t="shared" si="32"/>
        <v>0</v>
      </c>
      <c r="Z149" s="74">
        <f t="shared" si="33"/>
        <v>0</v>
      </c>
      <c r="AA149" s="75">
        <f t="shared" si="26"/>
        <v>0</v>
      </c>
      <c r="AB149" s="75">
        <f t="shared" si="36"/>
        <v>0</v>
      </c>
    </row>
    <row r="150" spans="1:29" ht="24">
      <c r="A150" s="123" t="s">
        <v>306</v>
      </c>
      <c r="B150" s="69"/>
      <c r="C150" s="69"/>
      <c r="D150" s="124" t="s">
        <v>307</v>
      </c>
      <c r="E150" s="125">
        <v>1850</v>
      </c>
      <c r="F150" s="125">
        <v>1850</v>
      </c>
      <c r="G150" s="120">
        <v>0</v>
      </c>
      <c r="H150" s="122">
        <v>0</v>
      </c>
      <c r="I150" s="122">
        <v>0</v>
      </c>
      <c r="J150" s="122">
        <v>0</v>
      </c>
      <c r="K150" s="120">
        <v>0</v>
      </c>
      <c r="L150" s="72">
        <f t="shared" si="34"/>
        <v>0</v>
      </c>
      <c r="M150" s="146">
        <v>0</v>
      </c>
      <c r="N150" s="72">
        <v>0</v>
      </c>
      <c r="O150" s="72">
        <v>0</v>
      </c>
      <c r="P150" s="72">
        <f t="shared" si="35"/>
        <v>0</v>
      </c>
      <c r="Q150" s="72">
        <f t="shared" si="27"/>
        <v>0</v>
      </c>
      <c r="R150" s="72"/>
      <c r="S150" s="56"/>
      <c r="T150" s="74">
        <f t="shared" si="28"/>
        <v>0</v>
      </c>
      <c r="U150" s="74">
        <v>0</v>
      </c>
      <c r="V150" s="74">
        <f t="shared" si="29"/>
        <v>0</v>
      </c>
      <c r="W150" s="74">
        <f t="shared" si="30"/>
        <v>0</v>
      </c>
      <c r="X150" s="74">
        <f t="shared" si="31"/>
        <v>0</v>
      </c>
      <c r="Y150" s="74">
        <f t="shared" si="32"/>
        <v>0</v>
      </c>
      <c r="Z150" s="74">
        <f t="shared" si="33"/>
        <v>0</v>
      </c>
      <c r="AA150" s="75">
        <f t="shared" si="26"/>
        <v>0</v>
      </c>
      <c r="AB150" s="75">
        <f t="shared" si="36"/>
        <v>0</v>
      </c>
    </row>
    <row r="151" spans="1:29">
      <c r="A151" s="123" t="s">
        <v>308</v>
      </c>
      <c r="B151" s="140" t="s">
        <v>309</v>
      </c>
      <c r="C151" s="140"/>
      <c r="D151" s="124" t="s">
        <v>813</v>
      </c>
      <c r="E151" s="125">
        <v>450</v>
      </c>
      <c r="F151" s="125">
        <v>450</v>
      </c>
      <c r="G151" s="120">
        <v>1</v>
      </c>
      <c r="H151" s="122">
        <v>0</v>
      </c>
      <c r="I151" s="122">
        <v>0</v>
      </c>
      <c r="J151" s="122">
        <v>0</v>
      </c>
      <c r="K151" s="120">
        <v>0</v>
      </c>
      <c r="L151" s="72">
        <f t="shared" si="34"/>
        <v>1</v>
      </c>
      <c r="M151" s="146">
        <v>1</v>
      </c>
      <c r="N151" s="72">
        <v>0</v>
      </c>
      <c r="O151" s="72">
        <v>0</v>
      </c>
      <c r="P151" s="72">
        <f t="shared" si="35"/>
        <v>1</v>
      </c>
      <c r="Q151" s="72">
        <f t="shared" si="27"/>
        <v>0</v>
      </c>
      <c r="R151" s="72"/>
      <c r="S151" s="56"/>
      <c r="T151" s="74">
        <f t="shared" si="28"/>
        <v>450</v>
      </c>
      <c r="U151" s="74">
        <v>0</v>
      </c>
      <c r="V151" s="74">
        <f t="shared" si="29"/>
        <v>0</v>
      </c>
      <c r="W151" s="74">
        <f t="shared" si="30"/>
        <v>0</v>
      </c>
      <c r="X151" s="74">
        <f t="shared" si="31"/>
        <v>0</v>
      </c>
      <c r="Y151" s="74">
        <f t="shared" si="32"/>
        <v>0</v>
      </c>
      <c r="Z151" s="74">
        <f t="shared" si="33"/>
        <v>450</v>
      </c>
      <c r="AA151" s="75">
        <f t="shared" si="26"/>
        <v>450</v>
      </c>
      <c r="AB151" s="75">
        <f t="shared" si="36"/>
        <v>0</v>
      </c>
    </row>
    <row r="152" spans="1:29">
      <c r="A152" s="123" t="s">
        <v>310</v>
      </c>
      <c r="B152" s="69"/>
      <c r="C152" s="69"/>
      <c r="D152" s="124" t="s">
        <v>311</v>
      </c>
      <c r="E152" s="125">
        <v>62.64</v>
      </c>
      <c r="F152" s="125">
        <v>62.64</v>
      </c>
      <c r="G152" s="120">
        <v>0</v>
      </c>
      <c r="H152" s="122">
        <v>0</v>
      </c>
      <c r="I152" s="122">
        <v>0</v>
      </c>
      <c r="J152" s="122">
        <v>0</v>
      </c>
      <c r="K152" s="120">
        <v>0</v>
      </c>
      <c r="L152" s="72">
        <f t="shared" si="34"/>
        <v>0</v>
      </c>
      <c r="M152" s="146">
        <v>0</v>
      </c>
      <c r="N152" s="72">
        <v>0</v>
      </c>
      <c r="O152" s="72">
        <v>0</v>
      </c>
      <c r="P152" s="72">
        <f t="shared" si="35"/>
        <v>0</v>
      </c>
      <c r="Q152" s="72">
        <f t="shared" si="27"/>
        <v>0</v>
      </c>
      <c r="R152" s="72"/>
      <c r="S152" s="56"/>
      <c r="T152" s="74">
        <f t="shared" si="28"/>
        <v>0</v>
      </c>
      <c r="U152" s="74">
        <v>0</v>
      </c>
      <c r="V152" s="74">
        <f t="shared" si="29"/>
        <v>0</v>
      </c>
      <c r="W152" s="74">
        <f t="shared" si="30"/>
        <v>0</v>
      </c>
      <c r="X152" s="74">
        <f t="shared" si="31"/>
        <v>0</v>
      </c>
      <c r="Y152" s="74">
        <f t="shared" si="32"/>
        <v>0</v>
      </c>
      <c r="Z152" s="74">
        <f t="shared" si="33"/>
        <v>0</v>
      </c>
      <c r="AA152" s="75">
        <f t="shared" si="26"/>
        <v>0</v>
      </c>
      <c r="AB152" s="75">
        <f t="shared" si="36"/>
        <v>0</v>
      </c>
    </row>
    <row r="153" spans="1:29">
      <c r="A153" s="123" t="s">
        <v>312</v>
      </c>
      <c r="B153" s="69"/>
      <c r="C153" s="69"/>
      <c r="D153" s="124" t="s">
        <v>313</v>
      </c>
      <c r="E153" s="125">
        <v>420.5</v>
      </c>
      <c r="F153" s="125">
        <v>420.5</v>
      </c>
      <c r="G153" s="120">
        <v>5</v>
      </c>
      <c r="H153" s="122">
        <v>0</v>
      </c>
      <c r="I153" s="122">
        <v>0</v>
      </c>
      <c r="J153" s="122">
        <v>0</v>
      </c>
      <c r="K153" s="120">
        <v>0</v>
      </c>
      <c r="L153" s="72">
        <f t="shared" si="34"/>
        <v>5</v>
      </c>
      <c r="M153" s="146">
        <v>5</v>
      </c>
      <c r="N153" s="72">
        <v>0</v>
      </c>
      <c r="O153" s="72">
        <v>0</v>
      </c>
      <c r="P153" s="72">
        <f t="shared" si="35"/>
        <v>5</v>
      </c>
      <c r="Q153" s="72">
        <f t="shared" si="27"/>
        <v>0</v>
      </c>
      <c r="R153" s="72"/>
      <c r="S153" s="56"/>
      <c r="T153" s="74">
        <f t="shared" si="28"/>
        <v>2102.5</v>
      </c>
      <c r="U153" s="74">
        <v>0</v>
      </c>
      <c r="V153" s="74">
        <f t="shared" si="29"/>
        <v>0</v>
      </c>
      <c r="W153" s="74">
        <f t="shared" si="30"/>
        <v>0</v>
      </c>
      <c r="X153" s="74">
        <f t="shared" si="31"/>
        <v>0</v>
      </c>
      <c r="Y153" s="74">
        <f t="shared" si="32"/>
        <v>0</v>
      </c>
      <c r="Z153" s="74">
        <f t="shared" si="33"/>
        <v>2102.5</v>
      </c>
      <c r="AA153" s="75">
        <f t="shared" si="26"/>
        <v>2102.5</v>
      </c>
      <c r="AB153" s="75">
        <f t="shared" si="36"/>
        <v>0</v>
      </c>
    </row>
    <row r="154" spans="1:29" ht="24">
      <c r="A154" s="123" t="s">
        <v>314</v>
      </c>
      <c r="B154" s="69"/>
      <c r="C154" s="69"/>
      <c r="D154" s="124" t="s">
        <v>315</v>
      </c>
      <c r="E154" s="125">
        <v>290</v>
      </c>
      <c r="F154" s="125">
        <v>290</v>
      </c>
      <c r="G154" s="120">
        <v>2</v>
      </c>
      <c r="H154" s="122">
        <v>0</v>
      </c>
      <c r="I154" s="122">
        <v>0</v>
      </c>
      <c r="J154" s="122">
        <v>1</v>
      </c>
      <c r="K154" s="120">
        <v>0</v>
      </c>
      <c r="L154" s="72">
        <f t="shared" si="34"/>
        <v>1</v>
      </c>
      <c r="M154" s="146">
        <v>1</v>
      </c>
      <c r="N154" s="72">
        <v>0</v>
      </c>
      <c r="O154" s="72">
        <v>0</v>
      </c>
      <c r="P154" s="72">
        <f t="shared" si="35"/>
        <v>1</v>
      </c>
      <c r="Q154" s="72">
        <f t="shared" si="27"/>
        <v>0</v>
      </c>
      <c r="R154" s="72"/>
      <c r="S154" s="56"/>
      <c r="T154" s="74">
        <f t="shared" si="28"/>
        <v>580</v>
      </c>
      <c r="U154" s="74">
        <v>0</v>
      </c>
      <c r="V154" s="74">
        <f t="shared" si="29"/>
        <v>0</v>
      </c>
      <c r="W154" s="74">
        <f t="shared" si="30"/>
        <v>0</v>
      </c>
      <c r="X154" s="74">
        <f t="shared" si="31"/>
        <v>290</v>
      </c>
      <c r="Y154" s="74">
        <f t="shared" si="32"/>
        <v>0</v>
      </c>
      <c r="Z154" s="74">
        <f t="shared" si="33"/>
        <v>290</v>
      </c>
      <c r="AA154" s="75">
        <f t="shared" si="26"/>
        <v>290</v>
      </c>
      <c r="AB154" s="75">
        <f t="shared" si="36"/>
        <v>0</v>
      </c>
    </row>
    <row r="155" spans="1:29">
      <c r="A155" s="123" t="s">
        <v>316</v>
      </c>
      <c r="B155" s="69"/>
      <c r="C155" s="69"/>
      <c r="D155" s="124" t="s">
        <v>317</v>
      </c>
      <c r="E155" s="125">
        <v>443</v>
      </c>
      <c r="F155" s="125">
        <v>443</v>
      </c>
      <c r="G155" s="120">
        <v>4</v>
      </c>
      <c r="H155" s="122">
        <v>0</v>
      </c>
      <c r="I155" s="122">
        <v>0</v>
      </c>
      <c r="J155" s="122">
        <v>0</v>
      </c>
      <c r="K155" s="120">
        <v>0</v>
      </c>
      <c r="L155" s="72">
        <f t="shared" si="34"/>
        <v>4</v>
      </c>
      <c r="M155" s="146">
        <v>4</v>
      </c>
      <c r="N155" s="72">
        <v>0</v>
      </c>
      <c r="O155" s="72">
        <v>0</v>
      </c>
      <c r="P155" s="72">
        <f t="shared" si="35"/>
        <v>4</v>
      </c>
      <c r="Q155" s="72">
        <f t="shared" si="27"/>
        <v>0</v>
      </c>
      <c r="R155" s="72"/>
      <c r="S155" s="56"/>
      <c r="T155" s="74">
        <f t="shared" si="28"/>
        <v>1772</v>
      </c>
      <c r="U155" s="74">
        <v>0</v>
      </c>
      <c r="V155" s="74">
        <f t="shared" si="29"/>
        <v>0</v>
      </c>
      <c r="W155" s="74">
        <f t="shared" si="30"/>
        <v>0</v>
      </c>
      <c r="X155" s="74">
        <f t="shared" si="31"/>
        <v>0</v>
      </c>
      <c r="Y155" s="74">
        <f t="shared" si="32"/>
        <v>0</v>
      </c>
      <c r="Z155" s="74">
        <f t="shared" si="33"/>
        <v>1772</v>
      </c>
      <c r="AA155" s="75">
        <f t="shared" si="26"/>
        <v>1772</v>
      </c>
      <c r="AB155" s="75">
        <f t="shared" si="36"/>
        <v>0</v>
      </c>
    </row>
    <row r="156" spans="1:29" ht="24">
      <c r="A156" s="123" t="s">
        <v>318</v>
      </c>
      <c r="B156" s="69"/>
      <c r="C156" s="69"/>
      <c r="D156" s="124" t="s">
        <v>319</v>
      </c>
      <c r="E156" s="125">
        <v>319</v>
      </c>
      <c r="F156" s="125">
        <v>319</v>
      </c>
      <c r="G156" s="120">
        <v>3</v>
      </c>
      <c r="H156" s="122">
        <v>0</v>
      </c>
      <c r="I156" s="122">
        <v>0</v>
      </c>
      <c r="J156" s="122">
        <v>0</v>
      </c>
      <c r="K156" s="120">
        <v>0</v>
      </c>
      <c r="L156" s="72">
        <f t="shared" si="34"/>
        <v>3</v>
      </c>
      <c r="M156" s="146">
        <v>3</v>
      </c>
      <c r="N156" s="72">
        <v>0</v>
      </c>
      <c r="O156" s="72">
        <v>0</v>
      </c>
      <c r="P156" s="72">
        <f t="shared" si="35"/>
        <v>3</v>
      </c>
      <c r="Q156" s="72">
        <f t="shared" si="27"/>
        <v>0</v>
      </c>
      <c r="R156" s="72"/>
      <c r="S156" s="56"/>
      <c r="T156" s="74">
        <f t="shared" si="28"/>
        <v>957</v>
      </c>
      <c r="U156" s="74">
        <v>0</v>
      </c>
      <c r="V156" s="74">
        <f t="shared" si="29"/>
        <v>0</v>
      </c>
      <c r="W156" s="74">
        <f t="shared" si="30"/>
        <v>0</v>
      </c>
      <c r="X156" s="74">
        <f t="shared" si="31"/>
        <v>0</v>
      </c>
      <c r="Y156" s="74">
        <f t="shared" si="32"/>
        <v>0</v>
      </c>
      <c r="Z156" s="74">
        <f t="shared" si="33"/>
        <v>957</v>
      </c>
      <c r="AA156" s="75">
        <f t="shared" si="26"/>
        <v>957</v>
      </c>
      <c r="AB156" s="75">
        <f t="shared" si="36"/>
        <v>0</v>
      </c>
    </row>
    <row r="157" spans="1:29" ht="24">
      <c r="A157" s="123" t="s">
        <v>320</v>
      </c>
      <c r="B157" s="69"/>
      <c r="C157" s="69"/>
      <c r="D157" s="124" t="s">
        <v>321</v>
      </c>
      <c r="E157" s="125">
        <v>2.35</v>
      </c>
      <c r="F157" s="125">
        <v>2.35</v>
      </c>
      <c r="G157" s="120">
        <v>0</v>
      </c>
      <c r="H157" s="122">
        <v>0</v>
      </c>
      <c r="I157" s="122">
        <v>0</v>
      </c>
      <c r="J157" s="122">
        <v>0</v>
      </c>
      <c r="K157" s="120">
        <v>0</v>
      </c>
      <c r="L157" s="72">
        <f t="shared" si="34"/>
        <v>0</v>
      </c>
      <c r="M157" s="146">
        <v>0</v>
      </c>
      <c r="N157" s="72">
        <v>0</v>
      </c>
      <c r="O157" s="72">
        <v>0</v>
      </c>
      <c r="P157" s="72">
        <f t="shared" si="35"/>
        <v>0</v>
      </c>
      <c r="Q157" s="72">
        <f t="shared" si="27"/>
        <v>0</v>
      </c>
      <c r="R157" s="72"/>
      <c r="S157" s="56"/>
      <c r="T157" s="74">
        <f t="shared" si="28"/>
        <v>0</v>
      </c>
      <c r="U157" s="74">
        <v>0</v>
      </c>
      <c r="V157" s="74">
        <f t="shared" si="29"/>
        <v>0</v>
      </c>
      <c r="W157" s="74">
        <f t="shared" si="30"/>
        <v>0</v>
      </c>
      <c r="X157" s="74">
        <f t="shared" si="31"/>
        <v>0</v>
      </c>
      <c r="Y157" s="74">
        <f t="shared" si="32"/>
        <v>0</v>
      </c>
      <c r="Z157" s="74">
        <f t="shared" si="33"/>
        <v>0</v>
      </c>
      <c r="AA157" s="75">
        <f t="shared" si="26"/>
        <v>0</v>
      </c>
      <c r="AB157" s="75">
        <f t="shared" si="36"/>
        <v>0</v>
      </c>
    </row>
    <row r="158" spans="1:29">
      <c r="A158" s="123" t="s">
        <v>322</v>
      </c>
      <c r="B158" s="69"/>
      <c r="C158" s="69"/>
      <c r="D158" s="124" t="s">
        <v>323</v>
      </c>
      <c r="E158" s="125">
        <v>275.5</v>
      </c>
      <c r="F158" s="125">
        <v>275.5</v>
      </c>
      <c r="G158" s="120">
        <v>2</v>
      </c>
      <c r="H158" s="122">
        <v>0</v>
      </c>
      <c r="I158" s="122">
        <v>0</v>
      </c>
      <c r="J158" s="122">
        <v>1</v>
      </c>
      <c r="K158" s="120">
        <v>0</v>
      </c>
      <c r="L158" s="72">
        <f t="shared" si="34"/>
        <v>1</v>
      </c>
      <c r="M158" s="146">
        <v>1</v>
      </c>
      <c r="N158" s="72">
        <v>0</v>
      </c>
      <c r="O158" s="72">
        <v>0</v>
      </c>
      <c r="P158" s="72">
        <f t="shared" si="35"/>
        <v>1</v>
      </c>
      <c r="Q158" s="72">
        <f t="shared" si="27"/>
        <v>0</v>
      </c>
      <c r="R158" s="72"/>
      <c r="S158" s="56"/>
      <c r="T158" s="74">
        <f t="shared" si="28"/>
        <v>551</v>
      </c>
      <c r="U158" s="74">
        <v>0</v>
      </c>
      <c r="V158" s="74">
        <f t="shared" si="29"/>
        <v>0</v>
      </c>
      <c r="W158" s="74">
        <f t="shared" si="30"/>
        <v>0</v>
      </c>
      <c r="X158" s="74">
        <f t="shared" si="31"/>
        <v>275.5</v>
      </c>
      <c r="Y158" s="74">
        <f t="shared" si="32"/>
        <v>0</v>
      </c>
      <c r="Z158" s="74">
        <f t="shared" si="33"/>
        <v>275.5</v>
      </c>
      <c r="AA158" s="75">
        <f t="shared" si="26"/>
        <v>275.5</v>
      </c>
      <c r="AB158" s="75">
        <f t="shared" si="36"/>
        <v>0</v>
      </c>
    </row>
    <row r="159" spans="1:29">
      <c r="A159" s="143" t="s">
        <v>324</v>
      </c>
      <c r="B159" s="143" t="s">
        <v>814</v>
      </c>
      <c r="C159" s="143"/>
      <c r="D159" s="144" t="s">
        <v>325</v>
      </c>
      <c r="E159" s="145">
        <v>418.76</v>
      </c>
      <c r="F159" s="145">
        <v>418.76</v>
      </c>
      <c r="G159" s="146">
        <v>5</v>
      </c>
      <c r="H159" s="147">
        <v>0</v>
      </c>
      <c r="I159" s="147">
        <v>0</v>
      </c>
      <c r="J159" s="147">
        <v>0</v>
      </c>
      <c r="K159" s="146">
        <v>0</v>
      </c>
      <c r="L159" s="146">
        <f t="shared" si="34"/>
        <v>5</v>
      </c>
      <c r="M159" s="146">
        <v>5</v>
      </c>
      <c r="N159" s="72">
        <v>0</v>
      </c>
      <c r="O159" s="72">
        <v>0</v>
      </c>
      <c r="P159" s="72">
        <f t="shared" si="35"/>
        <v>5</v>
      </c>
      <c r="Q159" s="72">
        <f t="shared" si="27"/>
        <v>0</v>
      </c>
      <c r="R159" s="72"/>
      <c r="S159" s="56"/>
      <c r="T159" s="74">
        <f t="shared" si="28"/>
        <v>2093.8000000000002</v>
      </c>
      <c r="U159" s="74">
        <v>0</v>
      </c>
      <c r="V159" s="74">
        <f t="shared" si="29"/>
        <v>0</v>
      </c>
      <c r="W159" s="74">
        <f t="shared" si="30"/>
        <v>0</v>
      </c>
      <c r="X159" s="74">
        <f t="shared" si="31"/>
        <v>0</v>
      </c>
      <c r="Y159" s="74">
        <f t="shared" si="32"/>
        <v>0</v>
      </c>
      <c r="Z159" s="74">
        <f t="shared" si="33"/>
        <v>2093.8000000000002</v>
      </c>
      <c r="AA159" s="75">
        <f t="shared" si="26"/>
        <v>2093.8000000000002</v>
      </c>
      <c r="AB159" s="75">
        <f t="shared" si="36"/>
        <v>0</v>
      </c>
      <c r="AC159" s="153" t="s">
        <v>785</v>
      </c>
    </row>
    <row r="160" spans="1:29" ht="24">
      <c r="A160" s="123" t="s">
        <v>326</v>
      </c>
      <c r="B160" s="69"/>
      <c r="C160" s="69"/>
      <c r="D160" s="124" t="s">
        <v>327</v>
      </c>
      <c r="E160" s="125">
        <v>1082</v>
      </c>
      <c r="F160" s="125">
        <v>1082</v>
      </c>
      <c r="G160" s="120">
        <v>3</v>
      </c>
      <c r="H160" s="122">
        <v>0</v>
      </c>
      <c r="I160" s="122">
        <v>0</v>
      </c>
      <c r="J160" s="122">
        <v>0</v>
      </c>
      <c r="K160" s="120">
        <v>0</v>
      </c>
      <c r="L160" s="72">
        <f t="shared" si="34"/>
        <v>3</v>
      </c>
      <c r="M160" s="146">
        <v>3</v>
      </c>
      <c r="N160" s="72">
        <v>0</v>
      </c>
      <c r="O160" s="72">
        <v>0</v>
      </c>
      <c r="P160" s="72">
        <f t="shared" si="35"/>
        <v>3</v>
      </c>
      <c r="Q160" s="72">
        <f t="shared" si="27"/>
        <v>0</v>
      </c>
      <c r="R160" s="72"/>
      <c r="S160" s="56"/>
      <c r="T160" s="74">
        <f t="shared" si="28"/>
        <v>3246</v>
      </c>
      <c r="U160" s="74">
        <v>0</v>
      </c>
      <c r="V160" s="74">
        <f t="shared" si="29"/>
        <v>0</v>
      </c>
      <c r="W160" s="74">
        <f t="shared" si="30"/>
        <v>0</v>
      </c>
      <c r="X160" s="74">
        <f t="shared" si="31"/>
        <v>0</v>
      </c>
      <c r="Y160" s="74">
        <f t="shared" si="32"/>
        <v>0</v>
      </c>
      <c r="Z160" s="74">
        <f t="shared" si="33"/>
        <v>3246</v>
      </c>
      <c r="AA160" s="75">
        <f t="shared" si="26"/>
        <v>3246</v>
      </c>
      <c r="AB160" s="75">
        <f t="shared" si="36"/>
        <v>0</v>
      </c>
    </row>
    <row r="161" spans="1:28">
      <c r="A161" s="123" t="s">
        <v>328</v>
      </c>
      <c r="B161" s="69"/>
      <c r="C161" s="69"/>
      <c r="D161" s="124" t="s">
        <v>329</v>
      </c>
      <c r="E161" s="125">
        <v>311.75</v>
      </c>
      <c r="F161" s="125">
        <v>311.75</v>
      </c>
      <c r="G161" s="120">
        <v>3</v>
      </c>
      <c r="H161" s="122">
        <v>0</v>
      </c>
      <c r="I161" s="122">
        <v>0</v>
      </c>
      <c r="J161" s="122">
        <v>0</v>
      </c>
      <c r="K161" s="120">
        <v>0</v>
      </c>
      <c r="L161" s="72">
        <f t="shared" si="34"/>
        <v>3</v>
      </c>
      <c r="M161" s="146">
        <v>3</v>
      </c>
      <c r="N161" s="72">
        <v>0</v>
      </c>
      <c r="O161" s="72">
        <v>0</v>
      </c>
      <c r="P161" s="72">
        <f t="shared" si="35"/>
        <v>3</v>
      </c>
      <c r="Q161" s="72">
        <f t="shared" si="27"/>
        <v>0</v>
      </c>
      <c r="R161" s="72"/>
      <c r="S161" s="56"/>
      <c r="T161" s="74">
        <f t="shared" si="28"/>
        <v>935.25</v>
      </c>
      <c r="U161" s="74">
        <v>0</v>
      </c>
      <c r="V161" s="74">
        <f t="shared" si="29"/>
        <v>0</v>
      </c>
      <c r="W161" s="74">
        <f t="shared" si="30"/>
        <v>0</v>
      </c>
      <c r="X161" s="74">
        <f t="shared" si="31"/>
        <v>0</v>
      </c>
      <c r="Y161" s="74">
        <f t="shared" si="32"/>
        <v>0</v>
      </c>
      <c r="Z161" s="74">
        <f t="shared" si="33"/>
        <v>935.25</v>
      </c>
      <c r="AA161" s="75">
        <f t="shared" si="26"/>
        <v>935.25</v>
      </c>
      <c r="AB161" s="75">
        <f t="shared" si="36"/>
        <v>0</v>
      </c>
    </row>
    <row r="162" spans="1:28" ht="24">
      <c r="A162" s="123" t="s">
        <v>330</v>
      </c>
      <c r="B162" s="69"/>
      <c r="C162" s="69"/>
      <c r="D162" s="124" t="s">
        <v>331</v>
      </c>
      <c r="E162" s="125">
        <v>662.01</v>
      </c>
      <c r="F162" s="125">
        <v>662.01</v>
      </c>
      <c r="G162" s="120">
        <v>3</v>
      </c>
      <c r="H162" s="122">
        <v>0</v>
      </c>
      <c r="I162" s="122">
        <v>0</v>
      </c>
      <c r="J162" s="122">
        <v>0</v>
      </c>
      <c r="K162" s="120">
        <v>0</v>
      </c>
      <c r="L162" s="72">
        <f t="shared" si="34"/>
        <v>3</v>
      </c>
      <c r="M162" s="146">
        <v>3</v>
      </c>
      <c r="N162" s="72">
        <v>0</v>
      </c>
      <c r="O162" s="72">
        <v>0</v>
      </c>
      <c r="P162" s="72">
        <f t="shared" si="35"/>
        <v>3</v>
      </c>
      <c r="Q162" s="72">
        <f t="shared" si="27"/>
        <v>0</v>
      </c>
      <c r="R162" s="72"/>
      <c r="S162" s="56"/>
      <c r="T162" s="74">
        <f t="shared" si="28"/>
        <v>1986.03</v>
      </c>
      <c r="U162" s="74">
        <v>0</v>
      </c>
      <c r="V162" s="74">
        <f t="shared" si="29"/>
        <v>0</v>
      </c>
      <c r="W162" s="74">
        <f t="shared" si="30"/>
        <v>0</v>
      </c>
      <c r="X162" s="74">
        <f t="shared" si="31"/>
        <v>0</v>
      </c>
      <c r="Y162" s="74">
        <f t="shared" si="32"/>
        <v>0</v>
      </c>
      <c r="Z162" s="74">
        <f t="shared" si="33"/>
        <v>1986.03</v>
      </c>
      <c r="AA162" s="75">
        <f t="shared" si="26"/>
        <v>1986.03</v>
      </c>
      <c r="AB162" s="75">
        <f t="shared" si="36"/>
        <v>0</v>
      </c>
    </row>
    <row r="163" spans="1:28" ht="24">
      <c r="A163" s="123" t="s">
        <v>332</v>
      </c>
      <c r="B163" s="69"/>
      <c r="C163" s="69"/>
      <c r="D163" s="124" t="s">
        <v>333</v>
      </c>
      <c r="E163" s="125">
        <v>383.5</v>
      </c>
      <c r="F163" s="125">
        <v>383.5</v>
      </c>
      <c r="G163" s="120">
        <v>0</v>
      </c>
      <c r="H163" s="122">
        <v>0</v>
      </c>
      <c r="I163" s="122">
        <v>0</v>
      </c>
      <c r="J163" s="122">
        <v>0</v>
      </c>
      <c r="K163" s="120">
        <v>0</v>
      </c>
      <c r="L163" s="72">
        <f t="shared" si="34"/>
        <v>0</v>
      </c>
      <c r="M163" s="146">
        <v>0</v>
      </c>
      <c r="N163" s="72">
        <v>0</v>
      </c>
      <c r="O163" s="72">
        <v>0</v>
      </c>
      <c r="P163" s="72">
        <f t="shared" si="35"/>
        <v>0</v>
      </c>
      <c r="Q163" s="72">
        <f t="shared" si="27"/>
        <v>0</v>
      </c>
      <c r="R163" s="72"/>
      <c r="S163" s="56"/>
      <c r="T163" s="74">
        <f t="shared" si="28"/>
        <v>0</v>
      </c>
      <c r="U163" s="74">
        <v>0</v>
      </c>
      <c r="V163" s="74">
        <f t="shared" si="29"/>
        <v>0</v>
      </c>
      <c r="W163" s="74">
        <f t="shared" si="30"/>
        <v>0</v>
      </c>
      <c r="X163" s="74">
        <f t="shared" si="31"/>
        <v>0</v>
      </c>
      <c r="Y163" s="74">
        <f t="shared" si="32"/>
        <v>0</v>
      </c>
      <c r="Z163" s="74">
        <f t="shared" si="33"/>
        <v>0</v>
      </c>
      <c r="AA163" s="75">
        <f t="shared" ref="AA163:AA226" si="37">L163*F163</f>
        <v>0</v>
      </c>
      <c r="AB163" s="75">
        <f t="shared" si="36"/>
        <v>0</v>
      </c>
    </row>
    <row r="164" spans="1:28" ht="24">
      <c r="A164" s="123" t="s">
        <v>334</v>
      </c>
      <c r="B164" s="69"/>
      <c r="C164" s="69"/>
      <c r="D164" s="124" t="s">
        <v>335</v>
      </c>
      <c r="E164" s="125">
        <v>43.1</v>
      </c>
      <c r="F164" s="125">
        <v>43.1</v>
      </c>
      <c r="G164" s="120">
        <v>1</v>
      </c>
      <c r="H164" s="122">
        <v>0</v>
      </c>
      <c r="I164" s="122">
        <v>0</v>
      </c>
      <c r="J164" s="122">
        <v>0</v>
      </c>
      <c r="K164" s="120">
        <v>0</v>
      </c>
      <c r="L164" s="72">
        <f t="shared" si="34"/>
        <v>1</v>
      </c>
      <c r="M164" s="146">
        <v>1</v>
      </c>
      <c r="N164" s="72">
        <v>0</v>
      </c>
      <c r="O164" s="72">
        <v>0</v>
      </c>
      <c r="P164" s="72">
        <f t="shared" si="35"/>
        <v>1</v>
      </c>
      <c r="Q164" s="72">
        <f t="shared" si="27"/>
        <v>0</v>
      </c>
      <c r="R164" s="72"/>
      <c r="S164" s="56"/>
      <c r="T164" s="74">
        <f t="shared" si="28"/>
        <v>43.1</v>
      </c>
      <c r="U164" s="74">
        <v>0</v>
      </c>
      <c r="V164" s="74">
        <f t="shared" si="29"/>
        <v>0</v>
      </c>
      <c r="W164" s="74">
        <f t="shared" si="30"/>
        <v>0</v>
      </c>
      <c r="X164" s="74">
        <f t="shared" si="31"/>
        <v>0</v>
      </c>
      <c r="Y164" s="74">
        <f t="shared" si="32"/>
        <v>0</v>
      </c>
      <c r="Z164" s="74">
        <f t="shared" si="33"/>
        <v>43.1</v>
      </c>
      <c r="AA164" s="75">
        <f t="shared" si="37"/>
        <v>43.1</v>
      </c>
      <c r="AB164" s="75">
        <f t="shared" si="36"/>
        <v>0</v>
      </c>
    </row>
    <row r="165" spans="1:28" ht="24">
      <c r="A165" s="123" t="s">
        <v>336</v>
      </c>
      <c r="B165" s="69"/>
      <c r="C165" s="69"/>
      <c r="D165" s="124" t="s">
        <v>337</v>
      </c>
      <c r="E165" s="125">
        <v>41.38</v>
      </c>
      <c r="F165" s="125">
        <v>41.38</v>
      </c>
      <c r="G165" s="120">
        <v>1</v>
      </c>
      <c r="H165" s="122">
        <v>0</v>
      </c>
      <c r="I165" s="122">
        <v>0</v>
      </c>
      <c r="J165" s="122">
        <v>0</v>
      </c>
      <c r="K165" s="120">
        <v>0</v>
      </c>
      <c r="L165" s="72">
        <f t="shared" si="34"/>
        <v>1</v>
      </c>
      <c r="M165" s="146">
        <v>1</v>
      </c>
      <c r="N165" s="72">
        <v>0</v>
      </c>
      <c r="O165" s="72">
        <v>0</v>
      </c>
      <c r="P165" s="72">
        <f t="shared" si="35"/>
        <v>1</v>
      </c>
      <c r="Q165" s="72">
        <f t="shared" si="27"/>
        <v>0</v>
      </c>
      <c r="R165" s="72"/>
      <c r="S165" s="56"/>
      <c r="T165" s="74">
        <f t="shared" si="28"/>
        <v>41.38</v>
      </c>
      <c r="U165" s="74">
        <v>0</v>
      </c>
      <c r="V165" s="74">
        <f t="shared" si="29"/>
        <v>0</v>
      </c>
      <c r="W165" s="74">
        <f t="shared" si="30"/>
        <v>0</v>
      </c>
      <c r="X165" s="74">
        <f t="shared" si="31"/>
        <v>0</v>
      </c>
      <c r="Y165" s="74">
        <f t="shared" si="32"/>
        <v>0</v>
      </c>
      <c r="Z165" s="74">
        <f t="shared" si="33"/>
        <v>41.38</v>
      </c>
      <c r="AA165" s="75">
        <f t="shared" si="37"/>
        <v>41.38</v>
      </c>
      <c r="AB165" s="75">
        <f t="shared" si="36"/>
        <v>0</v>
      </c>
    </row>
    <row r="166" spans="1:28" ht="24">
      <c r="A166" s="123" t="s">
        <v>338</v>
      </c>
      <c r="B166" s="69"/>
      <c r="C166" s="69"/>
      <c r="D166" s="124" t="s">
        <v>339</v>
      </c>
      <c r="E166" s="125">
        <v>344.52</v>
      </c>
      <c r="F166" s="125">
        <v>344.52</v>
      </c>
      <c r="G166" s="120">
        <v>0</v>
      </c>
      <c r="H166" s="122">
        <v>0</v>
      </c>
      <c r="I166" s="122">
        <v>0</v>
      </c>
      <c r="J166" s="122">
        <v>0</v>
      </c>
      <c r="K166" s="120">
        <v>0</v>
      </c>
      <c r="L166" s="72">
        <f t="shared" si="34"/>
        <v>0</v>
      </c>
      <c r="M166" s="146">
        <v>0</v>
      </c>
      <c r="N166" s="72">
        <v>0</v>
      </c>
      <c r="O166" s="72">
        <v>0</v>
      </c>
      <c r="P166" s="72">
        <f t="shared" si="35"/>
        <v>0</v>
      </c>
      <c r="Q166" s="72">
        <f t="shared" si="27"/>
        <v>0</v>
      </c>
      <c r="R166" s="72"/>
      <c r="S166" s="56"/>
      <c r="T166" s="74">
        <f t="shared" si="28"/>
        <v>0</v>
      </c>
      <c r="U166" s="74">
        <v>0</v>
      </c>
      <c r="V166" s="74">
        <f t="shared" si="29"/>
        <v>0</v>
      </c>
      <c r="W166" s="74">
        <f t="shared" si="30"/>
        <v>0</v>
      </c>
      <c r="X166" s="74">
        <f t="shared" si="31"/>
        <v>0</v>
      </c>
      <c r="Y166" s="74">
        <f t="shared" si="32"/>
        <v>0</v>
      </c>
      <c r="Z166" s="74">
        <f t="shared" si="33"/>
        <v>0</v>
      </c>
      <c r="AA166" s="75">
        <f t="shared" si="37"/>
        <v>0</v>
      </c>
      <c r="AB166" s="75">
        <f t="shared" si="36"/>
        <v>0</v>
      </c>
    </row>
    <row r="167" spans="1:28">
      <c r="A167" s="123" t="s">
        <v>340</v>
      </c>
      <c r="B167" s="69"/>
      <c r="C167" s="69"/>
      <c r="D167" s="124" t="s">
        <v>341</v>
      </c>
      <c r="E167" s="125">
        <v>1350</v>
      </c>
      <c r="F167" s="125">
        <v>1350</v>
      </c>
      <c r="G167" s="120">
        <v>0</v>
      </c>
      <c r="H167" s="122">
        <v>0</v>
      </c>
      <c r="I167" s="122">
        <v>0</v>
      </c>
      <c r="J167" s="122">
        <v>0</v>
      </c>
      <c r="K167" s="120">
        <v>0</v>
      </c>
      <c r="L167" s="72">
        <f t="shared" si="34"/>
        <v>0</v>
      </c>
      <c r="M167" s="146">
        <v>0</v>
      </c>
      <c r="N167" s="72">
        <v>0</v>
      </c>
      <c r="O167" s="72">
        <v>0</v>
      </c>
      <c r="P167" s="72">
        <f t="shared" si="35"/>
        <v>0</v>
      </c>
      <c r="Q167" s="72">
        <f t="shared" si="27"/>
        <v>0</v>
      </c>
      <c r="R167" s="72"/>
      <c r="S167" s="56"/>
      <c r="T167" s="74">
        <f t="shared" si="28"/>
        <v>0</v>
      </c>
      <c r="U167" s="74">
        <v>0</v>
      </c>
      <c r="V167" s="74">
        <f t="shared" si="29"/>
        <v>0</v>
      </c>
      <c r="W167" s="74">
        <f t="shared" si="30"/>
        <v>0</v>
      </c>
      <c r="X167" s="74">
        <f t="shared" si="31"/>
        <v>0</v>
      </c>
      <c r="Y167" s="74">
        <f t="shared" si="32"/>
        <v>0</v>
      </c>
      <c r="Z167" s="74">
        <f t="shared" si="33"/>
        <v>0</v>
      </c>
      <c r="AA167" s="75">
        <f t="shared" si="37"/>
        <v>0</v>
      </c>
      <c r="AB167" s="75">
        <f t="shared" si="36"/>
        <v>0</v>
      </c>
    </row>
    <row r="168" spans="1:28" ht="24">
      <c r="A168" s="123" t="s">
        <v>342</v>
      </c>
      <c r="B168" s="69"/>
      <c r="C168" s="69"/>
      <c r="D168" s="124" t="s">
        <v>343</v>
      </c>
      <c r="E168" s="125">
        <v>1083.3399999999999</v>
      </c>
      <c r="F168" s="125">
        <v>1083.3399999999999</v>
      </c>
      <c r="G168" s="120">
        <v>0</v>
      </c>
      <c r="H168" s="122">
        <v>0</v>
      </c>
      <c r="I168" s="122">
        <v>0</v>
      </c>
      <c r="J168" s="122">
        <v>0</v>
      </c>
      <c r="K168" s="120">
        <v>0</v>
      </c>
      <c r="L168" s="72">
        <f t="shared" si="34"/>
        <v>0</v>
      </c>
      <c r="M168" s="146">
        <v>0</v>
      </c>
      <c r="N168" s="72">
        <v>0</v>
      </c>
      <c r="O168" s="72">
        <v>0</v>
      </c>
      <c r="P168" s="72">
        <f t="shared" si="35"/>
        <v>0</v>
      </c>
      <c r="Q168" s="72">
        <f t="shared" si="27"/>
        <v>0</v>
      </c>
      <c r="R168" s="72"/>
      <c r="S168" s="56"/>
      <c r="T168" s="74">
        <f t="shared" si="28"/>
        <v>0</v>
      </c>
      <c r="U168" s="74">
        <v>0</v>
      </c>
      <c r="V168" s="74">
        <f t="shared" si="29"/>
        <v>0</v>
      </c>
      <c r="W168" s="74">
        <f t="shared" si="30"/>
        <v>0</v>
      </c>
      <c r="X168" s="74">
        <f t="shared" si="31"/>
        <v>0</v>
      </c>
      <c r="Y168" s="74">
        <f t="shared" si="32"/>
        <v>0</v>
      </c>
      <c r="Z168" s="74">
        <f t="shared" si="33"/>
        <v>0</v>
      </c>
      <c r="AA168" s="75">
        <f t="shared" si="37"/>
        <v>0</v>
      </c>
      <c r="AB168" s="75">
        <f t="shared" si="36"/>
        <v>0</v>
      </c>
    </row>
    <row r="169" spans="1:28" ht="24">
      <c r="A169" s="123" t="s">
        <v>344</v>
      </c>
      <c r="B169" s="140" t="s">
        <v>716</v>
      </c>
      <c r="C169" s="140"/>
      <c r="D169" s="124" t="s">
        <v>345</v>
      </c>
      <c r="E169" s="125">
        <v>400</v>
      </c>
      <c r="F169" s="125">
        <v>400</v>
      </c>
      <c r="G169" s="120">
        <v>4</v>
      </c>
      <c r="H169" s="122">
        <v>0</v>
      </c>
      <c r="I169" s="122">
        <v>0</v>
      </c>
      <c r="J169" s="122">
        <v>0</v>
      </c>
      <c r="K169" s="120">
        <v>0</v>
      </c>
      <c r="L169" s="72">
        <f t="shared" si="34"/>
        <v>4</v>
      </c>
      <c r="M169" s="146">
        <v>4</v>
      </c>
      <c r="N169" s="72">
        <v>0</v>
      </c>
      <c r="O169" s="72">
        <v>0</v>
      </c>
      <c r="P169" s="72">
        <f t="shared" si="35"/>
        <v>4</v>
      </c>
      <c r="Q169" s="72">
        <f t="shared" si="27"/>
        <v>0</v>
      </c>
      <c r="R169" s="72"/>
      <c r="S169" s="56"/>
      <c r="T169" s="74">
        <f t="shared" si="28"/>
        <v>1600</v>
      </c>
      <c r="U169" s="74">
        <v>0</v>
      </c>
      <c r="V169" s="74">
        <f t="shared" si="29"/>
        <v>0</v>
      </c>
      <c r="W169" s="74">
        <f t="shared" si="30"/>
        <v>0</v>
      </c>
      <c r="X169" s="74">
        <f t="shared" si="31"/>
        <v>0</v>
      </c>
      <c r="Y169" s="74">
        <f t="shared" si="32"/>
        <v>0</v>
      </c>
      <c r="Z169" s="74">
        <f t="shared" si="33"/>
        <v>1600</v>
      </c>
      <c r="AA169" s="75">
        <f t="shared" si="37"/>
        <v>1600</v>
      </c>
      <c r="AB169" s="75">
        <f t="shared" si="36"/>
        <v>0</v>
      </c>
    </row>
    <row r="170" spans="1:28" ht="24">
      <c r="A170" s="123" t="s">
        <v>346</v>
      </c>
      <c r="B170" s="140" t="s">
        <v>717</v>
      </c>
      <c r="C170" s="140"/>
      <c r="D170" s="124" t="s">
        <v>347</v>
      </c>
      <c r="E170" s="125">
        <v>697.5</v>
      </c>
      <c r="F170" s="125">
        <v>697.5</v>
      </c>
      <c r="G170" s="120">
        <v>2</v>
      </c>
      <c r="H170" s="122">
        <v>0</v>
      </c>
      <c r="I170" s="122">
        <v>0</v>
      </c>
      <c r="J170" s="122">
        <v>0</v>
      </c>
      <c r="K170" s="120">
        <v>0</v>
      </c>
      <c r="L170" s="72">
        <f t="shared" si="34"/>
        <v>2</v>
      </c>
      <c r="M170" s="146">
        <v>2</v>
      </c>
      <c r="N170" s="72">
        <v>0</v>
      </c>
      <c r="O170" s="72">
        <v>0</v>
      </c>
      <c r="P170" s="72">
        <f t="shared" si="35"/>
        <v>2</v>
      </c>
      <c r="Q170" s="72">
        <f t="shared" si="27"/>
        <v>0</v>
      </c>
      <c r="R170" s="72"/>
      <c r="S170" s="56"/>
      <c r="T170" s="74">
        <f t="shared" si="28"/>
        <v>1395</v>
      </c>
      <c r="U170" s="74">
        <v>0</v>
      </c>
      <c r="V170" s="74">
        <f t="shared" si="29"/>
        <v>0</v>
      </c>
      <c r="W170" s="74">
        <f t="shared" si="30"/>
        <v>0</v>
      </c>
      <c r="X170" s="74">
        <f t="shared" si="31"/>
        <v>0</v>
      </c>
      <c r="Y170" s="74">
        <f t="shared" si="32"/>
        <v>0</v>
      </c>
      <c r="Z170" s="74">
        <f t="shared" si="33"/>
        <v>1395</v>
      </c>
      <c r="AA170" s="75">
        <f t="shared" si="37"/>
        <v>1395</v>
      </c>
      <c r="AB170" s="75">
        <f t="shared" si="36"/>
        <v>0</v>
      </c>
    </row>
    <row r="171" spans="1:28">
      <c r="A171" s="123" t="s">
        <v>348</v>
      </c>
      <c r="B171" s="69"/>
      <c r="C171" s="69"/>
      <c r="D171" s="124" t="s">
        <v>349</v>
      </c>
      <c r="E171" s="125">
        <v>0</v>
      </c>
      <c r="F171" s="125">
        <v>0</v>
      </c>
      <c r="G171" s="120">
        <v>0</v>
      </c>
      <c r="H171" s="122">
        <v>0</v>
      </c>
      <c r="I171" s="122">
        <v>0</v>
      </c>
      <c r="J171" s="122">
        <v>0</v>
      </c>
      <c r="K171" s="120">
        <v>0</v>
      </c>
      <c r="L171" s="72">
        <f t="shared" si="34"/>
        <v>0</v>
      </c>
      <c r="M171" s="146">
        <v>0</v>
      </c>
      <c r="N171" s="72">
        <v>0</v>
      </c>
      <c r="O171" s="72">
        <v>0</v>
      </c>
      <c r="P171" s="72">
        <f t="shared" si="35"/>
        <v>0</v>
      </c>
      <c r="Q171" s="72">
        <f t="shared" si="27"/>
        <v>0</v>
      </c>
      <c r="R171" s="72"/>
      <c r="S171" s="56"/>
      <c r="T171" s="74">
        <f t="shared" si="28"/>
        <v>0</v>
      </c>
      <c r="U171" s="74">
        <v>0</v>
      </c>
      <c r="V171" s="74">
        <f t="shared" si="29"/>
        <v>0</v>
      </c>
      <c r="W171" s="74">
        <f t="shared" si="30"/>
        <v>0</v>
      </c>
      <c r="X171" s="74">
        <f t="shared" si="31"/>
        <v>0</v>
      </c>
      <c r="Y171" s="74">
        <f t="shared" si="32"/>
        <v>0</v>
      </c>
      <c r="Z171" s="74">
        <f t="shared" si="33"/>
        <v>0</v>
      </c>
      <c r="AA171" s="75">
        <f t="shared" si="37"/>
        <v>0</v>
      </c>
      <c r="AB171" s="75">
        <f t="shared" si="36"/>
        <v>0</v>
      </c>
    </row>
    <row r="172" spans="1:28" ht="22.5">
      <c r="A172" s="123" t="s">
        <v>350</v>
      </c>
      <c r="B172" s="140" t="s">
        <v>718</v>
      </c>
      <c r="C172" s="140"/>
      <c r="D172" s="124" t="s">
        <v>351</v>
      </c>
      <c r="E172" s="125">
        <v>380</v>
      </c>
      <c r="F172" s="125">
        <v>380</v>
      </c>
      <c r="G172" s="120">
        <v>1</v>
      </c>
      <c r="H172" s="122">
        <v>0</v>
      </c>
      <c r="I172" s="122">
        <v>0</v>
      </c>
      <c r="J172" s="122">
        <v>0</v>
      </c>
      <c r="K172" s="120">
        <v>0</v>
      </c>
      <c r="L172" s="72">
        <f t="shared" si="34"/>
        <v>1</v>
      </c>
      <c r="M172" s="146">
        <v>1</v>
      </c>
      <c r="N172" s="72">
        <v>0</v>
      </c>
      <c r="O172" s="72">
        <v>0</v>
      </c>
      <c r="P172" s="72">
        <f t="shared" si="35"/>
        <v>1</v>
      </c>
      <c r="Q172" s="72">
        <f t="shared" si="27"/>
        <v>0</v>
      </c>
      <c r="R172" s="72"/>
      <c r="S172" s="56"/>
      <c r="T172" s="74">
        <f t="shared" si="28"/>
        <v>380</v>
      </c>
      <c r="U172" s="74">
        <v>0</v>
      </c>
      <c r="V172" s="74">
        <f t="shared" si="29"/>
        <v>0</v>
      </c>
      <c r="W172" s="74">
        <f t="shared" si="30"/>
        <v>0</v>
      </c>
      <c r="X172" s="74">
        <f t="shared" si="31"/>
        <v>0</v>
      </c>
      <c r="Y172" s="74">
        <f t="shared" si="32"/>
        <v>0</v>
      </c>
      <c r="Z172" s="74">
        <f t="shared" si="33"/>
        <v>380</v>
      </c>
      <c r="AA172" s="75">
        <f t="shared" si="37"/>
        <v>380</v>
      </c>
      <c r="AB172" s="75">
        <f t="shared" si="36"/>
        <v>0</v>
      </c>
    </row>
    <row r="173" spans="1:28">
      <c r="A173" s="123" t="s">
        <v>352</v>
      </c>
      <c r="B173" s="140" t="s">
        <v>719</v>
      </c>
      <c r="C173" s="140"/>
      <c r="D173" s="124" t="s">
        <v>353</v>
      </c>
      <c r="E173" s="125">
        <v>670</v>
      </c>
      <c r="F173" s="125">
        <v>670</v>
      </c>
      <c r="G173" s="120">
        <v>1</v>
      </c>
      <c r="H173" s="122">
        <v>0</v>
      </c>
      <c r="I173" s="122">
        <v>0</v>
      </c>
      <c r="J173" s="122">
        <v>0</v>
      </c>
      <c r="K173" s="120">
        <v>0</v>
      </c>
      <c r="L173" s="72">
        <f t="shared" si="34"/>
        <v>1</v>
      </c>
      <c r="M173" s="146">
        <v>1</v>
      </c>
      <c r="N173" s="72">
        <v>0</v>
      </c>
      <c r="O173" s="72">
        <v>0</v>
      </c>
      <c r="P173" s="72">
        <f t="shared" si="35"/>
        <v>1</v>
      </c>
      <c r="Q173" s="72">
        <f t="shared" si="27"/>
        <v>0</v>
      </c>
      <c r="R173" s="72"/>
      <c r="S173" s="56"/>
      <c r="T173" s="74">
        <f t="shared" si="28"/>
        <v>670</v>
      </c>
      <c r="U173" s="74">
        <v>0</v>
      </c>
      <c r="V173" s="74">
        <f t="shared" si="29"/>
        <v>0</v>
      </c>
      <c r="W173" s="74">
        <f t="shared" si="30"/>
        <v>0</v>
      </c>
      <c r="X173" s="74">
        <f t="shared" si="31"/>
        <v>0</v>
      </c>
      <c r="Y173" s="74">
        <f t="shared" si="32"/>
        <v>0</v>
      </c>
      <c r="Z173" s="74">
        <f t="shared" si="33"/>
        <v>670</v>
      </c>
      <c r="AA173" s="75">
        <f t="shared" si="37"/>
        <v>670</v>
      </c>
      <c r="AB173" s="75">
        <f t="shared" si="36"/>
        <v>0</v>
      </c>
    </row>
    <row r="174" spans="1:28">
      <c r="A174" s="123" t="s">
        <v>354</v>
      </c>
      <c r="B174" s="69"/>
      <c r="C174" s="69"/>
      <c r="D174" s="124" t="s">
        <v>355</v>
      </c>
      <c r="E174" s="125">
        <v>990</v>
      </c>
      <c r="F174" s="125">
        <v>990</v>
      </c>
      <c r="G174" s="120">
        <v>0</v>
      </c>
      <c r="H174" s="122">
        <v>0</v>
      </c>
      <c r="I174" s="122">
        <v>0</v>
      </c>
      <c r="J174" s="122">
        <v>0</v>
      </c>
      <c r="K174" s="120">
        <v>0</v>
      </c>
      <c r="L174" s="72">
        <f t="shared" si="34"/>
        <v>0</v>
      </c>
      <c r="M174" s="146">
        <v>0</v>
      </c>
      <c r="N174" s="72">
        <v>0</v>
      </c>
      <c r="O174" s="72">
        <v>0</v>
      </c>
      <c r="P174" s="72">
        <f t="shared" si="35"/>
        <v>0</v>
      </c>
      <c r="Q174" s="72">
        <f t="shared" si="27"/>
        <v>0</v>
      </c>
      <c r="R174" s="72"/>
      <c r="S174" s="56"/>
      <c r="T174" s="74">
        <f t="shared" si="28"/>
        <v>0</v>
      </c>
      <c r="U174" s="74">
        <v>0</v>
      </c>
      <c r="V174" s="74">
        <f t="shared" si="29"/>
        <v>0</v>
      </c>
      <c r="W174" s="74">
        <f t="shared" si="30"/>
        <v>0</v>
      </c>
      <c r="X174" s="74">
        <f t="shared" si="31"/>
        <v>0</v>
      </c>
      <c r="Y174" s="74">
        <f t="shared" si="32"/>
        <v>0</v>
      </c>
      <c r="Z174" s="74">
        <f t="shared" si="33"/>
        <v>0</v>
      </c>
      <c r="AA174" s="75">
        <f t="shared" si="37"/>
        <v>0</v>
      </c>
      <c r="AB174" s="75">
        <f t="shared" si="36"/>
        <v>0</v>
      </c>
    </row>
    <row r="175" spans="1:28">
      <c r="A175" s="123" t="s">
        <v>356</v>
      </c>
      <c r="B175" s="69"/>
      <c r="C175" s="69"/>
      <c r="D175" s="124" t="s">
        <v>357</v>
      </c>
      <c r="E175" s="125">
        <v>400</v>
      </c>
      <c r="F175" s="125">
        <v>400</v>
      </c>
      <c r="G175" s="120">
        <v>0</v>
      </c>
      <c r="H175" s="122">
        <v>0</v>
      </c>
      <c r="I175" s="122">
        <v>0</v>
      </c>
      <c r="J175" s="122">
        <v>0</v>
      </c>
      <c r="K175" s="120">
        <v>0</v>
      </c>
      <c r="L175" s="72">
        <f t="shared" si="34"/>
        <v>0</v>
      </c>
      <c r="M175" s="146">
        <v>0</v>
      </c>
      <c r="N175" s="72">
        <v>0</v>
      </c>
      <c r="O175" s="72">
        <v>0</v>
      </c>
      <c r="P175" s="72">
        <f t="shared" si="35"/>
        <v>0</v>
      </c>
      <c r="Q175" s="72">
        <f t="shared" si="27"/>
        <v>0</v>
      </c>
      <c r="R175" s="72"/>
      <c r="S175" s="56"/>
      <c r="T175" s="74">
        <f t="shared" si="28"/>
        <v>0</v>
      </c>
      <c r="U175" s="74">
        <v>0</v>
      </c>
      <c r="V175" s="74">
        <f t="shared" si="29"/>
        <v>0</v>
      </c>
      <c r="W175" s="74">
        <f t="shared" si="30"/>
        <v>0</v>
      </c>
      <c r="X175" s="74">
        <f t="shared" si="31"/>
        <v>0</v>
      </c>
      <c r="Y175" s="74">
        <f t="shared" si="32"/>
        <v>0</v>
      </c>
      <c r="Z175" s="74">
        <f t="shared" si="33"/>
        <v>0</v>
      </c>
      <c r="AA175" s="75">
        <f t="shared" si="37"/>
        <v>0</v>
      </c>
      <c r="AB175" s="75">
        <f t="shared" si="36"/>
        <v>0</v>
      </c>
    </row>
    <row r="176" spans="1:28">
      <c r="A176" s="123" t="s">
        <v>358</v>
      </c>
      <c r="B176" s="69"/>
      <c r="C176" s="69"/>
      <c r="D176" s="124" t="s">
        <v>359</v>
      </c>
      <c r="E176" s="125">
        <v>0</v>
      </c>
      <c r="F176" s="125">
        <v>0</v>
      </c>
      <c r="G176" s="120">
        <v>0</v>
      </c>
      <c r="H176" s="122">
        <v>0</v>
      </c>
      <c r="I176" s="122">
        <v>0</v>
      </c>
      <c r="J176" s="122">
        <v>0</v>
      </c>
      <c r="K176" s="120">
        <v>0</v>
      </c>
      <c r="L176" s="72">
        <f t="shared" si="34"/>
        <v>0</v>
      </c>
      <c r="M176" s="146">
        <v>0</v>
      </c>
      <c r="N176" s="72">
        <v>0</v>
      </c>
      <c r="O176" s="72">
        <v>0</v>
      </c>
      <c r="P176" s="72">
        <f t="shared" si="35"/>
        <v>0</v>
      </c>
      <c r="Q176" s="72">
        <f t="shared" si="27"/>
        <v>0</v>
      </c>
      <c r="R176" s="72"/>
      <c r="S176" s="56"/>
      <c r="T176" s="74">
        <f t="shared" si="28"/>
        <v>0</v>
      </c>
      <c r="U176" s="74">
        <v>0</v>
      </c>
      <c r="V176" s="74">
        <f t="shared" si="29"/>
        <v>0</v>
      </c>
      <c r="W176" s="74">
        <f t="shared" si="30"/>
        <v>0</v>
      </c>
      <c r="X176" s="74">
        <f t="shared" si="31"/>
        <v>0</v>
      </c>
      <c r="Y176" s="74">
        <f t="shared" si="32"/>
        <v>0</v>
      </c>
      <c r="Z176" s="74">
        <f t="shared" si="33"/>
        <v>0</v>
      </c>
      <c r="AA176" s="75">
        <f t="shared" si="37"/>
        <v>0</v>
      </c>
      <c r="AB176" s="75">
        <f t="shared" si="36"/>
        <v>0</v>
      </c>
    </row>
    <row r="177" spans="1:29">
      <c r="A177" s="123" t="s">
        <v>360</v>
      </c>
      <c r="B177" s="69"/>
      <c r="C177" s="69"/>
      <c r="D177" s="124" t="s">
        <v>361</v>
      </c>
      <c r="E177" s="125">
        <v>10.35</v>
      </c>
      <c r="F177" s="125">
        <v>10.35</v>
      </c>
      <c r="G177" s="120">
        <v>1</v>
      </c>
      <c r="H177" s="122">
        <v>0</v>
      </c>
      <c r="I177" s="122">
        <v>0</v>
      </c>
      <c r="J177" s="122">
        <v>0</v>
      </c>
      <c r="K177" s="120">
        <v>0</v>
      </c>
      <c r="L177" s="72">
        <f t="shared" si="34"/>
        <v>1</v>
      </c>
      <c r="M177" s="146">
        <v>1</v>
      </c>
      <c r="N177" s="72">
        <v>0</v>
      </c>
      <c r="O177" s="72">
        <v>0</v>
      </c>
      <c r="P177" s="72">
        <f t="shared" si="35"/>
        <v>1</v>
      </c>
      <c r="Q177" s="72">
        <f t="shared" si="27"/>
        <v>0</v>
      </c>
      <c r="R177" s="72"/>
      <c r="S177" s="56"/>
      <c r="T177" s="74">
        <f t="shared" si="28"/>
        <v>10.35</v>
      </c>
      <c r="U177" s="74">
        <v>0</v>
      </c>
      <c r="V177" s="74">
        <f t="shared" si="29"/>
        <v>0</v>
      </c>
      <c r="W177" s="74">
        <f t="shared" si="30"/>
        <v>0</v>
      </c>
      <c r="X177" s="74">
        <f t="shared" si="31"/>
        <v>0</v>
      </c>
      <c r="Y177" s="74">
        <f t="shared" si="32"/>
        <v>0</v>
      </c>
      <c r="Z177" s="74">
        <f t="shared" si="33"/>
        <v>10.35</v>
      </c>
      <c r="AA177" s="75">
        <f t="shared" si="37"/>
        <v>10.35</v>
      </c>
      <c r="AB177" s="75">
        <f t="shared" si="36"/>
        <v>0</v>
      </c>
    </row>
    <row r="178" spans="1:29" ht="24">
      <c r="A178" s="123" t="s">
        <v>362</v>
      </c>
      <c r="B178" s="69"/>
      <c r="C178" s="69"/>
      <c r="D178" s="124" t="s">
        <v>363</v>
      </c>
      <c r="E178" s="125">
        <v>34</v>
      </c>
      <c r="F178" s="125">
        <v>34</v>
      </c>
      <c r="G178" s="120">
        <v>0</v>
      </c>
      <c r="H178" s="122">
        <v>0</v>
      </c>
      <c r="I178" s="122">
        <v>0</v>
      </c>
      <c r="J178" s="122">
        <v>0</v>
      </c>
      <c r="K178" s="120">
        <v>0</v>
      </c>
      <c r="L178" s="72">
        <f t="shared" si="34"/>
        <v>0</v>
      </c>
      <c r="M178" s="146">
        <v>0</v>
      </c>
      <c r="N178" s="72">
        <v>0</v>
      </c>
      <c r="O178" s="72">
        <v>0</v>
      </c>
      <c r="P178" s="72">
        <f t="shared" si="35"/>
        <v>0</v>
      </c>
      <c r="Q178" s="72">
        <f t="shared" si="27"/>
        <v>0</v>
      </c>
      <c r="R178" s="72"/>
      <c r="S178" s="56"/>
      <c r="T178" s="74">
        <f t="shared" si="28"/>
        <v>0</v>
      </c>
      <c r="U178" s="74">
        <v>0</v>
      </c>
      <c r="V178" s="74">
        <f t="shared" si="29"/>
        <v>0</v>
      </c>
      <c r="W178" s="74">
        <f t="shared" si="30"/>
        <v>0</v>
      </c>
      <c r="X178" s="74">
        <f t="shared" si="31"/>
        <v>0</v>
      </c>
      <c r="Y178" s="74">
        <f t="shared" si="32"/>
        <v>0</v>
      </c>
      <c r="Z178" s="74">
        <f t="shared" si="33"/>
        <v>0</v>
      </c>
      <c r="AA178" s="75">
        <f t="shared" si="37"/>
        <v>0</v>
      </c>
      <c r="AB178" s="75">
        <f t="shared" si="36"/>
        <v>0</v>
      </c>
    </row>
    <row r="179" spans="1:29">
      <c r="A179" s="123" t="s">
        <v>364</v>
      </c>
      <c r="B179" s="69"/>
      <c r="C179" s="69"/>
      <c r="D179" s="124" t="s">
        <v>365</v>
      </c>
      <c r="E179" s="125">
        <v>12.11</v>
      </c>
      <c r="F179" s="125">
        <v>12.11</v>
      </c>
      <c r="G179" s="120">
        <v>0</v>
      </c>
      <c r="H179" s="122">
        <v>0</v>
      </c>
      <c r="I179" s="122">
        <v>0</v>
      </c>
      <c r="J179" s="122">
        <v>0</v>
      </c>
      <c r="K179" s="120">
        <v>0</v>
      </c>
      <c r="L179" s="72">
        <f t="shared" si="34"/>
        <v>0</v>
      </c>
      <c r="M179" s="146">
        <v>0</v>
      </c>
      <c r="N179" s="72">
        <v>0</v>
      </c>
      <c r="O179" s="72">
        <v>0</v>
      </c>
      <c r="P179" s="72">
        <f t="shared" si="35"/>
        <v>0</v>
      </c>
      <c r="Q179" s="72">
        <f t="shared" si="27"/>
        <v>0</v>
      </c>
      <c r="R179" s="72"/>
      <c r="S179" s="56"/>
      <c r="T179" s="74">
        <f t="shared" si="28"/>
        <v>0</v>
      </c>
      <c r="U179" s="74">
        <v>0</v>
      </c>
      <c r="V179" s="74">
        <f t="shared" si="29"/>
        <v>0</v>
      </c>
      <c r="W179" s="74">
        <f t="shared" si="30"/>
        <v>0</v>
      </c>
      <c r="X179" s="74">
        <f t="shared" si="31"/>
        <v>0</v>
      </c>
      <c r="Y179" s="74">
        <f t="shared" si="32"/>
        <v>0</v>
      </c>
      <c r="Z179" s="74">
        <f t="shared" si="33"/>
        <v>0</v>
      </c>
      <c r="AA179" s="75">
        <f t="shared" si="37"/>
        <v>0</v>
      </c>
      <c r="AB179" s="75">
        <f t="shared" si="36"/>
        <v>0</v>
      </c>
    </row>
    <row r="180" spans="1:29" s="157" customFormat="1" ht="24">
      <c r="A180" s="154" t="s">
        <v>366</v>
      </c>
      <c r="B180" s="158"/>
      <c r="C180" s="158"/>
      <c r="D180" s="126" t="s">
        <v>367</v>
      </c>
      <c r="E180" s="125">
        <v>75</v>
      </c>
      <c r="F180" s="125">
        <v>75</v>
      </c>
      <c r="G180" s="121">
        <v>10</v>
      </c>
      <c r="H180" s="155">
        <v>0</v>
      </c>
      <c r="I180" s="155">
        <v>0</v>
      </c>
      <c r="J180" s="155">
        <v>0</v>
      </c>
      <c r="K180" s="162">
        <v>10</v>
      </c>
      <c r="L180" s="156">
        <f t="shared" si="34"/>
        <v>0</v>
      </c>
      <c r="M180" s="146">
        <v>0</v>
      </c>
      <c r="N180" s="128">
        <v>0</v>
      </c>
      <c r="O180" s="130"/>
      <c r="P180" s="128">
        <f t="shared" si="35"/>
        <v>0</v>
      </c>
      <c r="Q180" s="128">
        <f t="shared" si="27"/>
        <v>0</v>
      </c>
      <c r="R180" s="128"/>
      <c r="S180" s="56"/>
      <c r="T180" s="74">
        <f t="shared" si="28"/>
        <v>750</v>
      </c>
      <c r="U180" s="74">
        <v>0</v>
      </c>
      <c r="V180" s="74">
        <f t="shared" si="29"/>
        <v>0</v>
      </c>
      <c r="W180" s="74">
        <f t="shared" si="30"/>
        <v>0</v>
      </c>
      <c r="X180" s="74">
        <f t="shared" si="31"/>
        <v>0</v>
      </c>
      <c r="Y180" s="74">
        <f t="shared" si="32"/>
        <v>750</v>
      </c>
      <c r="Z180" s="74">
        <f t="shared" si="33"/>
        <v>0</v>
      </c>
      <c r="AA180" s="75">
        <f t="shared" si="37"/>
        <v>0</v>
      </c>
      <c r="AB180" s="75">
        <f t="shared" si="36"/>
        <v>0</v>
      </c>
    </row>
    <row r="181" spans="1:29" s="157" customFormat="1" ht="24">
      <c r="A181" s="154" t="s">
        <v>368</v>
      </c>
      <c r="B181" s="158"/>
      <c r="C181" s="158"/>
      <c r="D181" s="126" t="s">
        <v>369</v>
      </c>
      <c r="E181" s="125">
        <v>110</v>
      </c>
      <c r="F181" s="125">
        <v>110</v>
      </c>
      <c r="G181" s="121">
        <v>10</v>
      </c>
      <c r="H181" s="155">
        <v>0</v>
      </c>
      <c r="I181" s="155">
        <v>0</v>
      </c>
      <c r="J181" s="155">
        <v>0</v>
      </c>
      <c r="K181" s="162">
        <v>10</v>
      </c>
      <c r="L181" s="156">
        <f t="shared" si="34"/>
        <v>0</v>
      </c>
      <c r="M181" s="146">
        <v>0</v>
      </c>
      <c r="N181" s="128">
        <v>0</v>
      </c>
      <c r="O181" s="130"/>
      <c r="P181" s="128">
        <f t="shared" si="35"/>
        <v>0</v>
      </c>
      <c r="Q181" s="128">
        <f t="shared" si="27"/>
        <v>0</v>
      </c>
      <c r="R181" s="128"/>
      <c r="S181" s="56"/>
      <c r="T181" s="74">
        <f t="shared" si="28"/>
        <v>1100</v>
      </c>
      <c r="U181" s="74">
        <v>0</v>
      </c>
      <c r="V181" s="74">
        <f t="shared" si="29"/>
        <v>0</v>
      </c>
      <c r="W181" s="74">
        <f t="shared" si="30"/>
        <v>0</v>
      </c>
      <c r="X181" s="74">
        <f t="shared" si="31"/>
        <v>0</v>
      </c>
      <c r="Y181" s="74">
        <f t="shared" si="32"/>
        <v>1100</v>
      </c>
      <c r="Z181" s="74">
        <f t="shared" si="33"/>
        <v>0</v>
      </c>
      <c r="AA181" s="75">
        <f t="shared" si="37"/>
        <v>0</v>
      </c>
      <c r="AB181" s="75">
        <f t="shared" si="36"/>
        <v>0</v>
      </c>
    </row>
    <row r="182" spans="1:29" s="157" customFormat="1" ht="24">
      <c r="A182" s="154" t="s">
        <v>370</v>
      </c>
      <c r="B182" s="158"/>
      <c r="C182" s="158"/>
      <c r="D182" s="126" t="s">
        <v>371</v>
      </c>
      <c r="E182" s="125">
        <v>110</v>
      </c>
      <c r="F182" s="125">
        <v>110</v>
      </c>
      <c r="G182" s="121">
        <v>10</v>
      </c>
      <c r="H182" s="155">
        <v>0</v>
      </c>
      <c r="I182" s="155">
        <v>0</v>
      </c>
      <c r="J182" s="155">
        <v>0</v>
      </c>
      <c r="K182" s="162">
        <v>10</v>
      </c>
      <c r="L182" s="156">
        <f t="shared" si="34"/>
        <v>0</v>
      </c>
      <c r="M182" s="146">
        <v>0</v>
      </c>
      <c r="N182" s="128">
        <v>0</v>
      </c>
      <c r="O182" s="130"/>
      <c r="P182" s="128">
        <f t="shared" si="35"/>
        <v>0</v>
      </c>
      <c r="Q182" s="128">
        <f t="shared" si="27"/>
        <v>0</v>
      </c>
      <c r="R182" s="128"/>
      <c r="S182" s="56"/>
      <c r="T182" s="74">
        <f t="shared" si="28"/>
        <v>1100</v>
      </c>
      <c r="U182" s="74">
        <v>0</v>
      </c>
      <c r="V182" s="74">
        <f t="shared" si="29"/>
        <v>0</v>
      </c>
      <c r="W182" s="74">
        <f t="shared" si="30"/>
        <v>0</v>
      </c>
      <c r="X182" s="74">
        <f t="shared" si="31"/>
        <v>0</v>
      </c>
      <c r="Y182" s="74">
        <f t="shared" si="32"/>
        <v>1100</v>
      </c>
      <c r="Z182" s="74">
        <f t="shared" si="33"/>
        <v>0</v>
      </c>
      <c r="AA182" s="75">
        <f t="shared" si="37"/>
        <v>0</v>
      </c>
      <c r="AB182" s="75">
        <f t="shared" si="36"/>
        <v>0</v>
      </c>
    </row>
    <row r="183" spans="1:29">
      <c r="A183" s="123" t="s">
        <v>372</v>
      </c>
      <c r="B183" s="69"/>
      <c r="C183" s="69"/>
      <c r="D183" s="124" t="s">
        <v>373</v>
      </c>
      <c r="E183" s="125">
        <v>272.31</v>
      </c>
      <c r="F183" s="125">
        <v>272.31</v>
      </c>
      <c r="G183" s="120">
        <v>0</v>
      </c>
      <c r="H183" s="122">
        <v>0</v>
      </c>
      <c r="I183" s="122">
        <v>0</v>
      </c>
      <c r="J183" s="122">
        <v>0</v>
      </c>
      <c r="K183" s="120">
        <v>0</v>
      </c>
      <c r="L183" s="72">
        <f t="shared" si="34"/>
        <v>0</v>
      </c>
      <c r="M183" s="146">
        <v>0</v>
      </c>
      <c r="N183" s="72">
        <v>0</v>
      </c>
      <c r="O183" s="72">
        <v>0</v>
      </c>
      <c r="P183" s="72">
        <f t="shared" si="35"/>
        <v>0</v>
      </c>
      <c r="Q183" s="72">
        <f t="shared" si="27"/>
        <v>0</v>
      </c>
      <c r="R183" s="72"/>
      <c r="S183" s="56"/>
      <c r="T183" s="74">
        <f t="shared" si="28"/>
        <v>0</v>
      </c>
      <c r="U183" s="74">
        <v>0</v>
      </c>
      <c r="V183" s="74">
        <f t="shared" si="29"/>
        <v>0</v>
      </c>
      <c r="W183" s="74">
        <f t="shared" si="30"/>
        <v>0</v>
      </c>
      <c r="X183" s="74">
        <f t="shared" si="31"/>
        <v>0</v>
      </c>
      <c r="Y183" s="74">
        <f t="shared" si="32"/>
        <v>0</v>
      </c>
      <c r="Z183" s="74">
        <f t="shared" si="33"/>
        <v>0</v>
      </c>
      <c r="AA183" s="75">
        <f t="shared" si="37"/>
        <v>0</v>
      </c>
      <c r="AB183" s="75">
        <f t="shared" si="36"/>
        <v>0</v>
      </c>
    </row>
    <row r="184" spans="1:29">
      <c r="A184" s="123" t="s">
        <v>374</v>
      </c>
      <c r="B184" s="69"/>
      <c r="C184" s="69"/>
      <c r="D184" s="124" t="s">
        <v>375</v>
      </c>
      <c r="E184" s="125">
        <v>0</v>
      </c>
      <c r="F184" s="125">
        <v>0</v>
      </c>
      <c r="G184" s="120">
        <v>0</v>
      </c>
      <c r="H184" s="122">
        <v>0</v>
      </c>
      <c r="I184" s="122">
        <v>0</v>
      </c>
      <c r="J184" s="122">
        <v>0</v>
      </c>
      <c r="K184" s="120">
        <v>0</v>
      </c>
      <c r="L184" s="72">
        <f t="shared" si="34"/>
        <v>0</v>
      </c>
      <c r="M184" s="146">
        <v>0</v>
      </c>
      <c r="N184" s="72">
        <v>0</v>
      </c>
      <c r="O184" s="72">
        <v>0</v>
      </c>
      <c r="P184" s="72">
        <f t="shared" si="35"/>
        <v>0</v>
      </c>
      <c r="Q184" s="72">
        <f t="shared" si="27"/>
        <v>0</v>
      </c>
      <c r="R184" s="72"/>
      <c r="S184" s="56"/>
      <c r="T184" s="74">
        <f t="shared" si="28"/>
        <v>0</v>
      </c>
      <c r="U184" s="74">
        <v>0</v>
      </c>
      <c r="V184" s="74">
        <f t="shared" si="29"/>
        <v>0</v>
      </c>
      <c r="W184" s="74">
        <f t="shared" si="30"/>
        <v>0</v>
      </c>
      <c r="X184" s="74">
        <f t="shared" si="31"/>
        <v>0</v>
      </c>
      <c r="Y184" s="74">
        <f t="shared" si="32"/>
        <v>0</v>
      </c>
      <c r="Z184" s="74">
        <f t="shared" si="33"/>
        <v>0</v>
      </c>
      <c r="AA184" s="75">
        <f t="shared" si="37"/>
        <v>0</v>
      </c>
      <c r="AB184" s="75">
        <f t="shared" si="36"/>
        <v>0</v>
      </c>
    </row>
    <row r="185" spans="1:29">
      <c r="A185" s="123" t="s">
        <v>376</v>
      </c>
      <c r="B185" s="69" t="s">
        <v>782</v>
      </c>
      <c r="C185" s="69"/>
      <c r="D185" s="124" t="s">
        <v>781</v>
      </c>
      <c r="E185" s="125">
        <v>4500</v>
      </c>
      <c r="F185" s="125">
        <v>4500</v>
      </c>
      <c r="G185" s="120">
        <v>1</v>
      </c>
      <c r="H185" s="122">
        <v>0</v>
      </c>
      <c r="I185" s="122">
        <v>0</v>
      </c>
      <c r="J185" s="122">
        <v>0</v>
      </c>
      <c r="K185" s="120">
        <v>0</v>
      </c>
      <c r="L185" s="72">
        <f t="shared" si="34"/>
        <v>1</v>
      </c>
      <c r="M185" s="146">
        <v>1</v>
      </c>
      <c r="N185" s="72">
        <v>0</v>
      </c>
      <c r="O185" s="72">
        <v>0</v>
      </c>
      <c r="P185" s="72">
        <f t="shared" si="35"/>
        <v>1</v>
      </c>
      <c r="Q185" s="72">
        <f t="shared" si="27"/>
        <v>0</v>
      </c>
      <c r="R185" s="72"/>
      <c r="S185" s="56"/>
      <c r="T185" s="74">
        <f t="shared" si="28"/>
        <v>4500</v>
      </c>
      <c r="U185" s="74">
        <v>0</v>
      </c>
      <c r="V185" s="74">
        <f t="shared" si="29"/>
        <v>0</v>
      </c>
      <c r="W185" s="74">
        <f t="shared" si="30"/>
        <v>0</v>
      </c>
      <c r="X185" s="74">
        <f t="shared" si="31"/>
        <v>0</v>
      </c>
      <c r="Y185" s="74">
        <f t="shared" si="32"/>
        <v>0</v>
      </c>
      <c r="Z185" s="74">
        <f t="shared" si="33"/>
        <v>4500</v>
      </c>
      <c r="AA185" s="75">
        <f t="shared" si="37"/>
        <v>4500</v>
      </c>
      <c r="AB185" s="75">
        <f t="shared" si="36"/>
        <v>0</v>
      </c>
      <c r="AC185" s="153" t="s">
        <v>783</v>
      </c>
    </row>
    <row r="186" spans="1:29">
      <c r="A186" s="123" t="s">
        <v>378</v>
      </c>
      <c r="B186" s="69"/>
      <c r="C186" s="69"/>
      <c r="D186" s="124" t="s">
        <v>379</v>
      </c>
      <c r="E186" s="125">
        <v>1860</v>
      </c>
      <c r="F186" s="125">
        <v>1860</v>
      </c>
      <c r="G186" s="120">
        <v>0</v>
      </c>
      <c r="H186" s="122">
        <v>0</v>
      </c>
      <c r="I186" s="122">
        <v>0</v>
      </c>
      <c r="J186" s="122">
        <v>0</v>
      </c>
      <c r="K186" s="120">
        <v>0</v>
      </c>
      <c r="L186" s="72">
        <f t="shared" si="34"/>
        <v>0</v>
      </c>
      <c r="M186" s="146">
        <v>0</v>
      </c>
      <c r="N186" s="72">
        <v>0</v>
      </c>
      <c r="O186" s="72">
        <v>0</v>
      </c>
      <c r="P186" s="72">
        <f t="shared" si="35"/>
        <v>0</v>
      </c>
      <c r="Q186" s="72">
        <f t="shared" si="27"/>
        <v>0</v>
      </c>
      <c r="R186" s="72"/>
      <c r="S186" s="56"/>
      <c r="T186" s="74">
        <f t="shared" si="28"/>
        <v>0</v>
      </c>
      <c r="U186" s="74">
        <v>0</v>
      </c>
      <c r="V186" s="74">
        <f t="shared" si="29"/>
        <v>0</v>
      </c>
      <c r="W186" s="74">
        <f t="shared" si="30"/>
        <v>0</v>
      </c>
      <c r="X186" s="74">
        <f t="shared" si="31"/>
        <v>0</v>
      </c>
      <c r="Y186" s="74">
        <f t="shared" si="32"/>
        <v>0</v>
      </c>
      <c r="Z186" s="74">
        <f t="shared" si="33"/>
        <v>0</v>
      </c>
      <c r="AA186" s="75">
        <f t="shared" si="37"/>
        <v>0</v>
      </c>
      <c r="AB186" s="75">
        <f t="shared" si="36"/>
        <v>0</v>
      </c>
    </row>
    <row r="187" spans="1:29" ht="24">
      <c r="A187" s="123" t="s">
        <v>380</v>
      </c>
      <c r="B187" s="140" t="s">
        <v>720</v>
      </c>
      <c r="C187" s="140"/>
      <c r="D187" s="124" t="s">
        <v>381</v>
      </c>
      <c r="E187" s="125">
        <v>1780</v>
      </c>
      <c r="F187" s="125">
        <v>1780</v>
      </c>
      <c r="G187" s="120">
        <v>1</v>
      </c>
      <c r="H187" s="122">
        <v>0</v>
      </c>
      <c r="I187" s="122">
        <v>0</v>
      </c>
      <c r="J187" s="122">
        <v>0</v>
      </c>
      <c r="K187" s="120">
        <v>0</v>
      </c>
      <c r="L187" s="72">
        <f t="shared" si="34"/>
        <v>1</v>
      </c>
      <c r="M187" s="146">
        <v>1</v>
      </c>
      <c r="N187" s="72">
        <v>0</v>
      </c>
      <c r="O187" s="72">
        <v>0</v>
      </c>
      <c r="P187" s="72">
        <f t="shared" si="35"/>
        <v>1</v>
      </c>
      <c r="Q187" s="72">
        <f t="shared" si="27"/>
        <v>0</v>
      </c>
      <c r="R187" s="72"/>
      <c r="S187" s="56"/>
      <c r="T187" s="74">
        <f t="shared" si="28"/>
        <v>1780</v>
      </c>
      <c r="U187" s="74">
        <v>0</v>
      </c>
      <c r="V187" s="74">
        <f t="shared" si="29"/>
        <v>0</v>
      </c>
      <c r="W187" s="74">
        <f t="shared" si="30"/>
        <v>0</v>
      </c>
      <c r="X187" s="74">
        <f t="shared" si="31"/>
        <v>0</v>
      </c>
      <c r="Y187" s="74">
        <f t="shared" si="32"/>
        <v>0</v>
      </c>
      <c r="Z187" s="74">
        <f t="shared" si="33"/>
        <v>1780</v>
      </c>
      <c r="AA187" s="75">
        <f t="shared" si="37"/>
        <v>1780</v>
      </c>
      <c r="AB187" s="75">
        <f t="shared" si="36"/>
        <v>0</v>
      </c>
    </row>
    <row r="188" spans="1:29" ht="36">
      <c r="A188" s="123" t="s">
        <v>382</v>
      </c>
      <c r="B188" s="140" t="s">
        <v>721</v>
      </c>
      <c r="C188" s="140"/>
      <c r="D188" s="124" t="s">
        <v>815</v>
      </c>
      <c r="E188" s="125">
        <v>530</v>
      </c>
      <c r="F188" s="125">
        <v>530</v>
      </c>
      <c r="G188" s="120">
        <v>4</v>
      </c>
      <c r="H188" s="122">
        <v>0</v>
      </c>
      <c r="I188" s="122">
        <v>0</v>
      </c>
      <c r="J188" s="122">
        <v>0</v>
      </c>
      <c r="K188" s="120">
        <v>0</v>
      </c>
      <c r="L188" s="72">
        <f t="shared" si="34"/>
        <v>4</v>
      </c>
      <c r="M188" s="146">
        <v>4</v>
      </c>
      <c r="N188" s="72">
        <v>0</v>
      </c>
      <c r="O188" s="72">
        <v>0</v>
      </c>
      <c r="P188" s="72">
        <f t="shared" si="35"/>
        <v>4</v>
      </c>
      <c r="Q188" s="72">
        <f t="shared" si="27"/>
        <v>0</v>
      </c>
      <c r="R188" s="72"/>
      <c r="S188" s="56"/>
      <c r="T188" s="74">
        <f t="shared" si="28"/>
        <v>2120</v>
      </c>
      <c r="U188" s="74">
        <v>0</v>
      </c>
      <c r="V188" s="74">
        <f t="shared" si="29"/>
        <v>0</v>
      </c>
      <c r="W188" s="74">
        <f t="shared" si="30"/>
        <v>0</v>
      </c>
      <c r="X188" s="74">
        <f t="shared" si="31"/>
        <v>0</v>
      </c>
      <c r="Y188" s="74">
        <f t="shared" si="32"/>
        <v>0</v>
      </c>
      <c r="Z188" s="74">
        <f t="shared" si="33"/>
        <v>2120</v>
      </c>
      <c r="AA188" s="75">
        <f t="shared" si="37"/>
        <v>2120</v>
      </c>
      <c r="AB188" s="75">
        <f t="shared" si="36"/>
        <v>0</v>
      </c>
    </row>
    <row r="189" spans="1:29" ht="22.5">
      <c r="A189" s="123" t="s">
        <v>384</v>
      </c>
      <c r="B189" s="140" t="s">
        <v>722</v>
      </c>
      <c r="C189" s="140"/>
      <c r="D189" s="124" t="s">
        <v>816</v>
      </c>
      <c r="E189" s="125">
        <v>250</v>
      </c>
      <c r="F189" s="125">
        <v>250</v>
      </c>
      <c r="G189" s="120">
        <v>2</v>
      </c>
      <c r="H189" s="122">
        <v>0</v>
      </c>
      <c r="I189" s="122">
        <v>0</v>
      </c>
      <c r="J189" s="122">
        <v>0</v>
      </c>
      <c r="K189" s="120">
        <v>0</v>
      </c>
      <c r="L189" s="72">
        <f t="shared" si="34"/>
        <v>2</v>
      </c>
      <c r="M189" s="146">
        <v>2</v>
      </c>
      <c r="N189" s="72">
        <v>0</v>
      </c>
      <c r="O189" s="72">
        <v>0</v>
      </c>
      <c r="P189" s="72">
        <f t="shared" si="35"/>
        <v>2</v>
      </c>
      <c r="Q189" s="72">
        <f t="shared" si="27"/>
        <v>0</v>
      </c>
      <c r="R189" s="72"/>
      <c r="S189" s="56"/>
      <c r="T189" s="74">
        <f t="shared" si="28"/>
        <v>500</v>
      </c>
      <c r="U189" s="74">
        <v>0</v>
      </c>
      <c r="V189" s="74">
        <f t="shared" si="29"/>
        <v>0</v>
      </c>
      <c r="W189" s="74">
        <f t="shared" si="30"/>
        <v>0</v>
      </c>
      <c r="X189" s="74">
        <f t="shared" si="31"/>
        <v>0</v>
      </c>
      <c r="Y189" s="74">
        <f t="shared" si="32"/>
        <v>0</v>
      </c>
      <c r="Z189" s="74">
        <f t="shared" si="33"/>
        <v>500</v>
      </c>
      <c r="AA189" s="75">
        <f t="shared" si="37"/>
        <v>500</v>
      </c>
      <c r="AB189" s="75">
        <f t="shared" si="36"/>
        <v>0</v>
      </c>
    </row>
    <row r="190" spans="1:29" ht="48">
      <c r="A190" s="123" t="s">
        <v>386</v>
      </c>
      <c r="B190" s="69"/>
      <c r="C190" s="69"/>
      <c r="D190" s="124" t="s">
        <v>387</v>
      </c>
      <c r="E190" s="125">
        <v>517.89</v>
      </c>
      <c r="F190" s="125">
        <v>517.89</v>
      </c>
      <c r="G190" s="120">
        <v>50</v>
      </c>
      <c r="H190" s="122">
        <v>0</v>
      </c>
      <c r="I190" s="122">
        <v>0</v>
      </c>
      <c r="J190" s="122">
        <v>0</v>
      </c>
      <c r="K190" s="120">
        <v>0</v>
      </c>
      <c r="L190" s="72">
        <f t="shared" si="34"/>
        <v>50</v>
      </c>
      <c r="M190" s="146">
        <v>50</v>
      </c>
      <c r="N190" s="72">
        <v>0</v>
      </c>
      <c r="O190" s="72">
        <v>0</v>
      </c>
      <c r="P190" s="72">
        <f t="shared" si="35"/>
        <v>50</v>
      </c>
      <c r="Q190" s="72">
        <f t="shared" si="27"/>
        <v>0</v>
      </c>
      <c r="R190" s="72"/>
      <c r="S190" s="56"/>
      <c r="T190" s="74">
        <f t="shared" si="28"/>
        <v>25894.5</v>
      </c>
      <c r="U190" s="74">
        <v>0</v>
      </c>
      <c r="V190" s="74">
        <f t="shared" si="29"/>
        <v>0</v>
      </c>
      <c r="W190" s="74">
        <f t="shared" si="30"/>
        <v>0</v>
      </c>
      <c r="X190" s="74">
        <f t="shared" si="31"/>
        <v>0</v>
      </c>
      <c r="Y190" s="74">
        <f t="shared" si="32"/>
        <v>0</v>
      </c>
      <c r="Z190" s="74">
        <f t="shared" si="33"/>
        <v>25894.5</v>
      </c>
      <c r="AA190" s="75">
        <f t="shared" si="37"/>
        <v>25894.5</v>
      </c>
      <c r="AB190" s="75">
        <f t="shared" si="36"/>
        <v>0</v>
      </c>
    </row>
    <row r="191" spans="1:29">
      <c r="A191" s="123" t="s">
        <v>388</v>
      </c>
      <c r="B191" s="140" t="s">
        <v>723</v>
      </c>
      <c r="C191" s="140"/>
      <c r="D191" s="124" t="s">
        <v>389</v>
      </c>
      <c r="E191" s="125">
        <v>70</v>
      </c>
      <c r="F191" s="125">
        <v>70</v>
      </c>
      <c r="G191" s="120">
        <v>4</v>
      </c>
      <c r="H191" s="122">
        <v>0</v>
      </c>
      <c r="I191" s="122">
        <v>0</v>
      </c>
      <c r="J191" s="122">
        <v>0</v>
      </c>
      <c r="K191" s="120">
        <v>0</v>
      </c>
      <c r="L191" s="72">
        <f t="shared" si="34"/>
        <v>4</v>
      </c>
      <c r="M191" s="146">
        <v>4</v>
      </c>
      <c r="N191" s="72">
        <v>0</v>
      </c>
      <c r="O191" s="72">
        <v>0</v>
      </c>
      <c r="P191" s="72">
        <f t="shared" si="35"/>
        <v>4</v>
      </c>
      <c r="Q191" s="72">
        <f t="shared" si="27"/>
        <v>0</v>
      </c>
      <c r="R191" s="72"/>
      <c r="S191" s="56"/>
      <c r="T191" s="74">
        <f t="shared" si="28"/>
        <v>280</v>
      </c>
      <c r="U191" s="74">
        <v>0</v>
      </c>
      <c r="V191" s="74">
        <f t="shared" si="29"/>
        <v>0</v>
      </c>
      <c r="W191" s="74">
        <f t="shared" si="30"/>
        <v>0</v>
      </c>
      <c r="X191" s="74">
        <f t="shared" si="31"/>
        <v>0</v>
      </c>
      <c r="Y191" s="74">
        <f t="shared" si="32"/>
        <v>0</v>
      </c>
      <c r="Z191" s="74">
        <f t="shared" si="33"/>
        <v>280</v>
      </c>
      <c r="AA191" s="75">
        <f t="shared" si="37"/>
        <v>280</v>
      </c>
      <c r="AB191" s="75">
        <f t="shared" si="36"/>
        <v>0</v>
      </c>
    </row>
    <row r="192" spans="1:29">
      <c r="A192" s="123" t="s">
        <v>390</v>
      </c>
      <c r="B192" s="69"/>
      <c r="C192" s="69"/>
      <c r="D192" s="124" t="s">
        <v>391</v>
      </c>
      <c r="E192" s="125">
        <v>0</v>
      </c>
      <c r="F192" s="125">
        <v>0</v>
      </c>
      <c r="G192" s="120">
        <v>0</v>
      </c>
      <c r="H192" s="122">
        <v>0</v>
      </c>
      <c r="I192" s="122">
        <v>0</v>
      </c>
      <c r="J192" s="122">
        <v>0</v>
      </c>
      <c r="K192" s="120">
        <v>0</v>
      </c>
      <c r="L192" s="72">
        <f t="shared" si="34"/>
        <v>0</v>
      </c>
      <c r="M192" s="146">
        <v>0</v>
      </c>
      <c r="N192" s="72">
        <v>0</v>
      </c>
      <c r="O192" s="72">
        <v>0</v>
      </c>
      <c r="P192" s="72">
        <f t="shared" si="35"/>
        <v>0</v>
      </c>
      <c r="Q192" s="72">
        <f t="shared" si="27"/>
        <v>0</v>
      </c>
      <c r="R192" s="72"/>
      <c r="S192" s="56"/>
      <c r="T192" s="74">
        <f t="shared" si="28"/>
        <v>0</v>
      </c>
      <c r="U192" s="74">
        <v>0</v>
      </c>
      <c r="V192" s="74">
        <f t="shared" si="29"/>
        <v>0</v>
      </c>
      <c r="W192" s="74">
        <f t="shared" si="30"/>
        <v>0</v>
      </c>
      <c r="X192" s="74">
        <f t="shared" si="31"/>
        <v>0</v>
      </c>
      <c r="Y192" s="74">
        <f t="shared" si="32"/>
        <v>0</v>
      </c>
      <c r="Z192" s="74">
        <f t="shared" si="33"/>
        <v>0</v>
      </c>
      <c r="AA192" s="75">
        <f t="shared" si="37"/>
        <v>0</v>
      </c>
      <c r="AB192" s="75">
        <f t="shared" si="36"/>
        <v>0</v>
      </c>
    </row>
    <row r="193" spans="1:28">
      <c r="A193" s="123" t="s">
        <v>392</v>
      </c>
      <c r="B193" s="140" t="s">
        <v>764</v>
      </c>
      <c r="C193" s="140"/>
      <c r="D193" s="124" t="s">
        <v>393</v>
      </c>
      <c r="E193" s="125">
        <v>690</v>
      </c>
      <c r="F193" s="125">
        <v>690</v>
      </c>
      <c r="G193" s="120">
        <v>1</v>
      </c>
      <c r="H193" s="122">
        <v>0</v>
      </c>
      <c r="I193" s="122">
        <v>0</v>
      </c>
      <c r="J193" s="122">
        <v>0</v>
      </c>
      <c r="K193" s="120">
        <v>0</v>
      </c>
      <c r="L193" s="72">
        <f t="shared" si="34"/>
        <v>1</v>
      </c>
      <c r="M193" s="146">
        <v>1</v>
      </c>
      <c r="N193" s="72">
        <v>0</v>
      </c>
      <c r="O193" s="72">
        <v>0</v>
      </c>
      <c r="P193" s="72">
        <f t="shared" si="35"/>
        <v>1</v>
      </c>
      <c r="Q193" s="72">
        <f t="shared" si="27"/>
        <v>0</v>
      </c>
      <c r="R193" s="72"/>
      <c r="S193" s="56"/>
      <c r="T193" s="74">
        <f t="shared" si="28"/>
        <v>690</v>
      </c>
      <c r="U193" s="74">
        <v>0</v>
      </c>
      <c r="V193" s="74">
        <f t="shared" si="29"/>
        <v>0</v>
      </c>
      <c r="W193" s="74">
        <f t="shared" si="30"/>
        <v>0</v>
      </c>
      <c r="X193" s="74">
        <f t="shared" si="31"/>
        <v>0</v>
      </c>
      <c r="Y193" s="74">
        <f t="shared" si="32"/>
        <v>0</v>
      </c>
      <c r="Z193" s="74">
        <f t="shared" si="33"/>
        <v>690</v>
      </c>
      <c r="AA193" s="75">
        <f t="shared" si="37"/>
        <v>690</v>
      </c>
      <c r="AB193" s="75">
        <f t="shared" si="36"/>
        <v>0</v>
      </c>
    </row>
    <row r="194" spans="1:28">
      <c r="A194" s="123" t="s">
        <v>394</v>
      </c>
      <c r="B194" s="69"/>
      <c r="C194" s="69"/>
      <c r="D194" s="124" t="s">
        <v>395</v>
      </c>
      <c r="E194" s="125">
        <v>0</v>
      </c>
      <c r="F194" s="125">
        <v>0</v>
      </c>
      <c r="G194" s="120">
        <v>0</v>
      </c>
      <c r="H194" s="122">
        <v>0</v>
      </c>
      <c r="I194" s="122">
        <v>0</v>
      </c>
      <c r="J194" s="122">
        <v>0</v>
      </c>
      <c r="K194" s="120">
        <v>0</v>
      </c>
      <c r="L194" s="72">
        <f t="shared" si="34"/>
        <v>0</v>
      </c>
      <c r="M194" s="146">
        <v>0</v>
      </c>
      <c r="N194" s="72">
        <v>0</v>
      </c>
      <c r="O194" s="72">
        <v>0</v>
      </c>
      <c r="P194" s="72">
        <f t="shared" si="35"/>
        <v>0</v>
      </c>
      <c r="Q194" s="72">
        <f t="shared" si="27"/>
        <v>0</v>
      </c>
      <c r="R194" s="72"/>
      <c r="S194" s="56"/>
      <c r="T194" s="74">
        <f t="shared" si="28"/>
        <v>0</v>
      </c>
      <c r="U194" s="74">
        <v>0</v>
      </c>
      <c r="V194" s="74">
        <f t="shared" si="29"/>
        <v>0</v>
      </c>
      <c r="W194" s="74">
        <f t="shared" si="30"/>
        <v>0</v>
      </c>
      <c r="X194" s="74">
        <f t="shared" si="31"/>
        <v>0</v>
      </c>
      <c r="Y194" s="74">
        <f t="shared" si="32"/>
        <v>0</v>
      </c>
      <c r="Z194" s="74">
        <f t="shared" si="33"/>
        <v>0</v>
      </c>
      <c r="AA194" s="75">
        <f t="shared" si="37"/>
        <v>0</v>
      </c>
      <c r="AB194" s="75">
        <f t="shared" si="36"/>
        <v>0</v>
      </c>
    </row>
    <row r="195" spans="1:28" ht="24">
      <c r="A195" s="123" t="s">
        <v>396</v>
      </c>
      <c r="B195" s="140" t="s">
        <v>757</v>
      </c>
      <c r="C195" s="140" t="s">
        <v>750</v>
      </c>
      <c r="D195" s="124" t="s">
        <v>397</v>
      </c>
      <c r="E195" s="125">
        <v>60</v>
      </c>
      <c r="F195" s="125">
        <v>60</v>
      </c>
      <c r="G195" s="120">
        <v>9</v>
      </c>
      <c r="H195" s="122">
        <v>0</v>
      </c>
      <c r="I195" s="122">
        <v>0</v>
      </c>
      <c r="J195" s="122">
        <v>5</v>
      </c>
      <c r="K195" s="120">
        <v>0</v>
      </c>
      <c r="L195" s="72">
        <f t="shared" si="34"/>
        <v>4</v>
      </c>
      <c r="M195" s="146">
        <v>4</v>
      </c>
      <c r="N195" s="72">
        <v>0</v>
      </c>
      <c r="O195" s="72">
        <v>0</v>
      </c>
      <c r="P195" s="72">
        <f t="shared" si="35"/>
        <v>4</v>
      </c>
      <c r="Q195" s="72">
        <f t="shared" si="27"/>
        <v>0</v>
      </c>
      <c r="R195" s="72"/>
      <c r="S195" s="56"/>
      <c r="T195" s="74">
        <f t="shared" si="28"/>
        <v>540</v>
      </c>
      <c r="U195" s="74">
        <v>0</v>
      </c>
      <c r="V195" s="74">
        <f t="shared" si="29"/>
        <v>0</v>
      </c>
      <c r="W195" s="74">
        <f t="shared" si="30"/>
        <v>0</v>
      </c>
      <c r="X195" s="74">
        <f t="shared" si="31"/>
        <v>300</v>
      </c>
      <c r="Y195" s="74">
        <f t="shared" si="32"/>
        <v>0</v>
      </c>
      <c r="Z195" s="74">
        <f t="shared" si="33"/>
        <v>240</v>
      </c>
      <c r="AA195" s="75">
        <f t="shared" si="37"/>
        <v>240</v>
      </c>
      <c r="AB195" s="75">
        <f t="shared" si="36"/>
        <v>0</v>
      </c>
    </row>
    <row r="196" spans="1:28">
      <c r="A196" s="123" t="s">
        <v>398</v>
      </c>
      <c r="B196" s="69"/>
      <c r="C196" s="69"/>
      <c r="D196" s="124" t="s">
        <v>399</v>
      </c>
      <c r="E196" s="125">
        <v>620</v>
      </c>
      <c r="F196" s="125">
        <v>620</v>
      </c>
      <c r="G196" s="120">
        <v>0</v>
      </c>
      <c r="H196" s="122">
        <v>0</v>
      </c>
      <c r="I196" s="122">
        <v>0</v>
      </c>
      <c r="J196" s="122">
        <v>0</v>
      </c>
      <c r="K196" s="120">
        <v>0</v>
      </c>
      <c r="L196" s="72">
        <f t="shared" si="34"/>
        <v>0</v>
      </c>
      <c r="M196" s="146">
        <v>0</v>
      </c>
      <c r="N196" s="72">
        <v>0</v>
      </c>
      <c r="O196" s="72">
        <v>0</v>
      </c>
      <c r="P196" s="72">
        <f t="shared" si="35"/>
        <v>0</v>
      </c>
      <c r="Q196" s="72">
        <f t="shared" si="27"/>
        <v>0</v>
      </c>
      <c r="R196" s="72"/>
      <c r="S196" s="56"/>
      <c r="T196" s="74">
        <f t="shared" si="28"/>
        <v>0</v>
      </c>
      <c r="U196" s="74">
        <v>0</v>
      </c>
      <c r="V196" s="74">
        <f t="shared" si="29"/>
        <v>0</v>
      </c>
      <c r="W196" s="74">
        <f t="shared" si="30"/>
        <v>0</v>
      </c>
      <c r="X196" s="74">
        <f t="shared" si="31"/>
        <v>0</v>
      </c>
      <c r="Y196" s="74">
        <f t="shared" si="32"/>
        <v>0</v>
      </c>
      <c r="Z196" s="74">
        <f t="shared" si="33"/>
        <v>0</v>
      </c>
      <c r="AA196" s="75">
        <f t="shared" si="37"/>
        <v>0</v>
      </c>
      <c r="AB196" s="75">
        <f t="shared" si="36"/>
        <v>0</v>
      </c>
    </row>
    <row r="197" spans="1:28">
      <c r="A197" s="123" t="s">
        <v>400</v>
      </c>
      <c r="B197" s="140" t="s">
        <v>724</v>
      </c>
      <c r="C197" s="140"/>
      <c r="D197" s="124" t="s">
        <v>401</v>
      </c>
      <c r="E197" s="125">
        <v>390</v>
      </c>
      <c r="F197" s="125">
        <v>390</v>
      </c>
      <c r="G197" s="120">
        <v>3</v>
      </c>
      <c r="H197" s="122">
        <v>0</v>
      </c>
      <c r="I197" s="122">
        <v>0</v>
      </c>
      <c r="J197" s="122">
        <v>0</v>
      </c>
      <c r="K197" s="120">
        <v>0</v>
      </c>
      <c r="L197" s="72">
        <f t="shared" si="34"/>
        <v>3</v>
      </c>
      <c r="M197" s="146">
        <v>3</v>
      </c>
      <c r="N197" s="72">
        <v>0</v>
      </c>
      <c r="O197" s="72">
        <v>0</v>
      </c>
      <c r="P197" s="72">
        <f t="shared" si="35"/>
        <v>3</v>
      </c>
      <c r="Q197" s="72">
        <f t="shared" si="27"/>
        <v>0</v>
      </c>
      <c r="R197" s="72"/>
      <c r="S197" s="56"/>
      <c r="T197" s="74">
        <f t="shared" si="28"/>
        <v>1170</v>
      </c>
      <c r="U197" s="74">
        <v>0</v>
      </c>
      <c r="V197" s="74">
        <f t="shared" si="29"/>
        <v>0</v>
      </c>
      <c r="W197" s="74">
        <f t="shared" si="30"/>
        <v>0</v>
      </c>
      <c r="X197" s="74">
        <f t="shared" si="31"/>
        <v>0</v>
      </c>
      <c r="Y197" s="74">
        <f t="shared" si="32"/>
        <v>0</v>
      </c>
      <c r="Z197" s="74">
        <f t="shared" si="33"/>
        <v>1170</v>
      </c>
      <c r="AA197" s="75">
        <f t="shared" si="37"/>
        <v>1170</v>
      </c>
      <c r="AB197" s="75">
        <f t="shared" si="36"/>
        <v>0</v>
      </c>
    </row>
    <row r="198" spans="1:28">
      <c r="A198" s="123" t="s">
        <v>402</v>
      </c>
      <c r="B198" s="69"/>
      <c r="C198" s="69"/>
      <c r="D198" s="124" t="s">
        <v>403</v>
      </c>
      <c r="E198" s="125">
        <v>320</v>
      </c>
      <c r="F198" s="125">
        <v>320</v>
      </c>
      <c r="G198" s="120">
        <v>0</v>
      </c>
      <c r="H198" s="122">
        <v>0</v>
      </c>
      <c r="I198" s="122">
        <v>0</v>
      </c>
      <c r="J198" s="122">
        <v>0</v>
      </c>
      <c r="K198" s="120">
        <v>0</v>
      </c>
      <c r="L198" s="72">
        <f t="shared" si="34"/>
        <v>0</v>
      </c>
      <c r="M198" s="146">
        <v>0</v>
      </c>
      <c r="N198" s="72">
        <v>0</v>
      </c>
      <c r="O198" s="72">
        <v>0</v>
      </c>
      <c r="P198" s="72">
        <f t="shared" si="35"/>
        <v>0</v>
      </c>
      <c r="Q198" s="72">
        <f t="shared" si="27"/>
        <v>0</v>
      </c>
      <c r="R198" s="72"/>
      <c r="S198" s="56"/>
      <c r="T198" s="74">
        <f t="shared" si="28"/>
        <v>0</v>
      </c>
      <c r="U198" s="74">
        <v>0</v>
      </c>
      <c r="V198" s="74">
        <f t="shared" si="29"/>
        <v>0</v>
      </c>
      <c r="W198" s="74">
        <f t="shared" si="30"/>
        <v>0</v>
      </c>
      <c r="X198" s="74">
        <f t="shared" si="31"/>
        <v>0</v>
      </c>
      <c r="Y198" s="74">
        <f t="shared" si="32"/>
        <v>0</v>
      </c>
      <c r="Z198" s="74">
        <f t="shared" si="33"/>
        <v>0</v>
      </c>
      <c r="AA198" s="75">
        <f t="shared" si="37"/>
        <v>0</v>
      </c>
      <c r="AB198" s="75">
        <f t="shared" si="36"/>
        <v>0</v>
      </c>
    </row>
    <row r="199" spans="1:28">
      <c r="A199" s="123" t="s">
        <v>404</v>
      </c>
      <c r="B199" s="69"/>
      <c r="C199" s="69"/>
      <c r="D199" s="124" t="s">
        <v>817</v>
      </c>
      <c r="E199" s="125">
        <v>80</v>
      </c>
      <c r="F199" s="125">
        <v>80</v>
      </c>
      <c r="G199" s="120">
        <v>1</v>
      </c>
      <c r="H199" s="122">
        <v>0</v>
      </c>
      <c r="I199" s="122">
        <v>0</v>
      </c>
      <c r="J199" s="122">
        <v>0</v>
      </c>
      <c r="K199" s="120">
        <v>0</v>
      </c>
      <c r="L199" s="72">
        <f t="shared" si="34"/>
        <v>1</v>
      </c>
      <c r="M199" s="146">
        <v>1</v>
      </c>
      <c r="N199" s="72">
        <v>0</v>
      </c>
      <c r="O199" s="72">
        <v>0</v>
      </c>
      <c r="P199" s="72">
        <f t="shared" si="35"/>
        <v>1</v>
      </c>
      <c r="Q199" s="72">
        <f t="shared" ref="Q199:Q262" si="38">P199-L199</f>
        <v>0</v>
      </c>
      <c r="R199" s="72"/>
      <c r="S199" s="56"/>
      <c r="T199" s="74">
        <f t="shared" ref="T199:T262" si="39">E199*G199</f>
        <v>80</v>
      </c>
      <c r="U199" s="74">
        <v>0</v>
      </c>
      <c r="V199" s="74">
        <f t="shared" ref="V199:V262" si="40">F199*H199</f>
        <v>0</v>
      </c>
      <c r="W199" s="74">
        <f t="shared" ref="W199:W262" si="41">F199*I199</f>
        <v>0</v>
      </c>
      <c r="X199" s="74">
        <f t="shared" ref="X199:X262" si="42">F199*J199</f>
        <v>0</v>
      </c>
      <c r="Y199" s="74">
        <f t="shared" ref="Y199:Y262" si="43">F199*K199</f>
        <v>0</v>
      </c>
      <c r="Z199" s="74">
        <f t="shared" si="33"/>
        <v>80</v>
      </c>
      <c r="AA199" s="75">
        <f t="shared" si="37"/>
        <v>80</v>
      </c>
      <c r="AB199" s="75">
        <f t="shared" si="36"/>
        <v>0</v>
      </c>
    </row>
    <row r="200" spans="1:28">
      <c r="A200" s="123" t="s">
        <v>406</v>
      </c>
      <c r="B200" s="69"/>
      <c r="C200" s="69"/>
      <c r="D200" s="124" t="s">
        <v>407</v>
      </c>
      <c r="E200" s="125">
        <v>251.92</v>
      </c>
      <c r="F200" s="125">
        <v>251.92</v>
      </c>
      <c r="G200" s="120">
        <v>2</v>
      </c>
      <c r="H200" s="122">
        <v>0</v>
      </c>
      <c r="I200" s="122">
        <v>0</v>
      </c>
      <c r="J200" s="122">
        <v>0</v>
      </c>
      <c r="K200" s="120">
        <v>0</v>
      </c>
      <c r="L200" s="72">
        <f t="shared" si="34"/>
        <v>2</v>
      </c>
      <c r="M200" s="146">
        <v>2</v>
      </c>
      <c r="N200" s="72">
        <v>0</v>
      </c>
      <c r="O200" s="72">
        <v>0</v>
      </c>
      <c r="P200" s="72">
        <f t="shared" si="35"/>
        <v>2</v>
      </c>
      <c r="Q200" s="72">
        <f t="shared" si="38"/>
        <v>0</v>
      </c>
      <c r="R200" s="72"/>
      <c r="S200" s="56"/>
      <c r="T200" s="74">
        <f t="shared" si="39"/>
        <v>503.84</v>
      </c>
      <c r="U200" s="74">
        <v>0</v>
      </c>
      <c r="V200" s="74">
        <f t="shared" si="40"/>
        <v>0</v>
      </c>
      <c r="W200" s="74">
        <f t="shared" si="41"/>
        <v>0</v>
      </c>
      <c r="X200" s="74">
        <f t="shared" si="42"/>
        <v>0</v>
      </c>
      <c r="Y200" s="74">
        <f t="shared" si="43"/>
        <v>0</v>
      </c>
      <c r="Z200" s="74">
        <f t="shared" ref="Z200:Z262" si="44">T200+U200+V200+W200-X200-Y200</f>
        <v>503.84</v>
      </c>
      <c r="AA200" s="75">
        <f t="shared" si="37"/>
        <v>503.84</v>
      </c>
      <c r="AB200" s="75">
        <f t="shared" si="36"/>
        <v>0</v>
      </c>
    </row>
    <row r="201" spans="1:28" ht="24.75">
      <c r="A201" s="123" t="s">
        <v>408</v>
      </c>
      <c r="B201" s="142" t="s">
        <v>767</v>
      </c>
      <c r="C201" s="69"/>
      <c r="D201" s="124" t="s">
        <v>409</v>
      </c>
      <c r="E201" s="125">
        <v>3400</v>
      </c>
      <c r="F201" s="125">
        <v>3400</v>
      </c>
      <c r="G201" s="120">
        <v>1</v>
      </c>
      <c r="H201" s="122">
        <v>0</v>
      </c>
      <c r="I201" s="122">
        <v>0</v>
      </c>
      <c r="J201" s="122">
        <v>0</v>
      </c>
      <c r="K201" s="120">
        <v>0</v>
      </c>
      <c r="L201" s="72">
        <f t="shared" ref="L201:L265" si="45">G201+H201+I201-J201-K201</f>
        <v>1</v>
      </c>
      <c r="M201" s="146">
        <v>1</v>
      </c>
      <c r="N201" s="72">
        <v>0</v>
      </c>
      <c r="O201" s="72">
        <v>0</v>
      </c>
      <c r="P201" s="72">
        <f t="shared" ref="P201:P265" si="46">M201+N201+O201</f>
        <v>1</v>
      </c>
      <c r="Q201" s="72">
        <f t="shared" si="38"/>
        <v>0</v>
      </c>
      <c r="R201" s="72"/>
      <c r="S201" s="56"/>
      <c r="T201" s="74">
        <f t="shared" si="39"/>
        <v>3400</v>
      </c>
      <c r="U201" s="74">
        <v>0</v>
      </c>
      <c r="V201" s="74">
        <f t="shared" si="40"/>
        <v>0</v>
      </c>
      <c r="W201" s="74">
        <f t="shared" si="41"/>
        <v>0</v>
      </c>
      <c r="X201" s="74">
        <f t="shared" si="42"/>
        <v>0</v>
      </c>
      <c r="Y201" s="74">
        <f t="shared" si="43"/>
        <v>0</v>
      </c>
      <c r="Z201" s="74">
        <f t="shared" si="44"/>
        <v>3400</v>
      </c>
      <c r="AA201" s="75">
        <f t="shared" si="37"/>
        <v>3400</v>
      </c>
      <c r="AB201" s="75">
        <f t="shared" ref="AB201:AB265" si="47">AA201-Z201</f>
        <v>0</v>
      </c>
    </row>
    <row r="202" spans="1:28">
      <c r="A202" s="123" t="s">
        <v>410</v>
      </c>
      <c r="B202" s="69"/>
      <c r="C202" s="69"/>
      <c r="D202" s="124" t="s">
        <v>411</v>
      </c>
      <c r="E202" s="125">
        <v>6665.36</v>
      </c>
      <c r="F202" s="125">
        <v>6665.36</v>
      </c>
      <c r="G202" s="120">
        <v>0</v>
      </c>
      <c r="H202" s="122">
        <v>0</v>
      </c>
      <c r="I202" s="122">
        <v>0</v>
      </c>
      <c r="J202" s="122">
        <v>0</v>
      </c>
      <c r="K202" s="120">
        <v>0</v>
      </c>
      <c r="L202" s="72">
        <f t="shared" si="45"/>
        <v>0</v>
      </c>
      <c r="M202" s="146">
        <v>0</v>
      </c>
      <c r="N202" s="72">
        <v>0</v>
      </c>
      <c r="O202" s="72">
        <v>0</v>
      </c>
      <c r="P202" s="72">
        <f t="shared" si="46"/>
        <v>0</v>
      </c>
      <c r="Q202" s="72">
        <f t="shared" si="38"/>
        <v>0</v>
      </c>
      <c r="R202" s="72"/>
      <c r="S202" s="56"/>
      <c r="T202" s="74">
        <f t="shared" si="39"/>
        <v>0</v>
      </c>
      <c r="U202" s="74">
        <v>0</v>
      </c>
      <c r="V202" s="74">
        <f t="shared" si="40"/>
        <v>0</v>
      </c>
      <c r="W202" s="74">
        <f t="shared" si="41"/>
        <v>0</v>
      </c>
      <c r="X202" s="74">
        <f t="shared" si="42"/>
        <v>0</v>
      </c>
      <c r="Y202" s="74">
        <f t="shared" si="43"/>
        <v>0</v>
      </c>
      <c r="Z202" s="74">
        <f t="shared" si="44"/>
        <v>0</v>
      </c>
      <c r="AA202" s="75">
        <f t="shared" si="37"/>
        <v>0</v>
      </c>
      <c r="AB202" s="75">
        <f t="shared" si="47"/>
        <v>0</v>
      </c>
    </row>
    <row r="203" spans="1:28">
      <c r="A203" s="123" t="s">
        <v>412</v>
      </c>
      <c r="B203" s="69"/>
      <c r="C203" s="69" t="s">
        <v>818</v>
      </c>
      <c r="D203" s="124" t="s">
        <v>413</v>
      </c>
      <c r="E203" s="125">
        <v>0</v>
      </c>
      <c r="F203" s="125">
        <v>0</v>
      </c>
      <c r="G203" s="120">
        <v>0</v>
      </c>
      <c r="H203" s="122">
        <v>0</v>
      </c>
      <c r="I203" s="122">
        <v>0</v>
      </c>
      <c r="J203" s="122">
        <v>0</v>
      </c>
      <c r="K203" s="120">
        <v>0</v>
      </c>
      <c r="L203" s="72">
        <f t="shared" si="45"/>
        <v>0</v>
      </c>
      <c r="M203" s="146">
        <v>0</v>
      </c>
      <c r="N203" s="72">
        <v>0</v>
      </c>
      <c r="O203" s="72">
        <v>0</v>
      </c>
      <c r="P203" s="72">
        <f t="shared" si="46"/>
        <v>0</v>
      </c>
      <c r="Q203" s="72">
        <f t="shared" si="38"/>
        <v>0</v>
      </c>
      <c r="R203" s="72"/>
      <c r="S203" s="56"/>
      <c r="T203" s="74">
        <f t="shared" si="39"/>
        <v>0</v>
      </c>
      <c r="U203" s="74">
        <v>0</v>
      </c>
      <c r="V203" s="74">
        <f t="shared" si="40"/>
        <v>0</v>
      </c>
      <c r="W203" s="74">
        <f t="shared" si="41"/>
        <v>0</v>
      </c>
      <c r="X203" s="74">
        <f t="shared" si="42"/>
        <v>0</v>
      </c>
      <c r="Y203" s="74">
        <f t="shared" si="43"/>
        <v>0</v>
      </c>
      <c r="Z203" s="74">
        <f t="shared" si="44"/>
        <v>0</v>
      </c>
      <c r="AA203" s="75">
        <f t="shared" si="37"/>
        <v>0</v>
      </c>
      <c r="AB203" s="75">
        <f t="shared" si="47"/>
        <v>0</v>
      </c>
    </row>
    <row r="204" spans="1:28" ht="24">
      <c r="A204" s="123" t="s">
        <v>414</v>
      </c>
      <c r="B204" s="140" t="s">
        <v>725</v>
      </c>
      <c r="C204" s="140" t="s">
        <v>759</v>
      </c>
      <c r="D204" s="124" t="s">
        <v>415</v>
      </c>
      <c r="E204" s="125">
        <v>68</v>
      </c>
      <c r="F204" s="125">
        <v>68</v>
      </c>
      <c r="G204" s="120">
        <v>50</v>
      </c>
      <c r="H204" s="122">
        <v>0</v>
      </c>
      <c r="I204" s="122">
        <v>0</v>
      </c>
      <c r="J204" s="122">
        <v>25</v>
      </c>
      <c r="K204" s="120">
        <v>0</v>
      </c>
      <c r="L204" s="72">
        <f t="shared" si="45"/>
        <v>25</v>
      </c>
      <c r="M204" s="146">
        <v>25</v>
      </c>
      <c r="N204" s="72">
        <v>0</v>
      </c>
      <c r="O204" s="72">
        <v>0</v>
      </c>
      <c r="P204" s="72">
        <f t="shared" si="46"/>
        <v>25</v>
      </c>
      <c r="Q204" s="72">
        <f t="shared" si="38"/>
        <v>0</v>
      </c>
      <c r="R204" s="72"/>
      <c r="S204" s="56"/>
      <c r="T204" s="74">
        <f t="shared" si="39"/>
        <v>3400</v>
      </c>
      <c r="U204" s="74">
        <v>0</v>
      </c>
      <c r="V204" s="74">
        <f t="shared" si="40"/>
        <v>0</v>
      </c>
      <c r="W204" s="74">
        <f t="shared" si="41"/>
        <v>0</v>
      </c>
      <c r="X204" s="74">
        <f t="shared" si="42"/>
        <v>1700</v>
      </c>
      <c r="Y204" s="74">
        <f t="shared" si="43"/>
        <v>0</v>
      </c>
      <c r="Z204" s="74">
        <f t="shared" si="44"/>
        <v>1700</v>
      </c>
      <c r="AA204" s="75">
        <f t="shared" si="37"/>
        <v>1700</v>
      </c>
      <c r="AB204" s="75">
        <f t="shared" si="47"/>
        <v>0</v>
      </c>
    </row>
    <row r="205" spans="1:28">
      <c r="A205" s="123" t="s">
        <v>416</v>
      </c>
      <c r="B205" s="69"/>
      <c r="C205" s="69"/>
      <c r="D205" s="124" t="s">
        <v>417</v>
      </c>
      <c r="E205" s="125">
        <v>60</v>
      </c>
      <c r="F205" s="125">
        <v>60</v>
      </c>
      <c r="G205" s="120">
        <v>25</v>
      </c>
      <c r="H205" s="122">
        <v>0</v>
      </c>
      <c r="I205" s="122">
        <v>0</v>
      </c>
      <c r="J205" s="122">
        <v>0</v>
      </c>
      <c r="K205" s="120">
        <v>0</v>
      </c>
      <c r="L205" s="72">
        <f t="shared" si="45"/>
        <v>25</v>
      </c>
      <c r="M205" s="146">
        <v>25</v>
      </c>
      <c r="N205" s="72">
        <v>0</v>
      </c>
      <c r="O205" s="72">
        <v>0</v>
      </c>
      <c r="P205" s="72">
        <f t="shared" si="46"/>
        <v>25</v>
      </c>
      <c r="Q205" s="72">
        <f t="shared" si="38"/>
        <v>0</v>
      </c>
      <c r="R205" s="72"/>
      <c r="S205" s="56"/>
      <c r="T205" s="74">
        <f t="shared" si="39"/>
        <v>1500</v>
      </c>
      <c r="U205" s="74">
        <v>0</v>
      </c>
      <c r="V205" s="74">
        <f t="shared" si="40"/>
        <v>0</v>
      </c>
      <c r="W205" s="74">
        <f t="shared" si="41"/>
        <v>0</v>
      </c>
      <c r="X205" s="74">
        <f t="shared" si="42"/>
        <v>0</v>
      </c>
      <c r="Y205" s="74">
        <f t="shared" si="43"/>
        <v>0</v>
      </c>
      <c r="Z205" s="74">
        <f t="shared" si="44"/>
        <v>1500</v>
      </c>
      <c r="AA205" s="75">
        <f t="shared" si="37"/>
        <v>1500</v>
      </c>
      <c r="AB205" s="75">
        <f t="shared" si="47"/>
        <v>0</v>
      </c>
    </row>
    <row r="206" spans="1:28">
      <c r="A206" s="123" t="s">
        <v>418</v>
      </c>
      <c r="B206" s="69"/>
      <c r="C206" s="69"/>
      <c r="D206" s="124" t="s">
        <v>419</v>
      </c>
      <c r="E206" s="125">
        <v>3900</v>
      </c>
      <c r="F206" s="125">
        <v>3900</v>
      </c>
      <c r="G206" s="120">
        <v>1</v>
      </c>
      <c r="H206" s="122">
        <v>0</v>
      </c>
      <c r="I206" s="122">
        <v>0</v>
      </c>
      <c r="J206" s="122">
        <v>0</v>
      </c>
      <c r="K206" s="120">
        <v>0</v>
      </c>
      <c r="L206" s="72">
        <f t="shared" si="45"/>
        <v>1</v>
      </c>
      <c r="M206" s="146">
        <v>1</v>
      </c>
      <c r="N206" s="72">
        <v>0</v>
      </c>
      <c r="O206" s="72">
        <v>0</v>
      </c>
      <c r="P206" s="72">
        <f t="shared" si="46"/>
        <v>1</v>
      </c>
      <c r="Q206" s="72">
        <f t="shared" si="38"/>
        <v>0</v>
      </c>
      <c r="R206" s="72"/>
      <c r="S206" s="56"/>
      <c r="T206" s="74">
        <f t="shared" si="39"/>
        <v>3900</v>
      </c>
      <c r="U206" s="74">
        <v>0</v>
      </c>
      <c r="V206" s="74">
        <f t="shared" si="40"/>
        <v>0</v>
      </c>
      <c r="W206" s="74">
        <f t="shared" si="41"/>
        <v>0</v>
      </c>
      <c r="X206" s="74">
        <f t="shared" si="42"/>
        <v>0</v>
      </c>
      <c r="Y206" s="74">
        <f t="shared" si="43"/>
        <v>0</v>
      </c>
      <c r="Z206" s="74">
        <f t="shared" si="44"/>
        <v>3900</v>
      </c>
      <c r="AA206" s="75">
        <f t="shared" si="37"/>
        <v>3900</v>
      </c>
      <c r="AB206" s="75">
        <f t="shared" si="47"/>
        <v>0</v>
      </c>
    </row>
    <row r="207" spans="1:28">
      <c r="A207" s="123" t="s">
        <v>420</v>
      </c>
      <c r="B207" s="69"/>
      <c r="C207" s="69"/>
      <c r="D207" s="124" t="s">
        <v>421</v>
      </c>
      <c r="E207" s="125">
        <v>0</v>
      </c>
      <c r="F207" s="125">
        <v>0</v>
      </c>
      <c r="G207" s="120">
        <v>0</v>
      </c>
      <c r="H207" s="122">
        <v>0</v>
      </c>
      <c r="I207" s="122">
        <v>0</v>
      </c>
      <c r="J207" s="122">
        <v>0</v>
      </c>
      <c r="K207" s="120">
        <v>0</v>
      </c>
      <c r="L207" s="72">
        <f t="shared" si="45"/>
        <v>0</v>
      </c>
      <c r="M207" s="146">
        <v>0</v>
      </c>
      <c r="N207" s="72">
        <v>0</v>
      </c>
      <c r="O207" s="72">
        <v>0</v>
      </c>
      <c r="P207" s="72">
        <f t="shared" si="46"/>
        <v>0</v>
      </c>
      <c r="Q207" s="72">
        <f t="shared" si="38"/>
        <v>0</v>
      </c>
      <c r="R207" s="72"/>
      <c r="S207" s="56"/>
      <c r="T207" s="74">
        <f t="shared" si="39"/>
        <v>0</v>
      </c>
      <c r="U207" s="74">
        <v>0</v>
      </c>
      <c r="V207" s="74">
        <f t="shared" si="40"/>
        <v>0</v>
      </c>
      <c r="W207" s="74">
        <f t="shared" si="41"/>
        <v>0</v>
      </c>
      <c r="X207" s="74">
        <f t="shared" si="42"/>
        <v>0</v>
      </c>
      <c r="Y207" s="74">
        <f t="shared" si="43"/>
        <v>0</v>
      </c>
      <c r="Z207" s="74">
        <f t="shared" si="44"/>
        <v>0</v>
      </c>
      <c r="AA207" s="75">
        <f t="shared" si="37"/>
        <v>0</v>
      </c>
      <c r="AB207" s="75">
        <f t="shared" si="47"/>
        <v>0</v>
      </c>
    </row>
    <row r="208" spans="1:28">
      <c r="A208" s="123" t="s">
        <v>422</v>
      </c>
      <c r="B208" s="69"/>
      <c r="C208" s="69"/>
      <c r="D208" s="124" t="s">
        <v>423</v>
      </c>
      <c r="E208" s="125">
        <v>0</v>
      </c>
      <c r="F208" s="125">
        <v>0</v>
      </c>
      <c r="G208" s="120">
        <v>0</v>
      </c>
      <c r="H208" s="122">
        <v>0</v>
      </c>
      <c r="I208" s="122">
        <v>0</v>
      </c>
      <c r="J208" s="122">
        <v>0</v>
      </c>
      <c r="K208" s="120">
        <v>0</v>
      </c>
      <c r="L208" s="72">
        <f t="shared" si="45"/>
        <v>0</v>
      </c>
      <c r="M208" s="146">
        <v>0</v>
      </c>
      <c r="N208" s="72">
        <v>0</v>
      </c>
      <c r="O208" s="72">
        <v>0</v>
      </c>
      <c r="P208" s="72">
        <f t="shared" si="46"/>
        <v>0</v>
      </c>
      <c r="Q208" s="72">
        <f t="shared" si="38"/>
        <v>0</v>
      </c>
      <c r="R208" s="72"/>
      <c r="S208" s="56"/>
      <c r="T208" s="74">
        <f t="shared" si="39"/>
        <v>0</v>
      </c>
      <c r="U208" s="74">
        <v>0</v>
      </c>
      <c r="V208" s="74">
        <f t="shared" si="40"/>
        <v>0</v>
      </c>
      <c r="W208" s="74">
        <f t="shared" si="41"/>
        <v>0</v>
      </c>
      <c r="X208" s="74">
        <f t="shared" si="42"/>
        <v>0</v>
      </c>
      <c r="Y208" s="74">
        <f t="shared" si="43"/>
        <v>0</v>
      </c>
      <c r="Z208" s="74">
        <f t="shared" si="44"/>
        <v>0</v>
      </c>
      <c r="AA208" s="75">
        <f t="shared" si="37"/>
        <v>0</v>
      </c>
      <c r="AB208" s="75">
        <f t="shared" si="47"/>
        <v>0</v>
      </c>
    </row>
    <row r="209" spans="1:29">
      <c r="A209" s="123" t="s">
        <v>424</v>
      </c>
      <c r="B209" s="69"/>
      <c r="C209" s="69"/>
      <c r="D209" s="124" t="s">
        <v>425</v>
      </c>
      <c r="E209" s="125">
        <v>0</v>
      </c>
      <c r="F209" s="125">
        <v>0</v>
      </c>
      <c r="G209" s="120">
        <v>0</v>
      </c>
      <c r="H209" s="122">
        <v>0</v>
      </c>
      <c r="I209" s="122">
        <v>0</v>
      </c>
      <c r="J209" s="122">
        <v>0</v>
      </c>
      <c r="K209" s="120">
        <v>0</v>
      </c>
      <c r="L209" s="72">
        <f t="shared" si="45"/>
        <v>0</v>
      </c>
      <c r="M209" s="146">
        <v>0</v>
      </c>
      <c r="N209" s="72">
        <v>0</v>
      </c>
      <c r="O209" s="72">
        <v>0</v>
      </c>
      <c r="P209" s="72">
        <f t="shared" si="46"/>
        <v>0</v>
      </c>
      <c r="Q209" s="72">
        <f t="shared" si="38"/>
        <v>0</v>
      </c>
      <c r="R209" s="72"/>
      <c r="S209" s="56"/>
      <c r="T209" s="74">
        <f t="shared" si="39"/>
        <v>0</v>
      </c>
      <c r="U209" s="74">
        <v>0</v>
      </c>
      <c r="V209" s="74">
        <f t="shared" si="40"/>
        <v>0</v>
      </c>
      <c r="W209" s="74">
        <f t="shared" si="41"/>
        <v>0</v>
      </c>
      <c r="X209" s="74">
        <f t="shared" si="42"/>
        <v>0</v>
      </c>
      <c r="Y209" s="74">
        <f t="shared" si="43"/>
        <v>0</v>
      </c>
      <c r="Z209" s="74">
        <f t="shared" si="44"/>
        <v>0</v>
      </c>
      <c r="AA209" s="75">
        <f t="shared" si="37"/>
        <v>0</v>
      </c>
      <c r="AB209" s="75">
        <f t="shared" si="47"/>
        <v>0</v>
      </c>
    </row>
    <row r="210" spans="1:29">
      <c r="A210" s="123" t="s">
        <v>426</v>
      </c>
      <c r="B210" s="69"/>
      <c r="C210" s="69"/>
      <c r="D210" s="124" t="s">
        <v>427</v>
      </c>
      <c r="E210" s="125">
        <v>0</v>
      </c>
      <c r="F210" s="125">
        <v>0</v>
      </c>
      <c r="G210" s="120">
        <v>0</v>
      </c>
      <c r="H210" s="122">
        <v>0</v>
      </c>
      <c r="I210" s="122">
        <v>0</v>
      </c>
      <c r="J210" s="122">
        <v>0</v>
      </c>
      <c r="K210" s="120">
        <v>0</v>
      </c>
      <c r="L210" s="72">
        <f t="shared" si="45"/>
        <v>0</v>
      </c>
      <c r="M210" s="146">
        <v>0</v>
      </c>
      <c r="N210" s="72">
        <v>0</v>
      </c>
      <c r="O210" s="72">
        <v>0</v>
      </c>
      <c r="P210" s="72">
        <f t="shared" si="46"/>
        <v>0</v>
      </c>
      <c r="Q210" s="72">
        <f t="shared" si="38"/>
        <v>0</v>
      </c>
      <c r="R210" s="72"/>
      <c r="S210" s="56"/>
      <c r="T210" s="74">
        <f t="shared" si="39"/>
        <v>0</v>
      </c>
      <c r="U210" s="74">
        <v>0</v>
      </c>
      <c r="V210" s="74">
        <f t="shared" si="40"/>
        <v>0</v>
      </c>
      <c r="W210" s="74">
        <f t="shared" si="41"/>
        <v>0</v>
      </c>
      <c r="X210" s="74">
        <f t="shared" si="42"/>
        <v>0</v>
      </c>
      <c r="Y210" s="74">
        <f t="shared" si="43"/>
        <v>0</v>
      </c>
      <c r="Z210" s="74">
        <f t="shared" si="44"/>
        <v>0</v>
      </c>
      <c r="AA210" s="75">
        <f t="shared" si="37"/>
        <v>0</v>
      </c>
      <c r="AB210" s="75">
        <f t="shared" si="47"/>
        <v>0</v>
      </c>
    </row>
    <row r="211" spans="1:29">
      <c r="A211" s="123" t="s">
        <v>428</v>
      </c>
      <c r="B211" s="69"/>
      <c r="C211" s="69"/>
      <c r="D211" s="124" t="s">
        <v>429</v>
      </c>
      <c r="E211" s="125">
        <v>0</v>
      </c>
      <c r="F211" s="125">
        <v>0</v>
      </c>
      <c r="G211" s="120">
        <v>0</v>
      </c>
      <c r="H211" s="122">
        <v>0</v>
      </c>
      <c r="I211" s="122">
        <v>0</v>
      </c>
      <c r="J211" s="122">
        <v>0</v>
      </c>
      <c r="K211" s="120">
        <v>0</v>
      </c>
      <c r="L211" s="72">
        <f t="shared" si="45"/>
        <v>0</v>
      </c>
      <c r="M211" s="146">
        <v>0</v>
      </c>
      <c r="N211" s="72">
        <v>0</v>
      </c>
      <c r="O211" s="72">
        <v>0</v>
      </c>
      <c r="P211" s="72">
        <f t="shared" si="46"/>
        <v>0</v>
      </c>
      <c r="Q211" s="72">
        <f t="shared" si="38"/>
        <v>0</v>
      </c>
      <c r="R211" s="72"/>
      <c r="S211" s="56"/>
      <c r="T211" s="74">
        <f t="shared" si="39"/>
        <v>0</v>
      </c>
      <c r="U211" s="74">
        <v>0</v>
      </c>
      <c r="V211" s="74">
        <f t="shared" si="40"/>
        <v>0</v>
      </c>
      <c r="W211" s="74">
        <f t="shared" si="41"/>
        <v>0</v>
      </c>
      <c r="X211" s="74">
        <f t="shared" si="42"/>
        <v>0</v>
      </c>
      <c r="Y211" s="74">
        <f t="shared" si="43"/>
        <v>0</v>
      </c>
      <c r="Z211" s="74">
        <f t="shared" si="44"/>
        <v>0</v>
      </c>
      <c r="AA211" s="75">
        <f t="shared" si="37"/>
        <v>0</v>
      </c>
      <c r="AB211" s="75">
        <f t="shared" si="47"/>
        <v>0</v>
      </c>
    </row>
    <row r="212" spans="1:29">
      <c r="A212" s="123" t="s">
        <v>430</v>
      </c>
      <c r="B212" s="69"/>
      <c r="C212" s="69"/>
      <c r="D212" s="124" t="s">
        <v>431</v>
      </c>
      <c r="E212" s="125">
        <v>0</v>
      </c>
      <c r="F212" s="125">
        <v>0</v>
      </c>
      <c r="G212" s="120">
        <v>0</v>
      </c>
      <c r="H212" s="122">
        <v>0</v>
      </c>
      <c r="I212" s="122">
        <v>0</v>
      </c>
      <c r="J212" s="122">
        <v>0</v>
      </c>
      <c r="K212" s="120">
        <v>0</v>
      </c>
      <c r="L212" s="72">
        <f t="shared" si="45"/>
        <v>0</v>
      </c>
      <c r="M212" s="146">
        <v>0</v>
      </c>
      <c r="N212" s="72">
        <v>0</v>
      </c>
      <c r="O212" s="72">
        <v>0</v>
      </c>
      <c r="P212" s="72">
        <f t="shared" si="46"/>
        <v>0</v>
      </c>
      <c r="Q212" s="72">
        <f t="shared" si="38"/>
        <v>0</v>
      </c>
      <c r="R212" s="72"/>
      <c r="S212" s="56"/>
      <c r="T212" s="74">
        <f t="shared" si="39"/>
        <v>0</v>
      </c>
      <c r="U212" s="74">
        <v>0</v>
      </c>
      <c r="V212" s="74">
        <f t="shared" si="40"/>
        <v>0</v>
      </c>
      <c r="W212" s="74">
        <f t="shared" si="41"/>
        <v>0</v>
      </c>
      <c r="X212" s="74">
        <f t="shared" si="42"/>
        <v>0</v>
      </c>
      <c r="Y212" s="74">
        <f t="shared" si="43"/>
        <v>0</v>
      </c>
      <c r="Z212" s="74">
        <f t="shared" si="44"/>
        <v>0</v>
      </c>
      <c r="AA212" s="75">
        <f t="shared" si="37"/>
        <v>0</v>
      </c>
      <c r="AB212" s="75">
        <f t="shared" si="47"/>
        <v>0</v>
      </c>
    </row>
    <row r="213" spans="1:29">
      <c r="A213" s="123" t="s">
        <v>432</v>
      </c>
      <c r="B213" s="69"/>
      <c r="C213" s="69"/>
      <c r="D213" s="124" t="s">
        <v>433</v>
      </c>
      <c r="E213" s="125">
        <v>0</v>
      </c>
      <c r="F213" s="125">
        <v>0</v>
      </c>
      <c r="G213" s="120">
        <v>0</v>
      </c>
      <c r="H213" s="122">
        <v>0</v>
      </c>
      <c r="I213" s="122">
        <v>0</v>
      </c>
      <c r="J213" s="122">
        <v>0</v>
      </c>
      <c r="K213" s="120">
        <v>0</v>
      </c>
      <c r="L213" s="72">
        <f t="shared" si="45"/>
        <v>0</v>
      </c>
      <c r="M213" s="146">
        <v>0</v>
      </c>
      <c r="N213" s="72">
        <v>0</v>
      </c>
      <c r="O213" s="72">
        <v>0</v>
      </c>
      <c r="P213" s="72">
        <f t="shared" si="46"/>
        <v>0</v>
      </c>
      <c r="Q213" s="72">
        <f t="shared" si="38"/>
        <v>0</v>
      </c>
      <c r="R213" s="72"/>
      <c r="S213" s="56"/>
      <c r="T213" s="74">
        <f t="shared" si="39"/>
        <v>0</v>
      </c>
      <c r="U213" s="74">
        <v>0</v>
      </c>
      <c r="V213" s="74">
        <f t="shared" si="40"/>
        <v>0</v>
      </c>
      <c r="W213" s="74">
        <f t="shared" si="41"/>
        <v>0</v>
      </c>
      <c r="X213" s="74">
        <f t="shared" si="42"/>
        <v>0</v>
      </c>
      <c r="Y213" s="74">
        <f t="shared" si="43"/>
        <v>0</v>
      </c>
      <c r="Z213" s="74">
        <f t="shared" si="44"/>
        <v>0</v>
      </c>
      <c r="AA213" s="75">
        <f t="shared" si="37"/>
        <v>0</v>
      </c>
      <c r="AB213" s="75">
        <f t="shared" si="47"/>
        <v>0</v>
      </c>
    </row>
    <row r="214" spans="1:29" s="157" customFormat="1">
      <c r="A214" s="154" t="s">
        <v>434</v>
      </c>
      <c r="B214" s="158"/>
      <c r="C214" s="158"/>
      <c r="D214" s="126" t="s">
        <v>435</v>
      </c>
      <c r="E214" s="125">
        <v>406</v>
      </c>
      <c r="F214" s="125">
        <v>406</v>
      </c>
      <c r="G214" s="121">
        <v>4</v>
      </c>
      <c r="H214" s="155">
        <v>0</v>
      </c>
      <c r="I214" s="155">
        <v>0</v>
      </c>
      <c r="J214" s="155">
        <v>0</v>
      </c>
      <c r="K214" s="162">
        <v>4</v>
      </c>
      <c r="L214" s="156">
        <f t="shared" si="45"/>
        <v>0</v>
      </c>
      <c r="M214" s="146">
        <v>0</v>
      </c>
      <c r="N214" s="128">
        <v>0</v>
      </c>
      <c r="O214" s="130"/>
      <c r="P214" s="128">
        <f t="shared" si="46"/>
        <v>0</v>
      </c>
      <c r="Q214" s="128">
        <f t="shared" si="38"/>
        <v>0</v>
      </c>
      <c r="R214" s="128"/>
      <c r="S214" s="56"/>
      <c r="T214" s="74">
        <f t="shared" si="39"/>
        <v>1624</v>
      </c>
      <c r="U214" s="74">
        <v>0</v>
      </c>
      <c r="V214" s="74">
        <f t="shared" si="40"/>
        <v>0</v>
      </c>
      <c r="W214" s="74">
        <f t="shared" si="41"/>
        <v>0</v>
      </c>
      <c r="X214" s="74">
        <f t="shared" si="42"/>
        <v>0</v>
      </c>
      <c r="Y214" s="74">
        <f t="shared" si="43"/>
        <v>1624</v>
      </c>
      <c r="Z214" s="74">
        <f t="shared" si="44"/>
        <v>0</v>
      </c>
      <c r="AA214" s="75">
        <f t="shared" si="37"/>
        <v>0</v>
      </c>
      <c r="AB214" s="75">
        <f t="shared" si="47"/>
        <v>0</v>
      </c>
    </row>
    <row r="215" spans="1:29" ht="24">
      <c r="A215" s="123" t="s">
        <v>436</v>
      </c>
      <c r="B215" s="69"/>
      <c r="C215" s="69"/>
      <c r="D215" s="124" t="s">
        <v>437</v>
      </c>
      <c r="E215" s="125">
        <v>630</v>
      </c>
      <c r="F215" s="125">
        <v>630</v>
      </c>
      <c r="G215" s="120">
        <v>0</v>
      </c>
      <c r="H215" s="122">
        <v>0</v>
      </c>
      <c r="I215" s="122">
        <v>0</v>
      </c>
      <c r="J215" s="122">
        <v>0</v>
      </c>
      <c r="K215" s="120">
        <v>0</v>
      </c>
      <c r="L215" s="72">
        <f t="shared" si="45"/>
        <v>0</v>
      </c>
      <c r="M215" s="146">
        <v>0</v>
      </c>
      <c r="N215" s="72">
        <v>0</v>
      </c>
      <c r="O215" s="72">
        <v>0</v>
      </c>
      <c r="P215" s="72">
        <f t="shared" si="46"/>
        <v>0</v>
      </c>
      <c r="Q215" s="72">
        <f t="shared" si="38"/>
        <v>0</v>
      </c>
      <c r="R215" s="72"/>
      <c r="S215" s="56"/>
      <c r="T215" s="74">
        <f t="shared" si="39"/>
        <v>0</v>
      </c>
      <c r="U215" s="74">
        <v>0</v>
      </c>
      <c r="V215" s="74">
        <f t="shared" si="40"/>
        <v>0</v>
      </c>
      <c r="W215" s="74">
        <f t="shared" si="41"/>
        <v>0</v>
      </c>
      <c r="X215" s="74">
        <f t="shared" si="42"/>
        <v>0</v>
      </c>
      <c r="Y215" s="74">
        <f t="shared" si="43"/>
        <v>0</v>
      </c>
      <c r="Z215" s="74">
        <f t="shared" si="44"/>
        <v>0</v>
      </c>
      <c r="AA215" s="75">
        <f t="shared" si="37"/>
        <v>0</v>
      </c>
      <c r="AB215" s="75">
        <f t="shared" si="47"/>
        <v>0</v>
      </c>
    </row>
    <row r="216" spans="1:29" s="157" customFormat="1">
      <c r="A216" s="154" t="s">
        <v>438</v>
      </c>
      <c r="B216" s="158"/>
      <c r="C216" s="158"/>
      <c r="D216" s="126" t="s">
        <v>439</v>
      </c>
      <c r="E216" s="127">
        <v>520</v>
      </c>
      <c r="F216" s="127">
        <v>520</v>
      </c>
      <c r="G216" s="156">
        <v>2</v>
      </c>
      <c r="H216" s="155">
        <v>0</v>
      </c>
      <c r="I216" s="155">
        <v>0</v>
      </c>
      <c r="J216" s="155">
        <v>0</v>
      </c>
      <c r="K216" s="162">
        <v>2</v>
      </c>
      <c r="L216" s="156">
        <f t="shared" si="45"/>
        <v>0</v>
      </c>
      <c r="M216" s="146">
        <v>0</v>
      </c>
      <c r="N216" s="128">
        <v>0</v>
      </c>
      <c r="O216" s="130"/>
      <c r="P216" s="128">
        <f t="shared" si="46"/>
        <v>0</v>
      </c>
      <c r="Q216" s="128">
        <f t="shared" si="38"/>
        <v>0</v>
      </c>
      <c r="R216" s="128"/>
      <c r="S216" s="56"/>
      <c r="T216" s="74">
        <f t="shared" si="39"/>
        <v>1040</v>
      </c>
      <c r="U216" s="74">
        <v>0</v>
      </c>
      <c r="V216" s="74">
        <f t="shared" si="40"/>
        <v>0</v>
      </c>
      <c r="W216" s="74">
        <f t="shared" si="41"/>
        <v>0</v>
      </c>
      <c r="X216" s="74">
        <f t="shared" si="42"/>
        <v>0</v>
      </c>
      <c r="Y216" s="74">
        <f t="shared" si="43"/>
        <v>1040</v>
      </c>
      <c r="Z216" s="74">
        <f t="shared" si="44"/>
        <v>0</v>
      </c>
      <c r="AA216" s="75">
        <f t="shared" si="37"/>
        <v>0</v>
      </c>
      <c r="AB216" s="75">
        <f t="shared" si="47"/>
        <v>0</v>
      </c>
    </row>
    <row r="217" spans="1:29">
      <c r="A217" s="123" t="s">
        <v>440</v>
      </c>
      <c r="B217" s="69"/>
      <c r="C217" s="69"/>
      <c r="D217" s="124" t="s">
        <v>441</v>
      </c>
      <c r="E217" s="125">
        <v>93</v>
      </c>
      <c r="F217" s="125">
        <v>93</v>
      </c>
      <c r="G217" s="120">
        <v>0</v>
      </c>
      <c r="H217" s="122">
        <v>0</v>
      </c>
      <c r="I217" s="122">
        <v>0</v>
      </c>
      <c r="J217" s="122">
        <v>0</v>
      </c>
      <c r="K217" s="120">
        <v>0</v>
      </c>
      <c r="L217" s="72">
        <f t="shared" si="45"/>
        <v>0</v>
      </c>
      <c r="M217" s="146">
        <v>0</v>
      </c>
      <c r="N217" s="72">
        <v>0</v>
      </c>
      <c r="O217" s="72">
        <v>0</v>
      </c>
      <c r="P217" s="72">
        <f t="shared" si="46"/>
        <v>0</v>
      </c>
      <c r="Q217" s="72">
        <f t="shared" si="38"/>
        <v>0</v>
      </c>
      <c r="R217" s="72"/>
      <c r="S217" s="56"/>
      <c r="T217" s="74">
        <f t="shared" si="39"/>
        <v>0</v>
      </c>
      <c r="U217" s="74">
        <v>0</v>
      </c>
      <c r="V217" s="74">
        <f t="shared" si="40"/>
        <v>0</v>
      </c>
      <c r="W217" s="74">
        <f t="shared" si="41"/>
        <v>0</v>
      </c>
      <c r="X217" s="74">
        <f t="shared" si="42"/>
        <v>0</v>
      </c>
      <c r="Y217" s="74">
        <f t="shared" si="43"/>
        <v>0</v>
      </c>
      <c r="Z217" s="74">
        <f t="shared" si="44"/>
        <v>0</v>
      </c>
      <c r="AA217" s="75">
        <f t="shared" si="37"/>
        <v>0</v>
      </c>
      <c r="AB217" s="75">
        <f t="shared" si="47"/>
        <v>0</v>
      </c>
    </row>
    <row r="218" spans="1:29">
      <c r="A218" s="123" t="s">
        <v>442</v>
      </c>
      <c r="B218" s="69"/>
      <c r="C218" s="69"/>
      <c r="D218" s="124" t="s">
        <v>443</v>
      </c>
      <c r="E218" s="125">
        <v>46.34</v>
      </c>
      <c r="F218" s="125">
        <v>46.34</v>
      </c>
      <c r="G218" s="120">
        <v>1</v>
      </c>
      <c r="H218" s="122">
        <v>0</v>
      </c>
      <c r="I218" s="122">
        <v>0</v>
      </c>
      <c r="J218" s="122">
        <v>1</v>
      </c>
      <c r="K218" s="120">
        <v>0</v>
      </c>
      <c r="L218" s="72">
        <f t="shared" si="45"/>
        <v>0</v>
      </c>
      <c r="M218" s="146">
        <v>0</v>
      </c>
      <c r="N218" s="72">
        <v>0</v>
      </c>
      <c r="O218" s="72">
        <v>0</v>
      </c>
      <c r="P218" s="72">
        <f t="shared" si="46"/>
        <v>0</v>
      </c>
      <c r="Q218" s="72">
        <f t="shared" si="38"/>
        <v>0</v>
      </c>
      <c r="R218" s="72"/>
      <c r="S218" s="56"/>
      <c r="T218" s="74">
        <f t="shared" si="39"/>
        <v>46.34</v>
      </c>
      <c r="U218" s="74">
        <v>0</v>
      </c>
      <c r="V218" s="74">
        <f t="shared" si="40"/>
        <v>0</v>
      </c>
      <c r="W218" s="74">
        <f t="shared" si="41"/>
        <v>0</v>
      </c>
      <c r="X218" s="74">
        <f t="shared" si="42"/>
        <v>46.34</v>
      </c>
      <c r="Y218" s="74">
        <f t="shared" si="43"/>
        <v>0</v>
      </c>
      <c r="Z218" s="74">
        <f t="shared" si="44"/>
        <v>0</v>
      </c>
      <c r="AA218" s="75">
        <f t="shared" si="37"/>
        <v>0</v>
      </c>
      <c r="AB218" s="75">
        <f t="shared" si="47"/>
        <v>0</v>
      </c>
    </row>
    <row r="219" spans="1:29" ht="22.5">
      <c r="A219" s="123" t="s">
        <v>444</v>
      </c>
      <c r="B219" s="140" t="s">
        <v>765</v>
      </c>
      <c r="C219" s="140" t="s">
        <v>759</v>
      </c>
      <c r="D219" s="124" t="s">
        <v>445</v>
      </c>
      <c r="E219" s="125">
        <v>570</v>
      </c>
      <c r="F219" s="125">
        <v>570</v>
      </c>
      <c r="G219" s="120">
        <v>1</v>
      </c>
      <c r="H219" s="122">
        <v>0</v>
      </c>
      <c r="I219" s="122">
        <v>0</v>
      </c>
      <c r="J219" s="122">
        <v>0</v>
      </c>
      <c r="K219" s="120">
        <v>0</v>
      </c>
      <c r="L219" s="72">
        <f t="shared" si="45"/>
        <v>1</v>
      </c>
      <c r="M219" s="146">
        <v>1</v>
      </c>
      <c r="N219" s="72">
        <v>0</v>
      </c>
      <c r="O219" s="72">
        <v>0</v>
      </c>
      <c r="P219" s="72">
        <f t="shared" si="46"/>
        <v>1</v>
      </c>
      <c r="Q219" s="72">
        <f t="shared" si="38"/>
        <v>0</v>
      </c>
      <c r="R219" s="72"/>
      <c r="S219" s="56"/>
      <c r="T219" s="74">
        <f t="shared" si="39"/>
        <v>570</v>
      </c>
      <c r="U219" s="74">
        <v>0</v>
      </c>
      <c r="V219" s="74">
        <f t="shared" si="40"/>
        <v>0</v>
      </c>
      <c r="W219" s="74">
        <f t="shared" si="41"/>
        <v>0</v>
      </c>
      <c r="X219" s="74">
        <f t="shared" si="42"/>
        <v>0</v>
      </c>
      <c r="Y219" s="74">
        <f t="shared" si="43"/>
        <v>0</v>
      </c>
      <c r="Z219" s="74">
        <f t="shared" si="44"/>
        <v>570</v>
      </c>
      <c r="AA219" s="75">
        <f t="shared" si="37"/>
        <v>570</v>
      </c>
      <c r="AB219" s="75">
        <f t="shared" si="47"/>
        <v>0</v>
      </c>
    </row>
    <row r="220" spans="1:29" ht="22.5">
      <c r="A220" s="123" t="s">
        <v>446</v>
      </c>
      <c r="B220" s="140" t="s">
        <v>758</v>
      </c>
      <c r="C220" s="140" t="s">
        <v>737</v>
      </c>
      <c r="D220" s="124" t="s">
        <v>447</v>
      </c>
      <c r="E220" s="125">
        <v>2520</v>
      </c>
      <c r="F220" s="125">
        <v>2520</v>
      </c>
      <c r="G220" s="120">
        <v>1</v>
      </c>
      <c r="H220" s="122">
        <v>0</v>
      </c>
      <c r="I220" s="122">
        <v>0</v>
      </c>
      <c r="J220" s="122">
        <v>0</v>
      </c>
      <c r="K220" s="120">
        <v>0</v>
      </c>
      <c r="L220" s="72">
        <f t="shared" si="45"/>
        <v>1</v>
      </c>
      <c r="M220" s="146">
        <v>1</v>
      </c>
      <c r="N220" s="72">
        <v>0</v>
      </c>
      <c r="O220" s="72">
        <v>0</v>
      </c>
      <c r="P220" s="72">
        <f t="shared" si="46"/>
        <v>1</v>
      </c>
      <c r="Q220" s="72">
        <f t="shared" si="38"/>
        <v>0</v>
      </c>
      <c r="R220" s="72"/>
      <c r="S220" s="56"/>
      <c r="T220" s="74">
        <f t="shared" si="39"/>
        <v>2520</v>
      </c>
      <c r="U220" s="74">
        <v>0</v>
      </c>
      <c r="V220" s="74">
        <f t="shared" si="40"/>
        <v>0</v>
      </c>
      <c r="W220" s="74">
        <f t="shared" si="41"/>
        <v>0</v>
      </c>
      <c r="X220" s="74">
        <f t="shared" si="42"/>
        <v>0</v>
      </c>
      <c r="Y220" s="74">
        <f t="shared" si="43"/>
        <v>0</v>
      </c>
      <c r="Z220" s="74">
        <f t="shared" si="44"/>
        <v>2520</v>
      </c>
      <c r="AA220" s="75">
        <f t="shared" si="37"/>
        <v>2520</v>
      </c>
      <c r="AB220" s="75">
        <f t="shared" si="47"/>
        <v>0</v>
      </c>
    </row>
    <row r="221" spans="1:29">
      <c r="A221" s="123" t="s">
        <v>448</v>
      </c>
      <c r="B221" s="140" t="s">
        <v>819</v>
      </c>
      <c r="C221" s="140"/>
      <c r="D221" s="124" t="s">
        <v>449</v>
      </c>
      <c r="E221" s="125">
        <v>1380</v>
      </c>
      <c r="F221" s="125">
        <v>1380</v>
      </c>
      <c r="G221" s="120">
        <v>4</v>
      </c>
      <c r="H221" s="122">
        <v>0</v>
      </c>
      <c r="I221" s="122">
        <v>0</v>
      </c>
      <c r="J221" s="122">
        <v>0</v>
      </c>
      <c r="K221" s="120">
        <v>0</v>
      </c>
      <c r="L221" s="72">
        <f t="shared" si="45"/>
        <v>4</v>
      </c>
      <c r="M221" s="146">
        <v>4</v>
      </c>
      <c r="N221" s="72">
        <v>0</v>
      </c>
      <c r="O221" s="72">
        <v>0</v>
      </c>
      <c r="P221" s="72">
        <f t="shared" si="46"/>
        <v>4</v>
      </c>
      <c r="Q221" s="72">
        <f t="shared" si="38"/>
        <v>0</v>
      </c>
      <c r="R221" s="72"/>
      <c r="S221" s="56"/>
      <c r="T221" s="74">
        <f t="shared" si="39"/>
        <v>5520</v>
      </c>
      <c r="U221" s="74">
        <v>0</v>
      </c>
      <c r="V221" s="74">
        <f t="shared" si="40"/>
        <v>0</v>
      </c>
      <c r="W221" s="74">
        <f t="shared" si="41"/>
        <v>0</v>
      </c>
      <c r="X221" s="74">
        <f t="shared" si="42"/>
        <v>0</v>
      </c>
      <c r="Y221" s="74">
        <f t="shared" si="43"/>
        <v>0</v>
      </c>
      <c r="Z221" s="74">
        <f t="shared" si="44"/>
        <v>5520</v>
      </c>
      <c r="AA221" s="75">
        <f t="shared" si="37"/>
        <v>5520</v>
      </c>
      <c r="AB221" s="75">
        <f t="shared" si="47"/>
        <v>0</v>
      </c>
    </row>
    <row r="222" spans="1:29" s="151" customFormat="1" ht="24">
      <c r="A222" s="143" t="s">
        <v>450</v>
      </c>
      <c r="B222" s="152" t="s">
        <v>777</v>
      </c>
      <c r="C222" s="152"/>
      <c r="D222" s="144" t="s">
        <v>451</v>
      </c>
      <c r="E222" s="145">
        <v>1380</v>
      </c>
      <c r="F222" s="145">
        <v>1380</v>
      </c>
      <c r="G222" s="146">
        <v>2</v>
      </c>
      <c r="H222" s="147">
        <v>0</v>
      </c>
      <c r="I222" s="147">
        <v>0</v>
      </c>
      <c r="J222" s="147">
        <v>0</v>
      </c>
      <c r="K222" s="146">
        <v>0</v>
      </c>
      <c r="L222" s="146">
        <f t="shared" si="45"/>
        <v>2</v>
      </c>
      <c r="M222" s="146">
        <v>2</v>
      </c>
      <c r="N222" s="146">
        <v>0</v>
      </c>
      <c r="O222" s="146">
        <v>0</v>
      </c>
      <c r="P222" s="146">
        <f t="shared" si="46"/>
        <v>2</v>
      </c>
      <c r="Q222" s="146">
        <f t="shared" si="38"/>
        <v>0</v>
      </c>
      <c r="R222" s="146"/>
      <c r="S222" s="148"/>
      <c r="T222" s="149">
        <f t="shared" si="39"/>
        <v>2760</v>
      </c>
      <c r="U222" s="149">
        <v>0</v>
      </c>
      <c r="V222" s="149">
        <f t="shared" si="40"/>
        <v>0</v>
      </c>
      <c r="W222" s="149">
        <f t="shared" si="41"/>
        <v>0</v>
      </c>
      <c r="X222" s="149">
        <f t="shared" si="42"/>
        <v>0</v>
      </c>
      <c r="Y222" s="149">
        <f t="shared" si="43"/>
        <v>0</v>
      </c>
      <c r="Z222" s="149">
        <f t="shared" si="44"/>
        <v>2760</v>
      </c>
      <c r="AA222" s="150">
        <f t="shared" si="37"/>
        <v>2760</v>
      </c>
      <c r="AB222" s="150">
        <f t="shared" si="47"/>
        <v>0</v>
      </c>
    </row>
    <row r="223" spans="1:29" s="151" customFormat="1" ht="24">
      <c r="A223" s="143"/>
      <c r="B223" s="152" t="s">
        <v>778</v>
      </c>
      <c r="C223" s="152"/>
      <c r="D223" s="144" t="s">
        <v>779</v>
      </c>
      <c r="E223" s="145">
        <v>0</v>
      </c>
      <c r="F223" s="145">
        <v>0</v>
      </c>
      <c r="G223" s="146">
        <v>0</v>
      </c>
      <c r="H223" s="147">
        <v>0</v>
      </c>
      <c r="I223" s="147">
        <v>2</v>
      </c>
      <c r="J223" s="147">
        <v>1</v>
      </c>
      <c r="K223" s="146">
        <v>0</v>
      </c>
      <c r="L223" s="146">
        <f t="shared" si="45"/>
        <v>1</v>
      </c>
      <c r="M223" s="146">
        <v>1</v>
      </c>
      <c r="N223" s="146">
        <v>0</v>
      </c>
      <c r="O223" s="146">
        <v>0</v>
      </c>
      <c r="P223" s="146">
        <f t="shared" ref="P223" si="48">M223+N223+O223</f>
        <v>1</v>
      </c>
      <c r="Q223" s="146">
        <f t="shared" si="38"/>
        <v>0</v>
      </c>
      <c r="R223" s="146"/>
      <c r="S223" s="148"/>
      <c r="T223" s="149">
        <f t="shared" si="39"/>
        <v>0</v>
      </c>
      <c r="U223" s="149">
        <v>0</v>
      </c>
      <c r="V223" s="149">
        <f t="shared" si="40"/>
        <v>0</v>
      </c>
      <c r="W223" s="149">
        <f t="shared" si="41"/>
        <v>0</v>
      </c>
      <c r="X223" s="149">
        <f t="shared" si="42"/>
        <v>0</v>
      </c>
      <c r="Y223" s="149">
        <f t="shared" si="43"/>
        <v>0</v>
      </c>
      <c r="Z223" s="149">
        <f t="shared" si="44"/>
        <v>0</v>
      </c>
      <c r="AA223" s="150">
        <f t="shared" si="37"/>
        <v>0</v>
      </c>
      <c r="AB223" s="150"/>
      <c r="AC223" s="166" t="s">
        <v>780</v>
      </c>
    </row>
    <row r="224" spans="1:29">
      <c r="A224" s="123" t="s">
        <v>452</v>
      </c>
      <c r="B224" s="69"/>
      <c r="C224" s="69"/>
      <c r="D224" s="124" t="s">
        <v>453</v>
      </c>
      <c r="E224" s="125">
        <v>16.82</v>
      </c>
      <c r="F224" s="125">
        <v>16.82</v>
      </c>
      <c r="G224" s="120">
        <v>50</v>
      </c>
      <c r="H224" s="122">
        <v>0</v>
      </c>
      <c r="I224" s="122">
        <v>0</v>
      </c>
      <c r="J224" s="122">
        <v>20</v>
      </c>
      <c r="K224" s="120">
        <v>0</v>
      </c>
      <c r="L224" s="72">
        <f t="shared" si="45"/>
        <v>30</v>
      </c>
      <c r="M224" s="146">
        <v>30</v>
      </c>
      <c r="N224" s="72">
        <v>0</v>
      </c>
      <c r="O224" s="72">
        <v>0</v>
      </c>
      <c r="P224" s="72">
        <f t="shared" si="46"/>
        <v>30</v>
      </c>
      <c r="Q224" s="72">
        <f t="shared" si="38"/>
        <v>0</v>
      </c>
      <c r="R224" s="72"/>
      <c r="S224" s="56"/>
      <c r="T224" s="74">
        <f t="shared" si="39"/>
        <v>841</v>
      </c>
      <c r="U224" s="74">
        <v>0</v>
      </c>
      <c r="V224" s="74">
        <f t="shared" si="40"/>
        <v>0</v>
      </c>
      <c r="W224" s="74">
        <f t="shared" si="41"/>
        <v>0</v>
      </c>
      <c r="X224" s="74">
        <f t="shared" si="42"/>
        <v>336.4</v>
      </c>
      <c r="Y224" s="74">
        <f t="shared" si="43"/>
        <v>0</v>
      </c>
      <c r="Z224" s="74">
        <f t="shared" si="44"/>
        <v>504.6</v>
      </c>
      <c r="AA224" s="75">
        <f t="shared" si="37"/>
        <v>504.6</v>
      </c>
      <c r="AB224" s="75">
        <f t="shared" si="47"/>
        <v>0</v>
      </c>
    </row>
    <row r="225" spans="1:28">
      <c r="A225" s="123" t="s">
        <v>454</v>
      </c>
      <c r="B225" s="69"/>
      <c r="C225" s="69"/>
      <c r="D225" s="124" t="s">
        <v>455</v>
      </c>
      <c r="E225" s="125">
        <v>16.82</v>
      </c>
      <c r="F225" s="125">
        <v>16.82</v>
      </c>
      <c r="G225" s="120">
        <v>50</v>
      </c>
      <c r="H225" s="122">
        <v>0</v>
      </c>
      <c r="I225" s="122">
        <v>0</v>
      </c>
      <c r="J225" s="122">
        <v>20</v>
      </c>
      <c r="K225" s="120">
        <v>0</v>
      </c>
      <c r="L225" s="72">
        <f t="shared" si="45"/>
        <v>30</v>
      </c>
      <c r="M225" s="146">
        <v>30</v>
      </c>
      <c r="N225" s="72">
        <v>0</v>
      </c>
      <c r="O225" s="72">
        <v>0</v>
      </c>
      <c r="P225" s="72">
        <f t="shared" si="46"/>
        <v>30</v>
      </c>
      <c r="Q225" s="72">
        <f t="shared" si="38"/>
        <v>0</v>
      </c>
      <c r="R225" s="72"/>
      <c r="S225" s="56"/>
      <c r="T225" s="74">
        <f t="shared" si="39"/>
        <v>841</v>
      </c>
      <c r="U225" s="74">
        <v>0</v>
      </c>
      <c r="V225" s="74">
        <f t="shared" si="40"/>
        <v>0</v>
      </c>
      <c r="W225" s="74">
        <f t="shared" si="41"/>
        <v>0</v>
      </c>
      <c r="X225" s="74">
        <f t="shared" si="42"/>
        <v>336.4</v>
      </c>
      <c r="Y225" s="74">
        <f t="shared" si="43"/>
        <v>0</v>
      </c>
      <c r="Z225" s="74">
        <f t="shared" si="44"/>
        <v>504.6</v>
      </c>
      <c r="AA225" s="75">
        <f t="shared" si="37"/>
        <v>504.6</v>
      </c>
      <c r="AB225" s="75">
        <f t="shared" si="47"/>
        <v>0</v>
      </c>
    </row>
    <row r="226" spans="1:28">
      <c r="A226" s="123" t="s">
        <v>456</v>
      </c>
      <c r="B226" s="69"/>
      <c r="C226" s="69"/>
      <c r="D226" s="124" t="s">
        <v>457</v>
      </c>
      <c r="E226" s="125">
        <v>16.82</v>
      </c>
      <c r="F226" s="125">
        <v>16.82</v>
      </c>
      <c r="G226" s="120">
        <v>50</v>
      </c>
      <c r="H226" s="122">
        <v>0</v>
      </c>
      <c r="I226" s="122">
        <v>0</v>
      </c>
      <c r="J226" s="122">
        <v>20</v>
      </c>
      <c r="K226" s="120">
        <v>0</v>
      </c>
      <c r="L226" s="72">
        <f t="shared" si="45"/>
        <v>30</v>
      </c>
      <c r="M226" s="146">
        <v>30</v>
      </c>
      <c r="N226" s="72">
        <v>0</v>
      </c>
      <c r="O226" s="72">
        <v>0</v>
      </c>
      <c r="P226" s="72">
        <f t="shared" si="46"/>
        <v>30</v>
      </c>
      <c r="Q226" s="72">
        <f t="shared" si="38"/>
        <v>0</v>
      </c>
      <c r="R226" s="72"/>
      <c r="S226" s="56"/>
      <c r="T226" s="74">
        <f t="shared" si="39"/>
        <v>841</v>
      </c>
      <c r="U226" s="74">
        <v>0</v>
      </c>
      <c r="V226" s="74">
        <f t="shared" si="40"/>
        <v>0</v>
      </c>
      <c r="W226" s="74">
        <f t="shared" si="41"/>
        <v>0</v>
      </c>
      <c r="X226" s="74">
        <f t="shared" si="42"/>
        <v>336.4</v>
      </c>
      <c r="Y226" s="74">
        <f t="shared" si="43"/>
        <v>0</v>
      </c>
      <c r="Z226" s="74">
        <f t="shared" si="44"/>
        <v>504.6</v>
      </c>
      <c r="AA226" s="75">
        <f t="shared" si="37"/>
        <v>504.6</v>
      </c>
      <c r="AB226" s="75">
        <f t="shared" si="47"/>
        <v>0</v>
      </c>
    </row>
    <row r="227" spans="1:28">
      <c r="A227" s="123" t="s">
        <v>458</v>
      </c>
      <c r="B227" s="69"/>
      <c r="C227" s="69"/>
      <c r="D227" s="124" t="s">
        <v>459</v>
      </c>
      <c r="E227" s="125">
        <v>15.6</v>
      </c>
      <c r="F227" s="125">
        <v>15.6</v>
      </c>
      <c r="G227" s="120">
        <v>50</v>
      </c>
      <c r="H227" s="122">
        <v>0</v>
      </c>
      <c r="I227" s="122">
        <v>0</v>
      </c>
      <c r="J227" s="122">
        <v>20</v>
      </c>
      <c r="K227" s="120">
        <v>0</v>
      </c>
      <c r="L227" s="72">
        <f t="shared" si="45"/>
        <v>30</v>
      </c>
      <c r="M227" s="146">
        <v>30</v>
      </c>
      <c r="N227" s="72">
        <v>0</v>
      </c>
      <c r="O227" s="72">
        <v>0</v>
      </c>
      <c r="P227" s="72">
        <f t="shared" si="46"/>
        <v>30</v>
      </c>
      <c r="Q227" s="72">
        <f t="shared" si="38"/>
        <v>0</v>
      </c>
      <c r="R227" s="72"/>
      <c r="S227" s="56"/>
      <c r="T227" s="74">
        <f t="shared" si="39"/>
        <v>780</v>
      </c>
      <c r="U227" s="74">
        <v>0</v>
      </c>
      <c r="V227" s="74">
        <f t="shared" si="40"/>
        <v>0</v>
      </c>
      <c r="W227" s="74">
        <f t="shared" si="41"/>
        <v>0</v>
      </c>
      <c r="X227" s="74">
        <f t="shared" si="42"/>
        <v>312</v>
      </c>
      <c r="Y227" s="74">
        <f t="shared" si="43"/>
        <v>0</v>
      </c>
      <c r="Z227" s="74">
        <f t="shared" si="44"/>
        <v>468</v>
      </c>
      <c r="AA227" s="75">
        <f t="shared" ref="AA227:AA290" si="49">L227*F227</f>
        <v>468</v>
      </c>
      <c r="AB227" s="75">
        <f t="shared" si="47"/>
        <v>0</v>
      </c>
    </row>
    <row r="228" spans="1:28">
      <c r="A228" s="123" t="s">
        <v>460</v>
      </c>
      <c r="B228" s="69"/>
      <c r="C228" s="69"/>
      <c r="D228" s="124" t="s">
        <v>461</v>
      </c>
      <c r="E228" s="125">
        <v>15.6</v>
      </c>
      <c r="F228" s="125">
        <v>15.6</v>
      </c>
      <c r="G228" s="120">
        <v>50</v>
      </c>
      <c r="H228" s="122">
        <v>0</v>
      </c>
      <c r="I228" s="122">
        <v>0</v>
      </c>
      <c r="J228" s="122">
        <v>20</v>
      </c>
      <c r="K228" s="120">
        <v>0</v>
      </c>
      <c r="L228" s="72">
        <f t="shared" si="45"/>
        <v>30</v>
      </c>
      <c r="M228" s="146">
        <v>30</v>
      </c>
      <c r="N228" s="72">
        <v>0</v>
      </c>
      <c r="O228" s="72">
        <v>0</v>
      </c>
      <c r="P228" s="72">
        <f t="shared" si="46"/>
        <v>30</v>
      </c>
      <c r="Q228" s="72">
        <f t="shared" si="38"/>
        <v>0</v>
      </c>
      <c r="R228" s="72"/>
      <c r="S228" s="56"/>
      <c r="T228" s="74">
        <f t="shared" si="39"/>
        <v>780</v>
      </c>
      <c r="U228" s="74">
        <v>0</v>
      </c>
      <c r="V228" s="74">
        <f t="shared" si="40"/>
        <v>0</v>
      </c>
      <c r="W228" s="74">
        <f t="shared" si="41"/>
        <v>0</v>
      </c>
      <c r="X228" s="74">
        <f t="shared" si="42"/>
        <v>312</v>
      </c>
      <c r="Y228" s="74">
        <f t="shared" si="43"/>
        <v>0</v>
      </c>
      <c r="Z228" s="74">
        <f t="shared" si="44"/>
        <v>468</v>
      </c>
      <c r="AA228" s="75">
        <f t="shared" si="49"/>
        <v>468</v>
      </c>
      <c r="AB228" s="75">
        <f t="shared" si="47"/>
        <v>0</v>
      </c>
    </row>
    <row r="229" spans="1:28">
      <c r="A229" s="123" t="s">
        <v>462</v>
      </c>
      <c r="B229" s="69"/>
      <c r="C229" s="69"/>
      <c r="D229" s="124" t="s">
        <v>463</v>
      </c>
      <c r="E229" s="125">
        <v>15.6</v>
      </c>
      <c r="F229" s="125">
        <v>15.6</v>
      </c>
      <c r="G229" s="120">
        <v>50</v>
      </c>
      <c r="H229" s="122">
        <v>0</v>
      </c>
      <c r="I229" s="122">
        <v>0</v>
      </c>
      <c r="J229" s="122">
        <v>20</v>
      </c>
      <c r="K229" s="120">
        <v>0</v>
      </c>
      <c r="L229" s="72">
        <f t="shared" si="45"/>
        <v>30</v>
      </c>
      <c r="M229" s="146">
        <v>30</v>
      </c>
      <c r="N229" s="72">
        <v>0</v>
      </c>
      <c r="O229" s="72">
        <v>0</v>
      </c>
      <c r="P229" s="72">
        <f t="shared" si="46"/>
        <v>30</v>
      </c>
      <c r="Q229" s="72">
        <f t="shared" si="38"/>
        <v>0</v>
      </c>
      <c r="R229" s="72"/>
      <c r="S229" s="56"/>
      <c r="T229" s="74">
        <f t="shared" si="39"/>
        <v>780</v>
      </c>
      <c r="U229" s="74">
        <v>0</v>
      </c>
      <c r="V229" s="74">
        <f t="shared" si="40"/>
        <v>0</v>
      </c>
      <c r="W229" s="74">
        <f t="shared" si="41"/>
        <v>0</v>
      </c>
      <c r="X229" s="74">
        <f t="shared" si="42"/>
        <v>312</v>
      </c>
      <c r="Y229" s="74">
        <f t="shared" si="43"/>
        <v>0</v>
      </c>
      <c r="Z229" s="74">
        <f t="shared" si="44"/>
        <v>468</v>
      </c>
      <c r="AA229" s="75">
        <f t="shared" si="49"/>
        <v>468</v>
      </c>
      <c r="AB229" s="75">
        <f t="shared" si="47"/>
        <v>0</v>
      </c>
    </row>
    <row r="230" spans="1:28" ht="24">
      <c r="A230" s="123" t="s">
        <v>464</v>
      </c>
      <c r="B230" s="140" t="s">
        <v>760</v>
      </c>
      <c r="C230" s="140"/>
      <c r="D230" s="124" t="s">
        <v>465</v>
      </c>
      <c r="E230" s="125">
        <v>940</v>
      </c>
      <c r="F230" s="125">
        <v>940</v>
      </c>
      <c r="G230" s="120">
        <v>1</v>
      </c>
      <c r="H230" s="122">
        <v>0</v>
      </c>
      <c r="I230" s="122">
        <v>0</v>
      </c>
      <c r="J230" s="122">
        <v>0</v>
      </c>
      <c r="K230" s="120">
        <v>0</v>
      </c>
      <c r="L230" s="72">
        <f t="shared" si="45"/>
        <v>1</v>
      </c>
      <c r="M230" s="146">
        <v>1</v>
      </c>
      <c r="N230" s="72">
        <v>0</v>
      </c>
      <c r="O230" s="72">
        <v>0</v>
      </c>
      <c r="P230" s="72">
        <f t="shared" si="46"/>
        <v>1</v>
      </c>
      <c r="Q230" s="72">
        <f t="shared" si="38"/>
        <v>0</v>
      </c>
      <c r="R230" s="72"/>
      <c r="S230" s="56"/>
      <c r="T230" s="74">
        <f t="shared" si="39"/>
        <v>940</v>
      </c>
      <c r="U230" s="74">
        <v>0</v>
      </c>
      <c r="V230" s="74">
        <f t="shared" si="40"/>
        <v>0</v>
      </c>
      <c r="W230" s="74">
        <f t="shared" si="41"/>
        <v>0</v>
      </c>
      <c r="X230" s="74">
        <f t="shared" si="42"/>
        <v>0</v>
      </c>
      <c r="Y230" s="74">
        <f t="shared" si="43"/>
        <v>0</v>
      </c>
      <c r="Z230" s="74">
        <f t="shared" si="44"/>
        <v>940</v>
      </c>
      <c r="AA230" s="75">
        <f t="shared" si="49"/>
        <v>940</v>
      </c>
      <c r="AB230" s="75">
        <f t="shared" si="47"/>
        <v>0</v>
      </c>
    </row>
    <row r="231" spans="1:28" ht="24">
      <c r="A231" s="123" t="s">
        <v>466</v>
      </c>
      <c r="B231" s="69"/>
      <c r="C231" s="69"/>
      <c r="D231" s="124" t="s">
        <v>467</v>
      </c>
      <c r="E231" s="125">
        <v>290</v>
      </c>
      <c r="F231" s="125">
        <v>290</v>
      </c>
      <c r="G231" s="120">
        <v>0</v>
      </c>
      <c r="H231" s="122">
        <v>0</v>
      </c>
      <c r="I231" s="122">
        <v>0</v>
      </c>
      <c r="J231" s="122">
        <v>0</v>
      </c>
      <c r="K231" s="120">
        <v>0</v>
      </c>
      <c r="L231" s="72">
        <f t="shared" si="45"/>
        <v>0</v>
      </c>
      <c r="M231" s="146">
        <v>0</v>
      </c>
      <c r="N231" s="72">
        <v>0</v>
      </c>
      <c r="O231" s="72">
        <v>0</v>
      </c>
      <c r="P231" s="72">
        <f t="shared" si="46"/>
        <v>0</v>
      </c>
      <c r="Q231" s="72">
        <f t="shared" si="38"/>
        <v>0</v>
      </c>
      <c r="R231" s="72"/>
      <c r="S231" s="56"/>
      <c r="T231" s="74">
        <f t="shared" si="39"/>
        <v>0</v>
      </c>
      <c r="U231" s="74">
        <v>0</v>
      </c>
      <c r="V231" s="74">
        <f t="shared" si="40"/>
        <v>0</v>
      </c>
      <c r="W231" s="74">
        <f t="shared" si="41"/>
        <v>0</v>
      </c>
      <c r="X231" s="74">
        <f t="shared" si="42"/>
        <v>0</v>
      </c>
      <c r="Y231" s="74">
        <f t="shared" si="43"/>
        <v>0</v>
      </c>
      <c r="Z231" s="74">
        <f t="shared" si="44"/>
        <v>0</v>
      </c>
      <c r="AA231" s="75">
        <f t="shared" si="49"/>
        <v>0</v>
      </c>
      <c r="AB231" s="75">
        <f t="shared" si="47"/>
        <v>0</v>
      </c>
    </row>
    <row r="232" spans="1:28">
      <c r="A232" s="123" t="s">
        <v>468</v>
      </c>
      <c r="B232" s="69"/>
      <c r="C232" s="69"/>
      <c r="D232" s="124" t="s">
        <v>469</v>
      </c>
      <c r="E232" s="125">
        <v>999</v>
      </c>
      <c r="F232" s="125">
        <v>999</v>
      </c>
      <c r="G232" s="120">
        <v>0</v>
      </c>
      <c r="H232" s="122">
        <v>0</v>
      </c>
      <c r="I232" s="122">
        <v>0</v>
      </c>
      <c r="J232" s="122">
        <v>0</v>
      </c>
      <c r="K232" s="120">
        <v>0</v>
      </c>
      <c r="L232" s="72">
        <f t="shared" si="45"/>
        <v>0</v>
      </c>
      <c r="M232" s="146">
        <v>0</v>
      </c>
      <c r="N232" s="72">
        <v>0</v>
      </c>
      <c r="O232" s="72">
        <v>0</v>
      </c>
      <c r="P232" s="72">
        <f t="shared" si="46"/>
        <v>0</v>
      </c>
      <c r="Q232" s="72">
        <f t="shared" si="38"/>
        <v>0</v>
      </c>
      <c r="R232" s="72"/>
      <c r="S232" s="56"/>
      <c r="T232" s="74">
        <f t="shared" si="39"/>
        <v>0</v>
      </c>
      <c r="U232" s="74">
        <v>0</v>
      </c>
      <c r="V232" s="74">
        <f t="shared" si="40"/>
        <v>0</v>
      </c>
      <c r="W232" s="74">
        <f t="shared" si="41"/>
        <v>0</v>
      </c>
      <c r="X232" s="74">
        <f t="shared" si="42"/>
        <v>0</v>
      </c>
      <c r="Y232" s="74">
        <f t="shared" si="43"/>
        <v>0</v>
      </c>
      <c r="Z232" s="74">
        <f t="shared" si="44"/>
        <v>0</v>
      </c>
      <c r="AA232" s="75">
        <f t="shared" si="49"/>
        <v>0</v>
      </c>
      <c r="AB232" s="75">
        <f t="shared" si="47"/>
        <v>0</v>
      </c>
    </row>
    <row r="233" spans="1:28">
      <c r="A233" s="123" t="s">
        <v>470</v>
      </c>
      <c r="B233" s="69"/>
      <c r="C233" s="69"/>
      <c r="D233" s="124" t="s">
        <v>471</v>
      </c>
      <c r="E233" s="125">
        <v>1458.35</v>
      </c>
      <c r="F233" s="125">
        <v>1458.35</v>
      </c>
      <c r="G233" s="120">
        <v>0</v>
      </c>
      <c r="H233" s="122">
        <v>0</v>
      </c>
      <c r="I233" s="122">
        <v>0</v>
      </c>
      <c r="J233" s="122">
        <v>0</v>
      </c>
      <c r="K233" s="120">
        <v>0</v>
      </c>
      <c r="L233" s="72">
        <f t="shared" si="45"/>
        <v>0</v>
      </c>
      <c r="M233" s="146">
        <v>0</v>
      </c>
      <c r="N233" s="72">
        <v>0</v>
      </c>
      <c r="O233" s="72">
        <v>0</v>
      </c>
      <c r="P233" s="72">
        <f t="shared" si="46"/>
        <v>0</v>
      </c>
      <c r="Q233" s="72">
        <f t="shared" si="38"/>
        <v>0</v>
      </c>
      <c r="R233" s="72"/>
      <c r="S233" s="56"/>
      <c r="T233" s="74">
        <f t="shared" si="39"/>
        <v>0</v>
      </c>
      <c r="U233" s="74">
        <v>0</v>
      </c>
      <c r="V233" s="74">
        <f t="shared" si="40"/>
        <v>0</v>
      </c>
      <c r="W233" s="74">
        <f t="shared" si="41"/>
        <v>0</v>
      </c>
      <c r="X233" s="74">
        <f t="shared" si="42"/>
        <v>0</v>
      </c>
      <c r="Y233" s="74">
        <f t="shared" si="43"/>
        <v>0</v>
      </c>
      <c r="Z233" s="74">
        <f t="shared" si="44"/>
        <v>0</v>
      </c>
      <c r="AA233" s="75">
        <f t="shared" si="49"/>
        <v>0</v>
      </c>
      <c r="AB233" s="75">
        <f t="shared" si="47"/>
        <v>0</v>
      </c>
    </row>
    <row r="234" spans="1:28">
      <c r="A234" s="123" t="s">
        <v>472</v>
      </c>
      <c r="B234" s="69"/>
      <c r="C234" s="69"/>
      <c r="D234" s="124" t="s">
        <v>473</v>
      </c>
      <c r="E234" s="125">
        <v>0</v>
      </c>
      <c r="F234" s="125">
        <v>0</v>
      </c>
      <c r="G234" s="120">
        <v>0</v>
      </c>
      <c r="H234" s="122">
        <v>0</v>
      </c>
      <c r="I234" s="122">
        <v>0</v>
      </c>
      <c r="J234" s="122">
        <v>0</v>
      </c>
      <c r="K234" s="120">
        <v>0</v>
      </c>
      <c r="L234" s="72">
        <f t="shared" si="45"/>
        <v>0</v>
      </c>
      <c r="M234" s="146">
        <v>0</v>
      </c>
      <c r="N234" s="72">
        <v>0</v>
      </c>
      <c r="O234" s="72">
        <v>0</v>
      </c>
      <c r="P234" s="72">
        <f t="shared" si="46"/>
        <v>0</v>
      </c>
      <c r="Q234" s="72">
        <f t="shared" si="38"/>
        <v>0</v>
      </c>
      <c r="R234" s="72"/>
      <c r="S234" s="56"/>
      <c r="T234" s="74">
        <f t="shared" si="39"/>
        <v>0</v>
      </c>
      <c r="U234" s="74">
        <v>0</v>
      </c>
      <c r="V234" s="74">
        <f t="shared" si="40"/>
        <v>0</v>
      </c>
      <c r="W234" s="74">
        <f t="shared" si="41"/>
        <v>0</v>
      </c>
      <c r="X234" s="74">
        <f t="shared" si="42"/>
        <v>0</v>
      </c>
      <c r="Y234" s="74">
        <f t="shared" si="43"/>
        <v>0</v>
      </c>
      <c r="Z234" s="74">
        <f t="shared" si="44"/>
        <v>0</v>
      </c>
      <c r="AA234" s="75">
        <f t="shared" si="49"/>
        <v>0</v>
      </c>
      <c r="AB234" s="75">
        <f t="shared" si="47"/>
        <v>0</v>
      </c>
    </row>
    <row r="235" spans="1:28" s="157" customFormat="1">
      <c r="A235" s="154" t="s">
        <v>474</v>
      </c>
      <c r="B235" s="158"/>
      <c r="C235" s="158"/>
      <c r="D235" s="126" t="s">
        <v>475</v>
      </c>
      <c r="E235" s="125">
        <v>985</v>
      </c>
      <c r="F235" s="125">
        <v>985</v>
      </c>
      <c r="G235" s="121">
        <v>1</v>
      </c>
      <c r="H235" s="155">
        <v>0</v>
      </c>
      <c r="I235" s="155">
        <v>0</v>
      </c>
      <c r="J235" s="155">
        <v>0</v>
      </c>
      <c r="K235" s="162">
        <v>1</v>
      </c>
      <c r="L235" s="156">
        <f t="shared" si="45"/>
        <v>0</v>
      </c>
      <c r="M235" s="146">
        <v>0</v>
      </c>
      <c r="N235" s="128">
        <v>0</v>
      </c>
      <c r="O235" s="130"/>
      <c r="P235" s="128">
        <f t="shared" si="46"/>
        <v>0</v>
      </c>
      <c r="Q235" s="128">
        <f t="shared" si="38"/>
        <v>0</v>
      </c>
      <c r="R235" s="128"/>
      <c r="S235" s="56"/>
      <c r="T235" s="74">
        <f t="shared" si="39"/>
        <v>985</v>
      </c>
      <c r="U235" s="74">
        <v>0</v>
      </c>
      <c r="V235" s="74">
        <f t="shared" si="40"/>
        <v>0</v>
      </c>
      <c r="W235" s="74">
        <f t="shared" si="41"/>
        <v>0</v>
      </c>
      <c r="X235" s="74">
        <f t="shared" si="42"/>
        <v>0</v>
      </c>
      <c r="Y235" s="74">
        <f t="shared" si="43"/>
        <v>985</v>
      </c>
      <c r="Z235" s="74">
        <f t="shared" si="44"/>
        <v>0</v>
      </c>
      <c r="AA235" s="75">
        <f t="shared" si="49"/>
        <v>0</v>
      </c>
      <c r="AB235" s="75">
        <f t="shared" si="47"/>
        <v>0</v>
      </c>
    </row>
    <row r="236" spans="1:28">
      <c r="A236" s="123" t="s">
        <v>476</v>
      </c>
      <c r="B236" s="69"/>
      <c r="C236" s="69"/>
      <c r="D236" s="124" t="s">
        <v>477</v>
      </c>
      <c r="E236" s="125">
        <v>0</v>
      </c>
      <c r="F236" s="125">
        <v>0</v>
      </c>
      <c r="G236" s="120">
        <v>0</v>
      </c>
      <c r="H236" s="122">
        <v>0</v>
      </c>
      <c r="I236" s="122">
        <v>0</v>
      </c>
      <c r="J236" s="122">
        <v>0</v>
      </c>
      <c r="K236" s="120">
        <v>0</v>
      </c>
      <c r="L236" s="72">
        <f t="shared" si="45"/>
        <v>0</v>
      </c>
      <c r="M236" s="146">
        <v>0</v>
      </c>
      <c r="N236" s="72">
        <v>0</v>
      </c>
      <c r="O236" s="72">
        <v>0</v>
      </c>
      <c r="P236" s="72">
        <f t="shared" si="46"/>
        <v>0</v>
      </c>
      <c r="Q236" s="72">
        <f t="shared" si="38"/>
        <v>0</v>
      </c>
      <c r="R236" s="72"/>
      <c r="S236" s="56"/>
      <c r="T236" s="74">
        <f t="shared" si="39"/>
        <v>0</v>
      </c>
      <c r="U236" s="74">
        <v>0</v>
      </c>
      <c r="V236" s="74">
        <f t="shared" si="40"/>
        <v>0</v>
      </c>
      <c r="W236" s="74">
        <f t="shared" si="41"/>
        <v>0</v>
      </c>
      <c r="X236" s="74">
        <f t="shared" si="42"/>
        <v>0</v>
      </c>
      <c r="Y236" s="74">
        <f t="shared" si="43"/>
        <v>0</v>
      </c>
      <c r="Z236" s="74">
        <f t="shared" si="44"/>
        <v>0</v>
      </c>
      <c r="AA236" s="75">
        <f t="shared" si="49"/>
        <v>0</v>
      </c>
      <c r="AB236" s="75">
        <f t="shared" si="47"/>
        <v>0</v>
      </c>
    </row>
    <row r="237" spans="1:28">
      <c r="A237" s="123" t="s">
        <v>478</v>
      </c>
      <c r="B237" s="69"/>
      <c r="C237" s="69"/>
      <c r="D237" s="124" t="s">
        <v>479</v>
      </c>
      <c r="E237" s="125">
        <v>0</v>
      </c>
      <c r="F237" s="125">
        <v>0</v>
      </c>
      <c r="G237" s="120">
        <v>0</v>
      </c>
      <c r="H237" s="122">
        <v>0</v>
      </c>
      <c r="I237" s="122">
        <v>0</v>
      </c>
      <c r="J237" s="122">
        <v>0</v>
      </c>
      <c r="K237" s="120">
        <v>0</v>
      </c>
      <c r="L237" s="72">
        <f t="shared" si="45"/>
        <v>0</v>
      </c>
      <c r="M237" s="146">
        <v>0</v>
      </c>
      <c r="N237" s="72">
        <v>0</v>
      </c>
      <c r="O237" s="72">
        <v>0</v>
      </c>
      <c r="P237" s="72">
        <f t="shared" si="46"/>
        <v>0</v>
      </c>
      <c r="Q237" s="72">
        <f t="shared" si="38"/>
        <v>0</v>
      </c>
      <c r="R237" s="72"/>
      <c r="S237" s="56"/>
      <c r="T237" s="74">
        <f t="shared" si="39"/>
        <v>0</v>
      </c>
      <c r="U237" s="74">
        <v>0</v>
      </c>
      <c r="V237" s="74">
        <f t="shared" si="40"/>
        <v>0</v>
      </c>
      <c r="W237" s="74">
        <f t="shared" si="41"/>
        <v>0</v>
      </c>
      <c r="X237" s="74">
        <f t="shared" si="42"/>
        <v>0</v>
      </c>
      <c r="Y237" s="74">
        <f t="shared" si="43"/>
        <v>0</v>
      </c>
      <c r="Z237" s="74">
        <f t="shared" si="44"/>
        <v>0</v>
      </c>
      <c r="AA237" s="75">
        <f t="shared" si="49"/>
        <v>0</v>
      </c>
      <c r="AB237" s="75">
        <f t="shared" si="47"/>
        <v>0</v>
      </c>
    </row>
    <row r="238" spans="1:28" ht="36">
      <c r="A238" s="123" t="s">
        <v>480</v>
      </c>
      <c r="B238" s="124" t="s">
        <v>786</v>
      </c>
      <c r="C238" s="69"/>
      <c r="D238" s="124" t="s">
        <v>481</v>
      </c>
      <c r="E238" s="125">
        <v>841</v>
      </c>
      <c r="F238" s="125">
        <v>841</v>
      </c>
      <c r="G238" s="120">
        <v>1</v>
      </c>
      <c r="H238" s="122">
        <v>0</v>
      </c>
      <c r="I238" s="122">
        <v>0</v>
      </c>
      <c r="J238" s="122">
        <v>0</v>
      </c>
      <c r="K238" s="120">
        <v>0</v>
      </c>
      <c r="L238" s="72">
        <f t="shared" si="45"/>
        <v>1</v>
      </c>
      <c r="M238" s="146">
        <v>1</v>
      </c>
      <c r="N238" s="72">
        <v>0</v>
      </c>
      <c r="O238" s="72">
        <v>0</v>
      </c>
      <c r="P238" s="72">
        <f t="shared" si="46"/>
        <v>1</v>
      </c>
      <c r="Q238" s="72">
        <f t="shared" si="38"/>
        <v>0</v>
      </c>
      <c r="R238" s="72"/>
      <c r="S238" s="56"/>
      <c r="T238" s="74">
        <f t="shared" si="39"/>
        <v>841</v>
      </c>
      <c r="U238" s="74">
        <v>0</v>
      </c>
      <c r="V238" s="74">
        <f t="shared" si="40"/>
        <v>0</v>
      </c>
      <c r="W238" s="74">
        <f t="shared" si="41"/>
        <v>0</v>
      </c>
      <c r="X238" s="74">
        <f t="shared" si="42"/>
        <v>0</v>
      </c>
      <c r="Y238" s="74">
        <f t="shared" si="43"/>
        <v>0</v>
      </c>
      <c r="Z238" s="74">
        <f t="shared" si="44"/>
        <v>841</v>
      </c>
      <c r="AA238" s="75">
        <f t="shared" si="49"/>
        <v>841</v>
      </c>
      <c r="AB238" s="75">
        <f t="shared" si="47"/>
        <v>0</v>
      </c>
    </row>
    <row r="239" spans="1:28">
      <c r="A239" s="123" t="s">
        <v>482</v>
      </c>
      <c r="B239" s="69"/>
      <c r="C239" s="69"/>
      <c r="D239" s="124" t="s">
        <v>483</v>
      </c>
      <c r="E239" s="125">
        <v>0</v>
      </c>
      <c r="F239" s="125">
        <v>0</v>
      </c>
      <c r="G239" s="120">
        <v>0</v>
      </c>
      <c r="H239" s="122">
        <v>0</v>
      </c>
      <c r="I239" s="122">
        <v>0</v>
      </c>
      <c r="J239" s="122">
        <v>0</v>
      </c>
      <c r="K239" s="120">
        <v>0</v>
      </c>
      <c r="L239" s="72">
        <f t="shared" si="45"/>
        <v>0</v>
      </c>
      <c r="M239" s="146">
        <v>0</v>
      </c>
      <c r="N239" s="72">
        <v>0</v>
      </c>
      <c r="O239" s="72">
        <v>0</v>
      </c>
      <c r="P239" s="72">
        <f t="shared" si="46"/>
        <v>0</v>
      </c>
      <c r="Q239" s="72">
        <f t="shared" si="38"/>
        <v>0</v>
      </c>
      <c r="R239" s="72"/>
      <c r="S239" s="56"/>
      <c r="T239" s="74">
        <f t="shared" si="39"/>
        <v>0</v>
      </c>
      <c r="U239" s="74">
        <v>0</v>
      </c>
      <c r="V239" s="74">
        <f t="shared" si="40"/>
        <v>0</v>
      </c>
      <c r="W239" s="74">
        <f t="shared" si="41"/>
        <v>0</v>
      </c>
      <c r="X239" s="74">
        <f t="shared" si="42"/>
        <v>0</v>
      </c>
      <c r="Y239" s="74">
        <f t="shared" si="43"/>
        <v>0</v>
      </c>
      <c r="Z239" s="74">
        <f t="shared" si="44"/>
        <v>0</v>
      </c>
      <c r="AA239" s="75">
        <f t="shared" si="49"/>
        <v>0</v>
      </c>
      <c r="AB239" s="75">
        <f t="shared" si="47"/>
        <v>0</v>
      </c>
    </row>
    <row r="240" spans="1:28">
      <c r="A240" s="123" t="s">
        <v>484</v>
      </c>
      <c r="B240" s="124" t="s">
        <v>773</v>
      </c>
      <c r="C240" s="69"/>
      <c r="D240" s="124" t="s">
        <v>485</v>
      </c>
      <c r="E240" s="125">
        <v>3410</v>
      </c>
      <c r="F240" s="125">
        <v>3410</v>
      </c>
      <c r="G240" s="120">
        <v>0</v>
      </c>
      <c r="H240" s="122">
        <v>0</v>
      </c>
      <c r="I240" s="122">
        <v>0</v>
      </c>
      <c r="J240" s="122">
        <v>0</v>
      </c>
      <c r="K240" s="120">
        <v>0</v>
      </c>
      <c r="L240" s="72">
        <f t="shared" si="45"/>
        <v>0</v>
      </c>
      <c r="M240" s="146">
        <v>0</v>
      </c>
      <c r="N240" s="72">
        <v>0</v>
      </c>
      <c r="O240" s="72">
        <v>0</v>
      </c>
      <c r="P240" s="72">
        <f t="shared" si="46"/>
        <v>0</v>
      </c>
      <c r="Q240" s="72">
        <f t="shared" si="38"/>
        <v>0</v>
      </c>
      <c r="R240" s="72"/>
      <c r="S240" s="56"/>
      <c r="T240" s="74">
        <f t="shared" si="39"/>
        <v>0</v>
      </c>
      <c r="U240" s="74">
        <v>0</v>
      </c>
      <c r="V240" s="74">
        <f t="shared" si="40"/>
        <v>0</v>
      </c>
      <c r="W240" s="74">
        <f t="shared" si="41"/>
        <v>0</v>
      </c>
      <c r="X240" s="74">
        <f t="shared" si="42"/>
        <v>0</v>
      </c>
      <c r="Y240" s="74">
        <f t="shared" si="43"/>
        <v>0</v>
      </c>
      <c r="Z240" s="74">
        <f t="shared" si="44"/>
        <v>0</v>
      </c>
      <c r="AA240" s="75">
        <f t="shared" si="49"/>
        <v>0</v>
      </c>
      <c r="AB240" s="75">
        <f t="shared" si="47"/>
        <v>0</v>
      </c>
    </row>
    <row r="241" spans="1:28">
      <c r="A241" s="123" t="s">
        <v>486</v>
      </c>
      <c r="B241" s="69"/>
      <c r="C241" s="69"/>
      <c r="D241" s="124" t="s">
        <v>487</v>
      </c>
      <c r="E241" s="125">
        <v>99</v>
      </c>
      <c r="F241" s="125">
        <v>99</v>
      </c>
      <c r="G241" s="120">
        <v>1</v>
      </c>
      <c r="H241" s="122">
        <v>0</v>
      </c>
      <c r="I241" s="122">
        <v>0</v>
      </c>
      <c r="J241" s="122">
        <v>0</v>
      </c>
      <c r="K241" s="120">
        <v>0</v>
      </c>
      <c r="L241" s="72">
        <f t="shared" si="45"/>
        <v>1</v>
      </c>
      <c r="M241" s="146">
        <v>1</v>
      </c>
      <c r="N241" s="72">
        <v>0</v>
      </c>
      <c r="O241" s="72">
        <v>0</v>
      </c>
      <c r="P241" s="72">
        <f t="shared" si="46"/>
        <v>1</v>
      </c>
      <c r="Q241" s="72">
        <f t="shared" si="38"/>
        <v>0</v>
      </c>
      <c r="R241" s="72"/>
      <c r="S241" s="56"/>
      <c r="T241" s="74">
        <f t="shared" si="39"/>
        <v>99</v>
      </c>
      <c r="U241" s="74">
        <v>0</v>
      </c>
      <c r="V241" s="74">
        <f t="shared" si="40"/>
        <v>0</v>
      </c>
      <c r="W241" s="74">
        <f t="shared" si="41"/>
        <v>0</v>
      </c>
      <c r="X241" s="74">
        <f t="shared" si="42"/>
        <v>0</v>
      </c>
      <c r="Y241" s="74">
        <f t="shared" si="43"/>
        <v>0</v>
      </c>
      <c r="Z241" s="74">
        <f t="shared" si="44"/>
        <v>99</v>
      </c>
      <c r="AA241" s="75">
        <f t="shared" si="49"/>
        <v>99</v>
      </c>
      <c r="AB241" s="75">
        <f t="shared" si="47"/>
        <v>0</v>
      </c>
    </row>
    <row r="242" spans="1:28">
      <c r="A242" s="123" t="s">
        <v>488</v>
      </c>
      <c r="B242" s="69"/>
      <c r="C242" s="69"/>
      <c r="D242" s="124" t="s">
        <v>489</v>
      </c>
      <c r="E242" s="125">
        <v>113.5</v>
      </c>
      <c r="F242" s="125">
        <v>113.5</v>
      </c>
      <c r="G242" s="120">
        <v>3</v>
      </c>
      <c r="H242" s="122">
        <v>0</v>
      </c>
      <c r="I242" s="122">
        <v>0</v>
      </c>
      <c r="J242" s="122">
        <v>0</v>
      </c>
      <c r="K242" s="120">
        <v>0</v>
      </c>
      <c r="L242" s="72">
        <f t="shared" si="45"/>
        <v>3</v>
      </c>
      <c r="M242" s="146">
        <v>3</v>
      </c>
      <c r="N242" s="72">
        <v>0</v>
      </c>
      <c r="O242" s="72">
        <v>0</v>
      </c>
      <c r="P242" s="72">
        <f t="shared" si="46"/>
        <v>3</v>
      </c>
      <c r="Q242" s="72">
        <f t="shared" si="38"/>
        <v>0</v>
      </c>
      <c r="R242" s="72"/>
      <c r="S242" s="56"/>
      <c r="T242" s="74">
        <f t="shared" si="39"/>
        <v>340.5</v>
      </c>
      <c r="U242" s="74">
        <v>0</v>
      </c>
      <c r="V242" s="74">
        <f t="shared" si="40"/>
        <v>0</v>
      </c>
      <c r="W242" s="74">
        <f t="shared" si="41"/>
        <v>0</v>
      </c>
      <c r="X242" s="74">
        <f t="shared" si="42"/>
        <v>0</v>
      </c>
      <c r="Y242" s="74">
        <f t="shared" si="43"/>
        <v>0</v>
      </c>
      <c r="Z242" s="74">
        <f t="shared" si="44"/>
        <v>340.5</v>
      </c>
      <c r="AA242" s="75">
        <f t="shared" si="49"/>
        <v>340.5</v>
      </c>
      <c r="AB242" s="75">
        <f t="shared" si="47"/>
        <v>0</v>
      </c>
    </row>
    <row r="243" spans="1:28">
      <c r="A243" s="123" t="s">
        <v>490</v>
      </c>
      <c r="B243" s="69" t="s">
        <v>776</v>
      </c>
      <c r="C243" s="69"/>
      <c r="D243" s="124" t="s">
        <v>491</v>
      </c>
      <c r="E243" s="125">
        <v>1536</v>
      </c>
      <c r="F243" s="125">
        <v>1536</v>
      </c>
      <c r="G243" s="120">
        <v>3</v>
      </c>
      <c r="H243" s="122">
        <v>0</v>
      </c>
      <c r="I243" s="122">
        <v>0</v>
      </c>
      <c r="J243" s="122">
        <v>1</v>
      </c>
      <c r="K243" s="120">
        <v>0</v>
      </c>
      <c r="L243" s="72">
        <f t="shared" si="45"/>
        <v>2</v>
      </c>
      <c r="M243" s="146">
        <v>2</v>
      </c>
      <c r="N243" s="72">
        <v>0</v>
      </c>
      <c r="O243" s="72">
        <v>0</v>
      </c>
      <c r="P243" s="72">
        <f t="shared" si="46"/>
        <v>2</v>
      </c>
      <c r="Q243" s="72">
        <f t="shared" si="38"/>
        <v>0</v>
      </c>
      <c r="R243" s="72"/>
      <c r="S243" s="56"/>
      <c r="T243" s="74">
        <f t="shared" si="39"/>
        <v>4608</v>
      </c>
      <c r="U243" s="74">
        <v>0</v>
      </c>
      <c r="V243" s="74">
        <f t="shared" si="40"/>
        <v>0</v>
      </c>
      <c r="W243" s="74">
        <f t="shared" si="41"/>
        <v>0</v>
      </c>
      <c r="X243" s="74">
        <f t="shared" si="42"/>
        <v>1536</v>
      </c>
      <c r="Y243" s="74">
        <f t="shared" si="43"/>
        <v>0</v>
      </c>
      <c r="Z243" s="74">
        <f t="shared" si="44"/>
        <v>3072</v>
      </c>
      <c r="AA243" s="75">
        <f t="shared" si="49"/>
        <v>3072</v>
      </c>
      <c r="AB243" s="75">
        <f t="shared" si="47"/>
        <v>0</v>
      </c>
    </row>
    <row r="244" spans="1:28">
      <c r="A244" s="123" t="s">
        <v>492</v>
      </c>
      <c r="B244" s="69"/>
      <c r="C244" s="69"/>
      <c r="D244" s="124" t="s">
        <v>493</v>
      </c>
      <c r="E244" s="125">
        <v>757.98</v>
      </c>
      <c r="F244" s="125">
        <v>757.98</v>
      </c>
      <c r="G244" s="120">
        <v>1</v>
      </c>
      <c r="H244" s="122">
        <v>0</v>
      </c>
      <c r="I244" s="122">
        <v>0</v>
      </c>
      <c r="J244" s="122">
        <v>0</v>
      </c>
      <c r="K244" s="120">
        <v>0</v>
      </c>
      <c r="L244" s="72">
        <f t="shared" si="45"/>
        <v>1</v>
      </c>
      <c r="M244" s="146">
        <v>1</v>
      </c>
      <c r="N244" s="72">
        <v>0</v>
      </c>
      <c r="O244" s="72">
        <v>0</v>
      </c>
      <c r="P244" s="72">
        <f t="shared" si="46"/>
        <v>1</v>
      </c>
      <c r="Q244" s="72">
        <f t="shared" si="38"/>
        <v>0</v>
      </c>
      <c r="R244" s="72"/>
      <c r="S244" s="56"/>
      <c r="T244" s="74">
        <f t="shared" si="39"/>
        <v>757.98</v>
      </c>
      <c r="U244" s="74">
        <v>0</v>
      </c>
      <c r="V244" s="74">
        <f t="shared" si="40"/>
        <v>0</v>
      </c>
      <c r="W244" s="74">
        <f t="shared" si="41"/>
        <v>0</v>
      </c>
      <c r="X244" s="74">
        <f t="shared" si="42"/>
        <v>0</v>
      </c>
      <c r="Y244" s="74">
        <f t="shared" si="43"/>
        <v>0</v>
      </c>
      <c r="Z244" s="74">
        <f t="shared" si="44"/>
        <v>757.98</v>
      </c>
      <c r="AA244" s="75">
        <f t="shared" si="49"/>
        <v>757.98</v>
      </c>
      <c r="AB244" s="75">
        <f t="shared" si="47"/>
        <v>0</v>
      </c>
    </row>
    <row r="245" spans="1:28">
      <c r="A245" s="123" t="s">
        <v>494</v>
      </c>
      <c r="B245" s="69"/>
      <c r="C245" s="69"/>
      <c r="D245" s="124" t="s">
        <v>495</v>
      </c>
      <c r="E245" s="125">
        <v>36.5</v>
      </c>
      <c r="F245" s="125">
        <v>36.5</v>
      </c>
      <c r="G245" s="120">
        <v>4</v>
      </c>
      <c r="H245" s="122">
        <v>0</v>
      </c>
      <c r="I245" s="122">
        <v>0</v>
      </c>
      <c r="J245" s="122">
        <v>4</v>
      </c>
      <c r="K245" s="120">
        <v>0</v>
      </c>
      <c r="L245" s="72">
        <f t="shared" si="45"/>
        <v>0</v>
      </c>
      <c r="M245" s="146">
        <v>0</v>
      </c>
      <c r="N245" s="72">
        <v>0</v>
      </c>
      <c r="O245" s="72">
        <v>0</v>
      </c>
      <c r="P245" s="72">
        <f t="shared" si="46"/>
        <v>0</v>
      </c>
      <c r="Q245" s="72">
        <f t="shared" si="38"/>
        <v>0</v>
      </c>
      <c r="R245" s="72"/>
      <c r="S245" s="56"/>
      <c r="T245" s="74">
        <f t="shared" si="39"/>
        <v>146</v>
      </c>
      <c r="U245" s="74">
        <v>0</v>
      </c>
      <c r="V245" s="74">
        <f t="shared" si="40"/>
        <v>0</v>
      </c>
      <c r="W245" s="74">
        <f t="shared" si="41"/>
        <v>0</v>
      </c>
      <c r="X245" s="74">
        <f t="shared" si="42"/>
        <v>146</v>
      </c>
      <c r="Y245" s="74">
        <f t="shared" si="43"/>
        <v>0</v>
      </c>
      <c r="Z245" s="74">
        <f t="shared" si="44"/>
        <v>0</v>
      </c>
      <c r="AA245" s="75">
        <f t="shared" si="49"/>
        <v>0</v>
      </c>
      <c r="AB245" s="75">
        <f t="shared" si="47"/>
        <v>0</v>
      </c>
    </row>
    <row r="246" spans="1:28">
      <c r="A246" s="123" t="s">
        <v>496</v>
      </c>
      <c r="B246" s="69"/>
      <c r="C246" s="69"/>
      <c r="D246" s="124" t="s">
        <v>497</v>
      </c>
      <c r="E246" s="125">
        <v>36.5</v>
      </c>
      <c r="F246" s="125">
        <v>36.5</v>
      </c>
      <c r="G246" s="120">
        <v>5</v>
      </c>
      <c r="H246" s="122">
        <v>0</v>
      </c>
      <c r="I246" s="122">
        <v>0</v>
      </c>
      <c r="J246" s="122">
        <v>5</v>
      </c>
      <c r="K246" s="120">
        <v>0</v>
      </c>
      <c r="L246" s="72">
        <f t="shared" si="45"/>
        <v>0</v>
      </c>
      <c r="M246" s="146">
        <v>0</v>
      </c>
      <c r="N246" s="72">
        <v>0</v>
      </c>
      <c r="O246" s="72">
        <v>0</v>
      </c>
      <c r="P246" s="72">
        <f t="shared" si="46"/>
        <v>0</v>
      </c>
      <c r="Q246" s="72">
        <f t="shared" si="38"/>
        <v>0</v>
      </c>
      <c r="R246" s="72"/>
      <c r="S246" s="56"/>
      <c r="T246" s="74">
        <f t="shared" si="39"/>
        <v>182.5</v>
      </c>
      <c r="U246" s="74">
        <v>0</v>
      </c>
      <c r="V246" s="74">
        <f t="shared" si="40"/>
        <v>0</v>
      </c>
      <c r="W246" s="74">
        <f t="shared" si="41"/>
        <v>0</v>
      </c>
      <c r="X246" s="74">
        <f t="shared" si="42"/>
        <v>182.5</v>
      </c>
      <c r="Y246" s="74">
        <f t="shared" si="43"/>
        <v>0</v>
      </c>
      <c r="Z246" s="74">
        <f t="shared" si="44"/>
        <v>0</v>
      </c>
      <c r="AA246" s="75">
        <f t="shared" si="49"/>
        <v>0</v>
      </c>
      <c r="AB246" s="75">
        <f t="shared" si="47"/>
        <v>0</v>
      </c>
    </row>
    <row r="247" spans="1:28">
      <c r="A247" s="123" t="s">
        <v>498</v>
      </c>
      <c r="B247" s="69"/>
      <c r="C247" s="69"/>
      <c r="D247" s="124" t="s">
        <v>499</v>
      </c>
      <c r="E247" s="125">
        <v>0</v>
      </c>
      <c r="F247" s="125">
        <v>0</v>
      </c>
      <c r="G247" s="120">
        <v>0</v>
      </c>
      <c r="H247" s="122">
        <v>0</v>
      </c>
      <c r="I247" s="122">
        <v>0</v>
      </c>
      <c r="J247" s="122">
        <v>0</v>
      </c>
      <c r="K247" s="120">
        <v>0</v>
      </c>
      <c r="L247" s="72">
        <f t="shared" si="45"/>
        <v>0</v>
      </c>
      <c r="M247" s="146">
        <v>0</v>
      </c>
      <c r="N247" s="72">
        <v>0</v>
      </c>
      <c r="O247" s="72">
        <v>0</v>
      </c>
      <c r="P247" s="72">
        <f t="shared" si="46"/>
        <v>0</v>
      </c>
      <c r="Q247" s="72">
        <f t="shared" si="38"/>
        <v>0</v>
      </c>
      <c r="R247" s="72"/>
      <c r="S247" s="56"/>
      <c r="T247" s="74">
        <f t="shared" si="39"/>
        <v>0</v>
      </c>
      <c r="U247" s="74">
        <v>0</v>
      </c>
      <c r="V247" s="74">
        <f t="shared" si="40"/>
        <v>0</v>
      </c>
      <c r="W247" s="74">
        <f t="shared" si="41"/>
        <v>0</v>
      </c>
      <c r="X247" s="74">
        <f t="shared" si="42"/>
        <v>0</v>
      </c>
      <c r="Y247" s="74">
        <f t="shared" si="43"/>
        <v>0</v>
      </c>
      <c r="Z247" s="74">
        <f t="shared" si="44"/>
        <v>0</v>
      </c>
      <c r="AA247" s="75">
        <f t="shared" si="49"/>
        <v>0</v>
      </c>
      <c r="AB247" s="75">
        <f t="shared" si="47"/>
        <v>0</v>
      </c>
    </row>
    <row r="248" spans="1:28">
      <c r="A248" s="123" t="s">
        <v>500</v>
      </c>
      <c r="B248" s="69"/>
      <c r="C248" s="69"/>
      <c r="D248" s="124" t="s">
        <v>501</v>
      </c>
      <c r="E248" s="125">
        <v>46.5</v>
      </c>
      <c r="F248" s="125">
        <v>46.5</v>
      </c>
      <c r="G248" s="120">
        <v>10</v>
      </c>
      <c r="H248" s="122">
        <v>0</v>
      </c>
      <c r="I248" s="122">
        <v>0</v>
      </c>
      <c r="J248" s="122">
        <v>0</v>
      </c>
      <c r="K248" s="120">
        <v>0</v>
      </c>
      <c r="L248" s="72">
        <f t="shared" si="45"/>
        <v>10</v>
      </c>
      <c r="M248" s="146">
        <v>10</v>
      </c>
      <c r="N248" s="72">
        <v>0</v>
      </c>
      <c r="O248" s="72">
        <v>0</v>
      </c>
      <c r="P248" s="72">
        <f t="shared" si="46"/>
        <v>10</v>
      </c>
      <c r="Q248" s="72">
        <f t="shared" si="38"/>
        <v>0</v>
      </c>
      <c r="R248" s="72"/>
      <c r="S248" s="56"/>
      <c r="T248" s="74">
        <f t="shared" si="39"/>
        <v>465</v>
      </c>
      <c r="U248" s="74">
        <v>0</v>
      </c>
      <c r="V248" s="74">
        <f t="shared" si="40"/>
        <v>0</v>
      </c>
      <c r="W248" s="74">
        <f t="shared" si="41"/>
        <v>0</v>
      </c>
      <c r="X248" s="74">
        <f t="shared" si="42"/>
        <v>0</v>
      </c>
      <c r="Y248" s="74">
        <f t="shared" si="43"/>
        <v>0</v>
      </c>
      <c r="Z248" s="74">
        <f t="shared" si="44"/>
        <v>465</v>
      </c>
      <c r="AA248" s="75">
        <f t="shared" si="49"/>
        <v>465</v>
      </c>
      <c r="AB248" s="75">
        <f t="shared" si="47"/>
        <v>0</v>
      </c>
    </row>
    <row r="249" spans="1:28">
      <c r="A249" s="123" t="s">
        <v>502</v>
      </c>
      <c r="B249" s="69"/>
      <c r="C249" s="69"/>
      <c r="D249" s="124" t="s">
        <v>503</v>
      </c>
      <c r="E249" s="125">
        <v>120</v>
      </c>
      <c r="F249" s="125">
        <v>120</v>
      </c>
      <c r="G249" s="120">
        <v>8</v>
      </c>
      <c r="H249" s="122">
        <v>0</v>
      </c>
      <c r="I249" s="122">
        <v>0</v>
      </c>
      <c r="J249" s="122">
        <v>6</v>
      </c>
      <c r="K249" s="120">
        <v>0</v>
      </c>
      <c r="L249" s="72">
        <f t="shared" si="45"/>
        <v>2</v>
      </c>
      <c r="M249" s="146">
        <v>2</v>
      </c>
      <c r="N249" s="72">
        <v>0</v>
      </c>
      <c r="O249" s="72">
        <v>0</v>
      </c>
      <c r="P249" s="72">
        <f t="shared" si="46"/>
        <v>2</v>
      </c>
      <c r="Q249" s="72">
        <f t="shared" si="38"/>
        <v>0</v>
      </c>
      <c r="R249" s="72"/>
      <c r="S249" s="56"/>
      <c r="T249" s="74">
        <f t="shared" si="39"/>
        <v>960</v>
      </c>
      <c r="U249" s="74">
        <v>0</v>
      </c>
      <c r="V249" s="74">
        <f t="shared" si="40"/>
        <v>0</v>
      </c>
      <c r="W249" s="74">
        <f t="shared" si="41"/>
        <v>0</v>
      </c>
      <c r="X249" s="74">
        <f t="shared" si="42"/>
        <v>720</v>
      </c>
      <c r="Y249" s="74">
        <f t="shared" si="43"/>
        <v>0</v>
      </c>
      <c r="Z249" s="74">
        <f t="shared" si="44"/>
        <v>240</v>
      </c>
      <c r="AA249" s="75">
        <f t="shared" si="49"/>
        <v>240</v>
      </c>
      <c r="AB249" s="75">
        <f t="shared" si="47"/>
        <v>0</v>
      </c>
    </row>
    <row r="250" spans="1:28">
      <c r="A250" s="123" t="s">
        <v>504</v>
      </c>
      <c r="B250" s="69"/>
      <c r="C250" s="69"/>
      <c r="D250" s="124" t="s">
        <v>505</v>
      </c>
      <c r="E250" s="125">
        <v>130</v>
      </c>
      <c r="F250" s="125">
        <v>130</v>
      </c>
      <c r="G250" s="120">
        <v>28</v>
      </c>
      <c r="H250" s="122">
        <v>0</v>
      </c>
      <c r="I250" s="122">
        <v>0</v>
      </c>
      <c r="J250" s="122">
        <v>12</v>
      </c>
      <c r="K250" s="120">
        <v>0</v>
      </c>
      <c r="L250" s="72">
        <f t="shared" si="45"/>
        <v>16</v>
      </c>
      <c r="M250" s="146">
        <v>16</v>
      </c>
      <c r="N250" s="72">
        <v>0</v>
      </c>
      <c r="O250" s="72">
        <v>0</v>
      </c>
      <c r="P250" s="72">
        <f t="shared" si="46"/>
        <v>16</v>
      </c>
      <c r="Q250" s="72">
        <f t="shared" si="38"/>
        <v>0</v>
      </c>
      <c r="R250" s="72"/>
      <c r="S250" s="56"/>
      <c r="T250" s="74">
        <f t="shared" si="39"/>
        <v>3640</v>
      </c>
      <c r="U250" s="74">
        <v>0</v>
      </c>
      <c r="V250" s="74">
        <f t="shared" si="40"/>
        <v>0</v>
      </c>
      <c r="W250" s="74">
        <f t="shared" si="41"/>
        <v>0</v>
      </c>
      <c r="X250" s="74">
        <f t="shared" si="42"/>
        <v>1560</v>
      </c>
      <c r="Y250" s="74">
        <f t="shared" si="43"/>
        <v>0</v>
      </c>
      <c r="Z250" s="74">
        <f t="shared" si="44"/>
        <v>2080</v>
      </c>
      <c r="AA250" s="75">
        <f t="shared" si="49"/>
        <v>2080</v>
      </c>
      <c r="AB250" s="75">
        <f t="shared" si="47"/>
        <v>0</v>
      </c>
    </row>
    <row r="251" spans="1:28">
      <c r="A251" s="123" t="s">
        <v>506</v>
      </c>
      <c r="B251" s="69"/>
      <c r="C251" s="69"/>
      <c r="D251" s="124" t="s">
        <v>507</v>
      </c>
      <c r="E251" s="125">
        <v>120</v>
      </c>
      <c r="F251" s="125">
        <v>120</v>
      </c>
      <c r="G251" s="120">
        <v>2</v>
      </c>
      <c r="H251" s="122">
        <v>0</v>
      </c>
      <c r="I251" s="122">
        <v>0</v>
      </c>
      <c r="J251" s="122">
        <v>2</v>
      </c>
      <c r="K251" s="120">
        <v>0</v>
      </c>
      <c r="L251" s="72">
        <f t="shared" si="45"/>
        <v>0</v>
      </c>
      <c r="M251" s="146">
        <v>0</v>
      </c>
      <c r="N251" s="72">
        <v>0</v>
      </c>
      <c r="O251" s="72">
        <v>0</v>
      </c>
      <c r="P251" s="72">
        <f t="shared" si="46"/>
        <v>0</v>
      </c>
      <c r="Q251" s="72">
        <f t="shared" si="38"/>
        <v>0</v>
      </c>
      <c r="R251" s="72"/>
      <c r="S251" s="56"/>
      <c r="T251" s="74">
        <f t="shared" si="39"/>
        <v>240</v>
      </c>
      <c r="U251" s="74">
        <v>0</v>
      </c>
      <c r="V251" s="74">
        <f t="shared" si="40"/>
        <v>0</v>
      </c>
      <c r="W251" s="74">
        <f t="shared" si="41"/>
        <v>0</v>
      </c>
      <c r="X251" s="74">
        <f t="shared" si="42"/>
        <v>240</v>
      </c>
      <c r="Y251" s="74">
        <f t="shared" si="43"/>
        <v>0</v>
      </c>
      <c r="Z251" s="74">
        <f t="shared" si="44"/>
        <v>0</v>
      </c>
      <c r="AA251" s="75">
        <f t="shared" si="49"/>
        <v>0</v>
      </c>
      <c r="AB251" s="75">
        <f t="shared" si="47"/>
        <v>0</v>
      </c>
    </row>
    <row r="252" spans="1:28">
      <c r="A252" s="123" t="s">
        <v>508</v>
      </c>
      <c r="B252" s="140" t="s">
        <v>726</v>
      </c>
      <c r="C252" s="140"/>
      <c r="D252" s="124" t="s">
        <v>509</v>
      </c>
      <c r="E252" s="125">
        <v>720</v>
      </c>
      <c r="F252" s="125">
        <v>720</v>
      </c>
      <c r="G252" s="120">
        <v>2</v>
      </c>
      <c r="H252" s="122">
        <v>0</v>
      </c>
      <c r="I252" s="122">
        <v>0</v>
      </c>
      <c r="J252" s="122">
        <v>0</v>
      </c>
      <c r="K252" s="120">
        <v>0</v>
      </c>
      <c r="L252" s="72">
        <f t="shared" si="45"/>
        <v>2</v>
      </c>
      <c r="M252" s="146">
        <v>2</v>
      </c>
      <c r="N252" s="72">
        <v>0</v>
      </c>
      <c r="O252" s="72">
        <v>0</v>
      </c>
      <c r="P252" s="72">
        <f t="shared" si="46"/>
        <v>2</v>
      </c>
      <c r="Q252" s="72">
        <f t="shared" si="38"/>
        <v>0</v>
      </c>
      <c r="R252" s="72"/>
      <c r="S252" s="56"/>
      <c r="T252" s="74">
        <f t="shared" si="39"/>
        <v>1440</v>
      </c>
      <c r="U252" s="74">
        <v>0</v>
      </c>
      <c r="V252" s="74">
        <f t="shared" si="40"/>
        <v>0</v>
      </c>
      <c r="W252" s="74">
        <f t="shared" si="41"/>
        <v>0</v>
      </c>
      <c r="X252" s="74">
        <f t="shared" si="42"/>
        <v>0</v>
      </c>
      <c r="Y252" s="74">
        <f t="shared" si="43"/>
        <v>0</v>
      </c>
      <c r="Z252" s="74">
        <f t="shared" si="44"/>
        <v>1440</v>
      </c>
      <c r="AA252" s="75">
        <f t="shared" si="49"/>
        <v>1440</v>
      </c>
      <c r="AB252" s="75">
        <f t="shared" si="47"/>
        <v>0</v>
      </c>
    </row>
    <row r="253" spans="1:28" ht="24">
      <c r="A253" s="123" t="s">
        <v>510</v>
      </c>
      <c r="B253" s="69"/>
      <c r="C253" s="69"/>
      <c r="D253" s="124" t="s">
        <v>511</v>
      </c>
      <c r="E253" s="125">
        <v>2151.2199999999998</v>
      </c>
      <c r="F253" s="125">
        <v>2151.2199999999998</v>
      </c>
      <c r="G253" s="120">
        <v>1</v>
      </c>
      <c r="H253" s="122">
        <v>0</v>
      </c>
      <c r="I253" s="122">
        <v>0</v>
      </c>
      <c r="J253" s="122">
        <v>0</v>
      </c>
      <c r="K253" s="120">
        <v>0</v>
      </c>
      <c r="L253" s="72">
        <f t="shared" si="45"/>
        <v>1</v>
      </c>
      <c r="M253" s="146">
        <v>1</v>
      </c>
      <c r="N253" s="72">
        <v>0</v>
      </c>
      <c r="O253" s="72">
        <v>0</v>
      </c>
      <c r="P253" s="72">
        <f t="shared" si="46"/>
        <v>1</v>
      </c>
      <c r="Q253" s="72">
        <f t="shared" si="38"/>
        <v>0</v>
      </c>
      <c r="R253" s="72"/>
      <c r="S253" s="56"/>
      <c r="T253" s="74">
        <f t="shared" si="39"/>
        <v>2151.2199999999998</v>
      </c>
      <c r="U253" s="74">
        <v>0</v>
      </c>
      <c r="V253" s="74">
        <f t="shared" si="40"/>
        <v>0</v>
      </c>
      <c r="W253" s="74">
        <f t="shared" si="41"/>
        <v>0</v>
      </c>
      <c r="X253" s="74">
        <f t="shared" si="42"/>
        <v>0</v>
      </c>
      <c r="Y253" s="74">
        <f t="shared" si="43"/>
        <v>0</v>
      </c>
      <c r="Z253" s="74">
        <f t="shared" si="44"/>
        <v>2151.2199999999998</v>
      </c>
      <c r="AA253" s="75">
        <f t="shared" si="49"/>
        <v>2151.2199999999998</v>
      </c>
      <c r="AB253" s="75">
        <f t="shared" si="47"/>
        <v>0</v>
      </c>
    </row>
    <row r="254" spans="1:28" ht="24">
      <c r="A254" s="123" t="s">
        <v>512</v>
      </c>
      <c r="B254" s="69"/>
      <c r="C254" s="69"/>
      <c r="D254" s="124" t="s">
        <v>513</v>
      </c>
      <c r="E254" s="125">
        <v>215.76</v>
      </c>
      <c r="F254" s="125">
        <v>215.76</v>
      </c>
      <c r="G254" s="120">
        <v>1</v>
      </c>
      <c r="H254" s="122">
        <v>0</v>
      </c>
      <c r="I254" s="122">
        <v>0</v>
      </c>
      <c r="J254" s="122">
        <v>0</v>
      </c>
      <c r="K254" s="120">
        <v>0</v>
      </c>
      <c r="L254" s="72">
        <f t="shared" si="45"/>
        <v>1</v>
      </c>
      <c r="M254" s="147">
        <v>1</v>
      </c>
      <c r="N254" s="73">
        <v>0</v>
      </c>
      <c r="O254" s="72">
        <v>0</v>
      </c>
      <c r="P254" s="73">
        <f t="shared" si="46"/>
        <v>1</v>
      </c>
      <c r="Q254" s="72">
        <f t="shared" si="38"/>
        <v>0</v>
      </c>
      <c r="R254" s="72"/>
      <c r="S254" s="56"/>
      <c r="T254" s="74">
        <f t="shared" si="39"/>
        <v>215.76</v>
      </c>
      <c r="U254" s="74">
        <v>0</v>
      </c>
      <c r="V254" s="74">
        <f t="shared" si="40"/>
        <v>0</v>
      </c>
      <c r="W254" s="74">
        <f t="shared" si="41"/>
        <v>0</v>
      </c>
      <c r="X254" s="74">
        <f t="shared" si="42"/>
        <v>0</v>
      </c>
      <c r="Y254" s="74">
        <f t="shared" si="43"/>
        <v>0</v>
      </c>
      <c r="Z254" s="74">
        <f t="shared" si="44"/>
        <v>215.76</v>
      </c>
      <c r="AA254" s="75">
        <f t="shared" si="49"/>
        <v>215.76</v>
      </c>
      <c r="AB254" s="75">
        <f t="shared" si="47"/>
        <v>0</v>
      </c>
    </row>
    <row r="255" spans="1:28" ht="24">
      <c r="A255" s="123" t="s">
        <v>514</v>
      </c>
      <c r="B255" s="69"/>
      <c r="C255" s="69"/>
      <c r="D255" s="124" t="s">
        <v>515</v>
      </c>
      <c r="E255" s="125">
        <v>182.12</v>
      </c>
      <c r="F255" s="125">
        <v>182.12</v>
      </c>
      <c r="G255" s="120">
        <v>1</v>
      </c>
      <c r="H255" s="122">
        <v>0</v>
      </c>
      <c r="I255" s="122">
        <v>0</v>
      </c>
      <c r="J255" s="122">
        <v>0</v>
      </c>
      <c r="K255" s="120">
        <v>0</v>
      </c>
      <c r="L255" s="72">
        <f t="shared" si="45"/>
        <v>1</v>
      </c>
      <c r="M255" s="147">
        <v>1</v>
      </c>
      <c r="N255" s="73">
        <v>0</v>
      </c>
      <c r="O255" s="72">
        <v>0</v>
      </c>
      <c r="P255" s="73">
        <f t="shared" si="46"/>
        <v>1</v>
      </c>
      <c r="Q255" s="72">
        <f t="shared" si="38"/>
        <v>0</v>
      </c>
      <c r="R255" s="72"/>
      <c r="S255" s="56"/>
      <c r="T255" s="74">
        <f t="shared" si="39"/>
        <v>182.12</v>
      </c>
      <c r="U255" s="74">
        <v>0</v>
      </c>
      <c r="V255" s="74">
        <f t="shared" si="40"/>
        <v>0</v>
      </c>
      <c r="W255" s="74">
        <f t="shared" si="41"/>
        <v>0</v>
      </c>
      <c r="X255" s="74">
        <f t="shared" si="42"/>
        <v>0</v>
      </c>
      <c r="Y255" s="74">
        <f t="shared" si="43"/>
        <v>0</v>
      </c>
      <c r="Z255" s="74">
        <f t="shared" si="44"/>
        <v>182.12</v>
      </c>
      <c r="AA255" s="75">
        <f t="shared" si="49"/>
        <v>182.12</v>
      </c>
      <c r="AB255" s="75">
        <f t="shared" si="47"/>
        <v>0</v>
      </c>
    </row>
    <row r="256" spans="1:28" ht="24">
      <c r="A256" s="123" t="s">
        <v>516</v>
      </c>
      <c r="B256" s="69"/>
      <c r="C256" s="69"/>
      <c r="D256" s="124" t="s">
        <v>517</v>
      </c>
      <c r="E256" s="125">
        <v>192.56</v>
      </c>
      <c r="F256" s="125">
        <v>192.56</v>
      </c>
      <c r="G256" s="120">
        <v>1</v>
      </c>
      <c r="H256" s="122">
        <v>0</v>
      </c>
      <c r="I256" s="122">
        <v>0</v>
      </c>
      <c r="J256" s="122">
        <v>0</v>
      </c>
      <c r="K256" s="120">
        <v>0</v>
      </c>
      <c r="L256" s="72">
        <f t="shared" si="45"/>
        <v>1</v>
      </c>
      <c r="M256" s="147">
        <v>1</v>
      </c>
      <c r="N256" s="73">
        <v>0</v>
      </c>
      <c r="O256" s="72">
        <v>0</v>
      </c>
      <c r="P256" s="73">
        <f t="shared" si="46"/>
        <v>1</v>
      </c>
      <c r="Q256" s="72">
        <f t="shared" si="38"/>
        <v>0</v>
      </c>
      <c r="R256" s="72"/>
      <c r="S256" s="56"/>
      <c r="T256" s="74">
        <f t="shared" si="39"/>
        <v>192.56</v>
      </c>
      <c r="U256" s="74">
        <v>0</v>
      </c>
      <c r="V256" s="74">
        <f t="shared" si="40"/>
        <v>0</v>
      </c>
      <c r="W256" s="74">
        <f t="shared" si="41"/>
        <v>0</v>
      </c>
      <c r="X256" s="74">
        <f t="shared" si="42"/>
        <v>0</v>
      </c>
      <c r="Y256" s="74">
        <f t="shared" si="43"/>
        <v>0</v>
      </c>
      <c r="Z256" s="74">
        <f t="shared" si="44"/>
        <v>192.56</v>
      </c>
      <c r="AA256" s="75">
        <f t="shared" si="49"/>
        <v>192.56</v>
      </c>
      <c r="AB256" s="75">
        <f t="shared" si="47"/>
        <v>0</v>
      </c>
    </row>
    <row r="257" spans="1:28" ht="24">
      <c r="A257" s="123" t="s">
        <v>518</v>
      </c>
      <c r="B257" s="69"/>
      <c r="C257" s="69"/>
      <c r="D257" s="124" t="s">
        <v>519</v>
      </c>
      <c r="E257" s="125">
        <v>1983.6</v>
      </c>
      <c r="F257" s="125">
        <v>1983.6</v>
      </c>
      <c r="G257" s="120">
        <v>1</v>
      </c>
      <c r="H257" s="122">
        <v>0</v>
      </c>
      <c r="I257" s="122">
        <v>0</v>
      </c>
      <c r="J257" s="122">
        <v>0</v>
      </c>
      <c r="K257" s="120">
        <v>0</v>
      </c>
      <c r="L257" s="72">
        <f t="shared" si="45"/>
        <v>1</v>
      </c>
      <c r="M257" s="147">
        <v>1</v>
      </c>
      <c r="N257" s="73">
        <v>0</v>
      </c>
      <c r="O257" s="72">
        <v>0</v>
      </c>
      <c r="P257" s="73">
        <f t="shared" si="46"/>
        <v>1</v>
      </c>
      <c r="Q257" s="72">
        <f t="shared" si="38"/>
        <v>0</v>
      </c>
      <c r="R257" s="72"/>
      <c r="S257" s="56"/>
      <c r="T257" s="74">
        <f t="shared" si="39"/>
        <v>1983.6</v>
      </c>
      <c r="U257" s="74">
        <v>0</v>
      </c>
      <c r="V257" s="74">
        <f t="shared" si="40"/>
        <v>0</v>
      </c>
      <c r="W257" s="74">
        <f t="shared" si="41"/>
        <v>0</v>
      </c>
      <c r="X257" s="74">
        <f t="shared" si="42"/>
        <v>0</v>
      </c>
      <c r="Y257" s="74">
        <f t="shared" si="43"/>
        <v>0</v>
      </c>
      <c r="Z257" s="74">
        <f t="shared" si="44"/>
        <v>1983.6</v>
      </c>
      <c r="AA257" s="75">
        <f t="shared" si="49"/>
        <v>1983.6</v>
      </c>
      <c r="AB257" s="75">
        <f t="shared" si="47"/>
        <v>0</v>
      </c>
    </row>
    <row r="258" spans="1:28">
      <c r="A258" s="123" t="s">
        <v>520</v>
      </c>
      <c r="B258" s="69"/>
      <c r="C258" s="69"/>
      <c r="D258" s="124" t="s">
        <v>521</v>
      </c>
      <c r="E258" s="125">
        <v>0</v>
      </c>
      <c r="F258" s="125">
        <v>0</v>
      </c>
      <c r="G258" s="120">
        <v>0</v>
      </c>
      <c r="H258" s="122">
        <v>0</v>
      </c>
      <c r="I258" s="122">
        <v>0</v>
      </c>
      <c r="J258" s="122">
        <v>0</v>
      </c>
      <c r="K258" s="120">
        <v>0</v>
      </c>
      <c r="L258" s="72">
        <f t="shared" si="45"/>
        <v>0</v>
      </c>
      <c r="M258" s="147">
        <v>0</v>
      </c>
      <c r="N258" s="73">
        <v>0</v>
      </c>
      <c r="O258" s="72">
        <v>0</v>
      </c>
      <c r="P258" s="73">
        <f t="shared" si="46"/>
        <v>0</v>
      </c>
      <c r="Q258" s="72">
        <f t="shared" si="38"/>
        <v>0</v>
      </c>
      <c r="R258" s="72"/>
      <c r="S258" s="56"/>
      <c r="T258" s="74">
        <f t="shared" si="39"/>
        <v>0</v>
      </c>
      <c r="U258" s="74">
        <v>0</v>
      </c>
      <c r="V258" s="74">
        <f t="shared" si="40"/>
        <v>0</v>
      </c>
      <c r="W258" s="74">
        <f t="shared" si="41"/>
        <v>0</v>
      </c>
      <c r="X258" s="74">
        <f t="shared" si="42"/>
        <v>0</v>
      </c>
      <c r="Y258" s="74">
        <f t="shared" si="43"/>
        <v>0</v>
      </c>
      <c r="Z258" s="74">
        <f t="shared" si="44"/>
        <v>0</v>
      </c>
      <c r="AA258" s="75">
        <f t="shared" si="49"/>
        <v>0</v>
      </c>
      <c r="AB258" s="75">
        <f t="shared" si="47"/>
        <v>0</v>
      </c>
    </row>
    <row r="259" spans="1:28" ht="22.5">
      <c r="A259" s="123" t="s">
        <v>522</v>
      </c>
      <c r="B259" s="140" t="s">
        <v>727</v>
      </c>
      <c r="C259" s="140"/>
      <c r="D259" s="124" t="s">
        <v>523</v>
      </c>
      <c r="E259" s="125">
        <v>723.8</v>
      </c>
      <c r="F259" s="125">
        <v>723.8</v>
      </c>
      <c r="G259" s="120">
        <v>2</v>
      </c>
      <c r="H259" s="122">
        <v>0</v>
      </c>
      <c r="I259" s="122">
        <v>0</v>
      </c>
      <c r="J259" s="122">
        <v>0</v>
      </c>
      <c r="K259" s="120">
        <v>0</v>
      </c>
      <c r="L259" s="72">
        <f t="shared" si="45"/>
        <v>2</v>
      </c>
      <c r="M259" s="147">
        <v>2</v>
      </c>
      <c r="N259" s="73">
        <v>0</v>
      </c>
      <c r="O259" s="72">
        <v>0</v>
      </c>
      <c r="P259" s="73">
        <f t="shared" si="46"/>
        <v>2</v>
      </c>
      <c r="Q259" s="72">
        <f t="shared" si="38"/>
        <v>0</v>
      </c>
      <c r="R259" s="72"/>
      <c r="S259" s="56"/>
      <c r="T259" s="74">
        <f t="shared" si="39"/>
        <v>1447.6</v>
      </c>
      <c r="U259" s="74">
        <v>0</v>
      </c>
      <c r="V259" s="74">
        <f t="shared" si="40"/>
        <v>0</v>
      </c>
      <c r="W259" s="74">
        <f t="shared" si="41"/>
        <v>0</v>
      </c>
      <c r="X259" s="74">
        <f t="shared" si="42"/>
        <v>0</v>
      </c>
      <c r="Y259" s="74">
        <f t="shared" si="43"/>
        <v>0</v>
      </c>
      <c r="Z259" s="74">
        <f t="shared" si="44"/>
        <v>1447.6</v>
      </c>
      <c r="AA259" s="75">
        <f t="shared" si="49"/>
        <v>1447.6</v>
      </c>
      <c r="AB259" s="75">
        <f t="shared" si="47"/>
        <v>0</v>
      </c>
    </row>
    <row r="260" spans="1:28" s="157" customFormat="1">
      <c r="A260" s="154" t="s">
        <v>524</v>
      </c>
      <c r="B260" s="158"/>
      <c r="C260" s="158"/>
      <c r="D260" s="126" t="s">
        <v>525</v>
      </c>
      <c r="E260" s="125">
        <v>460</v>
      </c>
      <c r="F260" s="125">
        <v>460</v>
      </c>
      <c r="G260" s="121">
        <v>2</v>
      </c>
      <c r="H260" s="155">
        <v>0</v>
      </c>
      <c r="I260" s="155">
        <v>0</v>
      </c>
      <c r="J260" s="155">
        <v>0</v>
      </c>
      <c r="K260" s="162">
        <v>1</v>
      </c>
      <c r="L260" s="156">
        <f t="shared" si="45"/>
        <v>1</v>
      </c>
      <c r="M260" s="147">
        <v>1</v>
      </c>
      <c r="N260" s="129">
        <v>0</v>
      </c>
      <c r="O260" s="130"/>
      <c r="P260" s="129">
        <f t="shared" si="46"/>
        <v>1</v>
      </c>
      <c r="Q260" s="128">
        <f t="shared" si="38"/>
        <v>0</v>
      </c>
      <c r="R260" s="128"/>
      <c r="S260" s="56"/>
      <c r="T260" s="74">
        <f t="shared" si="39"/>
        <v>920</v>
      </c>
      <c r="U260" s="74">
        <v>0</v>
      </c>
      <c r="V260" s="74">
        <f t="shared" si="40"/>
        <v>0</v>
      </c>
      <c r="W260" s="74">
        <f t="shared" si="41"/>
        <v>0</v>
      </c>
      <c r="X260" s="74">
        <f t="shared" si="42"/>
        <v>0</v>
      </c>
      <c r="Y260" s="74">
        <f t="shared" si="43"/>
        <v>460</v>
      </c>
      <c r="Z260" s="74">
        <f t="shared" si="44"/>
        <v>460</v>
      </c>
      <c r="AA260" s="75">
        <f t="shared" si="49"/>
        <v>460</v>
      </c>
      <c r="AB260" s="75">
        <f t="shared" si="47"/>
        <v>0</v>
      </c>
    </row>
    <row r="261" spans="1:28">
      <c r="A261" s="123" t="s">
        <v>526</v>
      </c>
      <c r="B261" s="69"/>
      <c r="C261" s="69"/>
      <c r="D261" s="124" t="s">
        <v>527</v>
      </c>
      <c r="E261" s="125">
        <v>0</v>
      </c>
      <c r="F261" s="125">
        <v>0</v>
      </c>
      <c r="G261" s="120">
        <v>0</v>
      </c>
      <c r="H261" s="122">
        <v>0</v>
      </c>
      <c r="I261" s="122">
        <v>0</v>
      </c>
      <c r="J261" s="122">
        <v>0</v>
      </c>
      <c r="K261" s="120">
        <v>0</v>
      </c>
      <c r="L261" s="72">
        <f t="shared" si="45"/>
        <v>0</v>
      </c>
      <c r="M261" s="147">
        <v>0</v>
      </c>
      <c r="N261" s="73">
        <v>0</v>
      </c>
      <c r="O261" s="72">
        <v>0</v>
      </c>
      <c r="P261" s="73">
        <f t="shared" si="46"/>
        <v>0</v>
      </c>
      <c r="Q261" s="72">
        <f t="shared" si="38"/>
        <v>0</v>
      </c>
      <c r="R261" s="72"/>
      <c r="S261" s="56"/>
      <c r="T261" s="74">
        <f t="shared" si="39"/>
        <v>0</v>
      </c>
      <c r="U261" s="74">
        <v>0</v>
      </c>
      <c r="V261" s="74">
        <f t="shared" si="40"/>
        <v>0</v>
      </c>
      <c r="W261" s="74">
        <f t="shared" si="41"/>
        <v>0</v>
      </c>
      <c r="X261" s="74">
        <f t="shared" si="42"/>
        <v>0</v>
      </c>
      <c r="Y261" s="74">
        <f t="shared" si="43"/>
        <v>0</v>
      </c>
      <c r="Z261" s="74">
        <f t="shared" si="44"/>
        <v>0</v>
      </c>
      <c r="AA261" s="75">
        <f t="shared" si="49"/>
        <v>0</v>
      </c>
      <c r="AB261" s="75">
        <f t="shared" si="47"/>
        <v>0</v>
      </c>
    </row>
    <row r="262" spans="1:28" ht="22.5">
      <c r="A262" s="123" t="s">
        <v>528</v>
      </c>
      <c r="B262" s="140" t="s">
        <v>761</v>
      </c>
      <c r="C262" s="140"/>
      <c r="D262" s="124" t="s">
        <v>529</v>
      </c>
      <c r="E262" s="125">
        <v>4700</v>
      </c>
      <c r="F262" s="125">
        <v>4700</v>
      </c>
      <c r="G262" s="120">
        <v>0</v>
      </c>
      <c r="H262" s="122">
        <v>0</v>
      </c>
      <c r="I262" s="122">
        <v>0</v>
      </c>
      <c r="J262" s="122">
        <v>0</v>
      </c>
      <c r="K262" s="120">
        <v>0</v>
      </c>
      <c r="L262" s="72">
        <f t="shared" si="45"/>
        <v>0</v>
      </c>
      <c r="M262" s="147">
        <v>0</v>
      </c>
      <c r="N262" s="73">
        <v>0</v>
      </c>
      <c r="O262" s="72">
        <v>0</v>
      </c>
      <c r="P262" s="73">
        <f t="shared" si="46"/>
        <v>0</v>
      </c>
      <c r="Q262" s="72">
        <f t="shared" si="38"/>
        <v>0</v>
      </c>
      <c r="R262" s="72"/>
      <c r="S262" s="56"/>
      <c r="T262" s="74">
        <f t="shared" si="39"/>
        <v>0</v>
      </c>
      <c r="U262" s="74">
        <v>0</v>
      </c>
      <c r="V262" s="74">
        <f t="shared" si="40"/>
        <v>0</v>
      </c>
      <c r="W262" s="74">
        <f t="shared" si="41"/>
        <v>0</v>
      </c>
      <c r="X262" s="74">
        <f t="shared" si="42"/>
        <v>0</v>
      </c>
      <c r="Y262" s="74">
        <f t="shared" si="43"/>
        <v>0</v>
      </c>
      <c r="Z262" s="74">
        <f t="shared" si="44"/>
        <v>0</v>
      </c>
      <c r="AA262" s="75">
        <f t="shared" si="49"/>
        <v>0</v>
      </c>
      <c r="AB262" s="75">
        <f t="shared" si="47"/>
        <v>0</v>
      </c>
    </row>
    <row r="263" spans="1:28" ht="24">
      <c r="A263" s="123" t="s">
        <v>530</v>
      </c>
      <c r="B263" s="140" t="s">
        <v>762</v>
      </c>
      <c r="C263" s="140"/>
      <c r="D263" s="124" t="s">
        <v>531</v>
      </c>
      <c r="E263" s="125">
        <v>9600</v>
      </c>
      <c r="F263" s="125">
        <v>9600</v>
      </c>
      <c r="G263" s="120">
        <v>1</v>
      </c>
      <c r="H263" s="122">
        <v>0</v>
      </c>
      <c r="I263" s="122">
        <v>0</v>
      </c>
      <c r="J263" s="122">
        <v>0</v>
      </c>
      <c r="K263" s="120">
        <v>0</v>
      </c>
      <c r="L263" s="72">
        <f t="shared" si="45"/>
        <v>1</v>
      </c>
      <c r="M263" s="147">
        <v>1</v>
      </c>
      <c r="N263" s="73">
        <v>0</v>
      </c>
      <c r="O263" s="73">
        <v>0</v>
      </c>
      <c r="P263" s="73">
        <f t="shared" si="46"/>
        <v>1</v>
      </c>
      <c r="Q263" s="72">
        <f t="shared" ref="Q263:Q307" si="50">P263-L263</f>
        <v>0</v>
      </c>
      <c r="R263" s="72"/>
      <c r="S263" s="56"/>
      <c r="T263" s="74">
        <f t="shared" ref="T263:T317" si="51">E263*G263</f>
        <v>9600</v>
      </c>
      <c r="U263" s="74">
        <v>0</v>
      </c>
      <c r="V263" s="74">
        <f t="shared" ref="V263:V317" si="52">F263*H263</f>
        <v>0</v>
      </c>
      <c r="W263" s="74">
        <f t="shared" ref="W263:W317" si="53">F263*I263</f>
        <v>0</v>
      </c>
      <c r="X263" s="74">
        <f t="shared" ref="X263:X317" si="54">F263*J263</f>
        <v>0</v>
      </c>
      <c r="Y263" s="74">
        <f t="shared" ref="Y263:Y317" si="55">F263*K263</f>
        <v>0</v>
      </c>
      <c r="Z263" s="74">
        <f t="shared" ref="Z263:Z317" si="56">T263+U263+V263+W263-X263-Y263</f>
        <v>9600</v>
      </c>
      <c r="AA263" s="75">
        <f t="shared" si="49"/>
        <v>9600</v>
      </c>
      <c r="AB263" s="75">
        <f t="shared" si="47"/>
        <v>0</v>
      </c>
    </row>
    <row r="264" spans="1:28" ht="24">
      <c r="A264" s="123" t="s">
        <v>532</v>
      </c>
      <c r="B264" s="69"/>
      <c r="C264" s="69"/>
      <c r="D264" s="124" t="s">
        <v>533</v>
      </c>
      <c r="E264" s="125">
        <v>652.5</v>
      </c>
      <c r="F264" s="125">
        <v>652.5</v>
      </c>
      <c r="G264" s="120">
        <v>3</v>
      </c>
      <c r="H264" s="122">
        <v>0</v>
      </c>
      <c r="I264" s="122">
        <v>0</v>
      </c>
      <c r="J264" s="122">
        <v>0</v>
      </c>
      <c r="K264" s="120">
        <v>0</v>
      </c>
      <c r="L264" s="72">
        <f t="shared" si="45"/>
        <v>3</v>
      </c>
      <c r="M264" s="147">
        <v>3</v>
      </c>
      <c r="N264" s="73">
        <v>0</v>
      </c>
      <c r="O264" s="72">
        <v>0</v>
      </c>
      <c r="P264" s="73">
        <f t="shared" si="46"/>
        <v>3</v>
      </c>
      <c r="Q264" s="72">
        <f t="shared" si="50"/>
        <v>0</v>
      </c>
      <c r="R264" s="72"/>
      <c r="S264" s="56"/>
      <c r="T264" s="74">
        <f t="shared" si="51"/>
        <v>1957.5</v>
      </c>
      <c r="U264" s="74">
        <v>0</v>
      </c>
      <c r="V264" s="74">
        <f t="shared" si="52"/>
        <v>0</v>
      </c>
      <c r="W264" s="74">
        <f t="shared" si="53"/>
        <v>0</v>
      </c>
      <c r="X264" s="74">
        <f t="shared" si="54"/>
        <v>0</v>
      </c>
      <c r="Y264" s="74">
        <f t="shared" si="55"/>
        <v>0</v>
      </c>
      <c r="Z264" s="74">
        <f t="shared" si="56"/>
        <v>1957.5</v>
      </c>
      <c r="AA264" s="75">
        <f t="shared" si="49"/>
        <v>1957.5</v>
      </c>
      <c r="AB264" s="75">
        <f t="shared" si="47"/>
        <v>0</v>
      </c>
    </row>
    <row r="265" spans="1:28" ht="24">
      <c r="A265" s="123" t="s">
        <v>534</v>
      </c>
      <c r="B265" s="69"/>
      <c r="C265" s="69"/>
      <c r="D265" s="124" t="s">
        <v>535</v>
      </c>
      <c r="E265" s="125">
        <v>652.5</v>
      </c>
      <c r="F265" s="125">
        <v>652.5</v>
      </c>
      <c r="G265" s="120">
        <v>3</v>
      </c>
      <c r="H265" s="122">
        <v>0</v>
      </c>
      <c r="I265" s="122">
        <v>0</v>
      </c>
      <c r="J265" s="122">
        <v>0</v>
      </c>
      <c r="K265" s="120">
        <v>0</v>
      </c>
      <c r="L265" s="72">
        <f t="shared" si="45"/>
        <v>3</v>
      </c>
      <c r="M265" s="147">
        <v>3</v>
      </c>
      <c r="N265" s="73">
        <v>0</v>
      </c>
      <c r="O265" s="72">
        <v>0</v>
      </c>
      <c r="P265" s="73">
        <f t="shared" si="46"/>
        <v>3</v>
      </c>
      <c r="Q265" s="72">
        <f t="shared" si="50"/>
        <v>0</v>
      </c>
      <c r="R265" s="72"/>
      <c r="S265" s="56"/>
      <c r="T265" s="74">
        <f t="shared" si="51"/>
        <v>1957.5</v>
      </c>
      <c r="U265" s="74">
        <v>0</v>
      </c>
      <c r="V265" s="74">
        <f t="shared" si="52"/>
        <v>0</v>
      </c>
      <c r="W265" s="74">
        <f t="shared" si="53"/>
        <v>0</v>
      </c>
      <c r="X265" s="74">
        <f t="shared" si="54"/>
        <v>0</v>
      </c>
      <c r="Y265" s="74">
        <f t="shared" si="55"/>
        <v>0</v>
      </c>
      <c r="Z265" s="74">
        <f t="shared" si="56"/>
        <v>1957.5</v>
      </c>
      <c r="AA265" s="75">
        <f t="shared" si="49"/>
        <v>1957.5</v>
      </c>
      <c r="AB265" s="75">
        <f t="shared" si="47"/>
        <v>0</v>
      </c>
    </row>
    <row r="266" spans="1:28" ht="24">
      <c r="A266" s="123" t="s">
        <v>536</v>
      </c>
      <c r="B266" s="69"/>
      <c r="C266" s="69"/>
      <c r="D266" s="124" t="s">
        <v>537</v>
      </c>
      <c r="E266" s="125">
        <v>652.5</v>
      </c>
      <c r="F266" s="125">
        <v>652.5</v>
      </c>
      <c r="G266" s="120">
        <v>3</v>
      </c>
      <c r="H266" s="122">
        <v>0</v>
      </c>
      <c r="I266" s="122">
        <v>0</v>
      </c>
      <c r="J266" s="122">
        <v>0</v>
      </c>
      <c r="K266" s="120">
        <v>0</v>
      </c>
      <c r="L266" s="72">
        <f t="shared" ref="L266:L307" si="57">G266+H266+I266-J266-K266</f>
        <v>3</v>
      </c>
      <c r="M266" s="147">
        <v>3</v>
      </c>
      <c r="N266" s="73">
        <v>0</v>
      </c>
      <c r="O266" s="72">
        <v>0</v>
      </c>
      <c r="P266" s="73">
        <f t="shared" ref="P266:P307" si="58">M266+N266+O266</f>
        <v>3</v>
      </c>
      <c r="Q266" s="72">
        <f t="shared" si="50"/>
        <v>0</v>
      </c>
      <c r="R266" s="72"/>
      <c r="S266" s="56"/>
      <c r="T266" s="74">
        <f t="shared" si="51"/>
        <v>1957.5</v>
      </c>
      <c r="U266" s="74">
        <v>0</v>
      </c>
      <c r="V266" s="74">
        <f t="shared" si="52"/>
        <v>0</v>
      </c>
      <c r="W266" s="74">
        <f t="shared" si="53"/>
        <v>0</v>
      </c>
      <c r="X266" s="74">
        <f t="shared" si="54"/>
        <v>0</v>
      </c>
      <c r="Y266" s="74">
        <f t="shared" si="55"/>
        <v>0</v>
      </c>
      <c r="Z266" s="74">
        <f t="shared" si="56"/>
        <v>1957.5</v>
      </c>
      <c r="AA266" s="75">
        <f t="shared" si="49"/>
        <v>1957.5</v>
      </c>
      <c r="AB266" s="75">
        <f t="shared" ref="AB266:AB307" si="59">AA266-Z266</f>
        <v>0</v>
      </c>
    </row>
    <row r="267" spans="1:28" ht="24">
      <c r="A267" s="123" t="s">
        <v>538</v>
      </c>
      <c r="B267" s="69"/>
      <c r="C267" s="69"/>
      <c r="D267" s="124" t="s">
        <v>539</v>
      </c>
      <c r="E267" s="125">
        <v>652</v>
      </c>
      <c r="F267" s="125">
        <v>652</v>
      </c>
      <c r="G267" s="120">
        <v>3</v>
      </c>
      <c r="H267" s="122">
        <v>0</v>
      </c>
      <c r="I267" s="122">
        <v>0</v>
      </c>
      <c r="J267" s="122">
        <v>0</v>
      </c>
      <c r="K267" s="120">
        <v>0</v>
      </c>
      <c r="L267" s="72">
        <f t="shared" si="57"/>
        <v>3</v>
      </c>
      <c r="M267" s="147">
        <v>3</v>
      </c>
      <c r="N267" s="73">
        <v>0</v>
      </c>
      <c r="O267" s="72">
        <v>0</v>
      </c>
      <c r="P267" s="73">
        <f t="shared" si="58"/>
        <v>3</v>
      </c>
      <c r="Q267" s="72">
        <f t="shared" si="50"/>
        <v>0</v>
      </c>
      <c r="R267" s="72"/>
      <c r="S267" s="56"/>
      <c r="T267" s="74">
        <f t="shared" si="51"/>
        <v>1956</v>
      </c>
      <c r="U267" s="74">
        <v>0</v>
      </c>
      <c r="V267" s="74">
        <f t="shared" si="52"/>
        <v>0</v>
      </c>
      <c r="W267" s="74">
        <f t="shared" si="53"/>
        <v>0</v>
      </c>
      <c r="X267" s="74">
        <f t="shared" si="54"/>
        <v>0</v>
      </c>
      <c r="Y267" s="74">
        <f t="shared" si="55"/>
        <v>0</v>
      </c>
      <c r="Z267" s="74">
        <f t="shared" si="56"/>
        <v>1956</v>
      </c>
      <c r="AA267" s="75">
        <f t="shared" si="49"/>
        <v>1956</v>
      </c>
      <c r="AB267" s="75">
        <f t="shared" si="59"/>
        <v>0</v>
      </c>
    </row>
    <row r="268" spans="1:28" ht="36">
      <c r="A268" s="123" t="s">
        <v>540</v>
      </c>
      <c r="B268" s="69"/>
      <c r="C268" s="69"/>
      <c r="D268" s="124" t="s">
        <v>541</v>
      </c>
      <c r="E268" s="125">
        <v>1320.89</v>
      </c>
      <c r="F268" s="125">
        <v>1320.89</v>
      </c>
      <c r="G268" s="120">
        <v>0</v>
      </c>
      <c r="H268" s="122">
        <v>0</v>
      </c>
      <c r="I268" s="122">
        <v>0</v>
      </c>
      <c r="J268" s="122">
        <v>0</v>
      </c>
      <c r="K268" s="120">
        <v>0</v>
      </c>
      <c r="L268" s="72">
        <f t="shared" si="57"/>
        <v>0</v>
      </c>
      <c r="M268" s="147">
        <v>0</v>
      </c>
      <c r="N268" s="73">
        <v>0</v>
      </c>
      <c r="O268" s="72">
        <v>0</v>
      </c>
      <c r="P268" s="73">
        <f t="shared" si="58"/>
        <v>0</v>
      </c>
      <c r="Q268" s="72">
        <f t="shared" si="50"/>
        <v>0</v>
      </c>
      <c r="R268" s="72"/>
      <c r="S268" s="56"/>
      <c r="T268" s="74">
        <f t="shared" si="51"/>
        <v>0</v>
      </c>
      <c r="U268" s="74">
        <v>0</v>
      </c>
      <c r="V268" s="74">
        <f t="shared" si="52"/>
        <v>0</v>
      </c>
      <c r="W268" s="74">
        <f t="shared" si="53"/>
        <v>0</v>
      </c>
      <c r="X268" s="74">
        <f t="shared" si="54"/>
        <v>0</v>
      </c>
      <c r="Y268" s="74">
        <f t="shared" si="55"/>
        <v>0</v>
      </c>
      <c r="Z268" s="74">
        <f t="shared" si="56"/>
        <v>0</v>
      </c>
      <c r="AA268" s="75">
        <f t="shared" si="49"/>
        <v>0</v>
      </c>
      <c r="AB268" s="75">
        <f t="shared" si="59"/>
        <v>0</v>
      </c>
    </row>
    <row r="269" spans="1:28" ht="36">
      <c r="A269" s="123" t="s">
        <v>542</v>
      </c>
      <c r="B269" s="69"/>
      <c r="C269" s="69"/>
      <c r="D269" s="124" t="s">
        <v>543</v>
      </c>
      <c r="E269" s="125">
        <v>2086.2600000000002</v>
      </c>
      <c r="F269" s="125">
        <v>2086.2600000000002</v>
      </c>
      <c r="G269" s="120">
        <v>3</v>
      </c>
      <c r="H269" s="122">
        <v>0</v>
      </c>
      <c r="I269" s="122">
        <v>0</v>
      </c>
      <c r="J269" s="122">
        <v>0</v>
      </c>
      <c r="K269" s="120">
        <v>0</v>
      </c>
      <c r="L269" s="72">
        <f t="shared" si="57"/>
        <v>3</v>
      </c>
      <c r="M269" s="147">
        <v>3</v>
      </c>
      <c r="N269" s="73">
        <v>0</v>
      </c>
      <c r="O269" s="72">
        <v>0</v>
      </c>
      <c r="P269" s="73">
        <f t="shared" si="58"/>
        <v>3</v>
      </c>
      <c r="Q269" s="72">
        <f t="shared" si="50"/>
        <v>0</v>
      </c>
      <c r="R269" s="72"/>
      <c r="S269" s="56"/>
      <c r="T269" s="74">
        <f t="shared" si="51"/>
        <v>6258.7800000000007</v>
      </c>
      <c r="U269" s="74">
        <v>0</v>
      </c>
      <c r="V269" s="74">
        <f t="shared" si="52"/>
        <v>0</v>
      </c>
      <c r="W269" s="74">
        <f t="shared" si="53"/>
        <v>0</v>
      </c>
      <c r="X269" s="74">
        <f t="shared" si="54"/>
        <v>0</v>
      </c>
      <c r="Y269" s="74">
        <f t="shared" si="55"/>
        <v>0</v>
      </c>
      <c r="Z269" s="74">
        <f t="shared" si="56"/>
        <v>6258.7800000000007</v>
      </c>
      <c r="AA269" s="75">
        <f t="shared" si="49"/>
        <v>6258.7800000000007</v>
      </c>
      <c r="AB269" s="75">
        <f t="shared" si="59"/>
        <v>0</v>
      </c>
    </row>
    <row r="270" spans="1:28" ht="36">
      <c r="A270" s="123" t="s">
        <v>544</v>
      </c>
      <c r="B270" s="69"/>
      <c r="C270" s="69"/>
      <c r="D270" s="124" t="s">
        <v>545</v>
      </c>
      <c r="E270" s="125">
        <v>1462.18</v>
      </c>
      <c r="F270" s="125">
        <v>1462.18</v>
      </c>
      <c r="G270" s="120">
        <v>0</v>
      </c>
      <c r="H270" s="122">
        <v>0</v>
      </c>
      <c r="I270" s="122">
        <v>0</v>
      </c>
      <c r="J270" s="122">
        <v>0</v>
      </c>
      <c r="K270" s="120">
        <v>0</v>
      </c>
      <c r="L270" s="72">
        <f t="shared" si="57"/>
        <v>0</v>
      </c>
      <c r="M270" s="147">
        <v>0</v>
      </c>
      <c r="N270" s="73">
        <v>0</v>
      </c>
      <c r="O270" s="72">
        <v>0</v>
      </c>
      <c r="P270" s="73">
        <f t="shared" si="58"/>
        <v>0</v>
      </c>
      <c r="Q270" s="72">
        <f t="shared" si="50"/>
        <v>0</v>
      </c>
      <c r="R270" s="72"/>
      <c r="S270" s="56"/>
      <c r="T270" s="74">
        <f t="shared" si="51"/>
        <v>0</v>
      </c>
      <c r="U270" s="74">
        <v>0</v>
      </c>
      <c r="V270" s="74">
        <f t="shared" si="52"/>
        <v>0</v>
      </c>
      <c r="W270" s="74">
        <f t="shared" si="53"/>
        <v>0</v>
      </c>
      <c r="X270" s="74">
        <f t="shared" si="54"/>
        <v>0</v>
      </c>
      <c r="Y270" s="74">
        <f t="shared" si="55"/>
        <v>0</v>
      </c>
      <c r="Z270" s="74">
        <f t="shared" si="56"/>
        <v>0</v>
      </c>
      <c r="AA270" s="75">
        <f t="shared" si="49"/>
        <v>0</v>
      </c>
      <c r="AB270" s="75">
        <f t="shared" si="59"/>
        <v>0</v>
      </c>
    </row>
    <row r="271" spans="1:28" ht="36">
      <c r="A271" s="123" t="s">
        <v>546</v>
      </c>
      <c r="B271" s="69"/>
      <c r="C271" s="69"/>
      <c r="D271" s="124" t="s">
        <v>547</v>
      </c>
      <c r="E271" s="125">
        <v>1981.28</v>
      </c>
      <c r="F271" s="125">
        <v>1981.28</v>
      </c>
      <c r="G271" s="120">
        <v>0</v>
      </c>
      <c r="H271" s="122">
        <v>0</v>
      </c>
      <c r="I271" s="122">
        <v>0</v>
      </c>
      <c r="J271" s="122">
        <v>0</v>
      </c>
      <c r="K271" s="120">
        <v>0</v>
      </c>
      <c r="L271" s="72">
        <f t="shared" si="57"/>
        <v>0</v>
      </c>
      <c r="M271" s="147">
        <v>0</v>
      </c>
      <c r="N271" s="73">
        <v>0</v>
      </c>
      <c r="O271" s="72">
        <v>0</v>
      </c>
      <c r="P271" s="73">
        <f t="shared" si="58"/>
        <v>0</v>
      </c>
      <c r="Q271" s="72">
        <f t="shared" si="50"/>
        <v>0</v>
      </c>
      <c r="R271" s="72"/>
      <c r="S271" s="56"/>
      <c r="T271" s="74">
        <f t="shared" si="51"/>
        <v>0</v>
      </c>
      <c r="U271" s="74">
        <v>0</v>
      </c>
      <c r="V271" s="74">
        <f t="shared" si="52"/>
        <v>0</v>
      </c>
      <c r="W271" s="74">
        <f t="shared" si="53"/>
        <v>0</v>
      </c>
      <c r="X271" s="74">
        <f t="shared" si="54"/>
        <v>0</v>
      </c>
      <c r="Y271" s="74">
        <f t="shared" si="55"/>
        <v>0</v>
      </c>
      <c r="Z271" s="74">
        <f t="shared" si="56"/>
        <v>0</v>
      </c>
      <c r="AA271" s="75">
        <f t="shared" si="49"/>
        <v>0</v>
      </c>
      <c r="AB271" s="75">
        <f t="shared" si="59"/>
        <v>0</v>
      </c>
    </row>
    <row r="272" spans="1:28" ht="24">
      <c r="A272" s="123" t="s">
        <v>548</v>
      </c>
      <c r="B272" s="140" t="s">
        <v>728</v>
      </c>
      <c r="C272" s="140"/>
      <c r="D272" s="124" t="s">
        <v>549</v>
      </c>
      <c r="E272" s="125">
        <v>630</v>
      </c>
      <c r="F272" s="125">
        <v>630</v>
      </c>
      <c r="G272" s="120">
        <v>3</v>
      </c>
      <c r="H272" s="122">
        <v>0</v>
      </c>
      <c r="I272" s="122">
        <v>0</v>
      </c>
      <c r="J272" s="122">
        <v>0</v>
      </c>
      <c r="K272" s="120">
        <v>0</v>
      </c>
      <c r="L272" s="72">
        <f t="shared" si="57"/>
        <v>3</v>
      </c>
      <c r="M272" s="147">
        <v>3</v>
      </c>
      <c r="N272" s="73">
        <v>0</v>
      </c>
      <c r="O272" s="72">
        <v>0</v>
      </c>
      <c r="P272" s="73">
        <f t="shared" si="58"/>
        <v>3</v>
      </c>
      <c r="Q272" s="72">
        <f t="shared" si="50"/>
        <v>0</v>
      </c>
      <c r="R272" s="72"/>
      <c r="S272" s="56"/>
      <c r="T272" s="74">
        <f t="shared" si="51"/>
        <v>1890</v>
      </c>
      <c r="U272" s="74">
        <v>0</v>
      </c>
      <c r="V272" s="74">
        <f t="shared" si="52"/>
        <v>0</v>
      </c>
      <c r="W272" s="74">
        <f t="shared" si="53"/>
        <v>0</v>
      </c>
      <c r="X272" s="74">
        <f t="shared" si="54"/>
        <v>0</v>
      </c>
      <c r="Y272" s="74">
        <f t="shared" si="55"/>
        <v>0</v>
      </c>
      <c r="Z272" s="74">
        <f t="shared" si="56"/>
        <v>1890</v>
      </c>
      <c r="AA272" s="75">
        <f t="shared" si="49"/>
        <v>1890</v>
      </c>
      <c r="AB272" s="75">
        <f t="shared" si="59"/>
        <v>0</v>
      </c>
    </row>
    <row r="273" spans="1:28">
      <c r="A273" s="123" t="s">
        <v>550</v>
      </c>
      <c r="B273" s="69"/>
      <c r="C273" s="69"/>
      <c r="D273" s="124" t="s">
        <v>551</v>
      </c>
      <c r="E273" s="125">
        <v>60</v>
      </c>
      <c r="F273" s="125">
        <v>60</v>
      </c>
      <c r="G273" s="120">
        <v>191</v>
      </c>
      <c r="H273" s="122">
        <v>0</v>
      </c>
      <c r="I273" s="122">
        <v>0</v>
      </c>
      <c r="J273" s="122">
        <v>4</v>
      </c>
      <c r="K273" s="120">
        <v>0</v>
      </c>
      <c r="L273" s="72">
        <f t="shared" si="57"/>
        <v>187</v>
      </c>
      <c r="M273" s="147">
        <v>87</v>
      </c>
      <c r="N273" s="73">
        <v>100</v>
      </c>
      <c r="O273" s="72">
        <v>0</v>
      </c>
      <c r="P273" s="73">
        <f t="shared" si="58"/>
        <v>187</v>
      </c>
      <c r="Q273" s="72">
        <f t="shared" si="50"/>
        <v>0</v>
      </c>
      <c r="R273" s="72"/>
      <c r="S273" s="56"/>
      <c r="T273" s="74">
        <f t="shared" si="51"/>
        <v>11460</v>
      </c>
      <c r="U273" s="74">
        <v>0</v>
      </c>
      <c r="V273" s="74">
        <f t="shared" si="52"/>
        <v>0</v>
      </c>
      <c r="W273" s="74">
        <f t="shared" si="53"/>
        <v>0</v>
      </c>
      <c r="X273" s="74">
        <f t="shared" si="54"/>
        <v>240</v>
      </c>
      <c r="Y273" s="74">
        <f t="shared" si="55"/>
        <v>0</v>
      </c>
      <c r="Z273" s="74">
        <f t="shared" si="56"/>
        <v>11220</v>
      </c>
      <c r="AA273" s="75">
        <f t="shared" si="49"/>
        <v>11220</v>
      </c>
      <c r="AB273" s="75">
        <f t="shared" si="59"/>
        <v>0</v>
      </c>
    </row>
    <row r="274" spans="1:28">
      <c r="A274" s="123" t="s">
        <v>552</v>
      </c>
      <c r="B274" s="69"/>
      <c r="C274" s="69"/>
      <c r="D274" s="124" t="s">
        <v>553</v>
      </c>
      <c r="E274" s="125">
        <v>120</v>
      </c>
      <c r="F274" s="125">
        <v>120</v>
      </c>
      <c r="G274" s="120">
        <v>1</v>
      </c>
      <c r="H274" s="122">
        <v>0</v>
      </c>
      <c r="I274" s="122">
        <v>0</v>
      </c>
      <c r="J274" s="122">
        <v>0</v>
      </c>
      <c r="K274" s="120">
        <v>0</v>
      </c>
      <c r="L274" s="72">
        <f t="shared" si="57"/>
        <v>1</v>
      </c>
      <c r="M274" s="147">
        <v>1</v>
      </c>
      <c r="N274" s="73">
        <v>0</v>
      </c>
      <c r="O274" s="72">
        <v>0</v>
      </c>
      <c r="P274" s="73">
        <f t="shared" si="58"/>
        <v>1</v>
      </c>
      <c r="Q274" s="72">
        <f t="shared" si="50"/>
        <v>0</v>
      </c>
      <c r="R274" s="72"/>
      <c r="S274" s="56"/>
      <c r="T274" s="74">
        <f t="shared" si="51"/>
        <v>120</v>
      </c>
      <c r="U274" s="74">
        <v>0</v>
      </c>
      <c r="V274" s="74">
        <f t="shared" si="52"/>
        <v>0</v>
      </c>
      <c r="W274" s="74">
        <f t="shared" si="53"/>
        <v>0</v>
      </c>
      <c r="X274" s="74">
        <f t="shared" si="54"/>
        <v>0</v>
      </c>
      <c r="Y274" s="74">
        <f t="shared" si="55"/>
        <v>0</v>
      </c>
      <c r="Z274" s="74">
        <f t="shared" si="56"/>
        <v>120</v>
      </c>
      <c r="AA274" s="75">
        <f t="shared" si="49"/>
        <v>120</v>
      </c>
      <c r="AB274" s="75">
        <f t="shared" si="59"/>
        <v>0</v>
      </c>
    </row>
    <row r="275" spans="1:28">
      <c r="A275" s="123" t="s">
        <v>554</v>
      </c>
      <c r="B275" s="69"/>
      <c r="C275" s="69"/>
      <c r="D275" s="124" t="s">
        <v>555</v>
      </c>
      <c r="E275" s="125">
        <v>0</v>
      </c>
      <c r="F275" s="125">
        <v>0</v>
      </c>
      <c r="G275" s="120">
        <v>0</v>
      </c>
      <c r="H275" s="122">
        <v>0</v>
      </c>
      <c r="I275" s="122">
        <v>0</v>
      </c>
      <c r="J275" s="122">
        <v>0</v>
      </c>
      <c r="K275" s="120">
        <v>0</v>
      </c>
      <c r="L275" s="72">
        <f t="shared" si="57"/>
        <v>0</v>
      </c>
      <c r="M275" s="147">
        <v>0</v>
      </c>
      <c r="N275" s="73">
        <v>0</v>
      </c>
      <c r="O275" s="72">
        <v>0</v>
      </c>
      <c r="P275" s="73">
        <f t="shared" si="58"/>
        <v>0</v>
      </c>
      <c r="Q275" s="72">
        <f t="shared" si="50"/>
        <v>0</v>
      </c>
      <c r="R275" s="72"/>
      <c r="S275" s="56"/>
      <c r="T275" s="74">
        <f t="shared" si="51"/>
        <v>0</v>
      </c>
      <c r="U275" s="74">
        <v>0</v>
      </c>
      <c r="V275" s="74">
        <f t="shared" si="52"/>
        <v>0</v>
      </c>
      <c r="W275" s="74">
        <f t="shared" si="53"/>
        <v>0</v>
      </c>
      <c r="X275" s="74">
        <f t="shared" si="54"/>
        <v>0</v>
      </c>
      <c r="Y275" s="74">
        <f t="shared" si="55"/>
        <v>0</v>
      </c>
      <c r="Z275" s="74">
        <f t="shared" si="56"/>
        <v>0</v>
      </c>
      <c r="AA275" s="75">
        <f t="shared" si="49"/>
        <v>0</v>
      </c>
      <c r="AB275" s="75">
        <f t="shared" si="59"/>
        <v>0</v>
      </c>
    </row>
    <row r="276" spans="1:28">
      <c r="A276" s="123" t="s">
        <v>556</v>
      </c>
      <c r="B276" s="69"/>
      <c r="C276" s="69"/>
      <c r="D276" s="124" t="s">
        <v>557</v>
      </c>
      <c r="E276" s="125">
        <v>48.28</v>
      </c>
      <c r="F276" s="125">
        <v>48.28</v>
      </c>
      <c r="G276" s="120">
        <v>0</v>
      </c>
      <c r="H276" s="122">
        <v>0</v>
      </c>
      <c r="I276" s="122">
        <v>0</v>
      </c>
      <c r="J276" s="122">
        <v>0</v>
      </c>
      <c r="K276" s="120">
        <v>0</v>
      </c>
      <c r="L276" s="72">
        <f t="shared" si="57"/>
        <v>0</v>
      </c>
      <c r="M276" s="147">
        <v>0</v>
      </c>
      <c r="N276" s="73">
        <v>0</v>
      </c>
      <c r="O276" s="72">
        <v>0</v>
      </c>
      <c r="P276" s="73">
        <f t="shared" si="58"/>
        <v>0</v>
      </c>
      <c r="Q276" s="72">
        <f t="shared" si="50"/>
        <v>0</v>
      </c>
      <c r="R276" s="72"/>
      <c r="S276" s="56"/>
      <c r="T276" s="74">
        <f t="shared" si="51"/>
        <v>0</v>
      </c>
      <c r="U276" s="74">
        <v>0</v>
      </c>
      <c r="V276" s="74">
        <f t="shared" si="52"/>
        <v>0</v>
      </c>
      <c r="W276" s="74">
        <f t="shared" si="53"/>
        <v>0</v>
      </c>
      <c r="X276" s="74">
        <f t="shared" si="54"/>
        <v>0</v>
      </c>
      <c r="Y276" s="74">
        <f t="shared" si="55"/>
        <v>0</v>
      </c>
      <c r="Z276" s="74">
        <f t="shared" si="56"/>
        <v>0</v>
      </c>
      <c r="AA276" s="75">
        <f t="shared" si="49"/>
        <v>0</v>
      </c>
      <c r="AB276" s="75">
        <f t="shared" si="59"/>
        <v>0</v>
      </c>
    </row>
    <row r="277" spans="1:28">
      <c r="A277" s="123" t="s">
        <v>558</v>
      </c>
      <c r="B277" s="69"/>
      <c r="C277" s="69"/>
      <c r="D277" s="124" t="s">
        <v>559</v>
      </c>
      <c r="E277" s="125">
        <v>0</v>
      </c>
      <c r="F277" s="125">
        <v>0</v>
      </c>
      <c r="G277" s="120">
        <v>0</v>
      </c>
      <c r="H277" s="122">
        <v>0</v>
      </c>
      <c r="I277" s="122">
        <v>0</v>
      </c>
      <c r="J277" s="122">
        <v>0</v>
      </c>
      <c r="K277" s="120">
        <v>0</v>
      </c>
      <c r="L277" s="72">
        <f t="shared" si="57"/>
        <v>0</v>
      </c>
      <c r="M277" s="147">
        <v>0</v>
      </c>
      <c r="N277" s="73">
        <v>0</v>
      </c>
      <c r="O277" s="72">
        <v>0</v>
      </c>
      <c r="P277" s="73">
        <f t="shared" si="58"/>
        <v>0</v>
      </c>
      <c r="Q277" s="72">
        <f t="shared" si="50"/>
        <v>0</v>
      </c>
      <c r="R277" s="72"/>
      <c r="S277" s="56"/>
      <c r="T277" s="74">
        <f t="shared" si="51"/>
        <v>0</v>
      </c>
      <c r="U277" s="74">
        <v>0</v>
      </c>
      <c r="V277" s="74">
        <f t="shared" si="52"/>
        <v>0</v>
      </c>
      <c r="W277" s="74">
        <f t="shared" si="53"/>
        <v>0</v>
      </c>
      <c r="X277" s="74">
        <f t="shared" si="54"/>
        <v>0</v>
      </c>
      <c r="Y277" s="74">
        <f t="shared" si="55"/>
        <v>0</v>
      </c>
      <c r="Z277" s="74">
        <f t="shared" si="56"/>
        <v>0</v>
      </c>
      <c r="AA277" s="75">
        <f t="shared" si="49"/>
        <v>0</v>
      </c>
      <c r="AB277" s="75">
        <f t="shared" si="59"/>
        <v>0</v>
      </c>
    </row>
    <row r="278" spans="1:28">
      <c r="A278" s="123" t="s">
        <v>560</v>
      </c>
      <c r="B278" s="69"/>
      <c r="C278" s="69"/>
      <c r="D278" s="124" t="s">
        <v>561</v>
      </c>
      <c r="E278" s="125">
        <v>2250</v>
      </c>
      <c r="F278" s="125">
        <v>2250</v>
      </c>
      <c r="G278" s="120">
        <v>1</v>
      </c>
      <c r="H278" s="122">
        <v>0</v>
      </c>
      <c r="I278" s="122">
        <v>0</v>
      </c>
      <c r="J278" s="122">
        <v>1</v>
      </c>
      <c r="K278" s="120">
        <v>0</v>
      </c>
      <c r="L278" s="72">
        <f t="shared" si="57"/>
        <v>0</v>
      </c>
      <c r="M278" s="147">
        <v>0</v>
      </c>
      <c r="N278" s="73">
        <v>0</v>
      </c>
      <c r="O278" s="72">
        <v>0</v>
      </c>
      <c r="P278" s="73">
        <f t="shared" si="58"/>
        <v>0</v>
      </c>
      <c r="Q278" s="72">
        <f t="shared" si="50"/>
        <v>0</v>
      </c>
      <c r="R278" s="72"/>
      <c r="S278" s="56"/>
      <c r="T278" s="74">
        <f t="shared" si="51"/>
        <v>2250</v>
      </c>
      <c r="U278" s="74">
        <v>0</v>
      </c>
      <c r="V278" s="74">
        <f t="shared" si="52"/>
        <v>0</v>
      </c>
      <c r="W278" s="74">
        <f t="shared" si="53"/>
        <v>0</v>
      </c>
      <c r="X278" s="74">
        <f t="shared" si="54"/>
        <v>2250</v>
      </c>
      <c r="Y278" s="74">
        <f t="shared" si="55"/>
        <v>0</v>
      </c>
      <c r="Z278" s="74">
        <f t="shared" si="56"/>
        <v>0</v>
      </c>
      <c r="AA278" s="75">
        <f t="shared" si="49"/>
        <v>0</v>
      </c>
      <c r="AB278" s="75">
        <f t="shared" si="59"/>
        <v>0</v>
      </c>
    </row>
    <row r="279" spans="1:28">
      <c r="A279" s="123" t="s">
        <v>562</v>
      </c>
      <c r="B279" s="69"/>
      <c r="C279" s="69"/>
      <c r="D279" s="124" t="s">
        <v>563</v>
      </c>
      <c r="E279" s="125">
        <v>473</v>
      </c>
      <c r="F279" s="125">
        <v>473</v>
      </c>
      <c r="G279" s="120">
        <v>0</v>
      </c>
      <c r="H279" s="122">
        <v>0</v>
      </c>
      <c r="I279" s="122">
        <v>0</v>
      </c>
      <c r="J279" s="122">
        <v>0</v>
      </c>
      <c r="K279" s="120">
        <v>0</v>
      </c>
      <c r="L279" s="72">
        <f t="shared" si="57"/>
        <v>0</v>
      </c>
      <c r="M279" s="147">
        <v>0</v>
      </c>
      <c r="N279" s="73">
        <v>0</v>
      </c>
      <c r="O279" s="72">
        <v>0</v>
      </c>
      <c r="P279" s="73">
        <f t="shared" si="58"/>
        <v>0</v>
      </c>
      <c r="Q279" s="72">
        <f t="shared" si="50"/>
        <v>0</v>
      </c>
      <c r="R279" s="72"/>
      <c r="S279" s="56"/>
      <c r="T279" s="74">
        <f t="shared" si="51"/>
        <v>0</v>
      </c>
      <c r="U279" s="74">
        <v>0</v>
      </c>
      <c r="V279" s="74">
        <f t="shared" si="52"/>
        <v>0</v>
      </c>
      <c r="W279" s="74">
        <f t="shared" si="53"/>
        <v>0</v>
      </c>
      <c r="X279" s="74">
        <f t="shared" si="54"/>
        <v>0</v>
      </c>
      <c r="Y279" s="74">
        <f t="shared" si="55"/>
        <v>0</v>
      </c>
      <c r="Z279" s="74">
        <f t="shared" si="56"/>
        <v>0</v>
      </c>
      <c r="AA279" s="75">
        <f t="shared" si="49"/>
        <v>0</v>
      </c>
      <c r="AB279" s="75">
        <f t="shared" si="59"/>
        <v>0</v>
      </c>
    </row>
    <row r="280" spans="1:28">
      <c r="A280" s="123" t="s">
        <v>564</v>
      </c>
      <c r="B280" s="69"/>
      <c r="C280" s="69"/>
      <c r="D280" s="124" t="s">
        <v>565</v>
      </c>
      <c r="E280" s="125">
        <v>0</v>
      </c>
      <c r="F280" s="125">
        <v>0</v>
      </c>
      <c r="G280" s="120">
        <v>0</v>
      </c>
      <c r="H280" s="122">
        <v>0</v>
      </c>
      <c r="I280" s="122">
        <v>0</v>
      </c>
      <c r="J280" s="122">
        <v>0</v>
      </c>
      <c r="K280" s="120">
        <v>0</v>
      </c>
      <c r="L280" s="72">
        <f t="shared" si="57"/>
        <v>0</v>
      </c>
      <c r="M280" s="147">
        <v>0</v>
      </c>
      <c r="N280" s="73">
        <v>0</v>
      </c>
      <c r="O280" s="72">
        <v>0</v>
      </c>
      <c r="P280" s="73">
        <f t="shared" si="58"/>
        <v>0</v>
      </c>
      <c r="Q280" s="72">
        <f t="shared" si="50"/>
        <v>0</v>
      </c>
      <c r="R280" s="72"/>
      <c r="S280" s="56"/>
      <c r="T280" s="74">
        <f t="shared" si="51"/>
        <v>0</v>
      </c>
      <c r="U280" s="74">
        <v>0</v>
      </c>
      <c r="V280" s="74">
        <f t="shared" si="52"/>
        <v>0</v>
      </c>
      <c r="W280" s="74">
        <f t="shared" si="53"/>
        <v>0</v>
      </c>
      <c r="X280" s="74">
        <f t="shared" si="54"/>
        <v>0</v>
      </c>
      <c r="Y280" s="74">
        <f t="shared" si="55"/>
        <v>0</v>
      </c>
      <c r="Z280" s="74">
        <f t="shared" si="56"/>
        <v>0</v>
      </c>
      <c r="AA280" s="75">
        <f t="shared" si="49"/>
        <v>0</v>
      </c>
      <c r="AB280" s="75">
        <f t="shared" si="59"/>
        <v>0</v>
      </c>
    </row>
    <row r="281" spans="1:28">
      <c r="A281" s="123" t="s">
        <v>566</v>
      </c>
      <c r="B281" s="69"/>
      <c r="C281" s="69"/>
      <c r="D281" s="124" t="s">
        <v>567</v>
      </c>
      <c r="E281" s="125">
        <v>1850</v>
      </c>
      <c r="F281" s="125">
        <v>1850</v>
      </c>
      <c r="G281" s="120">
        <v>0</v>
      </c>
      <c r="H281" s="122">
        <v>0</v>
      </c>
      <c r="I281" s="122">
        <v>0</v>
      </c>
      <c r="J281" s="122">
        <v>0</v>
      </c>
      <c r="K281" s="120">
        <v>0</v>
      </c>
      <c r="L281" s="72">
        <f t="shared" si="57"/>
        <v>0</v>
      </c>
      <c r="M281" s="147">
        <v>0</v>
      </c>
      <c r="N281" s="73">
        <v>0</v>
      </c>
      <c r="O281" s="72">
        <v>0</v>
      </c>
      <c r="P281" s="73">
        <f t="shared" si="58"/>
        <v>0</v>
      </c>
      <c r="Q281" s="72">
        <f t="shared" si="50"/>
        <v>0</v>
      </c>
      <c r="R281" s="72"/>
      <c r="S281" s="56"/>
      <c r="T281" s="74">
        <f t="shared" si="51"/>
        <v>0</v>
      </c>
      <c r="U281" s="74">
        <v>0</v>
      </c>
      <c r="V281" s="74">
        <f t="shared" si="52"/>
        <v>0</v>
      </c>
      <c r="W281" s="74">
        <f t="shared" si="53"/>
        <v>0</v>
      </c>
      <c r="X281" s="74">
        <f t="shared" si="54"/>
        <v>0</v>
      </c>
      <c r="Y281" s="74">
        <f t="shared" si="55"/>
        <v>0</v>
      </c>
      <c r="Z281" s="74">
        <f t="shared" si="56"/>
        <v>0</v>
      </c>
      <c r="AA281" s="75">
        <f t="shared" si="49"/>
        <v>0</v>
      </c>
      <c r="AB281" s="75">
        <f t="shared" si="59"/>
        <v>0</v>
      </c>
    </row>
    <row r="282" spans="1:28">
      <c r="A282" s="123" t="s">
        <v>568</v>
      </c>
      <c r="B282" s="69"/>
      <c r="C282" s="69"/>
      <c r="D282" s="124" t="s">
        <v>569</v>
      </c>
      <c r="E282" s="125">
        <v>108.9</v>
      </c>
      <c r="F282" s="125">
        <v>108.9</v>
      </c>
      <c r="G282" s="120">
        <v>0</v>
      </c>
      <c r="H282" s="122">
        <v>0</v>
      </c>
      <c r="I282" s="122">
        <v>0</v>
      </c>
      <c r="J282" s="122">
        <v>0</v>
      </c>
      <c r="K282" s="120">
        <v>0</v>
      </c>
      <c r="L282" s="72">
        <f t="shared" si="57"/>
        <v>0</v>
      </c>
      <c r="M282" s="147">
        <v>0</v>
      </c>
      <c r="N282" s="73">
        <v>0</v>
      </c>
      <c r="O282" s="72">
        <v>0</v>
      </c>
      <c r="P282" s="73">
        <f t="shared" si="58"/>
        <v>0</v>
      </c>
      <c r="Q282" s="72">
        <f t="shared" si="50"/>
        <v>0</v>
      </c>
      <c r="R282" s="72"/>
      <c r="S282" s="56"/>
      <c r="T282" s="74">
        <f t="shared" si="51"/>
        <v>0</v>
      </c>
      <c r="U282" s="74">
        <v>0</v>
      </c>
      <c r="V282" s="74">
        <f t="shared" si="52"/>
        <v>0</v>
      </c>
      <c r="W282" s="74">
        <f t="shared" si="53"/>
        <v>0</v>
      </c>
      <c r="X282" s="74">
        <f t="shared" si="54"/>
        <v>0</v>
      </c>
      <c r="Y282" s="74">
        <f t="shared" si="55"/>
        <v>0</v>
      </c>
      <c r="Z282" s="74">
        <f t="shared" si="56"/>
        <v>0</v>
      </c>
      <c r="AA282" s="75">
        <f t="shared" si="49"/>
        <v>0</v>
      </c>
      <c r="AB282" s="75">
        <f t="shared" si="59"/>
        <v>0</v>
      </c>
    </row>
    <row r="283" spans="1:28">
      <c r="A283" s="123" t="s">
        <v>570</v>
      </c>
      <c r="B283" s="69"/>
      <c r="C283" s="69"/>
      <c r="D283" s="124" t="s">
        <v>571</v>
      </c>
      <c r="E283" s="125">
        <v>0</v>
      </c>
      <c r="F283" s="125">
        <v>0</v>
      </c>
      <c r="G283" s="120">
        <v>0</v>
      </c>
      <c r="H283" s="122">
        <v>0</v>
      </c>
      <c r="I283" s="122">
        <v>0</v>
      </c>
      <c r="J283" s="122">
        <v>0</v>
      </c>
      <c r="K283" s="120">
        <v>0</v>
      </c>
      <c r="L283" s="72">
        <f t="shared" si="57"/>
        <v>0</v>
      </c>
      <c r="M283" s="147">
        <v>0</v>
      </c>
      <c r="N283" s="73">
        <v>0</v>
      </c>
      <c r="O283" s="72">
        <v>0</v>
      </c>
      <c r="P283" s="73">
        <f t="shared" si="58"/>
        <v>0</v>
      </c>
      <c r="Q283" s="72">
        <f t="shared" si="50"/>
        <v>0</v>
      </c>
      <c r="R283" s="72"/>
      <c r="S283" s="56"/>
      <c r="T283" s="74">
        <f t="shared" si="51"/>
        <v>0</v>
      </c>
      <c r="U283" s="74">
        <v>0</v>
      </c>
      <c r="V283" s="74">
        <f t="shared" si="52"/>
        <v>0</v>
      </c>
      <c r="W283" s="74">
        <f t="shared" si="53"/>
        <v>0</v>
      </c>
      <c r="X283" s="74">
        <f t="shared" si="54"/>
        <v>0</v>
      </c>
      <c r="Y283" s="74">
        <f t="shared" si="55"/>
        <v>0</v>
      </c>
      <c r="Z283" s="74">
        <f t="shared" si="56"/>
        <v>0</v>
      </c>
      <c r="AA283" s="75">
        <f t="shared" si="49"/>
        <v>0</v>
      </c>
      <c r="AB283" s="75">
        <f t="shared" si="59"/>
        <v>0</v>
      </c>
    </row>
    <row r="284" spans="1:28">
      <c r="A284" s="123" t="s">
        <v>572</v>
      </c>
      <c r="B284" s="69"/>
      <c r="C284" s="69"/>
      <c r="D284" s="124" t="s">
        <v>573</v>
      </c>
      <c r="E284" s="125">
        <v>12.18</v>
      </c>
      <c r="F284" s="125">
        <v>12.18</v>
      </c>
      <c r="G284" s="120">
        <v>50</v>
      </c>
      <c r="H284" s="122">
        <v>0</v>
      </c>
      <c r="I284" s="122">
        <v>0</v>
      </c>
      <c r="J284" s="122">
        <v>0</v>
      </c>
      <c r="K284" s="120">
        <v>0</v>
      </c>
      <c r="L284" s="72">
        <f t="shared" si="57"/>
        <v>50</v>
      </c>
      <c r="M284" s="147">
        <v>50</v>
      </c>
      <c r="N284" s="73">
        <v>0</v>
      </c>
      <c r="O284" s="72">
        <v>0</v>
      </c>
      <c r="P284" s="73">
        <f t="shared" si="58"/>
        <v>50</v>
      </c>
      <c r="Q284" s="72">
        <f t="shared" si="50"/>
        <v>0</v>
      </c>
      <c r="R284" s="72"/>
      <c r="S284" s="56"/>
      <c r="T284" s="74">
        <f t="shared" si="51"/>
        <v>609</v>
      </c>
      <c r="U284" s="74">
        <v>0</v>
      </c>
      <c r="V284" s="74">
        <f t="shared" si="52"/>
        <v>0</v>
      </c>
      <c r="W284" s="74">
        <f t="shared" si="53"/>
        <v>0</v>
      </c>
      <c r="X284" s="74">
        <f t="shared" si="54"/>
        <v>0</v>
      </c>
      <c r="Y284" s="74">
        <f t="shared" si="55"/>
        <v>0</v>
      </c>
      <c r="Z284" s="74">
        <f t="shared" si="56"/>
        <v>609</v>
      </c>
      <c r="AA284" s="75">
        <f t="shared" si="49"/>
        <v>609</v>
      </c>
      <c r="AB284" s="75">
        <f t="shared" si="59"/>
        <v>0</v>
      </c>
    </row>
    <row r="285" spans="1:28">
      <c r="A285" s="123" t="s">
        <v>574</v>
      </c>
      <c r="B285" s="69"/>
      <c r="C285" s="69"/>
      <c r="D285" s="124" t="s">
        <v>575</v>
      </c>
      <c r="E285" s="125">
        <v>12.18</v>
      </c>
      <c r="F285" s="125">
        <v>12.18</v>
      </c>
      <c r="G285" s="120">
        <v>50</v>
      </c>
      <c r="H285" s="122">
        <v>0</v>
      </c>
      <c r="I285" s="122">
        <v>0</v>
      </c>
      <c r="J285" s="122">
        <v>0</v>
      </c>
      <c r="K285" s="120">
        <v>0</v>
      </c>
      <c r="L285" s="72">
        <f t="shared" si="57"/>
        <v>50</v>
      </c>
      <c r="M285" s="147">
        <v>50</v>
      </c>
      <c r="N285" s="73">
        <v>0</v>
      </c>
      <c r="O285" s="72">
        <v>0</v>
      </c>
      <c r="P285" s="73">
        <f t="shared" si="58"/>
        <v>50</v>
      </c>
      <c r="Q285" s="72">
        <f t="shared" si="50"/>
        <v>0</v>
      </c>
      <c r="R285" s="72"/>
      <c r="S285" s="56"/>
      <c r="T285" s="74">
        <f t="shared" si="51"/>
        <v>609</v>
      </c>
      <c r="U285" s="74">
        <v>0</v>
      </c>
      <c r="V285" s="74">
        <f t="shared" si="52"/>
        <v>0</v>
      </c>
      <c r="W285" s="74">
        <f t="shared" si="53"/>
        <v>0</v>
      </c>
      <c r="X285" s="74">
        <f t="shared" si="54"/>
        <v>0</v>
      </c>
      <c r="Y285" s="74">
        <f t="shared" si="55"/>
        <v>0</v>
      </c>
      <c r="Z285" s="74">
        <f t="shared" si="56"/>
        <v>609</v>
      </c>
      <c r="AA285" s="75">
        <f t="shared" si="49"/>
        <v>609</v>
      </c>
      <c r="AB285" s="75">
        <f t="shared" si="59"/>
        <v>0</v>
      </c>
    </row>
    <row r="286" spans="1:28">
      <c r="A286" s="123" t="s">
        <v>576</v>
      </c>
      <c r="B286" s="140" t="s">
        <v>729</v>
      </c>
      <c r="C286" s="140"/>
      <c r="D286" s="124" t="s">
        <v>820</v>
      </c>
      <c r="E286" s="125">
        <v>820</v>
      </c>
      <c r="F286" s="125">
        <v>820</v>
      </c>
      <c r="G286" s="120">
        <v>2</v>
      </c>
      <c r="H286" s="122">
        <v>0</v>
      </c>
      <c r="I286" s="122">
        <v>0</v>
      </c>
      <c r="J286" s="122">
        <v>0</v>
      </c>
      <c r="K286" s="120">
        <v>0</v>
      </c>
      <c r="L286" s="72">
        <f t="shared" si="57"/>
        <v>2</v>
      </c>
      <c r="M286" s="147">
        <v>2</v>
      </c>
      <c r="N286" s="73">
        <v>0</v>
      </c>
      <c r="O286" s="72">
        <v>0</v>
      </c>
      <c r="P286" s="73">
        <f t="shared" si="58"/>
        <v>2</v>
      </c>
      <c r="Q286" s="72">
        <f t="shared" si="50"/>
        <v>0</v>
      </c>
      <c r="R286" s="72"/>
      <c r="S286" s="56"/>
      <c r="T286" s="74">
        <f t="shared" si="51"/>
        <v>1640</v>
      </c>
      <c r="U286" s="74">
        <v>0</v>
      </c>
      <c r="V286" s="74">
        <f t="shared" si="52"/>
        <v>0</v>
      </c>
      <c r="W286" s="74">
        <f t="shared" si="53"/>
        <v>0</v>
      </c>
      <c r="X286" s="74">
        <f t="shared" si="54"/>
        <v>0</v>
      </c>
      <c r="Y286" s="74">
        <f t="shared" si="55"/>
        <v>0</v>
      </c>
      <c r="Z286" s="74">
        <f t="shared" si="56"/>
        <v>1640</v>
      </c>
      <c r="AA286" s="75">
        <f t="shared" si="49"/>
        <v>1640</v>
      </c>
      <c r="AB286" s="75">
        <f t="shared" si="59"/>
        <v>0</v>
      </c>
    </row>
    <row r="287" spans="1:28">
      <c r="A287" s="123" t="s">
        <v>578</v>
      </c>
      <c r="B287" s="69"/>
      <c r="C287" s="69"/>
      <c r="D287" s="124" t="s">
        <v>579</v>
      </c>
      <c r="E287" s="125">
        <v>0</v>
      </c>
      <c r="F287" s="125">
        <v>0</v>
      </c>
      <c r="G287" s="120">
        <v>0</v>
      </c>
      <c r="H287" s="122">
        <v>0</v>
      </c>
      <c r="I287" s="122">
        <v>0</v>
      </c>
      <c r="J287" s="122">
        <v>0</v>
      </c>
      <c r="K287" s="120">
        <v>0</v>
      </c>
      <c r="L287" s="72">
        <f t="shared" si="57"/>
        <v>0</v>
      </c>
      <c r="M287" s="147">
        <v>0</v>
      </c>
      <c r="N287" s="73">
        <v>0</v>
      </c>
      <c r="O287" s="72">
        <v>0</v>
      </c>
      <c r="P287" s="73">
        <f t="shared" si="58"/>
        <v>0</v>
      </c>
      <c r="Q287" s="72">
        <f t="shared" si="50"/>
        <v>0</v>
      </c>
      <c r="R287" s="72"/>
      <c r="S287" s="56"/>
      <c r="T287" s="74">
        <f t="shared" si="51"/>
        <v>0</v>
      </c>
      <c r="U287" s="74">
        <v>0</v>
      </c>
      <c r="V287" s="74">
        <f t="shared" si="52"/>
        <v>0</v>
      </c>
      <c r="W287" s="74">
        <f t="shared" si="53"/>
        <v>0</v>
      </c>
      <c r="X287" s="74">
        <f t="shared" si="54"/>
        <v>0</v>
      </c>
      <c r="Y287" s="74">
        <f t="shared" si="55"/>
        <v>0</v>
      </c>
      <c r="Z287" s="74">
        <f t="shared" si="56"/>
        <v>0</v>
      </c>
      <c r="AA287" s="75">
        <f t="shared" si="49"/>
        <v>0</v>
      </c>
      <c r="AB287" s="75">
        <f t="shared" si="59"/>
        <v>0</v>
      </c>
    </row>
    <row r="288" spans="1:28" ht="24">
      <c r="A288" s="123" t="s">
        <v>580</v>
      </c>
      <c r="B288" s="69"/>
      <c r="C288" s="69"/>
      <c r="D288" s="124" t="s">
        <v>581</v>
      </c>
      <c r="E288" s="125">
        <v>276.57</v>
      </c>
      <c r="F288" s="125">
        <v>276.57</v>
      </c>
      <c r="G288" s="120">
        <v>17</v>
      </c>
      <c r="H288" s="122">
        <v>0</v>
      </c>
      <c r="I288" s="122">
        <v>0</v>
      </c>
      <c r="J288" s="122">
        <v>0</v>
      </c>
      <c r="K288" s="120">
        <v>0</v>
      </c>
      <c r="L288" s="72">
        <f t="shared" si="57"/>
        <v>17</v>
      </c>
      <c r="M288" s="147">
        <v>17</v>
      </c>
      <c r="N288" s="73">
        <v>0</v>
      </c>
      <c r="O288" s="72">
        <v>0</v>
      </c>
      <c r="P288" s="73">
        <f t="shared" si="58"/>
        <v>17</v>
      </c>
      <c r="Q288" s="72">
        <f t="shared" si="50"/>
        <v>0</v>
      </c>
      <c r="R288" s="72"/>
      <c r="S288" s="56"/>
      <c r="T288" s="74">
        <f t="shared" si="51"/>
        <v>4701.6899999999996</v>
      </c>
      <c r="U288" s="74">
        <v>0</v>
      </c>
      <c r="V288" s="74">
        <f t="shared" si="52"/>
        <v>0</v>
      </c>
      <c r="W288" s="74">
        <f t="shared" si="53"/>
        <v>0</v>
      </c>
      <c r="X288" s="74">
        <f t="shared" si="54"/>
        <v>0</v>
      </c>
      <c r="Y288" s="74">
        <f t="shared" si="55"/>
        <v>0</v>
      </c>
      <c r="Z288" s="74">
        <f t="shared" si="56"/>
        <v>4701.6899999999996</v>
      </c>
      <c r="AA288" s="75">
        <f t="shared" si="49"/>
        <v>4701.6899999999996</v>
      </c>
      <c r="AB288" s="75">
        <f t="shared" si="59"/>
        <v>0</v>
      </c>
    </row>
    <row r="289" spans="1:28">
      <c r="A289" s="123" t="s">
        <v>582</v>
      </c>
      <c r="B289" s="69"/>
      <c r="C289" s="69"/>
      <c r="D289" s="124" t="s">
        <v>583</v>
      </c>
      <c r="E289" s="125">
        <v>34.53</v>
      </c>
      <c r="F289" s="125">
        <v>34.53</v>
      </c>
      <c r="G289" s="120">
        <v>1</v>
      </c>
      <c r="H289" s="122">
        <v>0</v>
      </c>
      <c r="I289" s="122">
        <v>0</v>
      </c>
      <c r="J289" s="122">
        <v>0</v>
      </c>
      <c r="K289" s="120">
        <v>0</v>
      </c>
      <c r="L289" s="72">
        <f t="shared" si="57"/>
        <v>1</v>
      </c>
      <c r="M289" s="147">
        <v>1</v>
      </c>
      <c r="N289" s="73">
        <v>0</v>
      </c>
      <c r="O289" s="72">
        <v>0</v>
      </c>
      <c r="P289" s="73">
        <f t="shared" si="58"/>
        <v>1</v>
      </c>
      <c r="Q289" s="72">
        <f t="shared" si="50"/>
        <v>0</v>
      </c>
      <c r="R289" s="72"/>
      <c r="S289" s="56"/>
      <c r="T289" s="74">
        <f t="shared" si="51"/>
        <v>34.53</v>
      </c>
      <c r="U289" s="74">
        <v>0</v>
      </c>
      <c r="V289" s="74">
        <f t="shared" si="52"/>
        <v>0</v>
      </c>
      <c r="W289" s="74">
        <f t="shared" si="53"/>
        <v>0</v>
      </c>
      <c r="X289" s="74">
        <f t="shared" si="54"/>
        <v>0</v>
      </c>
      <c r="Y289" s="74">
        <f t="shared" si="55"/>
        <v>0</v>
      </c>
      <c r="Z289" s="74">
        <f t="shared" si="56"/>
        <v>34.53</v>
      </c>
      <c r="AA289" s="75">
        <f t="shared" si="49"/>
        <v>34.53</v>
      </c>
      <c r="AB289" s="75">
        <f t="shared" si="59"/>
        <v>0</v>
      </c>
    </row>
    <row r="290" spans="1:28">
      <c r="A290" s="123" t="s">
        <v>584</v>
      </c>
      <c r="B290" s="69"/>
      <c r="C290" s="69"/>
      <c r="D290" s="124" t="s">
        <v>585</v>
      </c>
      <c r="E290" s="125">
        <v>94.83</v>
      </c>
      <c r="F290" s="125">
        <v>94.83</v>
      </c>
      <c r="G290" s="120">
        <v>1</v>
      </c>
      <c r="H290" s="122">
        <v>0</v>
      </c>
      <c r="I290" s="122">
        <v>0</v>
      </c>
      <c r="J290" s="122">
        <v>1</v>
      </c>
      <c r="K290" s="120">
        <v>0</v>
      </c>
      <c r="L290" s="72">
        <f t="shared" si="57"/>
        <v>0</v>
      </c>
      <c r="M290" s="147">
        <v>0</v>
      </c>
      <c r="N290" s="73">
        <v>0</v>
      </c>
      <c r="O290" s="72">
        <v>0</v>
      </c>
      <c r="P290" s="73">
        <f t="shared" si="58"/>
        <v>0</v>
      </c>
      <c r="Q290" s="72">
        <f t="shared" si="50"/>
        <v>0</v>
      </c>
      <c r="R290" s="72"/>
      <c r="S290" s="56"/>
      <c r="T290" s="74">
        <f t="shared" si="51"/>
        <v>94.83</v>
      </c>
      <c r="U290" s="74">
        <v>0</v>
      </c>
      <c r="V290" s="74">
        <f t="shared" si="52"/>
        <v>0</v>
      </c>
      <c r="W290" s="74">
        <f t="shared" si="53"/>
        <v>0</v>
      </c>
      <c r="X290" s="74">
        <f t="shared" si="54"/>
        <v>94.83</v>
      </c>
      <c r="Y290" s="74">
        <f t="shared" si="55"/>
        <v>0</v>
      </c>
      <c r="Z290" s="74">
        <f t="shared" si="56"/>
        <v>0</v>
      </c>
      <c r="AA290" s="75">
        <f t="shared" si="49"/>
        <v>0</v>
      </c>
      <c r="AB290" s="75">
        <f t="shared" si="59"/>
        <v>0</v>
      </c>
    </row>
    <row r="291" spans="1:28">
      <c r="A291" s="123" t="s">
        <v>586</v>
      </c>
      <c r="B291" s="69"/>
      <c r="C291" s="69"/>
      <c r="D291" s="124" t="s">
        <v>587</v>
      </c>
      <c r="E291" s="125">
        <v>168.1</v>
      </c>
      <c r="F291" s="125">
        <v>168.1</v>
      </c>
      <c r="G291" s="120">
        <v>1</v>
      </c>
      <c r="H291" s="122">
        <v>0</v>
      </c>
      <c r="I291" s="122">
        <v>0</v>
      </c>
      <c r="J291" s="122">
        <v>1</v>
      </c>
      <c r="K291" s="120">
        <v>0</v>
      </c>
      <c r="L291" s="72">
        <f t="shared" si="57"/>
        <v>0</v>
      </c>
      <c r="M291" s="147">
        <v>0</v>
      </c>
      <c r="N291" s="73">
        <v>0</v>
      </c>
      <c r="O291" s="72">
        <v>0</v>
      </c>
      <c r="P291" s="73">
        <f t="shared" si="58"/>
        <v>0</v>
      </c>
      <c r="Q291" s="72">
        <f t="shared" si="50"/>
        <v>0</v>
      </c>
      <c r="R291" s="72"/>
      <c r="S291" s="56"/>
      <c r="T291" s="74">
        <f t="shared" si="51"/>
        <v>168.1</v>
      </c>
      <c r="U291" s="74">
        <v>0</v>
      </c>
      <c r="V291" s="74">
        <f t="shared" si="52"/>
        <v>0</v>
      </c>
      <c r="W291" s="74">
        <f t="shared" si="53"/>
        <v>0</v>
      </c>
      <c r="X291" s="74">
        <f t="shared" si="54"/>
        <v>168.1</v>
      </c>
      <c r="Y291" s="74">
        <f t="shared" si="55"/>
        <v>0</v>
      </c>
      <c r="Z291" s="74">
        <f t="shared" si="56"/>
        <v>0</v>
      </c>
      <c r="AA291" s="75">
        <f t="shared" ref="AA291:AA317" si="60">L291*F291</f>
        <v>0</v>
      </c>
      <c r="AB291" s="75">
        <f t="shared" si="59"/>
        <v>0</v>
      </c>
    </row>
    <row r="292" spans="1:28" ht="24">
      <c r="A292" s="123" t="s">
        <v>588</v>
      </c>
      <c r="B292" s="69"/>
      <c r="C292" s="69"/>
      <c r="D292" s="124" t="s">
        <v>589</v>
      </c>
      <c r="E292" s="125">
        <v>652.5</v>
      </c>
      <c r="F292" s="125">
        <v>652.5</v>
      </c>
      <c r="G292" s="120">
        <v>5</v>
      </c>
      <c r="H292" s="122">
        <v>0</v>
      </c>
      <c r="I292" s="122">
        <v>0</v>
      </c>
      <c r="J292" s="122">
        <v>5</v>
      </c>
      <c r="K292" s="120">
        <v>0</v>
      </c>
      <c r="L292" s="72">
        <f t="shared" si="57"/>
        <v>0</v>
      </c>
      <c r="M292" s="147">
        <v>0</v>
      </c>
      <c r="N292" s="73">
        <v>0</v>
      </c>
      <c r="O292" s="72">
        <v>0</v>
      </c>
      <c r="P292" s="73">
        <f t="shared" si="58"/>
        <v>0</v>
      </c>
      <c r="Q292" s="72">
        <f t="shared" si="50"/>
        <v>0</v>
      </c>
      <c r="R292" s="72"/>
      <c r="S292" s="56"/>
      <c r="T292" s="74">
        <f t="shared" si="51"/>
        <v>3262.5</v>
      </c>
      <c r="U292" s="74">
        <v>0</v>
      </c>
      <c r="V292" s="74">
        <f t="shared" si="52"/>
        <v>0</v>
      </c>
      <c r="W292" s="74">
        <f t="shared" si="53"/>
        <v>0</v>
      </c>
      <c r="X292" s="74">
        <f t="shared" si="54"/>
        <v>3262.5</v>
      </c>
      <c r="Y292" s="74">
        <f t="shared" si="55"/>
        <v>0</v>
      </c>
      <c r="Z292" s="74">
        <f t="shared" si="56"/>
        <v>0</v>
      </c>
      <c r="AA292" s="75">
        <f t="shared" si="60"/>
        <v>0</v>
      </c>
      <c r="AB292" s="75">
        <f t="shared" si="59"/>
        <v>0</v>
      </c>
    </row>
    <row r="293" spans="1:28" ht="24">
      <c r="A293" s="123" t="s">
        <v>590</v>
      </c>
      <c r="B293" s="69"/>
      <c r="C293" s="69"/>
      <c r="D293" s="124" t="s">
        <v>591</v>
      </c>
      <c r="E293" s="125">
        <v>507.5</v>
      </c>
      <c r="F293" s="125">
        <v>507.5</v>
      </c>
      <c r="G293" s="120">
        <v>2</v>
      </c>
      <c r="H293" s="122">
        <v>0</v>
      </c>
      <c r="I293" s="122">
        <v>0</v>
      </c>
      <c r="J293" s="122">
        <v>2</v>
      </c>
      <c r="K293" s="120">
        <v>0</v>
      </c>
      <c r="L293" s="72">
        <f t="shared" si="57"/>
        <v>0</v>
      </c>
      <c r="M293" s="147">
        <v>0</v>
      </c>
      <c r="N293" s="73">
        <v>0</v>
      </c>
      <c r="O293" s="72">
        <v>0</v>
      </c>
      <c r="P293" s="73">
        <f t="shared" si="58"/>
        <v>0</v>
      </c>
      <c r="Q293" s="72">
        <f t="shared" si="50"/>
        <v>0</v>
      </c>
      <c r="R293" s="72"/>
      <c r="S293" s="56"/>
      <c r="T293" s="74">
        <f t="shared" si="51"/>
        <v>1015</v>
      </c>
      <c r="U293" s="74">
        <v>0</v>
      </c>
      <c r="V293" s="74">
        <f t="shared" si="52"/>
        <v>0</v>
      </c>
      <c r="W293" s="74">
        <f t="shared" si="53"/>
        <v>0</v>
      </c>
      <c r="X293" s="74">
        <f t="shared" si="54"/>
        <v>1015</v>
      </c>
      <c r="Y293" s="74">
        <f t="shared" si="55"/>
        <v>0</v>
      </c>
      <c r="Z293" s="74">
        <f t="shared" si="56"/>
        <v>0</v>
      </c>
      <c r="AA293" s="75">
        <f t="shared" si="60"/>
        <v>0</v>
      </c>
      <c r="AB293" s="75">
        <f t="shared" si="59"/>
        <v>0</v>
      </c>
    </row>
    <row r="294" spans="1:28">
      <c r="A294" s="123" t="s">
        <v>592</v>
      </c>
      <c r="B294" s="69"/>
      <c r="C294" s="69"/>
      <c r="D294" s="124" t="s">
        <v>593</v>
      </c>
      <c r="E294" s="125">
        <v>0</v>
      </c>
      <c r="F294" s="125">
        <v>0</v>
      </c>
      <c r="G294" s="120">
        <v>0</v>
      </c>
      <c r="H294" s="122">
        <v>0</v>
      </c>
      <c r="I294" s="122">
        <v>0</v>
      </c>
      <c r="J294" s="122">
        <v>0</v>
      </c>
      <c r="K294" s="120">
        <v>0</v>
      </c>
      <c r="L294" s="72">
        <f t="shared" si="57"/>
        <v>0</v>
      </c>
      <c r="M294" s="147">
        <v>0</v>
      </c>
      <c r="N294" s="73">
        <v>0</v>
      </c>
      <c r="O294" s="72">
        <v>0</v>
      </c>
      <c r="P294" s="73">
        <f t="shared" si="58"/>
        <v>0</v>
      </c>
      <c r="Q294" s="72">
        <f t="shared" si="50"/>
        <v>0</v>
      </c>
      <c r="R294" s="72"/>
      <c r="S294" s="56"/>
      <c r="T294" s="74">
        <f t="shared" si="51"/>
        <v>0</v>
      </c>
      <c r="U294" s="74">
        <v>0</v>
      </c>
      <c r="V294" s="74">
        <f t="shared" si="52"/>
        <v>0</v>
      </c>
      <c r="W294" s="74">
        <f t="shared" si="53"/>
        <v>0</v>
      </c>
      <c r="X294" s="74">
        <f t="shared" si="54"/>
        <v>0</v>
      </c>
      <c r="Y294" s="74">
        <f t="shared" si="55"/>
        <v>0</v>
      </c>
      <c r="Z294" s="74">
        <f t="shared" si="56"/>
        <v>0</v>
      </c>
      <c r="AA294" s="75">
        <f t="shared" si="60"/>
        <v>0</v>
      </c>
      <c r="AB294" s="75">
        <f t="shared" si="59"/>
        <v>0</v>
      </c>
    </row>
    <row r="295" spans="1:28">
      <c r="A295" s="123" t="s">
        <v>594</v>
      </c>
      <c r="B295" s="69"/>
      <c r="C295" s="69"/>
      <c r="D295" s="124" t="s">
        <v>595</v>
      </c>
      <c r="E295" s="125">
        <v>19.510000000000002</v>
      </c>
      <c r="F295" s="125">
        <v>19.510000000000002</v>
      </c>
      <c r="G295" s="120">
        <v>0</v>
      </c>
      <c r="H295" s="122">
        <v>0</v>
      </c>
      <c r="I295" s="122">
        <v>0</v>
      </c>
      <c r="J295" s="122">
        <v>0</v>
      </c>
      <c r="K295" s="120">
        <v>0</v>
      </c>
      <c r="L295" s="72">
        <f t="shared" si="57"/>
        <v>0</v>
      </c>
      <c r="M295" s="147">
        <v>0</v>
      </c>
      <c r="N295" s="73">
        <v>0</v>
      </c>
      <c r="O295" s="72">
        <v>0</v>
      </c>
      <c r="P295" s="73">
        <f t="shared" si="58"/>
        <v>0</v>
      </c>
      <c r="Q295" s="72">
        <f t="shared" si="50"/>
        <v>0</v>
      </c>
      <c r="R295" s="72"/>
      <c r="S295" s="56"/>
      <c r="T295" s="74">
        <f t="shared" si="51"/>
        <v>0</v>
      </c>
      <c r="U295" s="74">
        <v>0</v>
      </c>
      <c r="V295" s="74">
        <f t="shared" si="52"/>
        <v>0</v>
      </c>
      <c r="W295" s="74">
        <f t="shared" si="53"/>
        <v>0</v>
      </c>
      <c r="X295" s="74">
        <f t="shared" si="54"/>
        <v>0</v>
      </c>
      <c r="Y295" s="74">
        <f t="shared" si="55"/>
        <v>0</v>
      </c>
      <c r="Z295" s="74">
        <f t="shared" si="56"/>
        <v>0</v>
      </c>
      <c r="AA295" s="75">
        <f t="shared" si="60"/>
        <v>0</v>
      </c>
      <c r="AB295" s="75">
        <f t="shared" si="59"/>
        <v>0</v>
      </c>
    </row>
    <row r="296" spans="1:28">
      <c r="A296" s="123" t="s">
        <v>596</v>
      </c>
      <c r="B296" s="69"/>
      <c r="C296" s="69"/>
      <c r="D296" s="124" t="s">
        <v>597</v>
      </c>
      <c r="E296" s="125">
        <v>142.65</v>
      </c>
      <c r="F296" s="125">
        <v>142.65</v>
      </c>
      <c r="G296" s="120">
        <v>2</v>
      </c>
      <c r="H296" s="122">
        <v>0</v>
      </c>
      <c r="I296" s="122">
        <v>0</v>
      </c>
      <c r="J296" s="122">
        <v>0</v>
      </c>
      <c r="K296" s="120">
        <v>0</v>
      </c>
      <c r="L296" s="72">
        <f t="shared" si="57"/>
        <v>2</v>
      </c>
      <c r="M296" s="147">
        <v>2</v>
      </c>
      <c r="N296" s="73">
        <v>0</v>
      </c>
      <c r="O296" s="72">
        <v>0</v>
      </c>
      <c r="P296" s="73">
        <f t="shared" si="58"/>
        <v>2</v>
      </c>
      <c r="Q296" s="72">
        <f t="shared" si="50"/>
        <v>0</v>
      </c>
      <c r="R296" s="72"/>
      <c r="S296" s="56"/>
      <c r="T296" s="74">
        <f t="shared" si="51"/>
        <v>285.3</v>
      </c>
      <c r="U296" s="74">
        <v>0</v>
      </c>
      <c r="V296" s="74">
        <f t="shared" si="52"/>
        <v>0</v>
      </c>
      <c r="W296" s="74">
        <f t="shared" si="53"/>
        <v>0</v>
      </c>
      <c r="X296" s="74">
        <f t="shared" si="54"/>
        <v>0</v>
      </c>
      <c r="Y296" s="74">
        <f t="shared" si="55"/>
        <v>0</v>
      </c>
      <c r="Z296" s="74">
        <f t="shared" si="56"/>
        <v>285.3</v>
      </c>
      <c r="AA296" s="75">
        <f t="shared" si="60"/>
        <v>285.3</v>
      </c>
      <c r="AB296" s="75">
        <f t="shared" si="59"/>
        <v>0</v>
      </c>
    </row>
    <row r="297" spans="1:28">
      <c r="A297" s="123" t="s">
        <v>598</v>
      </c>
      <c r="B297" s="69"/>
      <c r="C297" s="69"/>
      <c r="D297" s="124" t="s">
        <v>599</v>
      </c>
      <c r="E297" s="125">
        <v>7.05</v>
      </c>
      <c r="F297" s="125">
        <v>7.05</v>
      </c>
      <c r="G297" s="120">
        <v>0</v>
      </c>
      <c r="H297" s="122">
        <v>0</v>
      </c>
      <c r="I297" s="122">
        <v>0</v>
      </c>
      <c r="J297" s="122">
        <v>0</v>
      </c>
      <c r="K297" s="120">
        <v>0</v>
      </c>
      <c r="L297" s="72">
        <f t="shared" si="57"/>
        <v>0</v>
      </c>
      <c r="M297" s="147">
        <v>0</v>
      </c>
      <c r="N297" s="73">
        <v>0</v>
      </c>
      <c r="O297" s="72">
        <v>0</v>
      </c>
      <c r="P297" s="73">
        <f t="shared" si="58"/>
        <v>0</v>
      </c>
      <c r="Q297" s="72">
        <f t="shared" si="50"/>
        <v>0</v>
      </c>
      <c r="R297" s="72"/>
      <c r="S297" s="56"/>
      <c r="T297" s="74">
        <f t="shared" si="51"/>
        <v>0</v>
      </c>
      <c r="U297" s="74">
        <v>0</v>
      </c>
      <c r="V297" s="74">
        <f t="shared" si="52"/>
        <v>0</v>
      </c>
      <c r="W297" s="74">
        <f t="shared" si="53"/>
        <v>0</v>
      </c>
      <c r="X297" s="74">
        <f t="shared" si="54"/>
        <v>0</v>
      </c>
      <c r="Y297" s="74">
        <f t="shared" si="55"/>
        <v>0</v>
      </c>
      <c r="Z297" s="74">
        <f t="shared" si="56"/>
        <v>0</v>
      </c>
      <c r="AA297" s="75">
        <f t="shared" si="60"/>
        <v>0</v>
      </c>
      <c r="AB297" s="75">
        <f t="shared" si="59"/>
        <v>0</v>
      </c>
    </row>
    <row r="298" spans="1:28">
      <c r="A298" s="123" t="s">
        <v>600</v>
      </c>
      <c r="B298" s="69"/>
      <c r="C298" s="69"/>
      <c r="D298" s="124" t="s">
        <v>601</v>
      </c>
      <c r="E298" s="125">
        <v>522</v>
      </c>
      <c r="F298" s="125">
        <v>522</v>
      </c>
      <c r="G298" s="120">
        <v>18</v>
      </c>
      <c r="H298" s="122">
        <v>0</v>
      </c>
      <c r="I298" s="122">
        <v>0</v>
      </c>
      <c r="J298" s="122">
        <v>5</v>
      </c>
      <c r="K298" s="120">
        <v>0</v>
      </c>
      <c r="L298" s="72">
        <f t="shared" si="57"/>
        <v>13</v>
      </c>
      <c r="M298" s="147">
        <v>13</v>
      </c>
      <c r="N298" s="73">
        <v>0</v>
      </c>
      <c r="O298" s="72">
        <v>0</v>
      </c>
      <c r="P298" s="73">
        <f t="shared" si="58"/>
        <v>13</v>
      </c>
      <c r="Q298" s="72">
        <f t="shared" si="50"/>
        <v>0</v>
      </c>
      <c r="R298" s="72"/>
      <c r="S298" s="56"/>
      <c r="T298" s="74">
        <f t="shared" si="51"/>
        <v>9396</v>
      </c>
      <c r="U298" s="74">
        <v>0</v>
      </c>
      <c r="V298" s="74">
        <f t="shared" si="52"/>
        <v>0</v>
      </c>
      <c r="W298" s="74">
        <f t="shared" si="53"/>
        <v>0</v>
      </c>
      <c r="X298" s="74">
        <f t="shared" si="54"/>
        <v>2610</v>
      </c>
      <c r="Y298" s="74">
        <f t="shared" si="55"/>
        <v>0</v>
      </c>
      <c r="Z298" s="74">
        <f t="shared" si="56"/>
        <v>6786</v>
      </c>
      <c r="AA298" s="75">
        <f t="shared" si="60"/>
        <v>6786</v>
      </c>
      <c r="AB298" s="75">
        <f t="shared" si="59"/>
        <v>0</v>
      </c>
    </row>
    <row r="299" spans="1:28">
      <c r="A299" s="123" t="s">
        <v>602</v>
      </c>
      <c r="B299" s="69"/>
      <c r="C299" s="69"/>
      <c r="D299" s="124" t="s">
        <v>603</v>
      </c>
      <c r="E299" s="125">
        <v>30.91</v>
      </c>
      <c r="F299" s="125">
        <v>30.91</v>
      </c>
      <c r="G299" s="120">
        <v>0</v>
      </c>
      <c r="H299" s="122">
        <v>0</v>
      </c>
      <c r="I299" s="122">
        <v>0</v>
      </c>
      <c r="J299" s="122">
        <v>0</v>
      </c>
      <c r="K299" s="120">
        <v>0</v>
      </c>
      <c r="L299" s="72">
        <f t="shared" si="57"/>
        <v>0</v>
      </c>
      <c r="M299" s="147">
        <v>0</v>
      </c>
      <c r="N299" s="73">
        <v>0</v>
      </c>
      <c r="O299" s="72">
        <v>0</v>
      </c>
      <c r="P299" s="73">
        <f t="shared" si="58"/>
        <v>0</v>
      </c>
      <c r="Q299" s="72">
        <f t="shared" si="50"/>
        <v>0</v>
      </c>
      <c r="R299" s="72"/>
      <c r="S299" s="56"/>
      <c r="T299" s="74">
        <f t="shared" si="51"/>
        <v>0</v>
      </c>
      <c r="U299" s="74">
        <v>0</v>
      </c>
      <c r="V299" s="74">
        <f t="shared" si="52"/>
        <v>0</v>
      </c>
      <c r="W299" s="74">
        <f t="shared" si="53"/>
        <v>0</v>
      </c>
      <c r="X299" s="74">
        <f t="shared" si="54"/>
        <v>0</v>
      </c>
      <c r="Y299" s="74">
        <f t="shared" si="55"/>
        <v>0</v>
      </c>
      <c r="Z299" s="74">
        <f t="shared" si="56"/>
        <v>0</v>
      </c>
      <c r="AA299" s="75">
        <f t="shared" si="60"/>
        <v>0</v>
      </c>
      <c r="AB299" s="75">
        <f t="shared" si="59"/>
        <v>0</v>
      </c>
    </row>
    <row r="300" spans="1:28" ht="24">
      <c r="A300" s="123" t="s">
        <v>604</v>
      </c>
      <c r="B300" s="140" t="s">
        <v>703</v>
      </c>
      <c r="C300" s="140"/>
      <c r="D300" s="124" t="s">
        <v>605</v>
      </c>
      <c r="E300" s="125">
        <v>570</v>
      </c>
      <c r="F300" s="125">
        <v>570</v>
      </c>
      <c r="G300" s="120">
        <v>4</v>
      </c>
      <c r="H300" s="122">
        <v>0</v>
      </c>
      <c r="I300" s="122">
        <v>0</v>
      </c>
      <c r="J300" s="122">
        <v>0</v>
      </c>
      <c r="K300" s="120">
        <v>0</v>
      </c>
      <c r="L300" s="72">
        <f t="shared" si="57"/>
        <v>4</v>
      </c>
      <c r="M300" s="147">
        <v>4</v>
      </c>
      <c r="N300" s="73">
        <v>0</v>
      </c>
      <c r="O300" s="72">
        <v>0</v>
      </c>
      <c r="P300" s="73">
        <f t="shared" si="58"/>
        <v>4</v>
      </c>
      <c r="Q300" s="72">
        <f t="shared" si="50"/>
        <v>0</v>
      </c>
      <c r="R300" s="72"/>
      <c r="S300" s="56"/>
      <c r="T300" s="74">
        <f t="shared" si="51"/>
        <v>2280</v>
      </c>
      <c r="U300" s="74">
        <v>0</v>
      </c>
      <c r="V300" s="74">
        <f t="shared" si="52"/>
        <v>0</v>
      </c>
      <c r="W300" s="74">
        <f t="shared" si="53"/>
        <v>0</v>
      </c>
      <c r="X300" s="74">
        <f t="shared" si="54"/>
        <v>0</v>
      </c>
      <c r="Y300" s="74">
        <f t="shared" si="55"/>
        <v>0</v>
      </c>
      <c r="Z300" s="74">
        <f t="shared" si="56"/>
        <v>2280</v>
      </c>
      <c r="AA300" s="75">
        <f t="shared" si="60"/>
        <v>2280</v>
      </c>
      <c r="AB300" s="75">
        <f t="shared" si="59"/>
        <v>0</v>
      </c>
    </row>
    <row r="301" spans="1:28">
      <c r="A301" s="123" t="s">
        <v>606</v>
      </c>
      <c r="B301" s="69"/>
      <c r="C301" s="69"/>
      <c r="D301" s="124" t="s">
        <v>607</v>
      </c>
      <c r="E301" s="125">
        <v>380</v>
      </c>
      <c r="F301" s="125">
        <v>380</v>
      </c>
      <c r="G301" s="120">
        <v>0</v>
      </c>
      <c r="H301" s="122">
        <v>0</v>
      </c>
      <c r="I301" s="122">
        <v>0</v>
      </c>
      <c r="J301" s="122">
        <v>0</v>
      </c>
      <c r="K301" s="120">
        <v>0</v>
      </c>
      <c r="L301" s="72">
        <f t="shared" si="57"/>
        <v>0</v>
      </c>
      <c r="M301" s="147">
        <v>0</v>
      </c>
      <c r="N301" s="73">
        <v>0</v>
      </c>
      <c r="O301" s="72">
        <v>0</v>
      </c>
      <c r="P301" s="73">
        <f t="shared" si="58"/>
        <v>0</v>
      </c>
      <c r="Q301" s="72">
        <f t="shared" si="50"/>
        <v>0</v>
      </c>
      <c r="R301" s="72"/>
      <c r="S301" s="56"/>
      <c r="T301" s="74">
        <f t="shared" si="51"/>
        <v>0</v>
      </c>
      <c r="U301" s="74">
        <v>0</v>
      </c>
      <c r="V301" s="74">
        <f t="shared" si="52"/>
        <v>0</v>
      </c>
      <c r="W301" s="74">
        <f t="shared" si="53"/>
        <v>0</v>
      </c>
      <c r="X301" s="74">
        <f t="shared" si="54"/>
        <v>0</v>
      </c>
      <c r="Y301" s="74">
        <f t="shared" si="55"/>
        <v>0</v>
      </c>
      <c r="Z301" s="74">
        <f t="shared" si="56"/>
        <v>0</v>
      </c>
      <c r="AA301" s="75">
        <f t="shared" si="60"/>
        <v>0</v>
      </c>
      <c r="AB301" s="75">
        <f t="shared" si="59"/>
        <v>0</v>
      </c>
    </row>
    <row r="302" spans="1:28" ht="24">
      <c r="A302" s="123" t="s">
        <v>608</v>
      </c>
      <c r="B302" s="140" t="s">
        <v>730</v>
      </c>
      <c r="C302" s="140"/>
      <c r="D302" s="124" t="s">
        <v>609</v>
      </c>
      <c r="E302" s="125">
        <v>985</v>
      </c>
      <c r="F302" s="125">
        <v>985</v>
      </c>
      <c r="G302" s="120">
        <v>0</v>
      </c>
      <c r="H302" s="122">
        <v>0</v>
      </c>
      <c r="I302" s="122">
        <v>0</v>
      </c>
      <c r="J302" s="122">
        <v>0</v>
      </c>
      <c r="K302" s="120">
        <v>0</v>
      </c>
      <c r="L302" s="72">
        <f t="shared" si="57"/>
        <v>0</v>
      </c>
      <c r="M302" s="147">
        <v>0</v>
      </c>
      <c r="N302" s="73">
        <v>0</v>
      </c>
      <c r="O302" s="72">
        <v>0</v>
      </c>
      <c r="P302" s="73">
        <f t="shared" si="58"/>
        <v>0</v>
      </c>
      <c r="Q302" s="72">
        <f t="shared" si="50"/>
        <v>0</v>
      </c>
      <c r="R302" s="72"/>
      <c r="S302" s="56"/>
      <c r="T302" s="74">
        <f t="shared" si="51"/>
        <v>0</v>
      </c>
      <c r="U302" s="74">
        <v>0</v>
      </c>
      <c r="V302" s="74">
        <f t="shared" si="52"/>
        <v>0</v>
      </c>
      <c r="W302" s="74">
        <f t="shared" si="53"/>
        <v>0</v>
      </c>
      <c r="X302" s="74">
        <f t="shared" si="54"/>
        <v>0</v>
      </c>
      <c r="Y302" s="74">
        <f t="shared" si="55"/>
        <v>0</v>
      </c>
      <c r="Z302" s="74">
        <f t="shared" si="56"/>
        <v>0</v>
      </c>
      <c r="AA302" s="75">
        <f t="shared" si="60"/>
        <v>0</v>
      </c>
      <c r="AB302" s="75">
        <f t="shared" si="59"/>
        <v>0</v>
      </c>
    </row>
    <row r="303" spans="1:28">
      <c r="A303" s="123" t="s">
        <v>610</v>
      </c>
      <c r="B303" s="69"/>
      <c r="C303" s="69"/>
      <c r="D303" s="124" t="s">
        <v>611</v>
      </c>
      <c r="E303" s="125">
        <v>450</v>
      </c>
      <c r="F303" s="125">
        <v>450</v>
      </c>
      <c r="G303" s="120">
        <v>1</v>
      </c>
      <c r="H303" s="122">
        <v>0</v>
      </c>
      <c r="I303" s="122">
        <v>0</v>
      </c>
      <c r="J303" s="122">
        <v>0</v>
      </c>
      <c r="K303" s="120">
        <v>0</v>
      </c>
      <c r="L303" s="72">
        <f t="shared" si="57"/>
        <v>1</v>
      </c>
      <c r="M303" s="147">
        <v>1</v>
      </c>
      <c r="N303" s="73">
        <v>0</v>
      </c>
      <c r="O303" s="73">
        <v>0</v>
      </c>
      <c r="P303" s="73">
        <f t="shared" si="58"/>
        <v>1</v>
      </c>
      <c r="Q303" s="72">
        <f t="shared" si="50"/>
        <v>0</v>
      </c>
      <c r="R303" s="72"/>
      <c r="S303" s="56"/>
      <c r="T303" s="74">
        <f t="shared" si="51"/>
        <v>450</v>
      </c>
      <c r="U303" s="74">
        <v>0</v>
      </c>
      <c r="V303" s="74">
        <f t="shared" si="52"/>
        <v>0</v>
      </c>
      <c r="W303" s="74">
        <f t="shared" si="53"/>
        <v>0</v>
      </c>
      <c r="X303" s="74">
        <f t="shared" si="54"/>
        <v>0</v>
      </c>
      <c r="Y303" s="74">
        <f t="shared" si="55"/>
        <v>0</v>
      </c>
      <c r="Z303" s="74">
        <f t="shared" si="56"/>
        <v>450</v>
      </c>
      <c r="AA303" s="75">
        <f t="shared" si="60"/>
        <v>450</v>
      </c>
      <c r="AB303" s="75">
        <f t="shared" si="59"/>
        <v>0</v>
      </c>
    </row>
    <row r="304" spans="1:28">
      <c r="A304" s="123" t="s">
        <v>612</v>
      </c>
      <c r="B304" s="140" t="s">
        <v>731</v>
      </c>
      <c r="C304" s="140"/>
      <c r="D304" s="124" t="s">
        <v>613</v>
      </c>
      <c r="E304" s="125">
        <v>888</v>
      </c>
      <c r="F304" s="125">
        <v>888</v>
      </c>
      <c r="G304" s="120">
        <v>1</v>
      </c>
      <c r="H304" s="122">
        <v>0</v>
      </c>
      <c r="I304" s="122">
        <v>0</v>
      </c>
      <c r="J304" s="122">
        <v>0</v>
      </c>
      <c r="K304" s="120">
        <v>0</v>
      </c>
      <c r="L304" s="72">
        <f t="shared" si="57"/>
        <v>1</v>
      </c>
      <c r="M304" s="147">
        <v>1</v>
      </c>
      <c r="N304" s="73">
        <v>0</v>
      </c>
      <c r="O304" s="72">
        <v>0</v>
      </c>
      <c r="P304" s="73">
        <f t="shared" si="58"/>
        <v>1</v>
      </c>
      <c r="Q304" s="72">
        <f t="shared" si="50"/>
        <v>0</v>
      </c>
      <c r="R304" s="72"/>
      <c r="S304" s="56"/>
      <c r="T304" s="74">
        <f t="shared" si="51"/>
        <v>888</v>
      </c>
      <c r="U304" s="74">
        <v>0</v>
      </c>
      <c r="V304" s="74">
        <f t="shared" si="52"/>
        <v>0</v>
      </c>
      <c r="W304" s="74">
        <f t="shared" si="53"/>
        <v>0</v>
      </c>
      <c r="X304" s="74">
        <f t="shared" si="54"/>
        <v>0</v>
      </c>
      <c r="Y304" s="74">
        <f t="shared" si="55"/>
        <v>0</v>
      </c>
      <c r="Z304" s="74">
        <f t="shared" si="56"/>
        <v>888</v>
      </c>
      <c r="AA304" s="75">
        <f t="shared" si="60"/>
        <v>888</v>
      </c>
      <c r="AB304" s="75">
        <f t="shared" si="59"/>
        <v>0</v>
      </c>
    </row>
    <row r="305" spans="1:28" ht="22.5">
      <c r="A305" s="123" t="s">
        <v>614</v>
      </c>
      <c r="B305" s="140" t="s">
        <v>732</v>
      </c>
      <c r="C305" s="140"/>
      <c r="D305" s="124" t="s">
        <v>821</v>
      </c>
      <c r="E305" s="125">
        <v>1204.43</v>
      </c>
      <c r="F305" s="125">
        <v>1204.43</v>
      </c>
      <c r="G305" s="120">
        <v>1</v>
      </c>
      <c r="H305" s="122">
        <v>0</v>
      </c>
      <c r="I305" s="122">
        <v>0</v>
      </c>
      <c r="J305" s="122">
        <v>0</v>
      </c>
      <c r="K305" s="120">
        <v>0</v>
      </c>
      <c r="L305" s="72">
        <f t="shared" si="57"/>
        <v>1</v>
      </c>
      <c r="M305" s="147">
        <v>1</v>
      </c>
      <c r="N305" s="73">
        <v>0</v>
      </c>
      <c r="O305" s="72">
        <v>0</v>
      </c>
      <c r="P305" s="73">
        <f t="shared" si="58"/>
        <v>1</v>
      </c>
      <c r="Q305" s="72">
        <f t="shared" si="50"/>
        <v>0</v>
      </c>
      <c r="R305" s="72"/>
      <c r="S305" s="56"/>
      <c r="T305" s="74">
        <f t="shared" si="51"/>
        <v>1204.43</v>
      </c>
      <c r="U305" s="74">
        <v>0</v>
      </c>
      <c r="V305" s="74">
        <f t="shared" si="52"/>
        <v>0</v>
      </c>
      <c r="W305" s="74">
        <f t="shared" si="53"/>
        <v>0</v>
      </c>
      <c r="X305" s="74">
        <f t="shared" si="54"/>
        <v>0</v>
      </c>
      <c r="Y305" s="74">
        <f t="shared" si="55"/>
        <v>0</v>
      </c>
      <c r="Z305" s="74">
        <f t="shared" si="56"/>
        <v>1204.43</v>
      </c>
      <c r="AA305" s="75">
        <f t="shared" si="60"/>
        <v>1204.43</v>
      </c>
      <c r="AB305" s="75">
        <f t="shared" si="59"/>
        <v>0</v>
      </c>
    </row>
    <row r="306" spans="1:28">
      <c r="A306" s="123" t="s">
        <v>616</v>
      </c>
      <c r="B306" s="69"/>
      <c r="C306" s="69"/>
      <c r="D306" s="124" t="s">
        <v>617</v>
      </c>
      <c r="E306" s="125">
        <v>890</v>
      </c>
      <c r="F306" s="125">
        <v>890</v>
      </c>
      <c r="G306" s="120">
        <v>2</v>
      </c>
      <c r="H306" s="122">
        <v>0</v>
      </c>
      <c r="I306" s="122">
        <v>0</v>
      </c>
      <c r="J306" s="122">
        <v>0</v>
      </c>
      <c r="K306" s="120">
        <v>0</v>
      </c>
      <c r="L306" s="72">
        <f t="shared" si="57"/>
        <v>2</v>
      </c>
      <c r="M306" s="147">
        <v>2</v>
      </c>
      <c r="N306" s="73">
        <v>0</v>
      </c>
      <c r="O306" s="72">
        <v>0</v>
      </c>
      <c r="P306" s="73">
        <f t="shared" si="58"/>
        <v>2</v>
      </c>
      <c r="Q306" s="72">
        <f t="shared" si="50"/>
        <v>0</v>
      </c>
      <c r="R306" s="72"/>
      <c r="S306" s="56"/>
      <c r="T306" s="74">
        <f t="shared" si="51"/>
        <v>1780</v>
      </c>
      <c r="U306" s="74">
        <v>0</v>
      </c>
      <c r="V306" s="74">
        <f t="shared" si="52"/>
        <v>0</v>
      </c>
      <c r="W306" s="74">
        <f t="shared" si="53"/>
        <v>0</v>
      </c>
      <c r="X306" s="74">
        <f t="shared" si="54"/>
        <v>0</v>
      </c>
      <c r="Y306" s="74">
        <f t="shared" si="55"/>
        <v>0</v>
      </c>
      <c r="Z306" s="74">
        <f t="shared" si="56"/>
        <v>1780</v>
      </c>
      <c r="AA306" s="75">
        <f t="shared" si="60"/>
        <v>1780</v>
      </c>
      <c r="AB306" s="75">
        <f t="shared" si="59"/>
        <v>0</v>
      </c>
    </row>
    <row r="307" spans="1:28">
      <c r="A307" s="123" t="s">
        <v>618</v>
      </c>
      <c r="B307" s="69"/>
      <c r="C307" s="69"/>
      <c r="D307" s="124" t="s">
        <v>619</v>
      </c>
      <c r="E307" s="125">
        <v>695</v>
      </c>
      <c r="F307" s="125">
        <v>695</v>
      </c>
      <c r="G307" s="120">
        <v>14</v>
      </c>
      <c r="H307" s="122">
        <v>0</v>
      </c>
      <c r="I307" s="122">
        <v>0</v>
      </c>
      <c r="J307" s="122">
        <v>0</v>
      </c>
      <c r="K307" s="120">
        <v>0</v>
      </c>
      <c r="L307" s="72">
        <f t="shared" si="57"/>
        <v>14</v>
      </c>
      <c r="M307" s="147">
        <v>14</v>
      </c>
      <c r="N307" s="73">
        <v>0</v>
      </c>
      <c r="O307" s="72">
        <v>0</v>
      </c>
      <c r="P307" s="73">
        <f t="shared" si="58"/>
        <v>14</v>
      </c>
      <c r="Q307" s="72">
        <f t="shared" si="50"/>
        <v>0</v>
      </c>
      <c r="R307" s="72"/>
      <c r="S307" s="56"/>
      <c r="T307" s="74">
        <f t="shared" si="51"/>
        <v>9730</v>
      </c>
      <c r="U307" s="74">
        <v>0</v>
      </c>
      <c r="V307" s="74">
        <f t="shared" si="52"/>
        <v>0</v>
      </c>
      <c r="W307" s="74">
        <f t="shared" si="53"/>
        <v>0</v>
      </c>
      <c r="X307" s="74">
        <f t="shared" si="54"/>
        <v>0</v>
      </c>
      <c r="Y307" s="74">
        <f t="shared" si="55"/>
        <v>0</v>
      </c>
      <c r="Z307" s="74">
        <f t="shared" si="56"/>
        <v>9730</v>
      </c>
      <c r="AA307" s="75">
        <f t="shared" si="60"/>
        <v>9730</v>
      </c>
      <c r="AB307" s="75">
        <f t="shared" si="59"/>
        <v>0</v>
      </c>
    </row>
    <row r="308" spans="1:28" s="157" customFormat="1" ht="30">
      <c r="A308" s="167"/>
      <c r="B308" s="163" t="s">
        <v>789</v>
      </c>
      <c r="C308" s="158"/>
      <c r="D308" s="131" t="s">
        <v>692</v>
      </c>
      <c r="E308" s="125">
        <v>0</v>
      </c>
      <c r="F308" s="132">
        <v>596.15</v>
      </c>
      <c r="G308" s="121">
        <v>0</v>
      </c>
      <c r="H308" s="168">
        <v>0</v>
      </c>
      <c r="I308" s="168">
        <v>2</v>
      </c>
      <c r="J308" s="168">
        <v>0</v>
      </c>
      <c r="K308" s="121">
        <v>0</v>
      </c>
      <c r="L308" s="76">
        <f t="shared" ref="L308:L317" si="61">G308+H308+I308-J308-K308</f>
        <v>2</v>
      </c>
      <c r="M308" s="168"/>
      <c r="N308" s="169"/>
      <c r="O308" s="76"/>
      <c r="P308" s="169">
        <f t="shared" ref="P308:P316" si="62">M308+N308+O308</f>
        <v>0</v>
      </c>
      <c r="Q308" s="76">
        <f t="shared" ref="Q308:Q317" si="63">P308-L308</f>
        <v>-2</v>
      </c>
      <c r="R308" s="76"/>
      <c r="S308" s="56"/>
      <c r="T308" s="74">
        <f t="shared" si="51"/>
        <v>0</v>
      </c>
      <c r="U308" s="74">
        <v>0</v>
      </c>
      <c r="V308" s="74">
        <f t="shared" si="52"/>
        <v>0</v>
      </c>
      <c r="W308" s="74">
        <f t="shared" si="53"/>
        <v>1192.3</v>
      </c>
      <c r="X308" s="74">
        <f t="shared" si="54"/>
        <v>0</v>
      </c>
      <c r="Y308" s="74">
        <f t="shared" si="55"/>
        <v>0</v>
      </c>
      <c r="Z308" s="74">
        <f t="shared" si="56"/>
        <v>1192.3</v>
      </c>
      <c r="AA308" s="75">
        <f t="shared" si="60"/>
        <v>1192.3</v>
      </c>
      <c r="AB308" s="75">
        <f t="shared" ref="AB308:AB317" si="64">AA308-Z308</f>
        <v>0</v>
      </c>
    </row>
    <row r="309" spans="1:28" s="157" customFormat="1" ht="45">
      <c r="A309" s="167"/>
      <c r="B309" s="163" t="s">
        <v>790</v>
      </c>
      <c r="C309" s="158"/>
      <c r="D309" s="131" t="s">
        <v>693</v>
      </c>
      <c r="E309" s="125">
        <v>0</v>
      </c>
      <c r="F309" s="132">
        <v>651.6</v>
      </c>
      <c r="G309" s="121">
        <v>0</v>
      </c>
      <c r="H309" s="168">
        <v>0</v>
      </c>
      <c r="I309" s="168">
        <v>2</v>
      </c>
      <c r="J309" s="168">
        <v>0</v>
      </c>
      <c r="K309" s="121">
        <v>0</v>
      </c>
      <c r="L309" s="76">
        <f t="shared" si="61"/>
        <v>2</v>
      </c>
      <c r="M309" s="168"/>
      <c r="N309" s="169"/>
      <c r="O309" s="76"/>
      <c r="P309" s="169">
        <f t="shared" si="62"/>
        <v>0</v>
      </c>
      <c r="Q309" s="76">
        <f t="shared" si="63"/>
        <v>-2</v>
      </c>
      <c r="R309" s="76"/>
      <c r="S309" s="56"/>
      <c r="T309" s="74">
        <f t="shared" si="51"/>
        <v>0</v>
      </c>
      <c r="U309" s="74">
        <v>0</v>
      </c>
      <c r="V309" s="74">
        <f t="shared" si="52"/>
        <v>0</v>
      </c>
      <c r="W309" s="74">
        <f t="shared" si="53"/>
        <v>1303.2</v>
      </c>
      <c r="X309" s="74">
        <f t="shared" si="54"/>
        <v>0</v>
      </c>
      <c r="Y309" s="74">
        <f t="shared" si="55"/>
        <v>0</v>
      </c>
      <c r="Z309" s="74">
        <f t="shared" si="56"/>
        <v>1303.2</v>
      </c>
      <c r="AA309" s="75">
        <f t="shared" si="60"/>
        <v>1303.2</v>
      </c>
      <c r="AB309" s="75">
        <f t="shared" si="64"/>
        <v>0</v>
      </c>
    </row>
    <row r="310" spans="1:28" s="157" customFormat="1" ht="30">
      <c r="A310" s="167"/>
      <c r="B310" s="163" t="s">
        <v>791</v>
      </c>
      <c r="C310" s="158"/>
      <c r="D310" s="131" t="s">
        <v>696</v>
      </c>
      <c r="E310" s="125">
        <v>0</v>
      </c>
      <c r="F310" s="132">
        <v>867.24</v>
      </c>
      <c r="G310" s="121">
        <v>0</v>
      </c>
      <c r="H310" s="168">
        <v>0</v>
      </c>
      <c r="I310" s="168">
        <v>2</v>
      </c>
      <c r="J310" s="168">
        <v>0</v>
      </c>
      <c r="K310" s="121">
        <v>0</v>
      </c>
      <c r="L310" s="76">
        <f t="shared" si="61"/>
        <v>2</v>
      </c>
      <c r="M310" s="168"/>
      <c r="N310" s="169"/>
      <c r="O310" s="76"/>
      <c r="P310" s="169">
        <f t="shared" si="62"/>
        <v>0</v>
      </c>
      <c r="Q310" s="76">
        <f t="shared" si="63"/>
        <v>-2</v>
      </c>
      <c r="R310" s="76"/>
      <c r="S310" s="56"/>
      <c r="T310" s="74">
        <f t="shared" si="51"/>
        <v>0</v>
      </c>
      <c r="U310" s="74">
        <v>0</v>
      </c>
      <c r="V310" s="74">
        <f t="shared" si="52"/>
        <v>0</v>
      </c>
      <c r="W310" s="74">
        <f t="shared" si="53"/>
        <v>1734.48</v>
      </c>
      <c r="X310" s="74">
        <f t="shared" si="54"/>
        <v>0</v>
      </c>
      <c r="Y310" s="74">
        <f t="shared" si="55"/>
        <v>0</v>
      </c>
      <c r="Z310" s="74">
        <f t="shared" si="56"/>
        <v>1734.48</v>
      </c>
      <c r="AA310" s="75">
        <f t="shared" si="60"/>
        <v>1734.48</v>
      </c>
      <c r="AB310" s="75">
        <f t="shared" si="64"/>
        <v>0</v>
      </c>
    </row>
    <row r="311" spans="1:28" s="157" customFormat="1" ht="30">
      <c r="A311" s="167"/>
      <c r="B311" s="163" t="s">
        <v>792</v>
      </c>
      <c r="C311" s="158"/>
      <c r="D311" s="131" t="s">
        <v>695</v>
      </c>
      <c r="E311" s="125">
        <v>0</v>
      </c>
      <c r="F311" s="132">
        <v>160</v>
      </c>
      <c r="G311" s="121">
        <v>0</v>
      </c>
      <c r="H311" s="168">
        <v>0</v>
      </c>
      <c r="I311" s="168">
        <v>2</v>
      </c>
      <c r="J311" s="168">
        <v>0</v>
      </c>
      <c r="K311" s="121">
        <v>0</v>
      </c>
      <c r="L311" s="76">
        <f t="shared" si="61"/>
        <v>2</v>
      </c>
      <c r="M311" s="168"/>
      <c r="N311" s="169"/>
      <c r="O311" s="76"/>
      <c r="P311" s="169">
        <f t="shared" si="62"/>
        <v>0</v>
      </c>
      <c r="Q311" s="76">
        <f t="shared" si="63"/>
        <v>-2</v>
      </c>
      <c r="R311" s="76"/>
      <c r="S311" s="56"/>
      <c r="T311" s="74">
        <f t="shared" si="51"/>
        <v>0</v>
      </c>
      <c r="U311" s="74">
        <v>0</v>
      </c>
      <c r="V311" s="74">
        <f t="shared" si="52"/>
        <v>0</v>
      </c>
      <c r="W311" s="74">
        <f t="shared" si="53"/>
        <v>320</v>
      </c>
      <c r="X311" s="74">
        <f t="shared" si="54"/>
        <v>0</v>
      </c>
      <c r="Y311" s="74">
        <f t="shared" si="55"/>
        <v>0</v>
      </c>
      <c r="Z311" s="74">
        <f t="shared" si="56"/>
        <v>320</v>
      </c>
      <c r="AA311" s="75">
        <f t="shared" si="60"/>
        <v>320</v>
      </c>
      <c r="AB311" s="75">
        <f t="shared" si="64"/>
        <v>0</v>
      </c>
    </row>
    <row r="312" spans="1:28" s="157" customFormat="1" ht="45">
      <c r="A312" s="167"/>
      <c r="B312" s="163" t="s">
        <v>787</v>
      </c>
      <c r="C312" s="158"/>
      <c r="D312" s="131" t="s">
        <v>694</v>
      </c>
      <c r="E312" s="125">
        <v>0</v>
      </c>
      <c r="F312" s="132">
        <v>1400</v>
      </c>
      <c r="G312" s="121">
        <v>0</v>
      </c>
      <c r="H312" s="168">
        <v>0</v>
      </c>
      <c r="I312" s="168">
        <v>3</v>
      </c>
      <c r="J312" s="168">
        <v>0</v>
      </c>
      <c r="K312" s="121">
        <v>0</v>
      </c>
      <c r="L312" s="76">
        <f t="shared" si="61"/>
        <v>3</v>
      </c>
      <c r="M312" s="168"/>
      <c r="N312" s="169"/>
      <c r="O312" s="76"/>
      <c r="P312" s="169">
        <f t="shared" si="62"/>
        <v>0</v>
      </c>
      <c r="Q312" s="76">
        <f t="shared" si="63"/>
        <v>-3</v>
      </c>
      <c r="R312" s="76"/>
      <c r="S312" s="56"/>
      <c r="T312" s="74">
        <f t="shared" si="51"/>
        <v>0</v>
      </c>
      <c r="U312" s="74">
        <v>0</v>
      </c>
      <c r="V312" s="74">
        <f t="shared" si="52"/>
        <v>0</v>
      </c>
      <c r="W312" s="74">
        <f t="shared" si="53"/>
        <v>4200</v>
      </c>
      <c r="X312" s="74">
        <f t="shared" si="54"/>
        <v>0</v>
      </c>
      <c r="Y312" s="74">
        <f t="shared" si="55"/>
        <v>0</v>
      </c>
      <c r="Z312" s="74">
        <f t="shared" si="56"/>
        <v>4200</v>
      </c>
      <c r="AA312" s="75">
        <f t="shared" si="60"/>
        <v>4200</v>
      </c>
      <c r="AB312" s="75">
        <f t="shared" si="64"/>
        <v>0</v>
      </c>
    </row>
    <row r="313" spans="1:28" s="157" customFormat="1">
      <c r="A313" s="167"/>
      <c r="B313" s="163" t="s">
        <v>788</v>
      </c>
      <c r="C313" s="158"/>
      <c r="D313" s="131" t="s">
        <v>697</v>
      </c>
      <c r="E313" s="125">
        <v>0</v>
      </c>
      <c r="F313" s="132">
        <v>370</v>
      </c>
      <c r="G313" s="121">
        <v>0</v>
      </c>
      <c r="H313" s="168">
        <v>0</v>
      </c>
      <c r="I313" s="168">
        <v>6</v>
      </c>
      <c r="J313" s="168">
        <v>0</v>
      </c>
      <c r="K313" s="121">
        <v>0</v>
      </c>
      <c r="L313" s="76">
        <f t="shared" si="61"/>
        <v>6</v>
      </c>
      <c r="M313" s="161">
        <v>6</v>
      </c>
      <c r="N313" s="169"/>
      <c r="O313" s="76"/>
      <c r="P313" s="169">
        <f t="shared" si="62"/>
        <v>6</v>
      </c>
      <c r="Q313" s="76">
        <f t="shared" si="63"/>
        <v>0</v>
      </c>
      <c r="R313" s="76"/>
      <c r="S313" s="56"/>
      <c r="T313" s="74">
        <f t="shared" si="51"/>
        <v>0</v>
      </c>
      <c r="U313" s="74">
        <v>0</v>
      </c>
      <c r="V313" s="74">
        <f t="shared" si="52"/>
        <v>0</v>
      </c>
      <c r="W313" s="74">
        <f t="shared" si="53"/>
        <v>2220</v>
      </c>
      <c r="X313" s="74">
        <f t="shared" si="54"/>
        <v>0</v>
      </c>
      <c r="Y313" s="74">
        <f t="shared" si="55"/>
        <v>0</v>
      </c>
      <c r="Z313" s="74">
        <f t="shared" si="56"/>
        <v>2220</v>
      </c>
      <c r="AA313" s="75">
        <f t="shared" si="60"/>
        <v>2220</v>
      </c>
      <c r="AB313" s="75">
        <f t="shared" si="64"/>
        <v>0</v>
      </c>
    </row>
    <row r="314" spans="1:28" s="157" customFormat="1" ht="30">
      <c r="A314" s="167"/>
      <c r="B314" s="163" t="s">
        <v>793</v>
      </c>
      <c r="C314" s="158"/>
      <c r="D314" s="131" t="s">
        <v>698</v>
      </c>
      <c r="E314" s="125">
        <v>0</v>
      </c>
      <c r="F314" s="132">
        <v>372.5</v>
      </c>
      <c r="G314" s="121">
        <v>0</v>
      </c>
      <c r="H314" s="168">
        <v>0</v>
      </c>
      <c r="I314" s="168">
        <v>1</v>
      </c>
      <c r="J314" s="168">
        <v>0</v>
      </c>
      <c r="K314" s="121">
        <v>0</v>
      </c>
      <c r="L314" s="76">
        <f t="shared" si="61"/>
        <v>1</v>
      </c>
      <c r="M314" s="161">
        <v>1</v>
      </c>
      <c r="N314" s="169"/>
      <c r="O314" s="76"/>
      <c r="P314" s="169">
        <f t="shared" si="62"/>
        <v>1</v>
      </c>
      <c r="Q314" s="76">
        <f t="shared" si="63"/>
        <v>0</v>
      </c>
      <c r="R314" s="76"/>
      <c r="S314" s="56"/>
      <c r="T314" s="74">
        <f t="shared" si="51"/>
        <v>0</v>
      </c>
      <c r="U314" s="74">
        <v>0</v>
      </c>
      <c r="V314" s="74">
        <f t="shared" si="52"/>
        <v>0</v>
      </c>
      <c r="W314" s="74">
        <f t="shared" si="53"/>
        <v>372.5</v>
      </c>
      <c r="X314" s="74">
        <f t="shared" si="54"/>
        <v>0</v>
      </c>
      <c r="Y314" s="74">
        <f t="shared" si="55"/>
        <v>0</v>
      </c>
      <c r="Z314" s="74">
        <f t="shared" si="56"/>
        <v>372.5</v>
      </c>
      <c r="AA314" s="75">
        <f t="shared" si="60"/>
        <v>372.5</v>
      </c>
      <c r="AB314" s="75">
        <f t="shared" si="64"/>
        <v>0</v>
      </c>
    </row>
    <row r="315" spans="1:28" s="157" customFormat="1" ht="75">
      <c r="A315" s="167"/>
      <c r="B315" s="163" t="s">
        <v>794</v>
      </c>
      <c r="C315" s="158"/>
      <c r="D315" s="131" t="s">
        <v>699</v>
      </c>
      <c r="E315" s="125">
        <v>0</v>
      </c>
      <c r="F315" s="132">
        <v>801.22</v>
      </c>
      <c r="G315" s="121">
        <v>0</v>
      </c>
      <c r="H315" s="168">
        <v>0</v>
      </c>
      <c r="I315" s="168">
        <v>7</v>
      </c>
      <c r="J315" s="168">
        <v>0</v>
      </c>
      <c r="K315" s="121">
        <v>0</v>
      </c>
      <c r="L315" s="76">
        <f t="shared" si="61"/>
        <v>7</v>
      </c>
      <c r="M315" s="168"/>
      <c r="N315" s="169"/>
      <c r="O315" s="76"/>
      <c r="P315" s="169">
        <f t="shared" si="62"/>
        <v>0</v>
      </c>
      <c r="Q315" s="76">
        <f t="shared" si="63"/>
        <v>-7</v>
      </c>
      <c r="R315" s="76"/>
      <c r="S315" s="56"/>
      <c r="T315" s="74">
        <f t="shared" si="51"/>
        <v>0</v>
      </c>
      <c r="U315" s="74">
        <v>0</v>
      </c>
      <c r="V315" s="74">
        <f t="shared" si="52"/>
        <v>0</v>
      </c>
      <c r="W315" s="74">
        <f t="shared" si="53"/>
        <v>5608.54</v>
      </c>
      <c r="X315" s="74">
        <f t="shared" si="54"/>
        <v>0</v>
      </c>
      <c r="Y315" s="74">
        <f t="shared" si="55"/>
        <v>0</v>
      </c>
      <c r="Z315" s="74">
        <f t="shared" si="56"/>
        <v>5608.54</v>
      </c>
      <c r="AA315" s="75">
        <f t="shared" si="60"/>
        <v>5608.54</v>
      </c>
      <c r="AB315" s="75">
        <f t="shared" si="64"/>
        <v>0</v>
      </c>
    </row>
    <row r="316" spans="1:28" s="157" customFormat="1" ht="30">
      <c r="A316" s="167"/>
      <c r="B316" s="163" t="s">
        <v>795</v>
      </c>
      <c r="C316" s="158"/>
      <c r="D316" s="131" t="s">
        <v>700</v>
      </c>
      <c r="E316" s="125">
        <v>0</v>
      </c>
      <c r="F316" s="132">
        <v>999.98</v>
      </c>
      <c r="G316" s="121">
        <v>0</v>
      </c>
      <c r="H316" s="168">
        <v>0</v>
      </c>
      <c r="I316" s="168">
        <v>1</v>
      </c>
      <c r="J316" s="168">
        <v>0</v>
      </c>
      <c r="K316" s="121">
        <v>0</v>
      </c>
      <c r="L316" s="76">
        <f t="shared" si="61"/>
        <v>1</v>
      </c>
      <c r="M316" s="161">
        <v>1</v>
      </c>
      <c r="N316" s="169"/>
      <c r="O316" s="76"/>
      <c r="P316" s="169">
        <f t="shared" si="62"/>
        <v>1</v>
      </c>
      <c r="Q316" s="76">
        <f t="shared" si="63"/>
        <v>0</v>
      </c>
      <c r="R316" s="76"/>
      <c r="S316" s="56"/>
      <c r="T316" s="74">
        <f t="shared" si="51"/>
        <v>0</v>
      </c>
      <c r="U316" s="74">
        <v>0</v>
      </c>
      <c r="V316" s="74">
        <f t="shared" si="52"/>
        <v>0</v>
      </c>
      <c r="W316" s="74">
        <f t="shared" si="53"/>
        <v>999.98</v>
      </c>
      <c r="X316" s="74">
        <f t="shared" si="54"/>
        <v>0</v>
      </c>
      <c r="Y316" s="74">
        <f t="shared" si="55"/>
        <v>0</v>
      </c>
      <c r="Z316" s="74">
        <f t="shared" si="56"/>
        <v>999.98</v>
      </c>
      <c r="AA316" s="75">
        <f t="shared" si="60"/>
        <v>999.98</v>
      </c>
      <c r="AB316" s="75">
        <f t="shared" si="64"/>
        <v>0</v>
      </c>
    </row>
    <row r="317" spans="1:28" s="157" customFormat="1" ht="24">
      <c r="A317" s="167"/>
      <c r="B317" s="158"/>
      <c r="C317" s="158"/>
      <c r="D317" s="124" t="s">
        <v>735</v>
      </c>
      <c r="E317" s="125">
        <v>0</v>
      </c>
      <c r="F317" s="125">
        <v>204</v>
      </c>
      <c r="G317" s="121">
        <v>0</v>
      </c>
      <c r="H317" s="168">
        <v>1</v>
      </c>
      <c r="I317" s="168">
        <v>0</v>
      </c>
      <c r="J317" s="168">
        <v>0</v>
      </c>
      <c r="K317" s="121">
        <v>0</v>
      </c>
      <c r="L317" s="76">
        <f t="shared" si="61"/>
        <v>1</v>
      </c>
      <c r="M317" s="168"/>
      <c r="N317" s="169"/>
      <c r="O317" s="76"/>
      <c r="P317" s="169"/>
      <c r="Q317" s="76">
        <f t="shared" si="63"/>
        <v>-1</v>
      </c>
      <c r="R317" s="76"/>
      <c r="S317" s="56"/>
      <c r="T317" s="74">
        <f t="shared" si="51"/>
        <v>0</v>
      </c>
      <c r="U317" s="74">
        <v>0</v>
      </c>
      <c r="V317" s="74">
        <f t="shared" si="52"/>
        <v>204</v>
      </c>
      <c r="W317" s="74">
        <f t="shared" si="53"/>
        <v>0</v>
      </c>
      <c r="X317" s="74">
        <f t="shared" si="54"/>
        <v>0</v>
      </c>
      <c r="Y317" s="74">
        <f t="shared" si="55"/>
        <v>0</v>
      </c>
      <c r="Z317" s="74">
        <f t="shared" si="56"/>
        <v>204</v>
      </c>
      <c r="AA317" s="75">
        <f t="shared" si="60"/>
        <v>204</v>
      </c>
      <c r="AB317" s="75">
        <f t="shared" si="64"/>
        <v>0</v>
      </c>
    </row>
    <row r="318" spans="1:28">
      <c r="A318" s="133" t="s">
        <v>16</v>
      </c>
      <c r="B318" s="141"/>
      <c r="C318" s="141"/>
      <c r="D318" s="133"/>
      <c r="E318" s="134"/>
      <c r="F318" s="134"/>
      <c r="G318" s="135">
        <f>SUM(G7:G317)</f>
        <v>1630</v>
      </c>
      <c r="H318" s="135">
        <f>SUM(H302:H306)</f>
        <v>0</v>
      </c>
      <c r="I318" s="135">
        <f>SUM(I302:I306)</f>
        <v>0</v>
      </c>
      <c r="J318" s="135">
        <f>SUM(J7:J317)</f>
        <v>259</v>
      </c>
      <c r="K318" s="135">
        <f>SUM(K302:K306)</f>
        <v>0</v>
      </c>
      <c r="L318" s="135">
        <f>SUM(L7:L316)</f>
        <v>1351</v>
      </c>
      <c r="M318" s="138">
        <f>SUM(M302:M306)</f>
        <v>5</v>
      </c>
      <c r="N318" s="138">
        <f>SUM(N302:N306)</f>
        <v>0</v>
      </c>
      <c r="O318" s="137">
        <f>SUM(O302:O306)</f>
        <v>0</v>
      </c>
      <c r="P318" s="138">
        <f>SUM(P302:P306)</f>
        <v>5</v>
      </c>
      <c r="Q318" s="137">
        <f>SUM(Q302:Q306)</f>
        <v>0</v>
      </c>
      <c r="R318" s="137"/>
      <c r="S318" s="56"/>
      <c r="T318" s="136">
        <f>SUM(T7:T317)</f>
        <v>407268.76</v>
      </c>
      <c r="U318" s="136">
        <f t="shared" ref="U318:Z318" si="65">SUM(U7:U317)</f>
        <v>-316.08</v>
      </c>
      <c r="V318" s="136">
        <f t="shared" si="65"/>
        <v>204</v>
      </c>
      <c r="W318" s="136">
        <f>SUM(W7:W317)</f>
        <v>56367.44000000001</v>
      </c>
      <c r="X318" s="136">
        <f t="shared" si="65"/>
        <v>46616.94000000001</v>
      </c>
      <c r="Y318" s="136">
        <f t="shared" si="65"/>
        <v>56274.06</v>
      </c>
      <c r="Z318" s="136">
        <f t="shared" si="65"/>
        <v>360633.11999999994</v>
      </c>
      <c r="AA318" s="77"/>
      <c r="AB318" s="77"/>
    </row>
    <row r="319" spans="1:28" s="78" customFormat="1">
      <c r="D319" s="79"/>
      <c r="E319" s="80"/>
      <c r="F319" s="81"/>
      <c r="G319" s="81"/>
      <c r="H319" s="82"/>
      <c r="Q319" s="83"/>
      <c r="R319" s="83"/>
      <c r="S319" s="83"/>
      <c r="T319" s="83"/>
      <c r="U319" s="83"/>
      <c r="V319" s="83"/>
      <c r="W319" s="83"/>
      <c r="X319" s="83"/>
    </row>
    <row r="320" spans="1:28" s="78" customFormat="1">
      <c r="D320" s="79"/>
      <c r="E320" s="80"/>
      <c r="F320" s="81"/>
      <c r="G320" s="81"/>
      <c r="H320" s="82"/>
      <c r="Q320" s="84"/>
      <c r="R320" s="84"/>
      <c r="S320" s="83"/>
      <c r="T320" s="83"/>
      <c r="U320" s="83"/>
      <c r="V320" s="83"/>
      <c r="W320" s="83"/>
      <c r="X320" s="83"/>
    </row>
    <row r="321" spans="4:29" s="78" customFormat="1">
      <c r="D321" s="79"/>
      <c r="E321" s="80"/>
      <c r="G321" s="85" t="s">
        <v>667</v>
      </c>
      <c r="H321" s="82"/>
      <c r="Q321" s="83"/>
      <c r="R321" s="83"/>
      <c r="S321" s="83"/>
      <c r="T321" s="86"/>
      <c r="U321" s="83"/>
      <c r="V321" s="83"/>
      <c r="W321" s="83"/>
      <c r="X321" s="83"/>
      <c r="Y321" s="164">
        <f>W318-Y318</f>
        <v>93.380000000011933</v>
      </c>
    </row>
    <row r="322" spans="4:29" s="78" customFormat="1">
      <c r="D322" s="79"/>
      <c r="E322" s="80"/>
      <c r="F322" s="81"/>
      <c r="G322" s="81"/>
      <c r="H322" s="82"/>
      <c r="Q322" s="84"/>
      <c r="R322" s="83"/>
      <c r="S322" s="83"/>
      <c r="T322" s="83"/>
      <c r="U322" s="83"/>
      <c r="V322" s="83"/>
      <c r="W322" s="83"/>
      <c r="X322" s="83"/>
      <c r="Z322" s="164"/>
    </row>
    <row r="323" spans="4:29" ht="15.75" customHeight="1">
      <c r="D323" s="251" t="s">
        <v>668</v>
      </c>
      <c r="E323" s="251"/>
      <c r="F323" s="251"/>
      <c r="G323" s="251"/>
      <c r="H323" s="87"/>
      <c r="J323" s="252" t="s">
        <v>669</v>
      </c>
      <c r="K323" s="252"/>
      <c r="L323" s="252"/>
      <c r="M323" s="252"/>
      <c r="N323" s="252"/>
      <c r="O323" s="252"/>
      <c r="P323" s="88"/>
      <c r="Q323" s="89"/>
      <c r="R323" s="89"/>
      <c r="S323" s="90"/>
      <c r="T323" s="90"/>
      <c r="U323" s="252" t="s">
        <v>670</v>
      </c>
      <c r="V323" s="252"/>
      <c r="W323" s="252"/>
      <c r="X323" s="252"/>
      <c r="AC323" s="100"/>
    </row>
    <row r="324" spans="4:29" ht="53.25" customHeight="1">
      <c r="D324" s="242"/>
      <c r="E324" s="242"/>
      <c r="F324" s="242"/>
      <c r="G324" s="242"/>
      <c r="H324" s="91"/>
      <c r="J324" s="243"/>
      <c r="K324" s="243"/>
      <c r="L324" s="243"/>
      <c r="M324" s="243"/>
      <c r="N324" s="243"/>
      <c r="O324" s="92"/>
      <c r="P324" s="93"/>
      <c r="Q324" s="94"/>
      <c r="R324" s="94"/>
      <c r="S324" s="90"/>
      <c r="T324" s="90"/>
      <c r="U324" s="95"/>
      <c r="V324" s="95"/>
      <c r="W324" s="95"/>
      <c r="X324" s="95"/>
    </row>
    <row r="325" spans="4:29" ht="16.5" customHeight="1">
      <c r="D325" s="244" t="s">
        <v>671</v>
      </c>
      <c r="E325" s="244"/>
      <c r="F325" s="244"/>
      <c r="G325" s="244"/>
      <c r="H325" s="91"/>
      <c r="J325" s="245" t="s">
        <v>672</v>
      </c>
      <c r="K325" s="245"/>
      <c r="L325" s="245"/>
      <c r="M325" s="245"/>
      <c r="N325" s="245"/>
      <c r="O325" s="245"/>
      <c r="P325" s="96"/>
      <c r="Q325" s="94"/>
      <c r="R325" s="94"/>
      <c r="S325" s="90"/>
      <c r="T325" s="90"/>
      <c r="U325" s="246" t="s">
        <v>673</v>
      </c>
      <c r="V325" s="246"/>
      <c r="W325" s="246"/>
      <c r="X325" s="246"/>
      <c r="Y325" s="97"/>
    </row>
    <row r="326" spans="4:29" ht="32.25" customHeight="1">
      <c r="D326" s="247" t="s">
        <v>674</v>
      </c>
      <c r="E326" s="247"/>
      <c r="F326" s="247"/>
      <c r="G326" s="247"/>
      <c r="H326" s="91"/>
      <c r="J326" s="247" t="s">
        <v>675</v>
      </c>
      <c r="K326" s="247"/>
      <c r="L326" s="247"/>
      <c r="M326" s="247"/>
      <c r="N326" s="247"/>
      <c r="O326" s="247"/>
      <c r="P326" s="98"/>
      <c r="Q326" s="94"/>
      <c r="R326" s="94"/>
      <c r="S326" s="90"/>
      <c r="T326" s="90"/>
      <c r="U326" s="247" t="s">
        <v>676</v>
      </c>
      <c r="V326" s="247"/>
      <c r="W326" s="247"/>
      <c r="X326" s="247"/>
    </row>
    <row r="327" spans="4:29">
      <c r="J327" s="99"/>
    </row>
    <row r="334" spans="4:29">
      <c r="Q334" s="57"/>
    </row>
    <row r="335" spans="4:29">
      <c r="Q335" s="100"/>
    </row>
    <row r="339" spans="4:4">
      <c r="D339" s="85"/>
    </row>
  </sheetData>
  <autoFilter ref="A6:AC318" xr:uid="{364CD9CB-5E9F-4555-9EE0-84EBF2385370}">
    <sortState xmlns:xlrd2="http://schemas.microsoft.com/office/spreadsheetml/2017/richdata2" ref="A7:AC308">
      <sortCondition ref="D6:D308"/>
    </sortState>
  </autoFilter>
  <mergeCells count="15">
    <mergeCell ref="D326:G326"/>
    <mergeCell ref="J326:O326"/>
    <mergeCell ref="U326:X326"/>
    <mergeCell ref="A1:Z1"/>
    <mergeCell ref="A2:Z2"/>
    <mergeCell ref="A3:Z3"/>
    <mergeCell ref="T4:W4"/>
    <mergeCell ref="D323:G323"/>
    <mergeCell ref="J323:O323"/>
    <mergeCell ref="U323:X323"/>
    <mergeCell ref="D324:G324"/>
    <mergeCell ref="J324:N324"/>
    <mergeCell ref="D325:G325"/>
    <mergeCell ref="J325:O325"/>
    <mergeCell ref="U325:X325"/>
  </mergeCells>
  <conditionalFormatting sqref="A1:C5 A6:A7 A113 C113 A8:C60 A240 C240 A114:C237 A62:C112 A61 C61 A239:C239 A238 C238 A241:C1048576">
    <cfRule type="duplicateValues" dxfId="10" priority="1"/>
  </conditionalFormatting>
  <pageMargins left="0.25" right="0.25" top="0.75" bottom="0.75" header="0.3" footer="0.3"/>
  <pageSetup scale="49" fitToHeight="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pane ySplit="6" topLeftCell="A7" activePane="bottomLeft" state="frozen"/>
      <selection pane="bottomLeft" activeCell="F19" sqref="F19"/>
    </sheetView>
  </sheetViews>
  <sheetFormatPr baseColWidth="10" defaultColWidth="14.42578125" defaultRowHeight="15" customHeight="1"/>
  <cols>
    <col min="1" max="1" width="10.7109375" customWidth="1"/>
    <col min="2" max="2" width="31.28515625" customWidth="1"/>
    <col min="3" max="3" width="12.5703125" customWidth="1"/>
    <col min="4" max="4" width="13.7109375" customWidth="1"/>
    <col min="5" max="7" width="11.42578125" customWidth="1"/>
    <col min="8" max="8" width="12.7109375" customWidth="1"/>
    <col min="9" max="14" width="11.42578125" customWidth="1"/>
    <col min="15" max="15" width="14.85546875" customWidth="1"/>
    <col min="16" max="16" width="5" customWidth="1"/>
    <col min="17" max="17" width="13.7109375" customWidth="1"/>
    <col min="18" max="22" width="11.42578125" customWidth="1"/>
    <col min="23" max="23" width="15.28515625" customWidth="1"/>
    <col min="24" max="25" width="11.42578125" hidden="1" customWidth="1"/>
    <col min="26" max="26" width="10.7109375" customWidth="1"/>
  </cols>
  <sheetData>
    <row r="1" spans="1:25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</row>
    <row r="2" spans="1:25">
      <c r="A2" s="255" t="s">
        <v>0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</row>
    <row r="3" spans="1:25">
      <c r="A3" s="253" t="s">
        <v>1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</row>
    <row r="4" spans="1:25">
      <c r="A4" s="1"/>
      <c r="B4" s="1"/>
      <c r="C4" s="2"/>
      <c r="D4" s="2"/>
      <c r="E4" s="2"/>
      <c r="F4" s="1"/>
      <c r="K4" s="1"/>
      <c r="L4" s="1"/>
      <c r="M4" s="1"/>
      <c r="N4" s="1"/>
      <c r="O4" s="1"/>
      <c r="P4" s="3"/>
      <c r="Q4" s="256">
        <v>46113</v>
      </c>
      <c r="R4" s="254"/>
      <c r="S4" s="254"/>
      <c r="T4" s="254"/>
      <c r="U4" s="4"/>
      <c r="V4" s="4"/>
      <c r="W4" s="4"/>
    </row>
    <row r="5" spans="1:25" ht="14.25" customHeight="1">
      <c r="C5" s="4"/>
      <c r="D5" s="4"/>
      <c r="F5" s="3"/>
      <c r="G5" s="3"/>
      <c r="H5" s="3"/>
      <c r="I5" s="3"/>
      <c r="J5" s="3"/>
      <c r="K5" s="3"/>
      <c r="L5" s="5"/>
      <c r="M5" s="3"/>
      <c r="N5" s="3"/>
      <c r="O5" s="6" t="s">
        <v>2</v>
      </c>
      <c r="P5" s="3"/>
      <c r="Q5" s="4"/>
      <c r="R5" s="4"/>
      <c r="S5" s="4"/>
      <c r="T5" s="4"/>
      <c r="U5" s="4"/>
      <c r="V5" s="4"/>
      <c r="W5" s="4"/>
    </row>
    <row r="6" spans="1:25" ht="38.25">
      <c r="A6" s="7" t="s">
        <v>3</v>
      </c>
      <c r="B6" s="7" t="s">
        <v>4</v>
      </c>
      <c r="C6" s="8" t="s">
        <v>5</v>
      </c>
      <c r="D6" s="8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10"/>
      <c r="Q6" s="11" t="s">
        <v>18</v>
      </c>
      <c r="R6" s="12" t="s">
        <v>19</v>
      </c>
      <c r="S6" s="11" t="s">
        <v>20</v>
      </c>
      <c r="T6" s="11" t="s">
        <v>21</v>
      </c>
      <c r="U6" s="11" t="s">
        <v>22</v>
      </c>
      <c r="V6" s="11" t="s">
        <v>23</v>
      </c>
      <c r="W6" s="11" t="s">
        <v>16</v>
      </c>
      <c r="X6" s="13"/>
      <c r="Y6" s="13"/>
    </row>
    <row r="7" spans="1:25">
      <c r="A7" s="14" t="s">
        <v>24</v>
      </c>
      <c r="B7" s="15" t="s">
        <v>25</v>
      </c>
      <c r="C7" s="16">
        <v>125</v>
      </c>
      <c r="D7" s="16">
        <v>125</v>
      </c>
      <c r="E7" s="17">
        <v>5</v>
      </c>
      <c r="F7" s="18">
        <v>0</v>
      </c>
      <c r="G7" s="18">
        <v>0</v>
      </c>
      <c r="H7" s="18">
        <v>0</v>
      </c>
      <c r="I7" s="17">
        <v>0</v>
      </c>
      <c r="J7" s="17">
        <f t="shared" ref="J7:J261" si="0">E7+F7+G7-H7-I7</f>
        <v>5</v>
      </c>
      <c r="K7" s="17">
        <v>5</v>
      </c>
      <c r="L7" s="17">
        <v>0</v>
      </c>
      <c r="M7" s="17">
        <v>0</v>
      </c>
      <c r="N7" s="17">
        <f t="shared" ref="N7:N261" si="1">K7+L7+M7</f>
        <v>5</v>
      </c>
      <c r="O7" s="17">
        <f t="shared" ref="O7:O261" si="2">N7-J7</f>
        <v>0</v>
      </c>
      <c r="P7" s="3"/>
      <c r="Q7" s="19">
        <f t="shared" ref="Q7:Q261" si="3">C7*E7</f>
        <v>625</v>
      </c>
      <c r="R7" s="19">
        <v>0</v>
      </c>
      <c r="S7" s="19">
        <f t="shared" ref="S7:S261" si="4">D7*F7</f>
        <v>0</v>
      </c>
      <c r="T7" s="19">
        <f t="shared" ref="T7:T261" si="5">D7*G7</f>
        <v>0</v>
      </c>
      <c r="U7" s="19">
        <f t="shared" ref="U7:U261" si="6">D7*H7</f>
        <v>0</v>
      </c>
      <c r="V7" s="19">
        <f t="shared" ref="V7:V261" si="7">D7*I7</f>
        <v>0</v>
      </c>
      <c r="W7" s="19">
        <f t="shared" ref="W7:W261" si="8">Q7+R7+S7+T7-U7-V7</f>
        <v>625</v>
      </c>
      <c r="X7" s="20">
        <f t="shared" ref="X7:X261" si="9">J7*D7</f>
        <v>625</v>
      </c>
      <c r="Y7" s="20">
        <f t="shared" ref="Y7:Y261" si="10">X7-W7</f>
        <v>0</v>
      </c>
    </row>
    <row r="8" spans="1:25">
      <c r="A8" s="14" t="s">
        <v>26</v>
      </c>
      <c r="B8" s="15" t="s">
        <v>27</v>
      </c>
      <c r="C8" s="16">
        <v>325</v>
      </c>
      <c r="D8" s="16">
        <v>325</v>
      </c>
      <c r="E8" s="17">
        <v>0</v>
      </c>
      <c r="F8" s="18">
        <v>0</v>
      </c>
      <c r="G8" s="18">
        <v>0</v>
      </c>
      <c r="H8" s="18">
        <v>0</v>
      </c>
      <c r="I8" s="17">
        <v>0</v>
      </c>
      <c r="J8" s="17">
        <f t="shared" si="0"/>
        <v>0</v>
      </c>
      <c r="K8" s="17">
        <v>0</v>
      </c>
      <c r="L8" s="17">
        <v>0</v>
      </c>
      <c r="M8" s="17">
        <v>0</v>
      </c>
      <c r="N8" s="17">
        <f t="shared" si="1"/>
        <v>0</v>
      </c>
      <c r="O8" s="17">
        <f t="shared" si="2"/>
        <v>0</v>
      </c>
      <c r="P8" s="3"/>
      <c r="Q8" s="19">
        <f t="shared" si="3"/>
        <v>0</v>
      </c>
      <c r="R8" s="19">
        <v>0</v>
      </c>
      <c r="S8" s="19">
        <f t="shared" si="4"/>
        <v>0</v>
      </c>
      <c r="T8" s="19">
        <f t="shared" si="5"/>
        <v>0</v>
      </c>
      <c r="U8" s="19">
        <f t="shared" si="6"/>
        <v>0</v>
      </c>
      <c r="V8" s="19">
        <f t="shared" si="7"/>
        <v>0</v>
      </c>
      <c r="W8" s="19">
        <f t="shared" si="8"/>
        <v>0</v>
      </c>
      <c r="X8" s="20">
        <f t="shared" si="9"/>
        <v>0</v>
      </c>
      <c r="Y8" s="20">
        <f t="shared" si="10"/>
        <v>0</v>
      </c>
    </row>
    <row r="9" spans="1:25">
      <c r="A9" s="14" t="s">
        <v>28</v>
      </c>
      <c r="B9" s="15" t="s">
        <v>29</v>
      </c>
      <c r="C9" s="16">
        <v>105.56</v>
      </c>
      <c r="D9" s="16">
        <v>105.56</v>
      </c>
      <c r="E9" s="17">
        <v>0</v>
      </c>
      <c r="F9" s="18">
        <v>0</v>
      </c>
      <c r="G9" s="18">
        <v>0</v>
      </c>
      <c r="H9" s="18">
        <v>0</v>
      </c>
      <c r="I9" s="17">
        <v>0</v>
      </c>
      <c r="J9" s="17">
        <f t="shared" si="0"/>
        <v>0</v>
      </c>
      <c r="K9" s="17">
        <v>0</v>
      </c>
      <c r="L9" s="17">
        <v>0</v>
      </c>
      <c r="M9" s="17">
        <v>0</v>
      </c>
      <c r="N9" s="17">
        <f t="shared" si="1"/>
        <v>0</v>
      </c>
      <c r="O9" s="17">
        <f t="shared" si="2"/>
        <v>0</v>
      </c>
      <c r="P9" s="3"/>
      <c r="Q9" s="19">
        <f t="shared" si="3"/>
        <v>0</v>
      </c>
      <c r="R9" s="19">
        <v>0</v>
      </c>
      <c r="S9" s="19">
        <f t="shared" si="4"/>
        <v>0</v>
      </c>
      <c r="T9" s="19">
        <f t="shared" si="5"/>
        <v>0</v>
      </c>
      <c r="U9" s="19">
        <f t="shared" si="6"/>
        <v>0</v>
      </c>
      <c r="V9" s="19">
        <f t="shared" si="7"/>
        <v>0</v>
      </c>
      <c r="W9" s="19">
        <f t="shared" si="8"/>
        <v>0</v>
      </c>
      <c r="X9" s="20">
        <f t="shared" si="9"/>
        <v>0</v>
      </c>
      <c r="Y9" s="20">
        <f t="shared" si="10"/>
        <v>0</v>
      </c>
    </row>
    <row r="10" spans="1:25">
      <c r="A10" s="14" t="s">
        <v>30</v>
      </c>
      <c r="B10" s="15" t="s">
        <v>31</v>
      </c>
      <c r="C10" s="16">
        <v>105.56</v>
      </c>
      <c r="D10" s="16">
        <v>105.56</v>
      </c>
      <c r="E10" s="17">
        <v>0</v>
      </c>
      <c r="F10" s="18">
        <v>0</v>
      </c>
      <c r="G10" s="18">
        <v>0</v>
      </c>
      <c r="H10" s="18">
        <v>0</v>
      </c>
      <c r="I10" s="17">
        <v>0</v>
      </c>
      <c r="J10" s="17">
        <f t="shared" si="0"/>
        <v>0</v>
      </c>
      <c r="K10" s="17">
        <v>0</v>
      </c>
      <c r="L10" s="17">
        <v>0</v>
      </c>
      <c r="M10" s="17">
        <v>0</v>
      </c>
      <c r="N10" s="17">
        <f t="shared" si="1"/>
        <v>0</v>
      </c>
      <c r="O10" s="17">
        <f t="shared" si="2"/>
        <v>0</v>
      </c>
      <c r="P10" s="3"/>
      <c r="Q10" s="19">
        <f t="shared" si="3"/>
        <v>0</v>
      </c>
      <c r="R10" s="19">
        <v>0</v>
      </c>
      <c r="S10" s="19">
        <f t="shared" si="4"/>
        <v>0</v>
      </c>
      <c r="T10" s="19">
        <f t="shared" si="5"/>
        <v>0</v>
      </c>
      <c r="U10" s="19">
        <f t="shared" si="6"/>
        <v>0</v>
      </c>
      <c r="V10" s="19">
        <f t="shared" si="7"/>
        <v>0</v>
      </c>
      <c r="W10" s="19">
        <f t="shared" si="8"/>
        <v>0</v>
      </c>
      <c r="X10" s="20">
        <f t="shared" si="9"/>
        <v>0</v>
      </c>
      <c r="Y10" s="20">
        <f t="shared" si="10"/>
        <v>0</v>
      </c>
    </row>
    <row r="11" spans="1:25">
      <c r="A11" s="14" t="s">
        <v>32</v>
      </c>
      <c r="B11" s="15" t="s">
        <v>33</v>
      </c>
      <c r="C11" s="16">
        <v>325</v>
      </c>
      <c r="D11" s="16">
        <v>325</v>
      </c>
      <c r="E11" s="17">
        <v>0</v>
      </c>
      <c r="F11" s="18">
        <v>0</v>
      </c>
      <c r="G11" s="18">
        <v>0</v>
      </c>
      <c r="H11" s="18">
        <v>0</v>
      </c>
      <c r="I11" s="17">
        <v>0</v>
      </c>
      <c r="J11" s="17">
        <f t="shared" si="0"/>
        <v>0</v>
      </c>
      <c r="K11" s="17">
        <v>0</v>
      </c>
      <c r="L11" s="17">
        <v>0</v>
      </c>
      <c r="M11" s="17">
        <v>0</v>
      </c>
      <c r="N11" s="17">
        <f t="shared" si="1"/>
        <v>0</v>
      </c>
      <c r="O11" s="17">
        <f t="shared" si="2"/>
        <v>0</v>
      </c>
      <c r="P11" s="3"/>
      <c r="Q11" s="19">
        <f t="shared" si="3"/>
        <v>0</v>
      </c>
      <c r="R11" s="19">
        <v>0</v>
      </c>
      <c r="S11" s="19">
        <f t="shared" si="4"/>
        <v>0</v>
      </c>
      <c r="T11" s="19">
        <f t="shared" si="5"/>
        <v>0</v>
      </c>
      <c r="U11" s="19">
        <f t="shared" si="6"/>
        <v>0</v>
      </c>
      <c r="V11" s="19">
        <f t="shared" si="7"/>
        <v>0</v>
      </c>
      <c r="W11" s="19">
        <f t="shared" si="8"/>
        <v>0</v>
      </c>
      <c r="X11" s="20">
        <f t="shared" si="9"/>
        <v>0</v>
      </c>
      <c r="Y11" s="20">
        <f t="shared" si="10"/>
        <v>0</v>
      </c>
    </row>
    <row r="12" spans="1:25">
      <c r="A12" s="14" t="s">
        <v>34</v>
      </c>
      <c r="B12" s="15" t="s">
        <v>35</v>
      </c>
      <c r="C12" s="16">
        <v>263.58</v>
      </c>
      <c r="D12" s="16">
        <v>263.58</v>
      </c>
      <c r="E12" s="17">
        <v>15</v>
      </c>
      <c r="F12" s="18">
        <v>0</v>
      </c>
      <c r="G12" s="18">
        <v>0</v>
      </c>
      <c r="H12" s="18">
        <v>0</v>
      </c>
      <c r="I12" s="17">
        <v>0</v>
      </c>
      <c r="J12" s="17">
        <f t="shared" si="0"/>
        <v>15</v>
      </c>
      <c r="K12" s="17">
        <v>15</v>
      </c>
      <c r="L12" s="17">
        <v>0</v>
      </c>
      <c r="M12" s="17">
        <v>0</v>
      </c>
      <c r="N12" s="17">
        <f t="shared" si="1"/>
        <v>15</v>
      </c>
      <c r="O12" s="17">
        <f t="shared" si="2"/>
        <v>0</v>
      </c>
      <c r="P12" s="3"/>
      <c r="Q12" s="19">
        <f t="shared" si="3"/>
        <v>3953.7</v>
      </c>
      <c r="R12" s="19">
        <v>0</v>
      </c>
      <c r="S12" s="19">
        <f t="shared" si="4"/>
        <v>0</v>
      </c>
      <c r="T12" s="19">
        <f t="shared" si="5"/>
        <v>0</v>
      </c>
      <c r="U12" s="19">
        <f t="shared" si="6"/>
        <v>0</v>
      </c>
      <c r="V12" s="19">
        <f t="shared" si="7"/>
        <v>0</v>
      </c>
      <c r="W12" s="19">
        <f t="shared" si="8"/>
        <v>3953.7</v>
      </c>
      <c r="X12" s="20">
        <f t="shared" si="9"/>
        <v>3953.7</v>
      </c>
      <c r="Y12" s="20">
        <f t="shared" si="10"/>
        <v>0</v>
      </c>
    </row>
    <row r="13" spans="1:25">
      <c r="A13" s="14" t="s">
        <v>36</v>
      </c>
      <c r="B13" s="15" t="s">
        <v>37</v>
      </c>
      <c r="C13" s="16">
        <v>0</v>
      </c>
      <c r="D13" s="16">
        <v>0</v>
      </c>
      <c r="E13" s="17">
        <v>0</v>
      </c>
      <c r="F13" s="18">
        <v>0</v>
      </c>
      <c r="G13" s="18">
        <v>0</v>
      </c>
      <c r="H13" s="18">
        <v>0</v>
      </c>
      <c r="I13" s="17">
        <v>0</v>
      </c>
      <c r="J13" s="17">
        <f t="shared" si="0"/>
        <v>0</v>
      </c>
      <c r="K13" s="17">
        <v>0</v>
      </c>
      <c r="L13" s="17">
        <v>0</v>
      </c>
      <c r="M13" s="17">
        <v>0</v>
      </c>
      <c r="N13" s="17">
        <f t="shared" si="1"/>
        <v>0</v>
      </c>
      <c r="O13" s="17">
        <f t="shared" si="2"/>
        <v>0</v>
      </c>
      <c r="P13" s="3"/>
      <c r="Q13" s="19">
        <f t="shared" si="3"/>
        <v>0</v>
      </c>
      <c r="R13" s="19">
        <v>0</v>
      </c>
      <c r="S13" s="19">
        <f t="shared" si="4"/>
        <v>0</v>
      </c>
      <c r="T13" s="19">
        <f t="shared" si="5"/>
        <v>0</v>
      </c>
      <c r="U13" s="19">
        <f t="shared" si="6"/>
        <v>0</v>
      </c>
      <c r="V13" s="19">
        <f t="shared" si="7"/>
        <v>0</v>
      </c>
      <c r="W13" s="19">
        <f t="shared" si="8"/>
        <v>0</v>
      </c>
      <c r="X13" s="20">
        <f t="shared" si="9"/>
        <v>0</v>
      </c>
      <c r="Y13" s="20">
        <f t="shared" si="10"/>
        <v>0</v>
      </c>
    </row>
    <row r="14" spans="1:25">
      <c r="A14" s="14" t="s">
        <v>38</v>
      </c>
      <c r="B14" s="15" t="s">
        <v>39</v>
      </c>
      <c r="C14" s="16">
        <v>1010</v>
      </c>
      <c r="D14" s="16">
        <v>1010</v>
      </c>
      <c r="E14" s="17">
        <v>1</v>
      </c>
      <c r="F14" s="18">
        <v>0</v>
      </c>
      <c r="G14" s="18">
        <v>0</v>
      </c>
      <c r="H14" s="18">
        <v>0</v>
      </c>
      <c r="I14" s="17">
        <v>0</v>
      </c>
      <c r="J14" s="17">
        <f t="shared" si="0"/>
        <v>1</v>
      </c>
      <c r="K14" s="17">
        <v>1</v>
      </c>
      <c r="L14" s="17">
        <v>0</v>
      </c>
      <c r="M14" s="17">
        <v>0</v>
      </c>
      <c r="N14" s="17">
        <f t="shared" si="1"/>
        <v>1</v>
      </c>
      <c r="O14" s="17">
        <f t="shared" si="2"/>
        <v>0</v>
      </c>
      <c r="P14" s="3"/>
      <c r="Q14" s="19">
        <f t="shared" si="3"/>
        <v>1010</v>
      </c>
      <c r="R14" s="19">
        <v>0</v>
      </c>
      <c r="S14" s="19">
        <f t="shared" si="4"/>
        <v>0</v>
      </c>
      <c r="T14" s="19">
        <f t="shared" si="5"/>
        <v>0</v>
      </c>
      <c r="U14" s="19">
        <f t="shared" si="6"/>
        <v>0</v>
      </c>
      <c r="V14" s="19">
        <f t="shared" si="7"/>
        <v>0</v>
      </c>
      <c r="W14" s="19">
        <f t="shared" si="8"/>
        <v>1010</v>
      </c>
      <c r="X14" s="20">
        <f t="shared" si="9"/>
        <v>1010</v>
      </c>
      <c r="Y14" s="20">
        <f t="shared" si="10"/>
        <v>0</v>
      </c>
    </row>
    <row r="15" spans="1:25">
      <c r="A15" s="14" t="s">
        <v>40</v>
      </c>
      <c r="B15" s="15" t="s">
        <v>41</v>
      </c>
      <c r="C15" s="16">
        <v>320</v>
      </c>
      <c r="D15" s="16">
        <v>320</v>
      </c>
      <c r="E15" s="17">
        <v>2</v>
      </c>
      <c r="F15" s="18">
        <v>0</v>
      </c>
      <c r="G15" s="18">
        <v>0</v>
      </c>
      <c r="H15" s="18">
        <v>0</v>
      </c>
      <c r="I15" s="17">
        <v>0</v>
      </c>
      <c r="J15" s="17">
        <f t="shared" si="0"/>
        <v>2</v>
      </c>
      <c r="K15" s="17">
        <v>2</v>
      </c>
      <c r="L15" s="17">
        <v>0</v>
      </c>
      <c r="M15" s="17">
        <v>0</v>
      </c>
      <c r="N15" s="17">
        <f t="shared" si="1"/>
        <v>2</v>
      </c>
      <c r="O15" s="17">
        <f t="shared" si="2"/>
        <v>0</v>
      </c>
      <c r="P15" s="3"/>
      <c r="Q15" s="19">
        <f t="shared" si="3"/>
        <v>640</v>
      </c>
      <c r="R15" s="19">
        <v>0</v>
      </c>
      <c r="S15" s="19">
        <f t="shared" si="4"/>
        <v>0</v>
      </c>
      <c r="T15" s="19">
        <f t="shared" si="5"/>
        <v>0</v>
      </c>
      <c r="U15" s="19">
        <f t="shared" si="6"/>
        <v>0</v>
      </c>
      <c r="V15" s="19">
        <f t="shared" si="7"/>
        <v>0</v>
      </c>
      <c r="W15" s="19">
        <f t="shared" si="8"/>
        <v>640</v>
      </c>
      <c r="X15" s="20">
        <f t="shared" si="9"/>
        <v>640</v>
      </c>
      <c r="Y15" s="20">
        <f t="shared" si="10"/>
        <v>0</v>
      </c>
    </row>
    <row r="16" spans="1:25">
      <c r="A16" s="14" t="s">
        <v>42</v>
      </c>
      <c r="B16" s="15" t="s">
        <v>43</v>
      </c>
      <c r="C16" s="16">
        <v>1</v>
      </c>
      <c r="D16" s="16">
        <v>1</v>
      </c>
      <c r="E16" s="17">
        <v>10</v>
      </c>
      <c r="F16" s="18">
        <v>0</v>
      </c>
      <c r="G16" s="18">
        <v>0</v>
      </c>
      <c r="H16" s="18">
        <v>0</v>
      </c>
      <c r="I16" s="17">
        <v>0</v>
      </c>
      <c r="J16" s="17">
        <f t="shared" si="0"/>
        <v>10</v>
      </c>
      <c r="K16" s="17">
        <v>10</v>
      </c>
      <c r="L16" s="17">
        <v>0</v>
      </c>
      <c r="M16" s="17">
        <v>0</v>
      </c>
      <c r="N16" s="17">
        <f t="shared" si="1"/>
        <v>10</v>
      </c>
      <c r="O16" s="17">
        <f t="shared" si="2"/>
        <v>0</v>
      </c>
      <c r="P16" s="3"/>
      <c r="Q16" s="19">
        <f t="shared" si="3"/>
        <v>10</v>
      </c>
      <c r="R16" s="19">
        <v>0</v>
      </c>
      <c r="S16" s="19">
        <f t="shared" si="4"/>
        <v>0</v>
      </c>
      <c r="T16" s="19">
        <f t="shared" si="5"/>
        <v>0</v>
      </c>
      <c r="U16" s="19">
        <f t="shared" si="6"/>
        <v>0</v>
      </c>
      <c r="V16" s="19">
        <f t="shared" si="7"/>
        <v>0</v>
      </c>
      <c r="W16" s="19">
        <f t="shared" si="8"/>
        <v>10</v>
      </c>
      <c r="X16" s="20">
        <f t="shared" si="9"/>
        <v>10</v>
      </c>
      <c r="Y16" s="20">
        <f t="shared" si="10"/>
        <v>0</v>
      </c>
    </row>
    <row r="17" spans="1:25">
      <c r="A17" s="14" t="s">
        <v>44</v>
      </c>
      <c r="B17" s="15" t="s">
        <v>45</v>
      </c>
      <c r="C17" s="16">
        <v>217.5</v>
      </c>
      <c r="D17" s="16">
        <v>217.5</v>
      </c>
      <c r="E17" s="17">
        <v>4</v>
      </c>
      <c r="F17" s="18">
        <v>0</v>
      </c>
      <c r="G17" s="18">
        <v>0</v>
      </c>
      <c r="H17" s="18">
        <v>0</v>
      </c>
      <c r="I17" s="17">
        <v>0</v>
      </c>
      <c r="J17" s="17">
        <f t="shared" si="0"/>
        <v>4</v>
      </c>
      <c r="K17" s="17">
        <v>4</v>
      </c>
      <c r="L17" s="17">
        <v>0</v>
      </c>
      <c r="M17" s="17">
        <v>0</v>
      </c>
      <c r="N17" s="17">
        <f t="shared" si="1"/>
        <v>4</v>
      </c>
      <c r="O17" s="17">
        <f t="shared" si="2"/>
        <v>0</v>
      </c>
      <c r="P17" s="3"/>
      <c r="Q17" s="19">
        <f t="shared" si="3"/>
        <v>870</v>
      </c>
      <c r="R17" s="19">
        <v>0</v>
      </c>
      <c r="S17" s="19">
        <f t="shared" si="4"/>
        <v>0</v>
      </c>
      <c r="T17" s="19">
        <f t="shared" si="5"/>
        <v>0</v>
      </c>
      <c r="U17" s="19">
        <f t="shared" si="6"/>
        <v>0</v>
      </c>
      <c r="V17" s="19">
        <f t="shared" si="7"/>
        <v>0</v>
      </c>
      <c r="W17" s="19">
        <f t="shared" si="8"/>
        <v>870</v>
      </c>
      <c r="X17" s="20">
        <f t="shared" si="9"/>
        <v>870</v>
      </c>
      <c r="Y17" s="20">
        <f t="shared" si="10"/>
        <v>0</v>
      </c>
    </row>
    <row r="18" spans="1:25">
      <c r="A18" s="14" t="s">
        <v>46</v>
      </c>
      <c r="B18" s="15" t="s">
        <v>47</v>
      </c>
      <c r="C18" s="16">
        <v>1193.5</v>
      </c>
      <c r="D18" s="16">
        <v>1193.5</v>
      </c>
      <c r="E18" s="17">
        <v>1</v>
      </c>
      <c r="F18" s="18">
        <v>0</v>
      </c>
      <c r="G18" s="18">
        <v>0</v>
      </c>
      <c r="H18" s="18">
        <v>0</v>
      </c>
      <c r="I18" s="17">
        <v>0</v>
      </c>
      <c r="J18" s="17">
        <f t="shared" si="0"/>
        <v>1</v>
      </c>
      <c r="K18" s="17">
        <v>1</v>
      </c>
      <c r="L18" s="17">
        <v>0</v>
      </c>
      <c r="M18" s="17">
        <v>0</v>
      </c>
      <c r="N18" s="17">
        <f t="shared" si="1"/>
        <v>1</v>
      </c>
      <c r="O18" s="17">
        <f t="shared" si="2"/>
        <v>0</v>
      </c>
      <c r="P18" s="3"/>
      <c r="Q18" s="19">
        <f t="shared" si="3"/>
        <v>1193.5</v>
      </c>
      <c r="R18" s="19">
        <v>0</v>
      </c>
      <c r="S18" s="19">
        <f t="shared" si="4"/>
        <v>0</v>
      </c>
      <c r="T18" s="19">
        <f t="shared" si="5"/>
        <v>0</v>
      </c>
      <c r="U18" s="19">
        <f t="shared" si="6"/>
        <v>0</v>
      </c>
      <c r="V18" s="19">
        <f t="shared" si="7"/>
        <v>0</v>
      </c>
      <c r="W18" s="19">
        <f t="shared" si="8"/>
        <v>1193.5</v>
      </c>
      <c r="X18" s="20">
        <f t="shared" si="9"/>
        <v>1193.5</v>
      </c>
      <c r="Y18" s="20">
        <f t="shared" si="10"/>
        <v>0</v>
      </c>
    </row>
    <row r="19" spans="1:25">
      <c r="A19" s="14" t="s">
        <v>48</v>
      </c>
      <c r="B19" s="15" t="s">
        <v>49</v>
      </c>
      <c r="C19" s="16">
        <v>580</v>
      </c>
      <c r="D19" s="16">
        <v>580</v>
      </c>
      <c r="E19" s="17">
        <v>0</v>
      </c>
      <c r="F19" s="18">
        <v>0</v>
      </c>
      <c r="G19" s="18">
        <v>0</v>
      </c>
      <c r="H19" s="18">
        <v>0</v>
      </c>
      <c r="I19" s="17">
        <v>0</v>
      </c>
      <c r="J19" s="17">
        <f t="shared" si="0"/>
        <v>0</v>
      </c>
      <c r="K19" s="17">
        <v>0</v>
      </c>
      <c r="L19" s="17">
        <v>0</v>
      </c>
      <c r="M19" s="17">
        <v>0</v>
      </c>
      <c r="N19" s="17">
        <f t="shared" si="1"/>
        <v>0</v>
      </c>
      <c r="O19" s="17">
        <f t="shared" si="2"/>
        <v>0</v>
      </c>
      <c r="P19" s="3"/>
      <c r="Q19" s="19">
        <f t="shared" si="3"/>
        <v>0</v>
      </c>
      <c r="R19" s="19">
        <v>0</v>
      </c>
      <c r="S19" s="19">
        <f t="shared" si="4"/>
        <v>0</v>
      </c>
      <c r="T19" s="19">
        <f t="shared" si="5"/>
        <v>0</v>
      </c>
      <c r="U19" s="19">
        <f t="shared" si="6"/>
        <v>0</v>
      </c>
      <c r="V19" s="19">
        <f t="shared" si="7"/>
        <v>0</v>
      </c>
      <c r="W19" s="19">
        <f t="shared" si="8"/>
        <v>0</v>
      </c>
      <c r="X19" s="20">
        <f t="shared" si="9"/>
        <v>0</v>
      </c>
      <c r="Y19" s="20">
        <f t="shared" si="10"/>
        <v>0</v>
      </c>
    </row>
    <row r="20" spans="1:25">
      <c r="A20" s="14" t="s">
        <v>50</v>
      </c>
      <c r="B20" s="15" t="s">
        <v>51</v>
      </c>
      <c r="C20" s="16">
        <v>700</v>
      </c>
      <c r="D20" s="16">
        <v>700</v>
      </c>
      <c r="E20" s="17">
        <v>2</v>
      </c>
      <c r="F20" s="18">
        <v>0</v>
      </c>
      <c r="G20" s="18">
        <v>0</v>
      </c>
      <c r="H20" s="18">
        <v>0</v>
      </c>
      <c r="I20" s="17">
        <v>0</v>
      </c>
      <c r="J20" s="17">
        <f t="shared" si="0"/>
        <v>2</v>
      </c>
      <c r="K20" s="17">
        <v>2</v>
      </c>
      <c r="L20" s="17">
        <v>0</v>
      </c>
      <c r="M20" s="17">
        <v>0</v>
      </c>
      <c r="N20" s="17">
        <f t="shared" si="1"/>
        <v>2</v>
      </c>
      <c r="O20" s="17">
        <f t="shared" si="2"/>
        <v>0</v>
      </c>
      <c r="P20" s="3"/>
      <c r="Q20" s="19">
        <f t="shared" si="3"/>
        <v>1400</v>
      </c>
      <c r="R20" s="19">
        <v>0</v>
      </c>
      <c r="S20" s="19">
        <f t="shared" si="4"/>
        <v>0</v>
      </c>
      <c r="T20" s="19">
        <f t="shared" si="5"/>
        <v>0</v>
      </c>
      <c r="U20" s="19">
        <f t="shared" si="6"/>
        <v>0</v>
      </c>
      <c r="V20" s="19">
        <f t="shared" si="7"/>
        <v>0</v>
      </c>
      <c r="W20" s="19">
        <f t="shared" si="8"/>
        <v>1400</v>
      </c>
      <c r="X20" s="20">
        <f t="shared" si="9"/>
        <v>1400</v>
      </c>
      <c r="Y20" s="20">
        <f t="shared" si="10"/>
        <v>0</v>
      </c>
    </row>
    <row r="21" spans="1:25" ht="15.75" customHeight="1">
      <c r="A21" s="14" t="s">
        <v>52</v>
      </c>
      <c r="B21" s="15" t="s">
        <v>53</v>
      </c>
      <c r="C21" s="16">
        <v>1020</v>
      </c>
      <c r="D21" s="16">
        <v>1020</v>
      </c>
      <c r="E21" s="17">
        <v>1</v>
      </c>
      <c r="F21" s="18">
        <v>0</v>
      </c>
      <c r="G21" s="18">
        <v>0</v>
      </c>
      <c r="H21" s="18">
        <v>0</v>
      </c>
      <c r="I21" s="17">
        <v>0</v>
      </c>
      <c r="J21" s="17">
        <f t="shared" si="0"/>
        <v>1</v>
      </c>
      <c r="K21" s="17">
        <v>1</v>
      </c>
      <c r="L21" s="17">
        <v>0</v>
      </c>
      <c r="M21" s="17">
        <v>0</v>
      </c>
      <c r="N21" s="17">
        <f t="shared" si="1"/>
        <v>1</v>
      </c>
      <c r="O21" s="17">
        <f t="shared" si="2"/>
        <v>0</v>
      </c>
      <c r="P21" s="3"/>
      <c r="Q21" s="19">
        <f t="shared" si="3"/>
        <v>1020</v>
      </c>
      <c r="R21" s="19">
        <v>0</v>
      </c>
      <c r="S21" s="19">
        <f t="shared" si="4"/>
        <v>0</v>
      </c>
      <c r="T21" s="19">
        <f t="shared" si="5"/>
        <v>0</v>
      </c>
      <c r="U21" s="19">
        <f t="shared" si="6"/>
        <v>0</v>
      </c>
      <c r="V21" s="19">
        <f t="shared" si="7"/>
        <v>0</v>
      </c>
      <c r="W21" s="19">
        <f t="shared" si="8"/>
        <v>1020</v>
      </c>
      <c r="X21" s="20">
        <f t="shared" si="9"/>
        <v>1020</v>
      </c>
      <c r="Y21" s="20">
        <f t="shared" si="10"/>
        <v>0</v>
      </c>
    </row>
    <row r="22" spans="1:25" ht="15.75" customHeight="1">
      <c r="A22" s="14" t="s">
        <v>54</v>
      </c>
      <c r="B22" s="15" t="s">
        <v>55</v>
      </c>
      <c r="C22" s="16">
        <v>253</v>
      </c>
      <c r="D22" s="16">
        <v>253</v>
      </c>
      <c r="E22" s="17">
        <v>0</v>
      </c>
      <c r="F22" s="18">
        <v>0</v>
      </c>
      <c r="G22" s="18">
        <v>0</v>
      </c>
      <c r="H22" s="18">
        <v>0</v>
      </c>
      <c r="I22" s="17">
        <v>0</v>
      </c>
      <c r="J22" s="17">
        <f t="shared" si="0"/>
        <v>0</v>
      </c>
      <c r="K22" s="17">
        <v>0</v>
      </c>
      <c r="L22" s="17">
        <v>0</v>
      </c>
      <c r="M22" s="17">
        <v>0</v>
      </c>
      <c r="N22" s="17">
        <f t="shared" si="1"/>
        <v>0</v>
      </c>
      <c r="O22" s="17">
        <f t="shared" si="2"/>
        <v>0</v>
      </c>
      <c r="P22" s="3"/>
      <c r="Q22" s="19">
        <f t="shared" si="3"/>
        <v>0</v>
      </c>
      <c r="R22" s="19">
        <v>0</v>
      </c>
      <c r="S22" s="19">
        <f t="shared" si="4"/>
        <v>0</v>
      </c>
      <c r="T22" s="19">
        <f t="shared" si="5"/>
        <v>0</v>
      </c>
      <c r="U22" s="19">
        <f t="shared" si="6"/>
        <v>0</v>
      </c>
      <c r="V22" s="19">
        <f t="shared" si="7"/>
        <v>0</v>
      </c>
      <c r="W22" s="19">
        <f t="shared" si="8"/>
        <v>0</v>
      </c>
      <c r="X22" s="20">
        <f t="shared" si="9"/>
        <v>0</v>
      </c>
      <c r="Y22" s="20">
        <f t="shared" si="10"/>
        <v>0</v>
      </c>
    </row>
    <row r="23" spans="1:25" ht="15.75" customHeight="1">
      <c r="A23" s="14" t="s">
        <v>56</v>
      </c>
      <c r="B23" s="15" t="s">
        <v>57</v>
      </c>
      <c r="C23" s="16">
        <v>1222.73</v>
      </c>
      <c r="D23" s="16">
        <v>1222.73</v>
      </c>
      <c r="E23" s="17">
        <v>8</v>
      </c>
      <c r="F23" s="18">
        <v>0</v>
      </c>
      <c r="G23" s="18">
        <v>0</v>
      </c>
      <c r="H23" s="18">
        <v>0</v>
      </c>
      <c r="I23" s="17">
        <v>0</v>
      </c>
      <c r="J23" s="17">
        <f t="shared" si="0"/>
        <v>8</v>
      </c>
      <c r="K23" s="17">
        <v>7</v>
      </c>
      <c r="L23" s="17">
        <v>0</v>
      </c>
      <c r="M23" s="17">
        <v>1</v>
      </c>
      <c r="N23" s="17">
        <f t="shared" si="1"/>
        <v>8</v>
      </c>
      <c r="O23" s="17">
        <f t="shared" si="2"/>
        <v>0</v>
      </c>
      <c r="P23" s="3"/>
      <c r="Q23" s="19">
        <f t="shared" si="3"/>
        <v>9781.84</v>
      </c>
      <c r="R23" s="19">
        <v>0</v>
      </c>
      <c r="S23" s="19">
        <f t="shared" si="4"/>
        <v>0</v>
      </c>
      <c r="T23" s="19">
        <f t="shared" si="5"/>
        <v>0</v>
      </c>
      <c r="U23" s="19">
        <f t="shared" si="6"/>
        <v>0</v>
      </c>
      <c r="V23" s="19">
        <f t="shared" si="7"/>
        <v>0</v>
      </c>
      <c r="W23" s="19">
        <f t="shared" si="8"/>
        <v>9781.84</v>
      </c>
      <c r="X23" s="20">
        <f t="shared" si="9"/>
        <v>9781.84</v>
      </c>
      <c r="Y23" s="20">
        <f t="shared" si="10"/>
        <v>0</v>
      </c>
    </row>
    <row r="24" spans="1:25" ht="15.75" customHeight="1">
      <c r="A24" s="14" t="s">
        <v>58</v>
      </c>
      <c r="B24" s="15" t="s">
        <v>59</v>
      </c>
      <c r="C24" s="16">
        <v>190.5</v>
      </c>
      <c r="D24" s="16">
        <v>190.5</v>
      </c>
      <c r="E24" s="17">
        <v>0</v>
      </c>
      <c r="F24" s="18">
        <v>0</v>
      </c>
      <c r="G24" s="18">
        <v>0</v>
      </c>
      <c r="H24" s="18">
        <v>0</v>
      </c>
      <c r="I24" s="17">
        <v>0</v>
      </c>
      <c r="J24" s="17">
        <f t="shared" si="0"/>
        <v>0</v>
      </c>
      <c r="K24" s="17">
        <v>0</v>
      </c>
      <c r="L24" s="17">
        <v>0</v>
      </c>
      <c r="M24" s="17">
        <v>0</v>
      </c>
      <c r="N24" s="17">
        <f t="shared" si="1"/>
        <v>0</v>
      </c>
      <c r="O24" s="17">
        <f t="shared" si="2"/>
        <v>0</v>
      </c>
      <c r="P24" s="3"/>
      <c r="Q24" s="19">
        <f t="shared" si="3"/>
        <v>0</v>
      </c>
      <c r="R24" s="19">
        <v>0</v>
      </c>
      <c r="S24" s="19">
        <f t="shared" si="4"/>
        <v>0</v>
      </c>
      <c r="T24" s="19">
        <f t="shared" si="5"/>
        <v>0</v>
      </c>
      <c r="U24" s="19">
        <f t="shared" si="6"/>
        <v>0</v>
      </c>
      <c r="V24" s="19">
        <f t="shared" si="7"/>
        <v>0</v>
      </c>
      <c r="W24" s="19">
        <f t="shared" si="8"/>
        <v>0</v>
      </c>
      <c r="X24" s="20">
        <f t="shared" si="9"/>
        <v>0</v>
      </c>
      <c r="Y24" s="20">
        <f t="shared" si="10"/>
        <v>0</v>
      </c>
    </row>
    <row r="25" spans="1:25" ht="15.75" customHeight="1">
      <c r="A25" s="14" t="s">
        <v>60</v>
      </c>
      <c r="B25" s="15" t="s">
        <v>61</v>
      </c>
      <c r="C25" s="16">
        <v>440</v>
      </c>
      <c r="D25" s="16">
        <v>440</v>
      </c>
      <c r="E25" s="17">
        <v>0</v>
      </c>
      <c r="F25" s="18">
        <v>0</v>
      </c>
      <c r="G25" s="18">
        <v>0</v>
      </c>
      <c r="H25" s="18">
        <v>0</v>
      </c>
      <c r="I25" s="17">
        <v>0</v>
      </c>
      <c r="J25" s="17">
        <f t="shared" si="0"/>
        <v>0</v>
      </c>
      <c r="K25" s="17">
        <v>0</v>
      </c>
      <c r="L25" s="17">
        <v>0</v>
      </c>
      <c r="M25" s="17">
        <v>0</v>
      </c>
      <c r="N25" s="17">
        <f t="shared" si="1"/>
        <v>0</v>
      </c>
      <c r="O25" s="17">
        <f t="shared" si="2"/>
        <v>0</v>
      </c>
      <c r="P25" s="3"/>
      <c r="Q25" s="19">
        <f t="shared" si="3"/>
        <v>0</v>
      </c>
      <c r="R25" s="19">
        <v>0</v>
      </c>
      <c r="S25" s="19">
        <f t="shared" si="4"/>
        <v>0</v>
      </c>
      <c r="T25" s="19">
        <f t="shared" si="5"/>
        <v>0</v>
      </c>
      <c r="U25" s="19">
        <f t="shared" si="6"/>
        <v>0</v>
      </c>
      <c r="V25" s="19">
        <f t="shared" si="7"/>
        <v>0</v>
      </c>
      <c r="W25" s="19">
        <f t="shared" si="8"/>
        <v>0</v>
      </c>
      <c r="X25" s="20">
        <f t="shared" si="9"/>
        <v>0</v>
      </c>
      <c r="Y25" s="20">
        <f t="shared" si="10"/>
        <v>0</v>
      </c>
    </row>
    <row r="26" spans="1:25" ht="15.75" customHeight="1">
      <c r="A26" s="14" t="s">
        <v>62</v>
      </c>
      <c r="B26" s="15" t="s">
        <v>63</v>
      </c>
      <c r="C26" s="16">
        <v>34.4</v>
      </c>
      <c r="D26" s="16">
        <v>34.4</v>
      </c>
      <c r="E26" s="17">
        <v>2</v>
      </c>
      <c r="F26" s="18">
        <v>0</v>
      </c>
      <c r="G26" s="18">
        <v>0</v>
      </c>
      <c r="H26" s="18">
        <v>0</v>
      </c>
      <c r="I26" s="17">
        <v>0</v>
      </c>
      <c r="J26" s="17">
        <f t="shared" si="0"/>
        <v>2</v>
      </c>
      <c r="K26" s="17">
        <v>2</v>
      </c>
      <c r="L26" s="17">
        <v>0</v>
      </c>
      <c r="M26" s="17">
        <v>0</v>
      </c>
      <c r="N26" s="17">
        <f t="shared" si="1"/>
        <v>2</v>
      </c>
      <c r="O26" s="17">
        <f t="shared" si="2"/>
        <v>0</v>
      </c>
      <c r="P26" s="3"/>
      <c r="Q26" s="19">
        <f t="shared" si="3"/>
        <v>68.8</v>
      </c>
      <c r="R26" s="19">
        <v>0</v>
      </c>
      <c r="S26" s="19">
        <f t="shared" si="4"/>
        <v>0</v>
      </c>
      <c r="T26" s="19">
        <f t="shared" si="5"/>
        <v>0</v>
      </c>
      <c r="U26" s="19">
        <f t="shared" si="6"/>
        <v>0</v>
      </c>
      <c r="V26" s="19">
        <f t="shared" si="7"/>
        <v>0</v>
      </c>
      <c r="W26" s="19">
        <f t="shared" si="8"/>
        <v>68.8</v>
      </c>
      <c r="X26" s="20">
        <f t="shared" si="9"/>
        <v>68.8</v>
      </c>
      <c r="Y26" s="20">
        <f t="shared" si="10"/>
        <v>0</v>
      </c>
    </row>
    <row r="27" spans="1:25" ht="15.75" customHeight="1">
      <c r="A27" s="14" t="s">
        <v>64</v>
      </c>
      <c r="B27" s="15" t="s">
        <v>65</v>
      </c>
      <c r="C27" s="16">
        <v>34.479999999999997</v>
      </c>
      <c r="D27" s="16">
        <v>34.479999999999997</v>
      </c>
      <c r="E27" s="17">
        <v>2</v>
      </c>
      <c r="F27" s="18">
        <v>0</v>
      </c>
      <c r="G27" s="18">
        <v>0</v>
      </c>
      <c r="H27" s="18">
        <v>0</v>
      </c>
      <c r="I27" s="17">
        <v>0</v>
      </c>
      <c r="J27" s="17">
        <f t="shared" si="0"/>
        <v>2</v>
      </c>
      <c r="K27" s="17">
        <v>2</v>
      </c>
      <c r="L27" s="17">
        <v>0</v>
      </c>
      <c r="M27" s="17">
        <v>0</v>
      </c>
      <c r="N27" s="17">
        <f t="shared" si="1"/>
        <v>2</v>
      </c>
      <c r="O27" s="17">
        <f t="shared" si="2"/>
        <v>0</v>
      </c>
      <c r="P27" s="3"/>
      <c r="Q27" s="19">
        <f t="shared" si="3"/>
        <v>68.959999999999994</v>
      </c>
      <c r="R27" s="19">
        <v>0</v>
      </c>
      <c r="S27" s="19">
        <f t="shared" si="4"/>
        <v>0</v>
      </c>
      <c r="T27" s="19">
        <f t="shared" si="5"/>
        <v>0</v>
      </c>
      <c r="U27" s="19">
        <f t="shared" si="6"/>
        <v>0</v>
      </c>
      <c r="V27" s="19">
        <f t="shared" si="7"/>
        <v>0</v>
      </c>
      <c r="W27" s="19">
        <f t="shared" si="8"/>
        <v>68.959999999999994</v>
      </c>
      <c r="X27" s="20">
        <f t="shared" si="9"/>
        <v>68.959999999999994</v>
      </c>
      <c r="Y27" s="20">
        <f t="shared" si="10"/>
        <v>0</v>
      </c>
    </row>
    <row r="28" spans="1:25" ht="15.75" customHeight="1">
      <c r="A28" s="14" t="s">
        <v>66</v>
      </c>
      <c r="B28" s="15" t="s">
        <v>67</v>
      </c>
      <c r="C28" s="16">
        <v>0</v>
      </c>
      <c r="D28" s="16">
        <v>0</v>
      </c>
      <c r="E28" s="17">
        <v>0</v>
      </c>
      <c r="F28" s="18">
        <v>0</v>
      </c>
      <c r="G28" s="18">
        <v>0</v>
      </c>
      <c r="H28" s="18">
        <v>0</v>
      </c>
      <c r="I28" s="17">
        <v>0</v>
      </c>
      <c r="J28" s="17">
        <f t="shared" si="0"/>
        <v>0</v>
      </c>
      <c r="K28" s="17">
        <v>0</v>
      </c>
      <c r="L28" s="17">
        <v>0</v>
      </c>
      <c r="M28" s="17">
        <v>0</v>
      </c>
      <c r="N28" s="17">
        <f t="shared" si="1"/>
        <v>0</v>
      </c>
      <c r="O28" s="17">
        <f t="shared" si="2"/>
        <v>0</v>
      </c>
      <c r="P28" s="3"/>
      <c r="Q28" s="19">
        <f t="shared" si="3"/>
        <v>0</v>
      </c>
      <c r="R28" s="19">
        <v>0</v>
      </c>
      <c r="S28" s="19">
        <f t="shared" si="4"/>
        <v>0</v>
      </c>
      <c r="T28" s="19">
        <f t="shared" si="5"/>
        <v>0</v>
      </c>
      <c r="U28" s="19">
        <f t="shared" si="6"/>
        <v>0</v>
      </c>
      <c r="V28" s="19">
        <f t="shared" si="7"/>
        <v>0</v>
      </c>
      <c r="W28" s="19">
        <f t="shared" si="8"/>
        <v>0</v>
      </c>
      <c r="X28" s="20">
        <f t="shared" si="9"/>
        <v>0</v>
      </c>
      <c r="Y28" s="20">
        <f t="shared" si="10"/>
        <v>0</v>
      </c>
    </row>
    <row r="29" spans="1:25" ht="15.75" customHeight="1">
      <c r="A29" s="14" t="s">
        <v>68</v>
      </c>
      <c r="B29" s="15" t="s">
        <v>69</v>
      </c>
      <c r="C29" s="16">
        <v>4500</v>
      </c>
      <c r="D29" s="16">
        <v>4500</v>
      </c>
      <c r="E29" s="17">
        <v>0</v>
      </c>
      <c r="F29" s="18">
        <v>0</v>
      </c>
      <c r="G29" s="18">
        <v>0</v>
      </c>
      <c r="H29" s="18">
        <v>0</v>
      </c>
      <c r="I29" s="17">
        <v>0</v>
      </c>
      <c r="J29" s="17">
        <f t="shared" si="0"/>
        <v>0</v>
      </c>
      <c r="K29" s="17">
        <v>0</v>
      </c>
      <c r="L29" s="17">
        <v>0</v>
      </c>
      <c r="M29" s="17">
        <v>0</v>
      </c>
      <c r="N29" s="17">
        <f t="shared" si="1"/>
        <v>0</v>
      </c>
      <c r="O29" s="17">
        <f t="shared" si="2"/>
        <v>0</v>
      </c>
      <c r="P29" s="3"/>
      <c r="Q29" s="19">
        <f t="shared" si="3"/>
        <v>0</v>
      </c>
      <c r="R29" s="19">
        <v>0</v>
      </c>
      <c r="S29" s="19">
        <f t="shared" si="4"/>
        <v>0</v>
      </c>
      <c r="T29" s="19">
        <f t="shared" si="5"/>
        <v>0</v>
      </c>
      <c r="U29" s="19">
        <f t="shared" si="6"/>
        <v>0</v>
      </c>
      <c r="V29" s="19">
        <f t="shared" si="7"/>
        <v>0</v>
      </c>
      <c r="W29" s="19">
        <f t="shared" si="8"/>
        <v>0</v>
      </c>
      <c r="X29" s="20">
        <f t="shared" si="9"/>
        <v>0</v>
      </c>
      <c r="Y29" s="20">
        <f t="shared" si="10"/>
        <v>0</v>
      </c>
    </row>
    <row r="30" spans="1:25" ht="15.75" customHeight="1">
      <c r="A30" s="14" t="s">
        <v>70</v>
      </c>
      <c r="B30" s="15" t="s">
        <v>71</v>
      </c>
      <c r="C30" s="16">
        <v>250</v>
      </c>
      <c r="D30" s="16">
        <v>250</v>
      </c>
      <c r="E30" s="17">
        <v>1</v>
      </c>
      <c r="F30" s="18">
        <v>0</v>
      </c>
      <c r="G30" s="18">
        <v>0</v>
      </c>
      <c r="H30" s="18">
        <v>0</v>
      </c>
      <c r="I30" s="17">
        <v>0</v>
      </c>
      <c r="J30" s="17">
        <f t="shared" si="0"/>
        <v>1</v>
      </c>
      <c r="K30" s="17">
        <v>1</v>
      </c>
      <c r="L30" s="17">
        <v>0</v>
      </c>
      <c r="M30" s="17">
        <v>0</v>
      </c>
      <c r="N30" s="17">
        <f t="shared" si="1"/>
        <v>1</v>
      </c>
      <c r="O30" s="17">
        <f t="shared" si="2"/>
        <v>0</v>
      </c>
      <c r="P30" s="3"/>
      <c r="Q30" s="19">
        <f t="shared" si="3"/>
        <v>250</v>
      </c>
      <c r="R30" s="19">
        <v>0</v>
      </c>
      <c r="S30" s="19">
        <f t="shared" si="4"/>
        <v>0</v>
      </c>
      <c r="T30" s="19">
        <f t="shared" si="5"/>
        <v>0</v>
      </c>
      <c r="U30" s="19">
        <f t="shared" si="6"/>
        <v>0</v>
      </c>
      <c r="V30" s="19">
        <f t="shared" si="7"/>
        <v>0</v>
      </c>
      <c r="W30" s="19">
        <f t="shared" si="8"/>
        <v>250</v>
      </c>
      <c r="X30" s="20">
        <f t="shared" si="9"/>
        <v>250</v>
      </c>
      <c r="Y30" s="20">
        <f t="shared" si="10"/>
        <v>0</v>
      </c>
    </row>
    <row r="31" spans="1:25" ht="15.75" customHeight="1">
      <c r="A31" s="14" t="s">
        <v>72</v>
      </c>
      <c r="B31" s="15" t="s">
        <v>73</v>
      </c>
      <c r="C31" s="16">
        <v>420.61275000000001</v>
      </c>
      <c r="D31" s="16">
        <v>420.61275000000001</v>
      </c>
      <c r="E31" s="17">
        <v>0</v>
      </c>
      <c r="F31" s="18">
        <v>0</v>
      </c>
      <c r="G31" s="18">
        <v>0</v>
      </c>
      <c r="H31" s="18">
        <v>0</v>
      </c>
      <c r="I31" s="17">
        <v>0</v>
      </c>
      <c r="J31" s="17">
        <f t="shared" si="0"/>
        <v>0</v>
      </c>
      <c r="K31" s="17">
        <v>0</v>
      </c>
      <c r="L31" s="17">
        <v>0</v>
      </c>
      <c r="M31" s="17">
        <v>0</v>
      </c>
      <c r="N31" s="17">
        <f t="shared" si="1"/>
        <v>0</v>
      </c>
      <c r="O31" s="17">
        <f t="shared" si="2"/>
        <v>0</v>
      </c>
      <c r="P31" s="3"/>
      <c r="Q31" s="19">
        <f t="shared" si="3"/>
        <v>0</v>
      </c>
      <c r="R31" s="19">
        <v>0</v>
      </c>
      <c r="S31" s="19">
        <f t="shared" si="4"/>
        <v>0</v>
      </c>
      <c r="T31" s="19">
        <f t="shared" si="5"/>
        <v>0</v>
      </c>
      <c r="U31" s="19">
        <f t="shared" si="6"/>
        <v>0</v>
      </c>
      <c r="V31" s="19">
        <f t="shared" si="7"/>
        <v>0</v>
      </c>
      <c r="W31" s="19">
        <f t="shared" si="8"/>
        <v>0</v>
      </c>
      <c r="X31" s="20">
        <f t="shared" si="9"/>
        <v>0</v>
      </c>
      <c r="Y31" s="20">
        <f t="shared" si="10"/>
        <v>0</v>
      </c>
    </row>
    <row r="32" spans="1:25" ht="15.75" customHeight="1">
      <c r="A32" s="14" t="s">
        <v>74</v>
      </c>
      <c r="B32" s="15" t="s">
        <v>75</v>
      </c>
      <c r="C32" s="16">
        <v>0</v>
      </c>
      <c r="D32" s="16">
        <v>0</v>
      </c>
      <c r="E32" s="17">
        <v>0</v>
      </c>
      <c r="F32" s="18">
        <v>0</v>
      </c>
      <c r="G32" s="18">
        <v>0</v>
      </c>
      <c r="H32" s="18">
        <v>0</v>
      </c>
      <c r="I32" s="17">
        <v>0</v>
      </c>
      <c r="J32" s="17">
        <f t="shared" si="0"/>
        <v>0</v>
      </c>
      <c r="K32" s="17">
        <v>0</v>
      </c>
      <c r="L32" s="17">
        <v>0</v>
      </c>
      <c r="M32" s="17">
        <v>0</v>
      </c>
      <c r="N32" s="17">
        <f t="shared" si="1"/>
        <v>0</v>
      </c>
      <c r="O32" s="17">
        <f t="shared" si="2"/>
        <v>0</v>
      </c>
      <c r="P32" s="3"/>
      <c r="Q32" s="19">
        <f t="shared" si="3"/>
        <v>0</v>
      </c>
      <c r="R32" s="19">
        <v>0</v>
      </c>
      <c r="S32" s="19">
        <f t="shared" si="4"/>
        <v>0</v>
      </c>
      <c r="T32" s="19">
        <f t="shared" si="5"/>
        <v>0</v>
      </c>
      <c r="U32" s="19">
        <f t="shared" si="6"/>
        <v>0</v>
      </c>
      <c r="V32" s="19">
        <f t="shared" si="7"/>
        <v>0</v>
      </c>
      <c r="W32" s="19">
        <f t="shared" si="8"/>
        <v>0</v>
      </c>
      <c r="X32" s="20">
        <f t="shared" si="9"/>
        <v>0</v>
      </c>
      <c r="Y32" s="20">
        <f t="shared" si="10"/>
        <v>0</v>
      </c>
    </row>
    <row r="33" spans="1:25" ht="15.75" customHeight="1">
      <c r="A33" s="14" t="s">
        <v>76</v>
      </c>
      <c r="B33" s="15" t="s">
        <v>77</v>
      </c>
      <c r="C33" s="16">
        <v>0</v>
      </c>
      <c r="D33" s="16">
        <v>0</v>
      </c>
      <c r="E33" s="17">
        <v>0</v>
      </c>
      <c r="F33" s="18">
        <v>0</v>
      </c>
      <c r="G33" s="18">
        <v>0</v>
      </c>
      <c r="H33" s="18">
        <v>0</v>
      </c>
      <c r="I33" s="17">
        <v>0</v>
      </c>
      <c r="J33" s="17">
        <f t="shared" si="0"/>
        <v>0</v>
      </c>
      <c r="K33" s="17">
        <v>0</v>
      </c>
      <c r="L33" s="17">
        <v>0</v>
      </c>
      <c r="M33" s="17">
        <v>0</v>
      </c>
      <c r="N33" s="17">
        <f t="shared" si="1"/>
        <v>0</v>
      </c>
      <c r="O33" s="17">
        <f t="shared" si="2"/>
        <v>0</v>
      </c>
      <c r="P33" s="3"/>
      <c r="Q33" s="19">
        <f t="shared" si="3"/>
        <v>0</v>
      </c>
      <c r="R33" s="19">
        <v>0</v>
      </c>
      <c r="S33" s="19">
        <f t="shared" si="4"/>
        <v>0</v>
      </c>
      <c r="T33" s="19">
        <f t="shared" si="5"/>
        <v>0</v>
      </c>
      <c r="U33" s="19">
        <f t="shared" si="6"/>
        <v>0</v>
      </c>
      <c r="V33" s="19">
        <f t="shared" si="7"/>
        <v>0</v>
      </c>
      <c r="W33" s="19">
        <f t="shared" si="8"/>
        <v>0</v>
      </c>
      <c r="X33" s="20">
        <f t="shared" si="9"/>
        <v>0</v>
      </c>
      <c r="Y33" s="20">
        <f t="shared" si="10"/>
        <v>0</v>
      </c>
    </row>
    <row r="34" spans="1:25" ht="15.75" customHeight="1">
      <c r="A34" s="14" t="s">
        <v>78</v>
      </c>
      <c r="B34" s="15" t="s">
        <v>79</v>
      </c>
      <c r="C34" s="16">
        <v>350</v>
      </c>
      <c r="D34" s="16">
        <v>350</v>
      </c>
      <c r="E34" s="17">
        <v>2</v>
      </c>
      <c r="F34" s="18">
        <v>0</v>
      </c>
      <c r="G34" s="18">
        <v>0</v>
      </c>
      <c r="H34" s="18">
        <v>0</v>
      </c>
      <c r="I34" s="17">
        <v>0</v>
      </c>
      <c r="J34" s="17">
        <f t="shared" si="0"/>
        <v>2</v>
      </c>
      <c r="K34" s="17">
        <v>2</v>
      </c>
      <c r="L34" s="17">
        <v>0</v>
      </c>
      <c r="M34" s="17">
        <v>0</v>
      </c>
      <c r="N34" s="17">
        <f t="shared" si="1"/>
        <v>2</v>
      </c>
      <c r="O34" s="17">
        <f t="shared" si="2"/>
        <v>0</v>
      </c>
      <c r="P34" s="3"/>
      <c r="Q34" s="19">
        <f t="shared" si="3"/>
        <v>700</v>
      </c>
      <c r="R34" s="19">
        <v>0</v>
      </c>
      <c r="S34" s="19">
        <f t="shared" si="4"/>
        <v>0</v>
      </c>
      <c r="T34" s="19">
        <f t="shared" si="5"/>
        <v>0</v>
      </c>
      <c r="U34" s="19">
        <f t="shared" si="6"/>
        <v>0</v>
      </c>
      <c r="V34" s="19">
        <f t="shared" si="7"/>
        <v>0</v>
      </c>
      <c r="W34" s="19">
        <f t="shared" si="8"/>
        <v>700</v>
      </c>
      <c r="X34" s="20">
        <f t="shared" si="9"/>
        <v>700</v>
      </c>
      <c r="Y34" s="20">
        <f t="shared" si="10"/>
        <v>0</v>
      </c>
    </row>
    <row r="35" spans="1:25" ht="15.75" customHeight="1">
      <c r="A35" s="14" t="s">
        <v>80</v>
      </c>
      <c r="B35" s="15" t="s">
        <v>81</v>
      </c>
      <c r="C35" s="16">
        <v>0</v>
      </c>
      <c r="D35" s="16">
        <v>0</v>
      </c>
      <c r="E35" s="17">
        <v>0</v>
      </c>
      <c r="F35" s="18">
        <v>0</v>
      </c>
      <c r="G35" s="18">
        <v>0</v>
      </c>
      <c r="H35" s="18">
        <v>0</v>
      </c>
      <c r="I35" s="17">
        <v>0</v>
      </c>
      <c r="J35" s="17">
        <f t="shared" si="0"/>
        <v>0</v>
      </c>
      <c r="K35" s="17">
        <v>0</v>
      </c>
      <c r="L35" s="17">
        <v>0</v>
      </c>
      <c r="M35" s="17">
        <v>0</v>
      </c>
      <c r="N35" s="17">
        <f t="shared" si="1"/>
        <v>0</v>
      </c>
      <c r="O35" s="17">
        <f t="shared" si="2"/>
        <v>0</v>
      </c>
      <c r="P35" s="3"/>
      <c r="Q35" s="19">
        <f t="shared" si="3"/>
        <v>0</v>
      </c>
      <c r="R35" s="19">
        <v>0</v>
      </c>
      <c r="S35" s="19">
        <f t="shared" si="4"/>
        <v>0</v>
      </c>
      <c r="T35" s="19">
        <f t="shared" si="5"/>
        <v>0</v>
      </c>
      <c r="U35" s="19">
        <f t="shared" si="6"/>
        <v>0</v>
      </c>
      <c r="V35" s="19">
        <f t="shared" si="7"/>
        <v>0</v>
      </c>
      <c r="W35" s="19">
        <f t="shared" si="8"/>
        <v>0</v>
      </c>
      <c r="X35" s="20">
        <f t="shared" si="9"/>
        <v>0</v>
      </c>
      <c r="Y35" s="20">
        <f t="shared" si="10"/>
        <v>0</v>
      </c>
    </row>
    <row r="36" spans="1:25" ht="15.75" customHeight="1">
      <c r="A36" s="14" t="s">
        <v>82</v>
      </c>
      <c r="B36" s="15" t="s">
        <v>83</v>
      </c>
      <c r="C36" s="16">
        <v>19</v>
      </c>
      <c r="D36" s="16">
        <v>19</v>
      </c>
      <c r="E36" s="17">
        <v>2</v>
      </c>
      <c r="F36" s="18">
        <v>0</v>
      </c>
      <c r="G36" s="18">
        <v>0</v>
      </c>
      <c r="H36" s="18">
        <v>0</v>
      </c>
      <c r="I36" s="17">
        <v>0</v>
      </c>
      <c r="J36" s="17">
        <f t="shared" si="0"/>
        <v>2</v>
      </c>
      <c r="K36" s="17">
        <v>2</v>
      </c>
      <c r="L36" s="17">
        <v>0</v>
      </c>
      <c r="M36" s="17">
        <v>0</v>
      </c>
      <c r="N36" s="17">
        <f t="shared" si="1"/>
        <v>2</v>
      </c>
      <c r="O36" s="17">
        <f t="shared" si="2"/>
        <v>0</v>
      </c>
      <c r="P36" s="3"/>
      <c r="Q36" s="19">
        <f t="shared" si="3"/>
        <v>38</v>
      </c>
      <c r="R36" s="19">
        <v>0</v>
      </c>
      <c r="S36" s="19">
        <f t="shared" si="4"/>
        <v>0</v>
      </c>
      <c r="T36" s="19">
        <f t="shared" si="5"/>
        <v>0</v>
      </c>
      <c r="U36" s="19">
        <f t="shared" si="6"/>
        <v>0</v>
      </c>
      <c r="V36" s="19">
        <f t="shared" si="7"/>
        <v>0</v>
      </c>
      <c r="W36" s="19">
        <f t="shared" si="8"/>
        <v>38</v>
      </c>
      <c r="X36" s="20">
        <f t="shared" si="9"/>
        <v>38</v>
      </c>
      <c r="Y36" s="20">
        <f t="shared" si="10"/>
        <v>0</v>
      </c>
    </row>
    <row r="37" spans="1:25" ht="15.75" customHeight="1">
      <c r="A37" s="14" t="s">
        <v>84</v>
      </c>
      <c r="B37" s="15" t="s">
        <v>85</v>
      </c>
      <c r="C37" s="16">
        <v>262.36</v>
      </c>
      <c r="D37" s="16">
        <v>262.36</v>
      </c>
      <c r="E37" s="17">
        <v>3</v>
      </c>
      <c r="F37" s="18">
        <v>0</v>
      </c>
      <c r="G37" s="18">
        <v>0</v>
      </c>
      <c r="H37" s="18">
        <v>0</v>
      </c>
      <c r="I37" s="17">
        <v>0</v>
      </c>
      <c r="J37" s="17">
        <f t="shared" si="0"/>
        <v>3</v>
      </c>
      <c r="K37" s="17">
        <v>3</v>
      </c>
      <c r="L37" s="17">
        <v>0</v>
      </c>
      <c r="M37" s="17">
        <v>0</v>
      </c>
      <c r="N37" s="17">
        <f t="shared" si="1"/>
        <v>3</v>
      </c>
      <c r="O37" s="17">
        <f t="shared" si="2"/>
        <v>0</v>
      </c>
      <c r="P37" s="3"/>
      <c r="Q37" s="19">
        <f t="shared" si="3"/>
        <v>787.08</v>
      </c>
      <c r="R37" s="19">
        <v>0</v>
      </c>
      <c r="S37" s="19">
        <f t="shared" si="4"/>
        <v>0</v>
      </c>
      <c r="T37" s="19">
        <f t="shared" si="5"/>
        <v>0</v>
      </c>
      <c r="U37" s="19">
        <f t="shared" si="6"/>
        <v>0</v>
      </c>
      <c r="V37" s="19">
        <f t="shared" si="7"/>
        <v>0</v>
      </c>
      <c r="W37" s="19">
        <f t="shared" si="8"/>
        <v>787.08</v>
      </c>
      <c r="X37" s="20">
        <f t="shared" si="9"/>
        <v>787.08</v>
      </c>
      <c r="Y37" s="20">
        <f t="shared" si="10"/>
        <v>0</v>
      </c>
    </row>
    <row r="38" spans="1:25" ht="15.75" customHeight="1">
      <c r="A38" s="14" t="s">
        <v>86</v>
      </c>
      <c r="B38" s="15" t="s">
        <v>87</v>
      </c>
      <c r="C38" s="16">
        <v>5590</v>
      </c>
      <c r="D38" s="16">
        <v>5590</v>
      </c>
      <c r="E38" s="17">
        <v>1</v>
      </c>
      <c r="F38" s="18">
        <v>0</v>
      </c>
      <c r="G38" s="18">
        <v>0</v>
      </c>
      <c r="H38" s="18">
        <v>0</v>
      </c>
      <c r="I38" s="17">
        <v>0</v>
      </c>
      <c r="J38" s="17">
        <f t="shared" si="0"/>
        <v>1</v>
      </c>
      <c r="K38" s="17">
        <v>1</v>
      </c>
      <c r="L38" s="17">
        <v>0</v>
      </c>
      <c r="M38" s="17">
        <v>0</v>
      </c>
      <c r="N38" s="17">
        <f t="shared" si="1"/>
        <v>1</v>
      </c>
      <c r="O38" s="17">
        <f t="shared" si="2"/>
        <v>0</v>
      </c>
      <c r="P38" s="3"/>
      <c r="Q38" s="19">
        <f t="shared" si="3"/>
        <v>5590</v>
      </c>
      <c r="R38" s="19">
        <v>0</v>
      </c>
      <c r="S38" s="19">
        <f t="shared" si="4"/>
        <v>0</v>
      </c>
      <c r="T38" s="19">
        <f t="shared" si="5"/>
        <v>0</v>
      </c>
      <c r="U38" s="19">
        <f t="shared" si="6"/>
        <v>0</v>
      </c>
      <c r="V38" s="19">
        <f t="shared" si="7"/>
        <v>0</v>
      </c>
      <c r="W38" s="19">
        <f t="shared" si="8"/>
        <v>5590</v>
      </c>
      <c r="X38" s="20">
        <f t="shared" si="9"/>
        <v>5590</v>
      </c>
      <c r="Y38" s="20">
        <f t="shared" si="10"/>
        <v>0</v>
      </c>
    </row>
    <row r="39" spans="1:25" ht="14.25" customHeight="1">
      <c r="A39" s="14" t="s">
        <v>88</v>
      </c>
      <c r="B39" s="15" t="s">
        <v>89</v>
      </c>
      <c r="C39" s="16">
        <v>1250</v>
      </c>
      <c r="D39" s="16">
        <v>1250</v>
      </c>
      <c r="E39" s="17">
        <v>3</v>
      </c>
      <c r="F39" s="18">
        <v>0</v>
      </c>
      <c r="G39" s="18">
        <v>0</v>
      </c>
      <c r="H39" s="18">
        <v>0</v>
      </c>
      <c r="I39" s="17">
        <v>0</v>
      </c>
      <c r="J39" s="17">
        <f t="shared" si="0"/>
        <v>3</v>
      </c>
      <c r="K39" s="17">
        <v>3</v>
      </c>
      <c r="L39" s="17">
        <v>0</v>
      </c>
      <c r="M39" s="17">
        <v>0</v>
      </c>
      <c r="N39" s="17">
        <f t="shared" si="1"/>
        <v>3</v>
      </c>
      <c r="O39" s="17">
        <f t="shared" si="2"/>
        <v>0</v>
      </c>
      <c r="P39" s="3"/>
      <c r="Q39" s="19">
        <f t="shared" si="3"/>
        <v>3750</v>
      </c>
      <c r="R39" s="19">
        <v>0</v>
      </c>
      <c r="S39" s="19">
        <f t="shared" si="4"/>
        <v>0</v>
      </c>
      <c r="T39" s="19">
        <f t="shared" si="5"/>
        <v>0</v>
      </c>
      <c r="U39" s="19">
        <f t="shared" si="6"/>
        <v>0</v>
      </c>
      <c r="V39" s="19">
        <f t="shared" si="7"/>
        <v>0</v>
      </c>
      <c r="W39" s="19">
        <f t="shared" si="8"/>
        <v>3750</v>
      </c>
      <c r="X39" s="20">
        <f t="shared" si="9"/>
        <v>3750</v>
      </c>
      <c r="Y39" s="20">
        <f t="shared" si="10"/>
        <v>0</v>
      </c>
    </row>
    <row r="40" spans="1:25" ht="15.75" customHeight="1">
      <c r="A40" s="14" t="s">
        <v>90</v>
      </c>
      <c r="B40" s="15" t="s">
        <v>91</v>
      </c>
      <c r="C40" s="16">
        <v>760</v>
      </c>
      <c r="D40" s="16">
        <v>760</v>
      </c>
      <c r="E40" s="17">
        <v>2</v>
      </c>
      <c r="F40" s="18">
        <v>0</v>
      </c>
      <c r="G40" s="18">
        <v>0</v>
      </c>
      <c r="H40" s="18">
        <v>0</v>
      </c>
      <c r="I40" s="17">
        <v>0</v>
      </c>
      <c r="J40" s="17">
        <f t="shared" si="0"/>
        <v>2</v>
      </c>
      <c r="K40" s="17">
        <v>2</v>
      </c>
      <c r="L40" s="17">
        <v>0</v>
      </c>
      <c r="M40" s="17">
        <v>0</v>
      </c>
      <c r="N40" s="17">
        <f t="shared" si="1"/>
        <v>2</v>
      </c>
      <c r="O40" s="17">
        <f t="shared" si="2"/>
        <v>0</v>
      </c>
      <c r="P40" s="3"/>
      <c r="Q40" s="19">
        <f t="shared" si="3"/>
        <v>1520</v>
      </c>
      <c r="R40" s="19">
        <v>0</v>
      </c>
      <c r="S40" s="19">
        <f t="shared" si="4"/>
        <v>0</v>
      </c>
      <c r="T40" s="19">
        <f t="shared" si="5"/>
        <v>0</v>
      </c>
      <c r="U40" s="19">
        <f t="shared" si="6"/>
        <v>0</v>
      </c>
      <c r="V40" s="19">
        <f t="shared" si="7"/>
        <v>0</v>
      </c>
      <c r="W40" s="19">
        <f t="shared" si="8"/>
        <v>1520</v>
      </c>
      <c r="X40" s="20">
        <f t="shared" si="9"/>
        <v>1520</v>
      </c>
      <c r="Y40" s="20">
        <f t="shared" si="10"/>
        <v>0</v>
      </c>
    </row>
    <row r="41" spans="1:25" ht="15.75" customHeight="1">
      <c r="A41" s="14" t="s">
        <v>92</v>
      </c>
      <c r="B41" s="15" t="s">
        <v>93</v>
      </c>
      <c r="C41" s="16">
        <v>755</v>
      </c>
      <c r="D41" s="16">
        <v>755</v>
      </c>
      <c r="E41" s="17">
        <v>2</v>
      </c>
      <c r="F41" s="18">
        <v>0</v>
      </c>
      <c r="G41" s="18">
        <v>0</v>
      </c>
      <c r="H41" s="18">
        <v>0</v>
      </c>
      <c r="I41" s="17">
        <v>0</v>
      </c>
      <c r="J41" s="17">
        <f t="shared" si="0"/>
        <v>2</v>
      </c>
      <c r="K41" s="17">
        <v>2</v>
      </c>
      <c r="L41" s="17">
        <v>0</v>
      </c>
      <c r="M41" s="17">
        <v>0</v>
      </c>
      <c r="N41" s="17">
        <f t="shared" si="1"/>
        <v>2</v>
      </c>
      <c r="O41" s="17">
        <f t="shared" si="2"/>
        <v>0</v>
      </c>
      <c r="P41" s="3"/>
      <c r="Q41" s="19">
        <f t="shared" si="3"/>
        <v>1510</v>
      </c>
      <c r="R41" s="19">
        <v>0</v>
      </c>
      <c r="S41" s="19">
        <f t="shared" si="4"/>
        <v>0</v>
      </c>
      <c r="T41" s="19">
        <f t="shared" si="5"/>
        <v>0</v>
      </c>
      <c r="U41" s="19">
        <f t="shared" si="6"/>
        <v>0</v>
      </c>
      <c r="V41" s="19">
        <f t="shared" si="7"/>
        <v>0</v>
      </c>
      <c r="W41" s="19">
        <f t="shared" si="8"/>
        <v>1510</v>
      </c>
      <c r="X41" s="20">
        <f t="shared" si="9"/>
        <v>1510</v>
      </c>
      <c r="Y41" s="20">
        <f t="shared" si="10"/>
        <v>0</v>
      </c>
    </row>
    <row r="42" spans="1:25" ht="15.75" customHeight="1">
      <c r="A42" s="14" t="s">
        <v>94</v>
      </c>
      <c r="B42" s="15" t="s">
        <v>95</v>
      </c>
      <c r="C42" s="16">
        <v>0</v>
      </c>
      <c r="D42" s="16">
        <v>0</v>
      </c>
      <c r="E42" s="17">
        <v>0</v>
      </c>
      <c r="F42" s="18">
        <v>0</v>
      </c>
      <c r="G42" s="18">
        <v>0</v>
      </c>
      <c r="H42" s="18">
        <v>0</v>
      </c>
      <c r="I42" s="17">
        <v>0</v>
      </c>
      <c r="J42" s="17">
        <f t="shared" si="0"/>
        <v>0</v>
      </c>
      <c r="K42" s="17">
        <v>0</v>
      </c>
      <c r="L42" s="17">
        <v>0</v>
      </c>
      <c r="M42" s="17">
        <v>0</v>
      </c>
      <c r="N42" s="17">
        <f t="shared" si="1"/>
        <v>0</v>
      </c>
      <c r="O42" s="17">
        <f t="shared" si="2"/>
        <v>0</v>
      </c>
      <c r="P42" s="3"/>
      <c r="Q42" s="19">
        <f t="shared" si="3"/>
        <v>0</v>
      </c>
      <c r="R42" s="19">
        <v>0</v>
      </c>
      <c r="S42" s="19">
        <f t="shared" si="4"/>
        <v>0</v>
      </c>
      <c r="T42" s="19">
        <f t="shared" si="5"/>
        <v>0</v>
      </c>
      <c r="U42" s="19">
        <f t="shared" si="6"/>
        <v>0</v>
      </c>
      <c r="V42" s="19">
        <f t="shared" si="7"/>
        <v>0</v>
      </c>
      <c r="W42" s="19">
        <f t="shared" si="8"/>
        <v>0</v>
      </c>
      <c r="X42" s="20">
        <f t="shared" si="9"/>
        <v>0</v>
      </c>
      <c r="Y42" s="20">
        <f t="shared" si="10"/>
        <v>0</v>
      </c>
    </row>
    <row r="43" spans="1:25" ht="15.75" customHeight="1">
      <c r="A43" s="14" t="s">
        <v>96</v>
      </c>
      <c r="B43" s="15" t="s">
        <v>97</v>
      </c>
      <c r="C43" s="16">
        <v>610</v>
      </c>
      <c r="D43" s="16">
        <v>610</v>
      </c>
      <c r="E43" s="17">
        <v>2</v>
      </c>
      <c r="F43" s="18">
        <v>0</v>
      </c>
      <c r="G43" s="18">
        <v>0</v>
      </c>
      <c r="H43" s="18">
        <v>0</v>
      </c>
      <c r="I43" s="17">
        <v>0</v>
      </c>
      <c r="J43" s="17">
        <f t="shared" si="0"/>
        <v>2</v>
      </c>
      <c r="K43" s="17">
        <v>2</v>
      </c>
      <c r="L43" s="17">
        <v>0</v>
      </c>
      <c r="M43" s="17">
        <v>0</v>
      </c>
      <c r="N43" s="17">
        <f t="shared" si="1"/>
        <v>2</v>
      </c>
      <c r="O43" s="17">
        <f t="shared" si="2"/>
        <v>0</v>
      </c>
      <c r="P43" s="3"/>
      <c r="Q43" s="19">
        <f t="shared" si="3"/>
        <v>1220</v>
      </c>
      <c r="R43" s="19">
        <v>0</v>
      </c>
      <c r="S43" s="19">
        <f t="shared" si="4"/>
        <v>0</v>
      </c>
      <c r="T43" s="19">
        <f t="shared" si="5"/>
        <v>0</v>
      </c>
      <c r="U43" s="19">
        <f t="shared" si="6"/>
        <v>0</v>
      </c>
      <c r="V43" s="19">
        <f t="shared" si="7"/>
        <v>0</v>
      </c>
      <c r="W43" s="19">
        <f t="shared" si="8"/>
        <v>1220</v>
      </c>
      <c r="X43" s="20">
        <f t="shared" si="9"/>
        <v>1220</v>
      </c>
      <c r="Y43" s="20">
        <f t="shared" si="10"/>
        <v>0</v>
      </c>
    </row>
    <row r="44" spans="1:25" ht="15.75" customHeight="1">
      <c r="A44" s="14" t="s">
        <v>98</v>
      </c>
      <c r="B44" s="15" t="s">
        <v>99</v>
      </c>
      <c r="C44" s="16">
        <v>780</v>
      </c>
      <c r="D44" s="16">
        <v>780</v>
      </c>
      <c r="E44" s="17">
        <v>3</v>
      </c>
      <c r="F44" s="18">
        <v>0</v>
      </c>
      <c r="G44" s="18">
        <v>0</v>
      </c>
      <c r="H44" s="18">
        <v>0</v>
      </c>
      <c r="I44" s="17">
        <v>0</v>
      </c>
      <c r="J44" s="17">
        <f t="shared" si="0"/>
        <v>3</v>
      </c>
      <c r="K44" s="17">
        <v>3</v>
      </c>
      <c r="L44" s="17">
        <v>0</v>
      </c>
      <c r="M44" s="17">
        <v>0</v>
      </c>
      <c r="N44" s="17">
        <f t="shared" si="1"/>
        <v>3</v>
      </c>
      <c r="O44" s="17">
        <f t="shared" si="2"/>
        <v>0</v>
      </c>
      <c r="P44" s="3"/>
      <c r="Q44" s="19">
        <f t="shared" si="3"/>
        <v>2340</v>
      </c>
      <c r="R44" s="19">
        <v>0</v>
      </c>
      <c r="S44" s="19">
        <f t="shared" si="4"/>
        <v>0</v>
      </c>
      <c r="T44" s="19">
        <f t="shared" si="5"/>
        <v>0</v>
      </c>
      <c r="U44" s="19">
        <f t="shared" si="6"/>
        <v>0</v>
      </c>
      <c r="V44" s="19">
        <f t="shared" si="7"/>
        <v>0</v>
      </c>
      <c r="W44" s="19">
        <f t="shared" si="8"/>
        <v>2340</v>
      </c>
      <c r="X44" s="20">
        <f t="shared" si="9"/>
        <v>2340</v>
      </c>
      <c r="Y44" s="20">
        <f t="shared" si="10"/>
        <v>0</v>
      </c>
    </row>
    <row r="45" spans="1:25" ht="15.75" customHeight="1">
      <c r="A45" s="14" t="s">
        <v>100</v>
      </c>
      <c r="B45" s="15" t="s">
        <v>101</v>
      </c>
      <c r="C45" s="16">
        <v>960</v>
      </c>
      <c r="D45" s="16">
        <v>960</v>
      </c>
      <c r="E45" s="17">
        <v>3</v>
      </c>
      <c r="F45" s="18">
        <v>0</v>
      </c>
      <c r="G45" s="18">
        <v>0</v>
      </c>
      <c r="H45" s="18">
        <v>0</v>
      </c>
      <c r="I45" s="17">
        <v>0</v>
      </c>
      <c r="J45" s="17">
        <f t="shared" si="0"/>
        <v>3</v>
      </c>
      <c r="K45" s="17">
        <v>3</v>
      </c>
      <c r="L45" s="17">
        <v>0</v>
      </c>
      <c r="M45" s="17">
        <v>0</v>
      </c>
      <c r="N45" s="17">
        <f t="shared" si="1"/>
        <v>3</v>
      </c>
      <c r="O45" s="17">
        <f t="shared" si="2"/>
        <v>0</v>
      </c>
      <c r="P45" s="3"/>
      <c r="Q45" s="19">
        <f t="shared" si="3"/>
        <v>2880</v>
      </c>
      <c r="R45" s="19">
        <v>0</v>
      </c>
      <c r="S45" s="19">
        <f t="shared" si="4"/>
        <v>0</v>
      </c>
      <c r="T45" s="19">
        <f t="shared" si="5"/>
        <v>0</v>
      </c>
      <c r="U45" s="19">
        <f t="shared" si="6"/>
        <v>0</v>
      </c>
      <c r="V45" s="19">
        <f t="shared" si="7"/>
        <v>0</v>
      </c>
      <c r="W45" s="19">
        <f t="shared" si="8"/>
        <v>2880</v>
      </c>
      <c r="X45" s="20">
        <f t="shared" si="9"/>
        <v>2880</v>
      </c>
      <c r="Y45" s="20">
        <f t="shared" si="10"/>
        <v>0</v>
      </c>
    </row>
    <row r="46" spans="1:25" ht="15.75" customHeight="1">
      <c r="A46" s="14" t="s">
        <v>102</v>
      </c>
      <c r="B46" s="15" t="s">
        <v>103</v>
      </c>
      <c r="C46" s="16">
        <v>8.6</v>
      </c>
      <c r="D46" s="16">
        <v>8.6</v>
      </c>
      <c r="E46" s="17">
        <v>50</v>
      </c>
      <c r="F46" s="18">
        <v>0</v>
      </c>
      <c r="G46" s="18">
        <v>0</v>
      </c>
      <c r="H46" s="18">
        <v>0</v>
      </c>
      <c r="I46" s="17">
        <v>0</v>
      </c>
      <c r="J46" s="17">
        <f t="shared" si="0"/>
        <v>50</v>
      </c>
      <c r="K46" s="17">
        <v>50</v>
      </c>
      <c r="L46" s="17">
        <v>0</v>
      </c>
      <c r="M46" s="17">
        <v>0</v>
      </c>
      <c r="N46" s="17">
        <f t="shared" si="1"/>
        <v>50</v>
      </c>
      <c r="O46" s="17">
        <f t="shared" si="2"/>
        <v>0</v>
      </c>
      <c r="P46" s="3"/>
      <c r="Q46" s="19">
        <f t="shared" si="3"/>
        <v>430</v>
      </c>
      <c r="R46" s="19">
        <v>0</v>
      </c>
      <c r="S46" s="19">
        <f t="shared" si="4"/>
        <v>0</v>
      </c>
      <c r="T46" s="19">
        <f t="shared" si="5"/>
        <v>0</v>
      </c>
      <c r="U46" s="19">
        <f t="shared" si="6"/>
        <v>0</v>
      </c>
      <c r="V46" s="19">
        <f t="shared" si="7"/>
        <v>0</v>
      </c>
      <c r="W46" s="19">
        <f t="shared" si="8"/>
        <v>430</v>
      </c>
      <c r="X46" s="20">
        <f t="shared" si="9"/>
        <v>430</v>
      </c>
      <c r="Y46" s="20">
        <f t="shared" si="10"/>
        <v>0</v>
      </c>
    </row>
    <row r="47" spans="1:25" ht="15.75" customHeight="1">
      <c r="A47" s="14" t="s">
        <v>104</v>
      </c>
      <c r="B47" s="15" t="s">
        <v>105</v>
      </c>
      <c r="C47" s="16">
        <v>1120</v>
      </c>
      <c r="D47" s="16">
        <v>1120</v>
      </c>
      <c r="E47" s="17">
        <v>1</v>
      </c>
      <c r="F47" s="18">
        <v>0</v>
      </c>
      <c r="G47" s="18">
        <v>0</v>
      </c>
      <c r="H47" s="18">
        <v>0</v>
      </c>
      <c r="I47" s="17">
        <v>0</v>
      </c>
      <c r="J47" s="17">
        <f t="shared" si="0"/>
        <v>1</v>
      </c>
      <c r="K47" s="17">
        <v>1</v>
      </c>
      <c r="L47" s="17">
        <v>0</v>
      </c>
      <c r="M47" s="17">
        <v>0</v>
      </c>
      <c r="N47" s="17">
        <f t="shared" si="1"/>
        <v>1</v>
      </c>
      <c r="O47" s="17">
        <f t="shared" si="2"/>
        <v>0</v>
      </c>
      <c r="P47" s="3"/>
      <c r="Q47" s="19">
        <f t="shared" si="3"/>
        <v>1120</v>
      </c>
      <c r="R47" s="19">
        <v>0</v>
      </c>
      <c r="S47" s="19">
        <f t="shared" si="4"/>
        <v>0</v>
      </c>
      <c r="T47" s="19">
        <f t="shared" si="5"/>
        <v>0</v>
      </c>
      <c r="U47" s="19">
        <f t="shared" si="6"/>
        <v>0</v>
      </c>
      <c r="V47" s="19">
        <f t="shared" si="7"/>
        <v>0</v>
      </c>
      <c r="W47" s="19">
        <f t="shared" si="8"/>
        <v>1120</v>
      </c>
      <c r="X47" s="20">
        <f t="shared" si="9"/>
        <v>1120</v>
      </c>
      <c r="Y47" s="20">
        <f t="shared" si="10"/>
        <v>0</v>
      </c>
    </row>
    <row r="48" spans="1:25" ht="15.75" customHeight="1">
      <c r="A48" s="14" t="s">
        <v>106</v>
      </c>
      <c r="B48" s="15" t="s">
        <v>107</v>
      </c>
      <c r="C48" s="16">
        <v>1949.99</v>
      </c>
      <c r="D48" s="16">
        <v>1949.99</v>
      </c>
      <c r="E48" s="17">
        <v>2</v>
      </c>
      <c r="F48" s="18">
        <v>0</v>
      </c>
      <c r="G48" s="18">
        <v>0</v>
      </c>
      <c r="H48" s="18">
        <v>0</v>
      </c>
      <c r="I48" s="17">
        <v>0</v>
      </c>
      <c r="J48" s="17">
        <f t="shared" si="0"/>
        <v>2</v>
      </c>
      <c r="K48" s="17">
        <v>2</v>
      </c>
      <c r="L48" s="17">
        <v>0</v>
      </c>
      <c r="M48" s="17">
        <v>0</v>
      </c>
      <c r="N48" s="17">
        <f t="shared" si="1"/>
        <v>2</v>
      </c>
      <c r="O48" s="17">
        <f t="shared" si="2"/>
        <v>0</v>
      </c>
      <c r="P48" s="3"/>
      <c r="Q48" s="19">
        <f t="shared" si="3"/>
        <v>3899.98</v>
      </c>
      <c r="R48" s="19">
        <v>0</v>
      </c>
      <c r="S48" s="19">
        <f t="shared" si="4"/>
        <v>0</v>
      </c>
      <c r="T48" s="19">
        <f t="shared" si="5"/>
        <v>0</v>
      </c>
      <c r="U48" s="19">
        <f t="shared" si="6"/>
        <v>0</v>
      </c>
      <c r="V48" s="19">
        <f t="shared" si="7"/>
        <v>0</v>
      </c>
      <c r="W48" s="19">
        <f t="shared" si="8"/>
        <v>3899.98</v>
      </c>
      <c r="X48" s="20">
        <f t="shared" si="9"/>
        <v>3899.98</v>
      </c>
      <c r="Y48" s="20">
        <f t="shared" si="10"/>
        <v>0</v>
      </c>
    </row>
    <row r="49" spans="1:25" ht="15.75" customHeight="1">
      <c r="A49" s="14" t="s">
        <v>108</v>
      </c>
      <c r="B49" s="15" t="s">
        <v>109</v>
      </c>
      <c r="C49" s="16">
        <v>0</v>
      </c>
      <c r="D49" s="16">
        <v>0</v>
      </c>
      <c r="E49" s="17">
        <v>0</v>
      </c>
      <c r="F49" s="18">
        <v>0</v>
      </c>
      <c r="G49" s="18">
        <v>0</v>
      </c>
      <c r="H49" s="18">
        <v>0</v>
      </c>
      <c r="I49" s="17">
        <v>0</v>
      </c>
      <c r="J49" s="17">
        <f t="shared" si="0"/>
        <v>0</v>
      </c>
      <c r="K49" s="17">
        <v>0</v>
      </c>
      <c r="L49" s="17">
        <v>0</v>
      </c>
      <c r="M49" s="17">
        <v>0</v>
      </c>
      <c r="N49" s="17">
        <f t="shared" si="1"/>
        <v>0</v>
      </c>
      <c r="O49" s="17">
        <f t="shared" si="2"/>
        <v>0</v>
      </c>
      <c r="P49" s="3"/>
      <c r="Q49" s="19">
        <f t="shared" si="3"/>
        <v>0</v>
      </c>
      <c r="R49" s="19">
        <v>0</v>
      </c>
      <c r="S49" s="19">
        <f t="shared" si="4"/>
        <v>0</v>
      </c>
      <c r="T49" s="19">
        <f t="shared" si="5"/>
        <v>0</v>
      </c>
      <c r="U49" s="19">
        <f t="shared" si="6"/>
        <v>0</v>
      </c>
      <c r="V49" s="19">
        <f t="shared" si="7"/>
        <v>0</v>
      </c>
      <c r="W49" s="19">
        <f t="shared" si="8"/>
        <v>0</v>
      </c>
      <c r="X49" s="20">
        <f t="shared" si="9"/>
        <v>0</v>
      </c>
      <c r="Y49" s="20">
        <f t="shared" si="10"/>
        <v>0</v>
      </c>
    </row>
    <row r="50" spans="1:25" ht="15.75" customHeight="1">
      <c r="A50" s="14" t="s">
        <v>110</v>
      </c>
      <c r="B50" s="15" t="s">
        <v>111</v>
      </c>
      <c r="C50" s="16">
        <v>480</v>
      </c>
      <c r="D50" s="16">
        <v>480</v>
      </c>
      <c r="E50" s="17">
        <v>0</v>
      </c>
      <c r="F50" s="18">
        <v>0</v>
      </c>
      <c r="G50" s="18">
        <v>0</v>
      </c>
      <c r="H50" s="18">
        <v>0</v>
      </c>
      <c r="I50" s="17">
        <v>0</v>
      </c>
      <c r="J50" s="17">
        <f t="shared" si="0"/>
        <v>0</v>
      </c>
      <c r="K50" s="17">
        <v>0</v>
      </c>
      <c r="L50" s="17">
        <v>0</v>
      </c>
      <c r="M50" s="17">
        <v>0</v>
      </c>
      <c r="N50" s="17">
        <f t="shared" si="1"/>
        <v>0</v>
      </c>
      <c r="O50" s="17">
        <f t="shared" si="2"/>
        <v>0</v>
      </c>
      <c r="P50" s="3"/>
      <c r="Q50" s="19">
        <f t="shared" si="3"/>
        <v>0</v>
      </c>
      <c r="R50" s="19">
        <v>0</v>
      </c>
      <c r="S50" s="19">
        <f t="shared" si="4"/>
        <v>0</v>
      </c>
      <c r="T50" s="19">
        <f t="shared" si="5"/>
        <v>0</v>
      </c>
      <c r="U50" s="19">
        <f t="shared" si="6"/>
        <v>0</v>
      </c>
      <c r="V50" s="19">
        <f t="shared" si="7"/>
        <v>0</v>
      </c>
      <c r="W50" s="19">
        <f t="shared" si="8"/>
        <v>0</v>
      </c>
      <c r="X50" s="20">
        <f t="shared" si="9"/>
        <v>0</v>
      </c>
      <c r="Y50" s="20">
        <f t="shared" si="10"/>
        <v>0</v>
      </c>
    </row>
    <row r="51" spans="1:25" ht="15.75" customHeight="1">
      <c r="A51" s="14" t="s">
        <v>112</v>
      </c>
      <c r="B51" s="15" t="s">
        <v>113</v>
      </c>
      <c r="C51" s="16">
        <v>310</v>
      </c>
      <c r="D51" s="16">
        <v>310</v>
      </c>
      <c r="E51" s="17">
        <v>1</v>
      </c>
      <c r="F51" s="18">
        <v>0</v>
      </c>
      <c r="G51" s="18">
        <v>0</v>
      </c>
      <c r="H51" s="18">
        <v>0</v>
      </c>
      <c r="I51" s="17">
        <v>0</v>
      </c>
      <c r="J51" s="17">
        <f t="shared" si="0"/>
        <v>1</v>
      </c>
      <c r="K51" s="17">
        <v>1</v>
      </c>
      <c r="L51" s="17">
        <v>0</v>
      </c>
      <c r="M51" s="17">
        <v>0</v>
      </c>
      <c r="N51" s="17">
        <f t="shared" si="1"/>
        <v>1</v>
      </c>
      <c r="O51" s="17">
        <f t="shared" si="2"/>
        <v>0</v>
      </c>
      <c r="P51" s="3"/>
      <c r="Q51" s="19">
        <f t="shared" si="3"/>
        <v>310</v>
      </c>
      <c r="R51" s="19">
        <v>0</v>
      </c>
      <c r="S51" s="19">
        <f t="shared" si="4"/>
        <v>0</v>
      </c>
      <c r="T51" s="19">
        <f t="shared" si="5"/>
        <v>0</v>
      </c>
      <c r="U51" s="19">
        <f t="shared" si="6"/>
        <v>0</v>
      </c>
      <c r="V51" s="19">
        <f t="shared" si="7"/>
        <v>0</v>
      </c>
      <c r="W51" s="19">
        <f t="shared" si="8"/>
        <v>310</v>
      </c>
      <c r="X51" s="20">
        <f t="shared" si="9"/>
        <v>310</v>
      </c>
      <c r="Y51" s="20">
        <f t="shared" si="10"/>
        <v>0</v>
      </c>
    </row>
    <row r="52" spans="1:25" ht="15.75" customHeight="1">
      <c r="A52" s="14" t="s">
        <v>114</v>
      </c>
      <c r="B52" s="15" t="s">
        <v>115</v>
      </c>
      <c r="C52" s="16">
        <v>2.46</v>
      </c>
      <c r="D52" s="16">
        <v>2.46</v>
      </c>
      <c r="E52" s="17">
        <v>100</v>
      </c>
      <c r="F52" s="18">
        <v>0</v>
      </c>
      <c r="G52" s="18">
        <v>0</v>
      </c>
      <c r="H52" s="18">
        <v>0</v>
      </c>
      <c r="I52" s="17">
        <v>0</v>
      </c>
      <c r="J52" s="17">
        <f t="shared" si="0"/>
        <v>100</v>
      </c>
      <c r="K52" s="17">
        <v>100</v>
      </c>
      <c r="L52" s="17">
        <v>0</v>
      </c>
      <c r="M52" s="17">
        <v>0</v>
      </c>
      <c r="N52" s="17">
        <f t="shared" si="1"/>
        <v>100</v>
      </c>
      <c r="O52" s="17">
        <f t="shared" si="2"/>
        <v>0</v>
      </c>
      <c r="P52" s="3"/>
      <c r="Q52" s="19">
        <f t="shared" si="3"/>
        <v>246</v>
      </c>
      <c r="R52" s="19">
        <v>0</v>
      </c>
      <c r="S52" s="19">
        <f t="shared" si="4"/>
        <v>0</v>
      </c>
      <c r="T52" s="19">
        <f t="shared" si="5"/>
        <v>0</v>
      </c>
      <c r="U52" s="19">
        <f t="shared" si="6"/>
        <v>0</v>
      </c>
      <c r="V52" s="19">
        <f t="shared" si="7"/>
        <v>0</v>
      </c>
      <c r="W52" s="19">
        <f t="shared" si="8"/>
        <v>246</v>
      </c>
      <c r="X52" s="20">
        <f t="shared" si="9"/>
        <v>246</v>
      </c>
      <c r="Y52" s="20">
        <f t="shared" si="10"/>
        <v>0</v>
      </c>
    </row>
    <row r="53" spans="1:25" ht="15.75" customHeight="1">
      <c r="A53" s="14" t="s">
        <v>116</v>
      </c>
      <c r="B53" s="15" t="s">
        <v>117</v>
      </c>
      <c r="C53" s="16">
        <v>625.82000000000005</v>
      </c>
      <c r="D53" s="16">
        <v>625.82000000000005</v>
      </c>
      <c r="E53" s="17">
        <v>2</v>
      </c>
      <c r="F53" s="18">
        <v>0</v>
      </c>
      <c r="G53" s="18">
        <v>0</v>
      </c>
      <c r="H53" s="18">
        <v>0</v>
      </c>
      <c r="I53" s="17">
        <v>0</v>
      </c>
      <c r="J53" s="17">
        <f t="shared" si="0"/>
        <v>2</v>
      </c>
      <c r="K53" s="17">
        <v>2</v>
      </c>
      <c r="L53" s="17">
        <v>0</v>
      </c>
      <c r="M53" s="17">
        <v>0</v>
      </c>
      <c r="N53" s="17">
        <f t="shared" si="1"/>
        <v>2</v>
      </c>
      <c r="O53" s="17">
        <f t="shared" si="2"/>
        <v>0</v>
      </c>
      <c r="P53" s="3"/>
      <c r="Q53" s="19">
        <f t="shared" si="3"/>
        <v>1251.6400000000001</v>
      </c>
      <c r="R53" s="19">
        <v>0</v>
      </c>
      <c r="S53" s="19">
        <f t="shared" si="4"/>
        <v>0</v>
      </c>
      <c r="T53" s="19">
        <f t="shared" si="5"/>
        <v>0</v>
      </c>
      <c r="U53" s="19">
        <f t="shared" si="6"/>
        <v>0</v>
      </c>
      <c r="V53" s="19">
        <f t="shared" si="7"/>
        <v>0</v>
      </c>
      <c r="W53" s="19">
        <f t="shared" si="8"/>
        <v>1251.6400000000001</v>
      </c>
      <c r="X53" s="20">
        <f t="shared" si="9"/>
        <v>1251.6400000000001</v>
      </c>
      <c r="Y53" s="20">
        <f t="shared" si="10"/>
        <v>0</v>
      </c>
    </row>
    <row r="54" spans="1:25" ht="15.75" customHeight="1">
      <c r="A54" s="14" t="s">
        <v>118</v>
      </c>
      <c r="B54" s="15" t="s">
        <v>119</v>
      </c>
      <c r="C54" s="16">
        <v>625.82000000000005</v>
      </c>
      <c r="D54" s="16">
        <v>625.82000000000005</v>
      </c>
      <c r="E54" s="17">
        <v>2</v>
      </c>
      <c r="F54" s="18">
        <v>0</v>
      </c>
      <c r="G54" s="18">
        <v>0</v>
      </c>
      <c r="H54" s="18">
        <v>0</v>
      </c>
      <c r="I54" s="17">
        <v>0</v>
      </c>
      <c r="J54" s="17">
        <f t="shared" si="0"/>
        <v>2</v>
      </c>
      <c r="K54" s="17">
        <v>2</v>
      </c>
      <c r="L54" s="17">
        <v>0</v>
      </c>
      <c r="M54" s="17">
        <v>0</v>
      </c>
      <c r="N54" s="17">
        <f t="shared" si="1"/>
        <v>2</v>
      </c>
      <c r="O54" s="17">
        <f t="shared" si="2"/>
        <v>0</v>
      </c>
      <c r="P54" s="3"/>
      <c r="Q54" s="19">
        <f t="shared" si="3"/>
        <v>1251.6400000000001</v>
      </c>
      <c r="R54" s="19">
        <v>0</v>
      </c>
      <c r="S54" s="19">
        <f t="shared" si="4"/>
        <v>0</v>
      </c>
      <c r="T54" s="19">
        <f t="shared" si="5"/>
        <v>0</v>
      </c>
      <c r="U54" s="19">
        <f t="shared" si="6"/>
        <v>0</v>
      </c>
      <c r="V54" s="19">
        <f t="shared" si="7"/>
        <v>0</v>
      </c>
      <c r="W54" s="19">
        <f t="shared" si="8"/>
        <v>1251.6400000000001</v>
      </c>
      <c r="X54" s="20">
        <f t="shared" si="9"/>
        <v>1251.6400000000001</v>
      </c>
      <c r="Y54" s="20">
        <f t="shared" si="10"/>
        <v>0</v>
      </c>
    </row>
    <row r="55" spans="1:25" ht="15.75" customHeight="1">
      <c r="A55" s="14" t="s">
        <v>120</v>
      </c>
      <c r="B55" s="15" t="s">
        <v>121</v>
      </c>
      <c r="C55" s="16">
        <v>625.82000000000005</v>
      </c>
      <c r="D55" s="16">
        <v>625.82000000000005</v>
      </c>
      <c r="E55" s="17">
        <v>2</v>
      </c>
      <c r="F55" s="18">
        <v>0</v>
      </c>
      <c r="G55" s="18">
        <v>0</v>
      </c>
      <c r="H55" s="18">
        <v>0</v>
      </c>
      <c r="I55" s="17">
        <v>0</v>
      </c>
      <c r="J55" s="17">
        <f t="shared" si="0"/>
        <v>2</v>
      </c>
      <c r="K55" s="17">
        <v>2</v>
      </c>
      <c r="L55" s="17">
        <v>0</v>
      </c>
      <c r="M55" s="17">
        <v>0</v>
      </c>
      <c r="N55" s="17">
        <f t="shared" si="1"/>
        <v>2</v>
      </c>
      <c r="O55" s="17">
        <f t="shared" si="2"/>
        <v>0</v>
      </c>
      <c r="P55" s="3"/>
      <c r="Q55" s="19">
        <f t="shared" si="3"/>
        <v>1251.6400000000001</v>
      </c>
      <c r="R55" s="19">
        <v>0</v>
      </c>
      <c r="S55" s="19">
        <f t="shared" si="4"/>
        <v>0</v>
      </c>
      <c r="T55" s="19">
        <f t="shared" si="5"/>
        <v>0</v>
      </c>
      <c r="U55" s="19">
        <f t="shared" si="6"/>
        <v>0</v>
      </c>
      <c r="V55" s="19">
        <f t="shared" si="7"/>
        <v>0</v>
      </c>
      <c r="W55" s="19">
        <f t="shared" si="8"/>
        <v>1251.6400000000001</v>
      </c>
      <c r="X55" s="20">
        <f t="shared" si="9"/>
        <v>1251.6400000000001</v>
      </c>
      <c r="Y55" s="20">
        <f t="shared" si="10"/>
        <v>0</v>
      </c>
    </row>
    <row r="56" spans="1:25" ht="15.75" customHeight="1">
      <c r="A56" s="14" t="s">
        <v>122</v>
      </c>
      <c r="B56" s="15" t="s">
        <v>123</v>
      </c>
      <c r="C56" s="16">
        <v>625.82000000000005</v>
      </c>
      <c r="D56" s="16">
        <v>625.82000000000005</v>
      </c>
      <c r="E56" s="17">
        <v>2</v>
      </c>
      <c r="F56" s="18">
        <v>0</v>
      </c>
      <c r="G56" s="18">
        <v>0</v>
      </c>
      <c r="H56" s="18">
        <v>0</v>
      </c>
      <c r="I56" s="17">
        <v>0</v>
      </c>
      <c r="J56" s="17">
        <f t="shared" si="0"/>
        <v>2</v>
      </c>
      <c r="K56" s="17">
        <v>2</v>
      </c>
      <c r="L56" s="17">
        <v>0</v>
      </c>
      <c r="M56" s="17">
        <v>0</v>
      </c>
      <c r="N56" s="17">
        <f t="shared" si="1"/>
        <v>2</v>
      </c>
      <c r="O56" s="17">
        <f t="shared" si="2"/>
        <v>0</v>
      </c>
      <c r="P56" s="3"/>
      <c r="Q56" s="19">
        <f t="shared" si="3"/>
        <v>1251.6400000000001</v>
      </c>
      <c r="R56" s="19">
        <v>0</v>
      </c>
      <c r="S56" s="19">
        <f t="shared" si="4"/>
        <v>0</v>
      </c>
      <c r="T56" s="19">
        <f t="shared" si="5"/>
        <v>0</v>
      </c>
      <c r="U56" s="19">
        <f t="shared" si="6"/>
        <v>0</v>
      </c>
      <c r="V56" s="19">
        <f t="shared" si="7"/>
        <v>0</v>
      </c>
      <c r="W56" s="19">
        <f t="shared" si="8"/>
        <v>1251.6400000000001</v>
      </c>
      <c r="X56" s="20">
        <f t="shared" si="9"/>
        <v>1251.6400000000001</v>
      </c>
      <c r="Y56" s="20">
        <f t="shared" si="10"/>
        <v>0</v>
      </c>
    </row>
    <row r="57" spans="1:25" ht="15.75" customHeight="1">
      <c r="A57" s="14" t="s">
        <v>124</v>
      </c>
      <c r="B57" s="15" t="s">
        <v>125</v>
      </c>
      <c r="C57" s="16">
        <v>1300</v>
      </c>
      <c r="D57" s="16">
        <v>1300</v>
      </c>
      <c r="E57" s="17">
        <v>1</v>
      </c>
      <c r="F57" s="18">
        <v>0</v>
      </c>
      <c r="G57" s="18">
        <v>0</v>
      </c>
      <c r="H57" s="18">
        <v>0</v>
      </c>
      <c r="I57" s="17">
        <v>0</v>
      </c>
      <c r="J57" s="17">
        <f t="shared" si="0"/>
        <v>1</v>
      </c>
      <c r="K57" s="17">
        <v>1</v>
      </c>
      <c r="L57" s="17">
        <v>0</v>
      </c>
      <c r="M57" s="17">
        <v>0</v>
      </c>
      <c r="N57" s="17">
        <f t="shared" si="1"/>
        <v>1</v>
      </c>
      <c r="O57" s="17">
        <f t="shared" si="2"/>
        <v>0</v>
      </c>
      <c r="P57" s="3"/>
      <c r="Q57" s="19">
        <f t="shared" si="3"/>
        <v>1300</v>
      </c>
      <c r="R57" s="19">
        <v>0</v>
      </c>
      <c r="S57" s="19">
        <f t="shared" si="4"/>
        <v>0</v>
      </c>
      <c r="T57" s="19">
        <f t="shared" si="5"/>
        <v>0</v>
      </c>
      <c r="U57" s="19">
        <f t="shared" si="6"/>
        <v>0</v>
      </c>
      <c r="V57" s="19">
        <f t="shared" si="7"/>
        <v>0</v>
      </c>
      <c r="W57" s="19">
        <f t="shared" si="8"/>
        <v>1300</v>
      </c>
      <c r="X57" s="20">
        <f t="shared" si="9"/>
        <v>1300</v>
      </c>
      <c r="Y57" s="20">
        <f t="shared" si="10"/>
        <v>0</v>
      </c>
    </row>
    <row r="58" spans="1:25" ht="15.75" customHeight="1">
      <c r="A58" s="14" t="s">
        <v>126</v>
      </c>
      <c r="B58" s="15" t="s">
        <v>127</v>
      </c>
      <c r="C58" s="16">
        <v>185</v>
      </c>
      <c r="D58" s="16">
        <v>185</v>
      </c>
      <c r="E58" s="17">
        <v>0</v>
      </c>
      <c r="F58" s="18">
        <v>0</v>
      </c>
      <c r="G58" s="18">
        <v>0</v>
      </c>
      <c r="H58" s="18">
        <v>0</v>
      </c>
      <c r="I58" s="17">
        <v>0</v>
      </c>
      <c r="J58" s="17">
        <f t="shared" si="0"/>
        <v>0</v>
      </c>
      <c r="K58" s="17">
        <v>0</v>
      </c>
      <c r="L58" s="17">
        <v>0</v>
      </c>
      <c r="M58" s="17">
        <v>0</v>
      </c>
      <c r="N58" s="17">
        <f t="shared" si="1"/>
        <v>0</v>
      </c>
      <c r="O58" s="17">
        <f t="shared" si="2"/>
        <v>0</v>
      </c>
      <c r="P58" s="3"/>
      <c r="Q58" s="19">
        <f t="shared" si="3"/>
        <v>0</v>
      </c>
      <c r="R58" s="19">
        <v>0</v>
      </c>
      <c r="S58" s="19">
        <f t="shared" si="4"/>
        <v>0</v>
      </c>
      <c r="T58" s="19">
        <f t="shared" si="5"/>
        <v>0</v>
      </c>
      <c r="U58" s="19">
        <f t="shared" si="6"/>
        <v>0</v>
      </c>
      <c r="V58" s="19">
        <f t="shared" si="7"/>
        <v>0</v>
      </c>
      <c r="W58" s="19">
        <f t="shared" si="8"/>
        <v>0</v>
      </c>
      <c r="X58" s="20">
        <f t="shared" si="9"/>
        <v>0</v>
      </c>
      <c r="Y58" s="20">
        <f t="shared" si="10"/>
        <v>0</v>
      </c>
    </row>
    <row r="59" spans="1:25" ht="15.75" customHeight="1">
      <c r="A59" s="14" t="s">
        <v>128</v>
      </c>
      <c r="B59" s="15" t="s">
        <v>129</v>
      </c>
      <c r="C59" s="16">
        <v>465</v>
      </c>
      <c r="D59" s="16">
        <v>465</v>
      </c>
      <c r="E59" s="17">
        <v>1</v>
      </c>
      <c r="F59" s="18">
        <v>0</v>
      </c>
      <c r="G59" s="18">
        <v>0</v>
      </c>
      <c r="H59" s="18">
        <v>0</v>
      </c>
      <c r="I59" s="17">
        <v>0</v>
      </c>
      <c r="J59" s="17">
        <f t="shared" si="0"/>
        <v>1</v>
      </c>
      <c r="K59" s="17">
        <v>1</v>
      </c>
      <c r="L59" s="17">
        <v>0</v>
      </c>
      <c r="M59" s="17">
        <v>0</v>
      </c>
      <c r="N59" s="17">
        <f t="shared" si="1"/>
        <v>1</v>
      </c>
      <c r="O59" s="17">
        <f t="shared" si="2"/>
        <v>0</v>
      </c>
      <c r="P59" s="3"/>
      <c r="Q59" s="19">
        <f t="shared" si="3"/>
        <v>465</v>
      </c>
      <c r="R59" s="19">
        <v>0</v>
      </c>
      <c r="S59" s="19">
        <f t="shared" si="4"/>
        <v>0</v>
      </c>
      <c r="T59" s="19">
        <f t="shared" si="5"/>
        <v>0</v>
      </c>
      <c r="U59" s="19">
        <f t="shared" si="6"/>
        <v>0</v>
      </c>
      <c r="V59" s="19">
        <f t="shared" si="7"/>
        <v>0</v>
      </c>
      <c r="W59" s="19">
        <f t="shared" si="8"/>
        <v>465</v>
      </c>
      <c r="X59" s="20">
        <f t="shared" si="9"/>
        <v>465</v>
      </c>
      <c r="Y59" s="20">
        <f t="shared" si="10"/>
        <v>0</v>
      </c>
    </row>
    <row r="60" spans="1:25" ht="15.75" customHeight="1">
      <c r="A60" s="14" t="s">
        <v>130</v>
      </c>
      <c r="B60" s="15" t="s">
        <v>131</v>
      </c>
      <c r="C60" s="16">
        <v>8.99</v>
      </c>
      <c r="D60" s="16">
        <v>8.99</v>
      </c>
      <c r="E60" s="17">
        <v>50</v>
      </c>
      <c r="F60" s="18">
        <v>0</v>
      </c>
      <c r="G60" s="18">
        <v>0</v>
      </c>
      <c r="H60" s="18">
        <v>0</v>
      </c>
      <c r="I60" s="17">
        <v>0</v>
      </c>
      <c r="J60" s="17">
        <f t="shared" si="0"/>
        <v>50</v>
      </c>
      <c r="K60" s="17">
        <v>50</v>
      </c>
      <c r="L60" s="17">
        <v>0</v>
      </c>
      <c r="M60" s="17">
        <v>0</v>
      </c>
      <c r="N60" s="17">
        <f t="shared" si="1"/>
        <v>50</v>
      </c>
      <c r="O60" s="17">
        <f t="shared" si="2"/>
        <v>0</v>
      </c>
      <c r="P60" s="3"/>
      <c r="Q60" s="19">
        <f t="shared" si="3"/>
        <v>449.5</v>
      </c>
      <c r="R60" s="19">
        <v>0</v>
      </c>
      <c r="S60" s="19">
        <f t="shared" si="4"/>
        <v>0</v>
      </c>
      <c r="T60" s="19">
        <f t="shared" si="5"/>
        <v>0</v>
      </c>
      <c r="U60" s="19">
        <f t="shared" si="6"/>
        <v>0</v>
      </c>
      <c r="V60" s="19">
        <f t="shared" si="7"/>
        <v>0</v>
      </c>
      <c r="W60" s="19">
        <f t="shared" si="8"/>
        <v>449.5</v>
      </c>
      <c r="X60" s="20">
        <f t="shared" si="9"/>
        <v>449.5</v>
      </c>
      <c r="Y60" s="20">
        <f t="shared" si="10"/>
        <v>0</v>
      </c>
    </row>
    <row r="61" spans="1:25" ht="15.75" customHeight="1">
      <c r="A61" s="14" t="s">
        <v>132</v>
      </c>
      <c r="B61" s="15" t="s">
        <v>133</v>
      </c>
      <c r="C61" s="16">
        <v>2100</v>
      </c>
      <c r="D61" s="16">
        <v>2100</v>
      </c>
      <c r="E61" s="17">
        <v>1</v>
      </c>
      <c r="F61" s="18">
        <v>0</v>
      </c>
      <c r="G61" s="18">
        <v>0</v>
      </c>
      <c r="H61" s="18">
        <v>0</v>
      </c>
      <c r="I61" s="17">
        <v>0</v>
      </c>
      <c r="J61" s="17">
        <f t="shared" si="0"/>
        <v>1</v>
      </c>
      <c r="K61" s="17">
        <v>1</v>
      </c>
      <c r="L61" s="17">
        <v>0</v>
      </c>
      <c r="M61" s="17">
        <v>0</v>
      </c>
      <c r="N61" s="17">
        <f t="shared" si="1"/>
        <v>1</v>
      </c>
      <c r="O61" s="17">
        <f t="shared" si="2"/>
        <v>0</v>
      </c>
      <c r="P61" s="3"/>
      <c r="Q61" s="19">
        <f t="shared" si="3"/>
        <v>2100</v>
      </c>
      <c r="R61" s="19">
        <v>0</v>
      </c>
      <c r="S61" s="19">
        <f t="shared" si="4"/>
        <v>0</v>
      </c>
      <c r="T61" s="19">
        <f t="shared" si="5"/>
        <v>0</v>
      </c>
      <c r="U61" s="19">
        <f t="shared" si="6"/>
        <v>0</v>
      </c>
      <c r="V61" s="19">
        <f t="shared" si="7"/>
        <v>0</v>
      </c>
      <c r="W61" s="19">
        <f t="shared" si="8"/>
        <v>2100</v>
      </c>
      <c r="X61" s="20">
        <f t="shared" si="9"/>
        <v>2100</v>
      </c>
      <c r="Y61" s="20">
        <f t="shared" si="10"/>
        <v>0</v>
      </c>
    </row>
    <row r="62" spans="1:25" ht="15.75" customHeight="1">
      <c r="A62" s="14" t="s">
        <v>134</v>
      </c>
      <c r="B62" s="15" t="s">
        <v>135</v>
      </c>
      <c r="C62" s="16">
        <v>4205</v>
      </c>
      <c r="D62" s="16">
        <v>4205</v>
      </c>
      <c r="E62" s="17">
        <v>1</v>
      </c>
      <c r="F62" s="18">
        <v>0</v>
      </c>
      <c r="G62" s="18">
        <v>0</v>
      </c>
      <c r="H62" s="18">
        <v>0</v>
      </c>
      <c r="I62" s="17">
        <v>0</v>
      </c>
      <c r="J62" s="17">
        <f t="shared" si="0"/>
        <v>1</v>
      </c>
      <c r="K62" s="17">
        <v>1</v>
      </c>
      <c r="L62" s="17">
        <v>0</v>
      </c>
      <c r="M62" s="17">
        <v>0</v>
      </c>
      <c r="N62" s="17">
        <f t="shared" si="1"/>
        <v>1</v>
      </c>
      <c r="O62" s="17">
        <f t="shared" si="2"/>
        <v>0</v>
      </c>
      <c r="P62" s="3"/>
      <c r="Q62" s="19">
        <f t="shared" si="3"/>
        <v>4205</v>
      </c>
      <c r="R62" s="19">
        <v>0</v>
      </c>
      <c r="S62" s="19">
        <f t="shared" si="4"/>
        <v>0</v>
      </c>
      <c r="T62" s="19">
        <f t="shared" si="5"/>
        <v>0</v>
      </c>
      <c r="U62" s="19">
        <f t="shared" si="6"/>
        <v>0</v>
      </c>
      <c r="V62" s="19">
        <f t="shared" si="7"/>
        <v>0</v>
      </c>
      <c r="W62" s="19">
        <f t="shared" si="8"/>
        <v>4205</v>
      </c>
      <c r="X62" s="20">
        <f t="shared" si="9"/>
        <v>4205</v>
      </c>
      <c r="Y62" s="20">
        <f t="shared" si="10"/>
        <v>0</v>
      </c>
    </row>
    <row r="63" spans="1:25" ht="15.75" customHeight="1">
      <c r="A63" s="14" t="s">
        <v>136</v>
      </c>
      <c r="B63" s="15" t="s">
        <v>137</v>
      </c>
      <c r="C63" s="16">
        <v>406</v>
      </c>
      <c r="D63" s="16">
        <v>406</v>
      </c>
      <c r="E63" s="17">
        <v>3</v>
      </c>
      <c r="F63" s="18">
        <v>0</v>
      </c>
      <c r="G63" s="18">
        <v>0</v>
      </c>
      <c r="H63" s="18">
        <v>0</v>
      </c>
      <c r="I63" s="17">
        <v>0</v>
      </c>
      <c r="J63" s="17">
        <f t="shared" si="0"/>
        <v>3</v>
      </c>
      <c r="K63" s="17">
        <v>0</v>
      </c>
      <c r="L63" s="17">
        <v>0</v>
      </c>
      <c r="M63" s="17">
        <v>3</v>
      </c>
      <c r="N63" s="17">
        <f t="shared" si="1"/>
        <v>3</v>
      </c>
      <c r="O63" s="17">
        <f t="shared" si="2"/>
        <v>0</v>
      </c>
      <c r="P63" s="3"/>
      <c r="Q63" s="19">
        <f t="shared" si="3"/>
        <v>1218</v>
      </c>
      <c r="R63" s="19">
        <v>0</v>
      </c>
      <c r="S63" s="19">
        <f t="shared" si="4"/>
        <v>0</v>
      </c>
      <c r="T63" s="19">
        <f t="shared" si="5"/>
        <v>0</v>
      </c>
      <c r="U63" s="19">
        <f t="shared" si="6"/>
        <v>0</v>
      </c>
      <c r="V63" s="19">
        <f t="shared" si="7"/>
        <v>0</v>
      </c>
      <c r="W63" s="19">
        <f t="shared" si="8"/>
        <v>1218</v>
      </c>
      <c r="X63" s="20">
        <f t="shared" si="9"/>
        <v>1218</v>
      </c>
      <c r="Y63" s="20">
        <f t="shared" si="10"/>
        <v>0</v>
      </c>
    </row>
    <row r="64" spans="1:25" ht="15.75" customHeight="1">
      <c r="A64" s="14" t="s">
        <v>138</v>
      </c>
      <c r="B64" s="15" t="s">
        <v>139</v>
      </c>
      <c r="C64" s="16">
        <v>580</v>
      </c>
      <c r="D64" s="16">
        <v>580</v>
      </c>
      <c r="E64" s="17">
        <v>0</v>
      </c>
      <c r="F64" s="18">
        <v>0</v>
      </c>
      <c r="G64" s="18">
        <v>0</v>
      </c>
      <c r="H64" s="18">
        <v>0</v>
      </c>
      <c r="I64" s="17">
        <v>0</v>
      </c>
      <c r="J64" s="17">
        <f t="shared" si="0"/>
        <v>0</v>
      </c>
      <c r="K64" s="17">
        <v>0</v>
      </c>
      <c r="L64" s="17">
        <v>0</v>
      </c>
      <c r="M64" s="17">
        <v>0</v>
      </c>
      <c r="N64" s="17">
        <f t="shared" si="1"/>
        <v>0</v>
      </c>
      <c r="O64" s="17">
        <f t="shared" si="2"/>
        <v>0</v>
      </c>
      <c r="P64" s="3"/>
      <c r="Q64" s="19">
        <f t="shared" si="3"/>
        <v>0</v>
      </c>
      <c r="R64" s="19">
        <v>0</v>
      </c>
      <c r="S64" s="19">
        <f t="shared" si="4"/>
        <v>0</v>
      </c>
      <c r="T64" s="19">
        <f t="shared" si="5"/>
        <v>0</v>
      </c>
      <c r="U64" s="19">
        <f t="shared" si="6"/>
        <v>0</v>
      </c>
      <c r="V64" s="19">
        <f t="shared" si="7"/>
        <v>0</v>
      </c>
      <c r="W64" s="19">
        <f t="shared" si="8"/>
        <v>0</v>
      </c>
      <c r="X64" s="20">
        <f t="shared" si="9"/>
        <v>0</v>
      </c>
      <c r="Y64" s="20">
        <f t="shared" si="10"/>
        <v>0</v>
      </c>
    </row>
    <row r="65" spans="1:25" ht="15.75" customHeight="1">
      <c r="A65" s="14" t="s">
        <v>140</v>
      </c>
      <c r="B65" s="15" t="s">
        <v>141</v>
      </c>
      <c r="C65" s="16">
        <v>9</v>
      </c>
      <c r="D65" s="16">
        <v>9</v>
      </c>
      <c r="E65" s="17">
        <v>10</v>
      </c>
      <c r="F65" s="18">
        <v>0</v>
      </c>
      <c r="G65" s="18">
        <v>0</v>
      </c>
      <c r="H65" s="18">
        <v>0</v>
      </c>
      <c r="I65" s="17">
        <v>0</v>
      </c>
      <c r="J65" s="17">
        <f t="shared" si="0"/>
        <v>10</v>
      </c>
      <c r="K65" s="17">
        <v>10</v>
      </c>
      <c r="L65" s="17">
        <v>0</v>
      </c>
      <c r="M65" s="17">
        <v>0</v>
      </c>
      <c r="N65" s="17">
        <f t="shared" si="1"/>
        <v>10</v>
      </c>
      <c r="O65" s="17">
        <f t="shared" si="2"/>
        <v>0</v>
      </c>
      <c r="P65" s="3"/>
      <c r="Q65" s="19">
        <f t="shared" si="3"/>
        <v>90</v>
      </c>
      <c r="R65" s="19">
        <v>0</v>
      </c>
      <c r="S65" s="19">
        <f t="shared" si="4"/>
        <v>0</v>
      </c>
      <c r="T65" s="19">
        <f t="shared" si="5"/>
        <v>0</v>
      </c>
      <c r="U65" s="19">
        <f t="shared" si="6"/>
        <v>0</v>
      </c>
      <c r="V65" s="19">
        <f t="shared" si="7"/>
        <v>0</v>
      </c>
      <c r="W65" s="19">
        <f t="shared" si="8"/>
        <v>90</v>
      </c>
      <c r="X65" s="20">
        <f t="shared" si="9"/>
        <v>90</v>
      </c>
      <c r="Y65" s="20">
        <f t="shared" si="10"/>
        <v>0</v>
      </c>
    </row>
    <row r="66" spans="1:25" ht="15.75" customHeight="1">
      <c r="A66" s="14" t="s">
        <v>142</v>
      </c>
      <c r="B66" s="15" t="s">
        <v>143</v>
      </c>
      <c r="C66" s="16">
        <v>13720</v>
      </c>
      <c r="D66" s="16">
        <v>13720</v>
      </c>
      <c r="E66" s="17">
        <v>2</v>
      </c>
      <c r="F66" s="18">
        <v>0</v>
      </c>
      <c r="G66" s="18">
        <v>0</v>
      </c>
      <c r="H66" s="18">
        <v>0</v>
      </c>
      <c r="I66" s="17">
        <v>0</v>
      </c>
      <c r="J66" s="17">
        <f t="shared" si="0"/>
        <v>2</v>
      </c>
      <c r="K66" s="17">
        <v>2</v>
      </c>
      <c r="L66" s="17">
        <v>0</v>
      </c>
      <c r="M66" s="17">
        <v>0</v>
      </c>
      <c r="N66" s="17">
        <f t="shared" si="1"/>
        <v>2</v>
      </c>
      <c r="O66" s="17">
        <f t="shared" si="2"/>
        <v>0</v>
      </c>
      <c r="P66" s="3"/>
      <c r="Q66" s="19">
        <f t="shared" si="3"/>
        <v>27440</v>
      </c>
      <c r="R66" s="19">
        <v>0</v>
      </c>
      <c r="S66" s="19">
        <f t="shared" si="4"/>
        <v>0</v>
      </c>
      <c r="T66" s="19">
        <f t="shared" si="5"/>
        <v>0</v>
      </c>
      <c r="U66" s="19">
        <f t="shared" si="6"/>
        <v>0</v>
      </c>
      <c r="V66" s="19">
        <f t="shared" si="7"/>
        <v>0</v>
      </c>
      <c r="W66" s="19">
        <f t="shared" si="8"/>
        <v>27440</v>
      </c>
      <c r="X66" s="20">
        <f t="shared" si="9"/>
        <v>27440</v>
      </c>
      <c r="Y66" s="20">
        <f t="shared" si="10"/>
        <v>0</v>
      </c>
    </row>
    <row r="67" spans="1:25" ht="15.75" customHeight="1">
      <c r="A67" s="14" t="s">
        <v>144</v>
      </c>
      <c r="B67" s="15" t="s">
        <v>145</v>
      </c>
      <c r="C67" s="16">
        <v>940</v>
      </c>
      <c r="D67" s="16">
        <v>940</v>
      </c>
      <c r="E67" s="17">
        <v>1</v>
      </c>
      <c r="F67" s="18">
        <v>0</v>
      </c>
      <c r="G67" s="18">
        <v>0</v>
      </c>
      <c r="H67" s="18">
        <v>0</v>
      </c>
      <c r="I67" s="17">
        <v>0</v>
      </c>
      <c r="J67" s="17">
        <f t="shared" si="0"/>
        <v>1</v>
      </c>
      <c r="K67" s="17">
        <v>1</v>
      </c>
      <c r="L67" s="17">
        <v>0</v>
      </c>
      <c r="M67" s="17">
        <v>0</v>
      </c>
      <c r="N67" s="17">
        <f t="shared" si="1"/>
        <v>1</v>
      </c>
      <c r="O67" s="17">
        <f t="shared" si="2"/>
        <v>0</v>
      </c>
      <c r="P67" s="3"/>
      <c r="Q67" s="19">
        <f t="shared" si="3"/>
        <v>940</v>
      </c>
      <c r="R67" s="19">
        <v>0</v>
      </c>
      <c r="S67" s="19">
        <f t="shared" si="4"/>
        <v>0</v>
      </c>
      <c r="T67" s="19">
        <f t="shared" si="5"/>
        <v>0</v>
      </c>
      <c r="U67" s="19">
        <f t="shared" si="6"/>
        <v>0</v>
      </c>
      <c r="V67" s="19">
        <f t="shared" si="7"/>
        <v>0</v>
      </c>
      <c r="W67" s="19">
        <f t="shared" si="8"/>
        <v>940</v>
      </c>
      <c r="X67" s="20">
        <f t="shared" si="9"/>
        <v>940</v>
      </c>
      <c r="Y67" s="20">
        <f t="shared" si="10"/>
        <v>0</v>
      </c>
    </row>
    <row r="68" spans="1:25" ht="15.75" customHeight="1">
      <c r="A68" s="14" t="s">
        <v>146</v>
      </c>
      <c r="B68" s="15" t="s">
        <v>147</v>
      </c>
      <c r="C68" s="16">
        <v>24.58</v>
      </c>
      <c r="D68" s="16">
        <v>24.58</v>
      </c>
      <c r="E68" s="17">
        <v>2</v>
      </c>
      <c r="F68" s="18">
        <v>0</v>
      </c>
      <c r="G68" s="18">
        <v>0</v>
      </c>
      <c r="H68" s="18">
        <v>0</v>
      </c>
      <c r="I68" s="17">
        <v>0</v>
      </c>
      <c r="J68" s="17">
        <f t="shared" si="0"/>
        <v>2</v>
      </c>
      <c r="K68" s="17">
        <v>2</v>
      </c>
      <c r="L68" s="17">
        <v>0</v>
      </c>
      <c r="M68" s="17">
        <v>0</v>
      </c>
      <c r="N68" s="17">
        <f t="shared" si="1"/>
        <v>2</v>
      </c>
      <c r="O68" s="17">
        <f t="shared" si="2"/>
        <v>0</v>
      </c>
      <c r="P68" s="3"/>
      <c r="Q68" s="19">
        <f t="shared" si="3"/>
        <v>49.16</v>
      </c>
      <c r="R68" s="19">
        <v>0</v>
      </c>
      <c r="S68" s="19">
        <f t="shared" si="4"/>
        <v>0</v>
      </c>
      <c r="T68" s="19">
        <f t="shared" si="5"/>
        <v>0</v>
      </c>
      <c r="U68" s="19">
        <f t="shared" si="6"/>
        <v>0</v>
      </c>
      <c r="V68" s="19">
        <f t="shared" si="7"/>
        <v>0</v>
      </c>
      <c r="W68" s="19">
        <f t="shared" si="8"/>
        <v>49.16</v>
      </c>
      <c r="X68" s="20">
        <f t="shared" si="9"/>
        <v>49.16</v>
      </c>
      <c r="Y68" s="20">
        <f t="shared" si="10"/>
        <v>0</v>
      </c>
    </row>
    <row r="69" spans="1:25" ht="15.75" customHeight="1">
      <c r="A69" s="14" t="s">
        <v>148</v>
      </c>
      <c r="B69" s="15" t="s">
        <v>149</v>
      </c>
      <c r="C69" s="16">
        <v>890</v>
      </c>
      <c r="D69" s="16">
        <v>890</v>
      </c>
      <c r="E69" s="17">
        <v>1</v>
      </c>
      <c r="F69" s="18">
        <v>0</v>
      </c>
      <c r="G69" s="18">
        <v>0</v>
      </c>
      <c r="H69" s="18">
        <v>0</v>
      </c>
      <c r="I69" s="17">
        <v>0</v>
      </c>
      <c r="J69" s="17">
        <f t="shared" si="0"/>
        <v>1</v>
      </c>
      <c r="K69" s="17">
        <v>1</v>
      </c>
      <c r="L69" s="17">
        <v>0</v>
      </c>
      <c r="M69" s="17">
        <v>0</v>
      </c>
      <c r="N69" s="17">
        <f t="shared" si="1"/>
        <v>1</v>
      </c>
      <c r="O69" s="17">
        <f t="shared" si="2"/>
        <v>0</v>
      </c>
      <c r="P69" s="3"/>
      <c r="Q69" s="19">
        <f t="shared" si="3"/>
        <v>890</v>
      </c>
      <c r="R69" s="19">
        <v>0</v>
      </c>
      <c r="S69" s="19">
        <f t="shared" si="4"/>
        <v>0</v>
      </c>
      <c r="T69" s="19">
        <f t="shared" si="5"/>
        <v>0</v>
      </c>
      <c r="U69" s="19">
        <f t="shared" si="6"/>
        <v>0</v>
      </c>
      <c r="V69" s="19">
        <f t="shared" si="7"/>
        <v>0</v>
      </c>
      <c r="W69" s="19">
        <f t="shared" si="8"/>
        <v>890</v>
      </c>
      <c r="X69" s="20">
        <f t="shared" si="9"/>
        <v>890</v>
      </c>
      <c r="Y69" s="20">
        <f t="shared" si="10"/>
        <v>0</v>
      </c>
    </row>
    <row r="70" spans="1:25" ht="15.75" customHeight="1">
      <c r="A70" s="14" t="s">
        <v>150</v>
      </c>
      <c r="B70" s="15" t="s">
        <v>151</v>
      </c>
      <c r="C70" s="16">
        <v>0</v>
      </c>
      <c r="D70" s="16">
        <v>0</v>
      </c>
      <c r="E70" s="17">
        <v>0</v>
      </c>
      <c r="F70" s="18">
        <v>0</v>
      </c>
      <c r="G70" s="18">
        <v>0</v>
      </c>
      <c r="H70" s="18">
        <v>0</v>
      </c>
      <c r="I70" s="17">
        <v>0</v>
      </c>
      <c r="J70" s="17">
        <f t="shared" si="0"/>
        <v>0</v>
      </c>
      <c r="K70" s="17">
        <v>0</v>
      </c>
      <c r="L70" s="17">
        <v>0</v>
      </c>
      <c r="M70" s="17">
        <v>0</v>
      </c>
      <c r="N70" s="17">
        <f t="shared" si="1"/>
        <v>0</v>
      </c>
      <c r="O70" s="17">
        <f t="shared" si="2"/>
        <v>0</v>
      </c>
      <c r="P70" s="3"/>
      <c r="Q70" s="19">
        <f t="shared" si="3"/>
        <v>0</v>
      </c>
      <c r="R70" s="19">
        <v>0</v>
      </c>
      <c r="S70" s="19">
        <f t="shared" si="4"/>
        <v>0</v>
      </c>
      <c r="T70" s="19">
        <f t="shared" si="5"/>
        <v>0</v>
      </c>
      <c r="U70" s="19">
        <f t="shared" si="6"/>
        <v>0</v>
      </c>
      <c r="V70" s="19">
        <f t="shared" si="7"/>
        <v>0</v>
      </c>
      <c r="W70" s="19">
        <f t="shared" si="8"/>
        <v>0</v>
      </c>
      <c r="X70" s="20">
        <f t="shared" si="9"/>
        <v>0</v>
      </c>
      <c r="Y70" s="20">
        <f t="shared" si="10"/>
        <v>0</v>
      </c>
    </row>
    <row r="71" spans="1:25" ht="15.75" customHeight="1">
      <c r="A71" s="14" t="s">
        <v>152</v>
      </c>
      <c r="B71" s="15" t="s">
        <v>153</v>
      </c>
      <c r="C71" s="16">
        <v>560</v>
      </c>
      <c r="D71" s="16">
        <v>560</v>
      </c>
      <c r="E71" s="17">
        <v>2</v>
      </c>
      <c r="F71" s="18">
        <v>0</v>
      </c>
      <c r="G71" s="18">
        <v>0</v>
      </c>
      <c r="H71" s="18">
        <v>0</v>
      </c>
      <c r="I71" s="17">
        <v>0</v>
      </c>
      <c r="J71" s="17">
        <f t="shared" si="0"/>
        <v>2</v>
      </c>
      <c r="K71" s="17">
        <v>2</v>
      </c>
      <c r="L71" s="17">
        <v>0</v>
      </c>
      <c r="M71" s="17">
        <v>0</v>
      </c>
      <c r="N71" s="17">
        <f t="shared" si="1"/>
        <v>2</v>
      </c>
      <c r="O71" s="17">
        <f t="shared" si="2"/>
        <v>0</v>
      </c>
      <c r="P71" s="3"/>
      <c r="Q71" s="19">
        <f t="shared" si="3"/>
        <v>1120</v>
      </c>
      <c r="R71" s="19">
        <v>0</v>
      </c>
      <c r="S71" s="19">
        <f t="shared" si="4"/>
        <v>0</v>
      </c>
      <c r="T71" s="19">
        <f t="shared" si="5"/>
        <v>0</v>
      </c>
      <c r="U71" s="19">
        <f t="shared" si="6"/>
        <v>0</v>
      </c>
      <c r="V71" s="19">
        <f t="shared" si="7"/>
        <v>0</v>
      </c>
      <c r="W71" s="19">
        <f t="shared" si="8"/>
        <v>1120</v>
      </c>
      <c r="X71" s="20">
        <f t="shared" si="9"/>
        <v>1120</v>
      </c>
      <c r="Y71" s="20">
        <f t="shared" si="10"/>
        <v>0</v>
      </c>
    </row>
    <row r="72" spans="1:25" ht="15.75" customHeight="1">
      <c r="A72" s="14" t="s">
        <v>154</v>
      </c>
      <c r="B72" s="15" t="s">
        <v>155</v>
      </c>
      <c r="C72" s="16">
        <v>36</v>
      </c>
      <c r="D72" s="16">
        <v>36</v>
      </c>
      <c r="E72" s="17">
        <v>0</v>
      </c>
      <c r="F72" s="18">
        <v>0</v>
      </c>
      <c r="G72" s="18">
        <v>0</v>
      </c>
      <c r="H72" s="18">
        <v>0</v>
      </c>
      <c r="I72" s="17">
        <v>0</v>
      </c>
      <c r="J72" s="17">
        <f t="shared" si="0"/>
        <v>0</v>
      </c>
      <c r="K72" s="17">
        <v>0</v>
      </c>
      <c r="L72" s="17">
        <v>0</v>
      </c>
      <c r="M72" s="17">
        <v>0</v>
      </c>
      <c r="N72" s="17">
        <f t="shared" si="1"/>
        <v>0</v>
      </c>
      <c r="O72" s="17">
        <f t="shared" si="2"/>
        <v>0</v>
      </c>
      <c r="P72" s="3"/>
      <c r="Q72" s="19">
        <f t="shared" si="3"/>
        <v>0</v>
      </c>
      <c r="R72" s="19">
        <v>0</v>
      </c>
      <c r="S72" s="19">
        <f t="shared" si="4"/>
        <v>0</v>
      </c>
      <c r="T72" s="19">
        <f t="shared" si="5"/>
        <v>0</v>
      </c>
      <c r="U72" s="19">
        <f t="shared" si="6"/>
        <v>0</v>
      </c>
      <c r="V72" s="19">
        <f t="shared" si="7"/>
        <v>0</v>
      </c>
      <c r="W72" s="19">
        <f t="shared" si="8"/>
        <v>0</v>
      </c>
      <c r="X72" s="20">
        <f t="shared" si="9"/>
        <v>0</v>
      </c>
      <c r="Y72" s="20">
        <f t="shared" si="10"/>
        <v>0</v>
      </c>
    </row>
    <row r="73" spans="1:25" ht="15.75" customHeight="1">
      <c r="A73" s="14" t="s">
        <v>156</v>
      </c>
      <c r="B73" s="15" t="s">
        <v>157</v>
      </c>
      <c r="C73" s="16">
        <v>1122</v>
      </c>
      <c r="D73" s="16">
        <v>1122</v>
      </c>
      <c r="E73" s="17">
        <v>0</v>
      </c>
      <c r="F73" s="18">
        <v>0</v>
      </c>
      <c r="G73" s="18">
        <v>0</v>
      </c>
      <c r="H73" s="18">
        <v>0</v>
      </c>
      <c r="I73" s="17">
        <v>0</v>
      </c>
      <c r="J73" s="17">
        <f t="shared" si="0"/>
        <v>0</v>
      </c>
      <c r="K73" s="17">
        <v>0</v>
      </c>
      <c r="L73" s="17">
        <v>0</v>
      </c>
      <c r="M73" s="17">
        <v>0</v>
      </c>
      <c r="N73" s="17">
        <f t="shared" si="1"/>
        <v>0</v>
      </c>
      <c r="O73" s="17">
        <f t="shared" si="2"/>
        <v>0</v>
      </c>
      <c r="P73" s="3"/>
      <c r="Q73" s="19">
        <f t="shared" si="3"/>
        <v>0</v>
      </c>
      <c r="R73" s="19">
        <v>0</v>
      </c>
      <c r="S73" s="19">
        <f t="shared" si="4"/>
        <v>0</v>
      </c>
      <c r="T73" s="19">
        <f t="shared" si="5"/>
        <v>0</v>
      </c>
      <c r="U73" s="19">
        <f t="shared" si="6"/>
        <v>0</v>
      </c>
      <c r="V73" s="19">
        <f t="shared" si="7"/>
        <v>0</v>
      </c>
      <c r="W73" s="19">
        <f t="shared" si="8"/>
        <v>0</v>
      </c>
      <c r="X73" s="20">
        <f t="shared" si="9"/>
        <v>0</v>
      </c>
      <c r="Y73" s="20">
        <f t="shared" si="10"/>
        <v>0</v>
      </c>
    </row>
    <row r="74" spans="1:25" ht="15.75" customHeight="1">
      <c r="A74" s="14" t="s">
        <v>158</v>
      </c>
      <c r="B74" s="15" t="s">
        <v>159</v>
      </c>
      <c r="C74" s="16">
        <v>0</v>
      </c>
      <c r="D74" s="16">
        <v>0</v>
      </c>
      <c r="E74" s="17">
        <v>0</v>
      </c>
      <c r="F74" s="18">
        <v>0</v>
      </c>
      <c r="G74" s="18">
        <v>0</v>
      </c>
      <c r="H74" s="18">
        <v>0</v>
      </c>
      <c r="I74" s="17">
        <v>0</v>
      </c>
      <c r="J74" s="17">
        <f t="shared" si="0"/>
        <v>0</v>
      </c>
      <c r="K74" s="17">
        <v>0</v>
      </c>
      <c r="L74" s="17">
        <v>0</v>
      </c>
      <c r="M74" s="17">
        <v>0</v>
      </c>
      <c r="N74" s="17">
        <f t="shared" si="1"/>
        <v>0</v>
      </c>
      <c r="O74" s="17">
        <f t="shared" si="2"/>
        <v>0</v>
      </c>
      <c r="P74" s="3"/>
      <c r="Q74" s="19">
        <f t="shared" si="3"/>
        <v>0</v>
      </c>
      <c r="R74" s="19">
        <v>0</v>
      </c>
      <c r="S74" s="19">
        <f t="shared" si="4"/>
        <v>0</v>
      </c>
      <c r="T74" s="19">
        <f t="shared" si="5"/>
        <v>0</v>
      </c>
      <c r="U74" s="19">
        <f t="shared" si="6"/>
        <v>0</v>
      </c>
      <c r="V74" s="19">
        <f t="shared" si="7"/>
        <v>0</v>
      </c>
      <c r="W74" s="19">
        <f t="shared" si="8"/>
        <v>0</v>
      </c>
      <c r="X74" s="20">
        <f t="shared" si="9"/>
        <v>0</v>
      </c>
      <c r="Y74" s="20">
        <f t="shared" si="10"/>
        <v>0</v>
      </c>
    </row>
    <row r="75" spans="1:25" ht="15.75" customHeight="1">
      <c r="A75" s="14" t="s">
        <v>160</v>
      </c>
      <c r="B75" s="15" t="s">
        <v>161</v>
      </c>
      <c r="C75" s="16">
        <v>0</v>
      </c>
      <c r="D75" s="16">
        <v>0</v>
      </c>
      <c r="E75" s="17">
        <v>0</v>
      </c>
      <c r="F75" s="18">
        <v>0</v>
      </c>
      <c r="G75" s="18">
        <v>0</v>
      </c>
      <c r="H75" s="18">
        <v>0</v>
      </c>
      <c r="I75" s="17">
        <v>0</v>
      </c>
      <c r="J75" s="17">
        <f t="shared" si="0"/>
        <v>0</v>
      </c>
      <c r="K75" s="17">
        <v>0</v>
      </c>
      <c r="L75" s="17">
        <v>0</v>
      </c>
      <c r="M75" s="17">
        <v>0</v>
      </c>
      <c r="N75" s="17">
        <f t="shared" si="1"/>
        <v>0</v>
      </c>
      <c r="O75" s="17">
        <f t="shared" si="2"/>
        <v>0</v>
      </c>
      <c r="P75" s="3"/>
      <c r="Q75" s="19">
        <f t="shared" si="3"/>
        <v>0</v>
      </c>
      <c r="R75" s="19">
        <v>0</v>
      </c>
      <c r="S75" s="19">
        <f t="shared" si="4"/>
        <v>0</v>
      </c>
      <c r="T75" s="19">
        <f t="shared" si="5"/>
        <v>0</v>
      </c>
      <c r="U75" s="19">
        <f t="shared" si="6"/>
        <v>0</v>
      </c>
      <c r="V75" s="19">
        <f t="shared" si="7"/>
        <v>0</v>
      </c>
      <c r="W75" s="19">
        <f t="shared" si="8"/>
        <v>0</v>
      </c>
      <c r="X75" s="20">
        <f t="shared" si="9"/>
        <v>0</v>
      </c>
      <c r="Y75" s="20">
        <f t="shared" si="10"/>
        <v>0</v>
      </c>
    </row>
    <row r="76" spans="1:25" ht="15.75" customHeight="1">
      <c r="A76" s="14" t="s">
        <v>162</v>
      </c>
      <c r="B76" s="15" t="s">
        <v>163</v>
      </c>
      <c r="C76" s="16">
        <v>1000</v>
      </c>
      <c r="D76" s="16">
        <v>1000</v>
      </c>
      <c r="E76" s="17">
        <v>2</v>
      </c>
      <c r="F76" s="18">
        <v>0</v>
      </c>
      <c r="G76" s="18">
        <v>0</v>
      </c>
      <c r="H76" s="18">
        <v>0</v>
      </c>
      <c r="I76" s="17">
        <v>0</v>
      </c>
      <c r="J76" s="17">
        <f t="shared" si="0"/>
        <v>2</v>
      </c>
      <c r="K76" s="17">
        <v>0</v>
      </c>
      <c r="L76" s="17">
        <v>0</v>
      </c>
      <c r="M76" s="17">
        <v>2</v>
      </c>
      <c r="N76" s="17">
        <f t="shared" si="1"/>
        <v>2</v>
      </c>
      <c r="O76" s="17">
        <f t="shared" si="2"/>
        <v>0</v>
      </c>
      <c r="P76" s="3"/>
      <c r="Q76" s="19">
        <f t="shared" si="3"/>
        <v>2000</v>
      </c>
      <c r="R76" s="19">
        <v>0</v>
      </c>
      <c r="S76" s="19">
        <f t="shared" si="4"/>
        <v>0</v>
      </c>
      <c r="T76" s="19">
        <f t="shared" si="5"/>
        <v>0</v>
      </c>
      <c r="U76" s="19">
        <f t="shared" si="6"/>
        <v>0</v>
      </c>
      <c r="V76" s="19">
        <f t="shared" si="7"/>
        <v>0</v>
      </c>
      <c r="W76" s="19">
        <f t="shared" si="8"/>
        <v>2000</v>
      </c>
      <c r="X76" s="20">
        <f t="shared" si="9"/>
        <v>2000</v>
      </c>
      <c r="Y76" s="20">
        <f t="shared" si="10"/>
        <v>0</v>
      </c>
    </row>
    <row r="77" spans="1:25" ht="15.75" customHeight="1">
      <c r="A77" s="14" t="s">
        <v>164</v>
      </c>
      <c r="B77" s="15" t="s">
        <v>165</v>
      </c>
      <c r="C77" s="16">
        <v>900</v>
      </c>
      <c r="D77" s="16">
        <v>900</v>
      </c>
      <c r="E77" s="17">
        <v>0</v>
      </c>
      <c r="F77" s="18">
        <v>0</v>
      </c>
      <c r="G77" s="18">
        <v>0</v>
      </c>
      <c r="H77" s="18">
        <v>0</v>
      </c>
      <c r="I77" s="17">
        <v>0</v>
      </c>
      <c r="J77" s="17">
        <f t="shared" si="0"/>
        <v>0</v>
      </c>
      <c r="K77" s="17">
        <v>0</v>
      </c>
      <c r="L77" s="17">
        <v>0</v>
      </c>
      <c r="M77" s="17">
        <v>0</v>
      </c>
      <c r="N77" s="17">
        <f t="shared" si="1"/>
        <v>0</v>
      </c>
      <c r="O77" s="17">
        <f t="shared" si="2"/>
        <v>0</v>
      </c>
      <c r="P77" s="3"/>
      <c r="Q77" s="19">
        <f t="shared" si="3"/>
        <v>0</v>
      </c>
      <c r="R77" s="19">
        <v>0</v>
      </c>
      <c r="S77" s="19">
        <f t="shared" si="4"/>
        <v>0</v>
      </c>
      <c r="T77" s="19">
        <f t="shared" si="5"/>
        <v>0</v>
      </c>
      <c r="U77" s="19">
        <f t="shared" si="6"/>
        <v>0</v>
      </c>
      <c r="V77" s="19">
        <f t="shared" si="7"/>
        <v>0</v>
      </c>
      <c r="W77" s="19">
        <f t="shared" si="8"/>
        <v>0</v>
      </c>
      <c r="X77" s="20">
        <f t="shared" si="9"/>
        <v>0</v>
      </c>
      <c r="Y77" s="20">
        <f t="shared" si="10"/>
        <v>0</v>
      </c>
    </row>
    <row r="78" spans="1:25" ht="15.75" customHeight="1">
      <c r="A78" s="14" t="s">
        <v>166</v>
      </c>
      <c r="B78" s="15" t="s">
        <v>167</v>
      </c>
      <c r="C78" s="16">
        <v>1712</v>
      </c>
      <c r="D78" s="16">
        <v>1712</v>
      </c>
      <c r="E78" s="17">
        <v>2</v>
      </c>
      <c r="F78" s="18">
        <v>0</v>
      </c>
      <c r="G78" s="18">
        <v>0</v>
      </c>
      <c r="H78" s="18">
        <v>0</v>
      </c>
      <c r="I78" s="17">
        <v>0</v>
      </c>
      <c r="J78" s="17">
        <f t="shared" si="0"/>
        <v>2</v>
      </c>
      <c r="K78" s="17">
        <v>0</v>
      </c>
      <c r="L78" s="17">
        <v>0</v>
      </c>
      <c r="M78" s="17">
        <v>2</v>
      </c>
      <c r="N78" s="17">
        <f t="shared" si="1"/>
        <v>2</v>
      </c>
      <c r="O78" s="17">
        <f t="shared" si="2"/>
        <v>0</v>
      </c>
      <c r="P78" s="3"/>
      <c r="Q78" s="19">
        <f t="shared" si="3"/>
        <v>3424</v>
      </c>
      <c r="R78" s="19">
        <v>0</v>
      </c>
      <c r="S78" s="19">
        <f t="shared" si="4"/>
        <v>0</v>
      </c>
      <c r="T78" s="19">
        <f t="shared" si="5"/>
        <v>0</v>
      </c>
      <c r="U78" s="19">
        <f t="shared" si="6"/>
        <v>0</v>
      </c>
      <c r="V78" s="19">
        <f t="shared" si="7"/>
        <v>0</v>
      </c>
      <c r="W78" s="19">
        <f t="shared" si="8"/>
        <v>3424</v>
      </c>
      <c r="X78" s="20">
        <f t="shared" si="9"/>
        <v>3424</v>
      </c>
      <c r="Y78" s="20">
        <f t="shared" si="10"/>
        <v>0</v>
      </c>
    </row>
    <row r="79" spans="1:25" ht="15.75" customHeight="1">
      <c r="A79" s="14" t="s">
        <v>168</v>
      </c>
      <c r="B79" s="15" t="s">
        <v>169</v>
      </c>
      <c r="C79" s="16">
        <v>490</v>
      </c>
      <c r="D79" s="16">
        <v>490</v>
      </c>
      <c r="E79" s="17">
        <v>4</v>
      </c>
      <c r="F79" s="18">
        <v>0</v>
      </c>
      <c r="G79" s="18">
        <v>0</v>
      </c>
      <c r="H79" s="18">
        <v>0</v>
      </c>
      <c r="I79" s="17">
        <v>0</v>
      </c>
      <c r="J79" s="17">
        <f t="shared" si="0"/>
        <v>4</v>
      </c>
      <c r="K79" s="17">
        <v>4</v>
      </c>
      <c r="L79" s="17">
        <v>0</v>
      </c>
      <c r="M79" s="17">
        <v>0</v>
      </c>
      <c r="N79" s="17">
        <f t="shared" si="1"/>
        <v>4</v>
      </c>
      <c r="O79" s="17">
        <f t="shared" si="2"/>
        <v>0</v>
      </c>
      <c r="P79" s="3"/>
      <c r="Q79" s="19">
        <f t="shared" si="3"/>
        <v>1960</v>
      </c>
      <c r="R79" s="19">
        <v>0</v>
      </c>
      <c r="S79" s="19">
        <f t="shared" si="4"/>
        <v>0</v>
      </c>
      <c r="T79" s="19">
        <f t="shared" si="5"/>
        <v>0</v>
      </c>
      <c r="U79" s="19">
        <f t="shared" si="6"/>
        <v>0</v>
      </c>
      <c r="V79" s="19">
        <f t="shared" si="7"/>
        <v>0</v>
      </c>
      <c r="W79" s="19">
        <f t="shared" si="8"/>
        <v>1960</v>
      </c>
      <c r="X79" s="20">
        <f t="shared" si="9"/>
        <v>1960</v>
      </c>
      <c r="Y79" s="20">
        <f t="shared" si="10"/>
        <v>0</v>
      </c>
    </row>
    <row r="80" spans="1:25" ht="15.75" customHeight="1">
      <c r="A80" s="14" t="s">
        <v>170</v>
      </c>
      <c r="B80" s="15" t="s">
        <v>171</v>
      </c>
      <c r="C80" s="16">
        <v>5100</v>
      </c>
      <c r="D80" s="16">
        <v>5100</v>
      </c>
      <c r="E80" s="17">
        <v>1</v>
      </c>
      <c r="F80" s="18">
        <v>0</v>
      </c>
      <c r="G80" s="18">
        <v>0</v>
      </c>
      <c r="H80" s="18">
        <v>0</v>
      </c>
      <c r="I80" s="17">
        <v>0</v>
      </c>
      <c r="J80" s="17">
        <f t="shared" si="0"/>
        <v>1</v>
      </c>
      <c r="K80" s="17">
        <v>1</v>
      </c>
      <c r="L80" s="17">
        <v>0</v>
      </c>
      <c r="M80" s="17">
        <v>0</v>
      </c>
      <c r="N80" s="17">
        <f t="shared" si="1"/>
        <v>1</v>
      </c>
      <c r="O80" s="17">
        <f t="shared" si="2"/>
        <v>0</v>
      </c>
      <c r="P80" s="3"/>
      <c r="Q80" s="19">
        <f t="shared" si="3"/>
        <v>5100</v>
      </c>
      <c r="R80" s="19">
        <v>0</v>
      </c>
      <c r="S80" s="19">
        <f t="shared" si="4"/>
        <v>0</v>
      </c>
      <c r="T80" s="19">
        <f t="shared" si="5"/>
        <v>0</v>
      </c>
      <c r="U80" s="19">
        <f t="shared" si="6"/>
        <v>0</v>
      </c>
      <c r="V80" s="19">
        <f t="shared" si="7"/>
        <v>0</v>
      </c>
      <c r="W80" s="19">
        <f t="shared" si="8"/>
        <v>5100</v>
      </c>
      <c r="X80" s="20">
        <f t="shared" si="9"/>
        <v>5100</v>
      </c>
      <c r="Y80" s="20">
        <f t="shared" si="10"/>
        <v>0</v>
      </c>
    </row>
    <row r="81" spans="1:25" ht="15.75" customHeight="1">
      <c r="A81" s="14" t="s">
        <v>172</v>
      </c>
      <c r="B81" s="15" t="s">
        <v>173</v>
      </c>
      <c r="C81" s="16">
        <v>79.92</v>
      </c>
      <c r="D81" s="16">
        <v>79.92</v>
      </c>
      <c r="E81" s="17">
        <v>2</v>
      </c>
      <c r="F81" s="18">
        <v>0</v>
      </c>
      <c r="G81" s="18">
        <v>0</v>
      </c>
      <c r="H81" s="18">
        <v>0</v>
      </c>
      <c r="I81" s="17">
        <v>0</v>
      </c>
      <c r="J81" s="17">
        <f t="shared" si="0"/>
        <v>2</v>
      </c>
      <c r="K81" s="17">
        <v>2</v>
      </c>
      <c r="L81" s="17">
        <v>0</v>
      </c>
      <c r="M81" s="17">
        <v>0</v>
      </c>
      <c r="N81" s="17">
        <f t="shared" si="1"/>
        <v>2</v>
      </c>
      <c r="O81" s="17">
        <f t="shared" si="2"/>
        <v>0</v>
      </c>
      <c r="P81" s="3"/>
      <c r="Q81" s="19">
        <f t="shared" si="3"/>
        <v>159.84</v>
      </c>
      <c r="R81" s="19">
        <v>0</v>
      </c>
      <c r="S81" s="19">
        <f t="shared" si="4"/>
        <v>0</v>
      </c>
      <c r="T81" s="19">
        <f t="shared" si="5"/>
        <v>0</v>
      </c>
      <c r="U81" s="19">
        <f t="shared" si="6"/>
        <v>0</v>
      </c>
      <c r="V81" s="19">
        <f t="shared" si="7"/>
        <v>0</v>
      </c>
      <c r="W81" s="19">
        <f t="shared" si="8"/>
        <v>159.84</v>
      </c>
      <c r="X81" s="20">
        <f t="shared" si="9"/>
        <v>159.84</v>
      </c>
      <c r="Y81" s="20">
        <f t="shared" si="10"/>
        <v>0</v>
      </c>
    </row>
    <row r="82" spans="1:25" ht="15.75" customHeight="1">
      <c r="A82" s="14" t="s">
        <v>174</v>
      </c>
      <c r="B82" s="15" t="s">
        <v>175</v>
      </c>
      <c r="C82" s="16">
        <v>60.08</v>
      </c>
      <c r="D82" s="16">
        <v>60.08</v>
      </c>
      <c r="E82" s="17">
        <v>1</v>
      </c>
      <c r="F82" s="18">
        <v>0</v>
      </c>
      <c r="G82" s="18">
        <v>0</v>
      </c>
      <c r="H82" s="18">
        <v>0</v>
      </c>
      <c r="I82" s="17">
        <v>0</v>
      </c>
      <c r="J82" s="17">
        <f t="shared" si="0"/>
        <v>1</v>
      </c>
      <c r="K82" s="17">
        <v>1</v>
      </c>
      <c r="L82" s="17">
        <v>0</v>
      </c>
      <c r="M82" s="17">
        <v>0</v>
      </c>
      <c r="N82" s="17">
        <f t="shared" si="1"/>
        <v>1</v>
      </c>
      <c r="O82" s="17">
        <f t="shared" si="2"/>
        <v>0</v>
      </c>
      <c r="P82" s="3"/>
      <c r="Q82" s="19">
        <f t="shared" si="3"/>
        <v>60.08</v>
      </c>
      <c r="R82" s="19">
        <v>0</v>
      </c>
      <c r="S82" s="19">
        <f t="shared" si="4"/>
        <v>0</v>
      </c>
      <c r="T82" s="19">
        <f t="shared" si="5"/>
        <v>0</v>
      </c>
      <c r="U82" s="19">
        <f t="shared" si="6"/>
        <v>0</v>
      </c>
      <c r="V82" s="19">
        <f t="shared" si="7"/>
        <v>0</v>
      </c>
      <c r="W82" s="19">
        <f t="shared" si="8"/>
        <v>60.08</v>
      </c>
      <c r="X82" s="20">
        <f t="shared" si="9"/>
        <v>60.08</v>
      </c>
      <c r="Y82" s="20">
        <f t="shared" si="10"/>
        <v>0</v>
      </c>
    </row>
    <row r="83" spans="1:25" ht="15.75" customHeight="1">
      <c r="A83" s="14" t="s">
        <v>176</v>
      </c>
      <c r="B83" s="15" t="s">
        <v>177</v>
      </c>
      <c r="C83" s="16">
        <v>780</v>
      </c>
      <c r="D83" s="16">
        <v>780</v>
      </c>
      <c r="E83" s="17">
        <v>1</v>
      </c>
      <c r="F83" s="18">
        <v>0</v>
      </c>
      <c r="G83" s="18">
        <v>0</v>
      </c>
      <c r="H83" s="18">
        <v>0</v>
      </c>
      <c r="I83" s="17">
        <v>0</v>
      </c>
      <c r="J83" s="17">
        <f t="shared" si="0"/>
        <v>1</v>
      </c>
      <c r="K83" s="17">
        <v>1</v>
      </c>
      <c r="L83" s="17">
        <v>0</v>
      </c>
      <c r="M83" s="17">
        <v>0</v>
      </c>
      <c r="N83" s="17">
        <f t="shared" si="1"/>
        <v>1</v>
      </c>
      <c r="O83" s="17">
        <f t="shared" si="2"/>
        <v>0</v>
      </c>
      <c r="P83" s="3"/>
      <c r="Q83" s="19">
        <f t="shared" si="3"/>
        <v>780</v>
      </c>
      <c r="R83" s="19">
        <v>0</v>
      </c>
      <c r="S83" s="19">
        <f t="shared" si="4"/>
        <v>0</v>
      </c>
      <c r="T83" s="19">
        <f t="shared" si="5"/>
        <v>0</v>
      </c>
      <c r="U83" s="19">
        <f t="shared" si="6"/>
        <v>0</v>
      </c>
      <c r="V83" s="19">
        <f t="shared" si="7"/>
        <v>0</v>
      </c>
      <c r="W83" s="19">
        <f t="shared" si="8"/>
        <v>780</v>
      </c>
      <c r="X83" s="20">
        <f t="shared" si="9"/>
        <v>780</v>
      </c>
      <c r="Y83" s="20">
        <f t="shared" si="10"/>
        <v>0</v>
      </c>
    </row>
    <row r="84" spans="1:25" ht="15.75" customHeight="1">
      <c r="A84" s="14" t="s">
        <v>178</v>
      </c>
      <c r="B84" s="15" t="s">
        <v>179</v>
      </c>
      <c r="C84" s="16">
        <v>18.600000000000001</v>
      </c>
      <c r="D84" s="16">
        <v>18.600000000000001</v>
      </c>
      <c r="E84" s="17">
        <v>0</v>
      </c>
      <c r="F84" s="18">
        <v>0</v>
      </c>
      <c r="G84" s="18">
        <v>0</v>
      </c>
      <c r="H84" s="18">
        <v>0</v>
      </c>
      <c r="I84" s="17">
        <v>0</v>
      </c>
      <c r="J84" s="17">
        <f t="shared" si="0"/>
        <v>0</v>
      </c>
      <c r="K84" s="17">
        <v>0</v>
      </c>
      <c r="L84" s="17">
        <v>0</v>
      </c>
      <c r="M84" s="17">
        <v>0</v>
      </c>
      <c r="N84" s="17">
        <f t="shared" si="1"/>
        <v>0</v>
      </c>
      <c r="O84" s="17">
        <f t="shared" si="2"/>
        <v>0</v>
      </c>
      <c r="P84" s="3"/>
      <c r="Q84" s="19">
        <f t="shared" si="3"/>
        <v>0</v>
      </c>
      <c r="R84" s="19">
        <v>0</v>
      </c>
      <c r="S84" s="19">
        <f t="shared" si="4"/>
        <v>0</v>
      </c>
      <c r="T84" s="19">
        <f t="shared" si="5"/>
        <v>0</v>
      </c>
      <c r="U84" s="19">
        <f t="shared" si="6"/>
        <v>0</v>
      </c>
      <c r="V84" s="19">
        <f t="shared" si="7"/>
        <v>0</v>
      </c>
      <c r="W84" s="19">
        <f t="shared" si="8"/>
        <v>0</v>
      </c>
      <c r="X84" s="20">
        <f t="shared" si="9"/>
        <v>0</v>
      </c>
      <c r="Y84" s="20">
        <f t="shared" si="10"/>
        <v>0</v>
      </c>
    </row>
    <row r="85" spans="1:25" ht="15.75" customHeight="1">
      <c r="A85" s="14" t="s">
        <v>180</v>
      </c>
      <c r="B85" s="15" t="s">
        <v>181</v>
      </c>
      <c r="C85" s="16">
        <v>852</v>
      </c>
      <c r="D85" s="16">
        <v>852</v>
      </c>
      <c r="E85" s="17">
        <v>2</v>
      </c>
      <c r="F85" s="18">
        <v>0</v>
      </c>
      <c r="G85" s="18">
        <v>0</v>
      </c>
      <c r="H85" s="18">
        <v>0</v>
      </c>
      <c r="I85" s="17">
        <v>0</v>
      </c>
      <c r="J85" s="17">
        <f t="shared" si="0"/>
        <v>2</v>
      </c>
      <c r="K85" s="17">
        <v>2</v>
      </c>
      <c r="L85" s="17">
        <v>0</v>
      </c>
      <c r="M85" s="17">
        <v>0</v>
      </c>
      <c r="N85" s="17">
        <f t="shared" si="1"/>
        <v>2</v>
      </c>
      <c r="O85" s="17">
        <f t="shared" si="2"/>
        <v>0</v>
      </c>
      <c r="P85" s="3"/>
      <c r="Q85" s="19">
        <f t="shared" si="3"/>
        <v>1704</v>
      </c>
      <c r="R85" s="19">
        <v>0</v>
      </c>
      <c r="S85" s="19">
        <f t="shared" si="4"/>
        <v>0</v>
      </c>
      <c r="T85" s="19">
        <f t="shared" si="5"/>
        <v>0</v>
      </c>
      <c r="U85" s="19">
        <f t="shared" si="6"/>
        <v>0</v>
      </c>
      <c r="V85" s="19">
        <f t="shared" si="7"/>
        <v>0</v>
      </c>
      <c r="W85" s="19">
        <f t="shared" si="8"/>
        <v>1704</v>
      </c>
      <c r="X85" s="20">
        <f t="shared" si="9"/>
        <v>1704</v>
      </c>
      <c r="Y85" s="20">
        <f t="shared" si="10"/>
        <v>0</v>
      </c>
    </row>
    <row r="86" spans="1:25" ht="15.75" customHeight="1">
      <c r="A86" s="14" t="s">
        <v>182</v>
      </c>
      <c r="B86" s="21" t="s">
        <v>183</v>
      </c>
      <c r="C86" s="16">
        <v>1750</v>
      </c>
      <c r="D86" s="16">
        <v>1750</v>
      </c>
      <c r="E86" s="17">
        <v>2</v>
      </c>
      <c r="F86" s="18">
        <v>0</v>
      </c>
      <c r="G86" s="18">
        <v>0</v>
      </c>
      <c r="H86" s="18">
        <v>0</v>
      </c>
      <c r="I86" s="17">
        <v>0</v>
      </c>
      <c r="J86" s="17">
        <f t="shared" si="0"/>
        <v>2</v>
      </c>
      <c r="K86" s="17">
        <v>2</v>
      </c>
      <c r="L86" s="17">
        <v>1</v>
      </c>
      <c r="M86" s="17">
        <v>0</v>
      </c>
      <c r="N86" s="17">
        <f t="shared" si="1"/>
        <v>3</v>
      </c>
      <c r="O86" s="17">
        <f t="shared" si="2"/>
        <v>1</v>
      </c>
      <c r="P86" s="3"/>
      <c r="Q86" s="19">
        <f t="shared" si="3"/>
        <v>3500</v>
      </c>
      <c r="R86" s="19">
        <v>0</v>
      </c>
      <c r="S86" s="19">
        <f t="shared" si="4"/>
        <v>0</v>
      </c>
      <c r="T86" s="19">
        <f t="shared" si="5"/>
        <v>0</v>
      </c>
      <c r="U86" s="19">
        <f t="shared" si="6"/>
        <v>0</v>
      </c>
      <c r="V86" s="19">
        <f t="shared" si="7"/>
        <v>0</v>
      </c>
      <c r="W86" s="19">
        <f t="shared" si="8"/>
        <v>3500</v>
      </c>
      <c r="X86" s="20">
        <f t="shared" si="9"/>
        <v>3500</v>
      </c>
      <c r="Y86" s="20">
        <f t="shared" si="10"/>
        <v>0</v>
      </c>
    </row>
    <row r="87" spans="1:25" ht="15.75" customHeight="1">
      <c r="A87" s="14" t="s">
        <v>184</v>
      </c>
      <c r="B87" s="15" t="s">
        <v>185</v>
      </c>
      <c r="C87" s="16">
        <v>1550</v>
      </c>
      <c r="D87" s="16">
        <v>1550</v>
      </c>
      <c r="E87" s="17">
        <v>1</v>
      </c>
      <c r="F87" s="18">
        <v>0</v>
      </c>
      <c r="G87" s="18">
        <v>0</v>
      </c>
      <c r="H87" s="18">
        <v>0</v>
      </c>
      <c r="I87" s="17">
        <v>0</v>
      </c>
      <c r="J87" s="17">
        <f t="shared" si="0"/>
        <v>1</v>
      </c>
      <c r="K87" s="17">
        <v>1</v>
      </c>
      <c r="L87" s="17">
        <v>0</v>
      </c>
      <c r="M87" s="17">
        <v>0</v>
      </c>
      <c r="N87" s="17">
        <f t="shared" si="1"/>
        <v>1</v>
      </c>
      <c r="O87" s="17">
        <f t="shared" si="2"/>
        <v>0</v>
      </c>
      <c r="P87" s="3"/>
      <c r="Q87" s="19">
        <f t="shared" si="3"/>
        <v>1550</v>
      </c>
      <c r="R87" s="19">
        <v>0</v>
      </c>
      <c r="S87" s="19">
        <f t="shared" si="4"/>
        <v>0</v>
      </c>
      <c r="T87" s="19">
        <f t="shared" si="5"/>
        <v>0</v>
      </c>
      <c r="U87" s="19">
        <f t="shared" si="6"/>
        <v>0</v>
      </c>
      <c r="V87" s="19">
        <f t="shared" si="7"/>
        <v>0</v>
      </c>
      <c r="W87" s="19">
        <f t="shared" si="8"/>
        <v>1550</v>
      </c>
      <c r="X87" s="20">
        <f t="shared" si="9"/>
        <v>1550</v>
      </c>
      <c r="Y87" s="20">
        <f t="shared" si="10"/>
        <v>0</v>
      </c>
    </row>
    <row r="88" spans="1:25" ht="15.75" customHeight="1">
      <c r="A88" s="14" t="s">
        <v>186</v>
      </c>
      <c r="B88" s="21" t="s">
        <v>187</v>
      </c>
      <c r="C88" s="16">
        <v>1750</v>
      </c>
      <c r="D88" s="16">
        <v>1750</v>
      </c>
      <c r="E88" s="17">
        <v>1</v>
      </c>
      <c r="F88" s="18">
        <v>0</v>
      </c>
      <c r="G88" s="18">
        <v>0</v>
      </c>
      <c r="H88" s="18">
        <v>0</v>
      </c>
      <c r="I88" s="17">
        <v>0</v>
      </c>
      <c r="J88" s="17">
        <f t="shared" si="0"/>
        <v>1</v>
      </c>
      <c r="K88" s="17">
        <v>0</v>
      </c>
      <c r="L88" s="17">
        <v>3</v>
      </c>
      <c r="M88" s="17">
        <v>0</v>
      </c>
      <c r="N88" s="17">
        <f t="shared" si="1"/>
        <v>3</v>
      </c>
      <c r="O88" s="17">
        <f t="shared" si="2"/>
        <v>2</v>
      </c>
      <c r="P88" s="3"/>
      <c r="Q88" s="19">
        <f t="shared" si="3"/>
        <v>1750</v>
      </c>
      <c r="R88" s="19">
        <v>0</v>
      </c>
      <c r="S88" s="19">
        <f t="shared" si="4"/>
        <v>0</v>
      </c>
      <c r="T88" s="19">
        <f t="shared" si="5"/>
        <v>0</v>
      </c>
      <c r="U88" s="19">
        <f t="shared" si="6"/>
        <v>0</v>
      </c>
      <c r="V88" s="19">
        <f t="shared" si="7"/>
        <v>0</v>
      </c>
      <c r="W88" s="19">
        <f t="shared" si="8"/>
        <v>1750</v>
      </c>
      <c r="X88" s="20">
        <f t="shared" si="9"/>
        <v>1750</v>
      </c>
      <c r="Y88" s="20">
        <f t="shared" si="10"/>
        <v>0</v>
      </c>
    </row>
    <row r="89" spans="1:25" ht="15.75" customHeight="1">
      <c r="A89" s="14" t="s">
        <v>188</v>
      </c>
      <c r="B89" s="15" t="s">
        <v>189</v>
      </c>
      <c r="C89" s="16">
        <v>1750</v>
      </c>
      <c r="D89" s="16">
        <v>1750</v>
      </c>
      <c r="E89" s="17">
        <v>0</v>
      </c>
      <c r="F89" s="18">
        <v>0</v>
      </c>
      <c r="G89" s="18">
        <v>0</v>
      </c>
      <c r="H89" s="18">
        <v>0</v>
      </c>
      <c r="I89" s="17">
        <v>0</v>
      </c>
      <c r="J89" s="17">
        <f t="shared" si="0"/>
        <v>0</v>
      </c>
      <c r="K89" s="17">
        <v>0</v>
      </c>
      <c r="L89" s="17">
        <v>0</v>
      </c>
      <c r="M89" s="17">
        <v>0</v>
      </c>
      <c r="N89" s="17">
        <f t="shared" si="1"/>
        <v>0</v>
      </c>
      <c r="O89" s="17">
        <f t="shared" si="2"/>
        <v>0</v>
      </c>
      <c r="P89" s="3"/>
      <c r="Q89" s="19">
        <f t="shared" si="3"/>
        <v>0</v>
      </c>
      <c r="R89" s="19">
        <v>0</v>
      </c>
      <c r="S89" s="19">
        <f t="shared" si="4"/>
        <v>0</v>
      </c>
      <c r="T89" s="19">
        <f t="shared" si="5"/>
        <v>0</v>
      </c>
      <c r="U89" s="19">
        <f t="shared" si="6"/>
        <v>0</v>
      </c>
      <c r="V89" s="19">
        <f t="shared" si="7"/>
        <v>0</v>
      </c>
      <c r="W89" s="19">
        <f t="shared" si="8"/>
        <v>0</v>
      </c>
      <c r="X89" s="20">
        <f t="shared" si="9"/>
        <v>0</v>
      </c>
      <c r="Y89" s="20">
        <f t="shared" si="10"/>
        <v>0</v>
      </c>
    </row>
    <row r="90" spans="1:25" ht="15.75" customHeight="1">
      <c r="A90" s="14" t="s">
        <v>190</v>
      </c>
      <c r="B90" s="15" t="s">
        <v>191</v>
      </c>
      <c r="C90" s="16">
        <v>1850</v>
      </c>
      <c r="D90" s="16">
        <v>1850</v>
      </c>
      <c r="E90" s="17">
        <v>2</v>
      </c>
      <c r="F90" s="18">
        <v>0</v>
      </c>
      <c r="G90" s="18">
        <v>0</v>
      </c>
      <c r="H90" s="18">
        <v>0</v>
      </c>
      <c r="I90" s="17">
        <v>0</v>
      </c>
      <c r="J90" s="17">
        <f t="shared" si="0"/>
        <v>2</v>
      </c>
      <c r="K90" s="17">
        <v>2</v>
      </c>
      <c r="L90" s="17">
        <v>0</v>
      </c>
      <c r="M90" s="17">
        <v>0</v>
      </c>
      <c r="N90" s="17">
        <f t="shared" si="1"/>
        <v>2</v>
      </c>
      <c r="O90" s="17">
        <f t="shared" si="2"/>
        <v>0</v>
      </c>
      <c r="P90" s="3"/>
      <c r="Q90" s="19">
        <f t="shared" si="3"/>
        <v>3700</v>
      </c>
      <c r="R90" s="19">
        <v>0</v>
      </c>
      <c r="S90" s="19">
        <f t="shared" si="4"/>
        <v>0</v>
      </c>
      <c r="T90" s="19">
        <f t="shared" si="5"/>
        <v>0</v>
      </c>
      <c r="U90" s="19">
        <f t="shared" si="6"/>
        <v>0</v>
      </c>
      <c r="V90" s="19">
        <f t="shared" si="7"/>
        <v>0</v>
      </c>
      <c r="W90" s="19">
        <f t="shared" si="8"/>
        <v>3700</v>
      </c>
      <c r="X90" s="20">
        <f t="shared" si="9"/>
        <v>3700</v>
      </c>
      <c r="Y90" s="20">
        <f t="shared" si="10"/>
        <v>0</v>
      </c>
    </row>
    <row r="91" spans="1:25" ht="15.75" customHeight="1">
      <c r="A91" s="14" t="s">
        <v>192</v>
      </c>
      <c r="B91" s="15" t="s">
        <v>193</v>
      </c>
      <c r="C91" s="16">
        <v>432</v>
      </c>
      <c r="D91" s="16">
        <v>432</v>
      </c>
      <c r="E91" s="17">
        <v>0</v>
      </c>
      <c r="F91" s="18">
        <v>0</v>
      </c>
      <c r="G91" s="18">
        <v>0</v>
      </c>
      <c r="H91" s="18">
        <v>0</v>
      </c>
      <c r="I91" s="17">
        <v>0</v>
      </c>
      <c r="J91" s="17">
        <f t="shared" si="0"/>
        <v>0</v>
      </c>
      <c r="K91" s="17">
        <v>0</v>
      </c>
      <c r="L91" s="17">
        <v>0</v>
      </c>
      <c r="M91" s="17">
        <v>0</v>
      </c>
      <c r="N91" s="17">
        <f t="shared" si="1"/>
        <v>0</v>
      </c>
      <c r="O91" s="17">
        <f t="shared" si="2"/>
        <v>0</v>
      </c>
      <c r="P91" s="3"/>
      <c r="Q91" s="19">
        <f t="shared" si="3"/>
        <v>0</v>
      </c>
      <c r="R91" s="19">
        <v>0</v>
      </c>
      <c r="S91" s="19">
        <f t="shared" si="4"/>
        <v>0</v>
      </c>
      <c r="T91" s="19">
        <f t="shared" si="5"/>
        <v>0</v>
      </c>
      <c r="U91" s="19">
        <f t="shared" si="6"/>
        <v>0</v>
      </c>
      <c r="V91" s="19">
        <f t="shared" si="7"/>
        <v>0</v>
      </c>
      <c r="W91" s="19">
        <f t="shared" si="8"/>
        <v>0</v>
      </c>
      <c r="X91" s="20">
        <f t="shared" si="9"/>
        <v>0</v>
      </c>
      <c r="Y91" s="20">
        <f t="shared" si="10"/>
        <v>0</v>
      </c>
    </row>
    <row r="92" spans="1:25" ht="15.75" customHeight="1">
      <c r="A92" s="14" t="s">
        <v>194</v>
      </c>
      <c r="B92" s="15" t="s">
        <v>195</v>
      </c>
      <c r="C92" s="16">
        <v>2300</v>
      </c>
      <c r="D92" s="16">
        <v>2300</v>
      </c>
      <c r="E92" s="17">
        <v>2</v>
      </c>
      <c r="F92" s="18">
        <v>0</v>
      </c>
      <c r="G92" s="18">
        <v>0</v>
      </c>
      <c r="H92" s="18">
        <v>0</v>
      </c>
      <c r="I92" s="17">
        <v>0</v>
      </c>
      <c r="J92" s="17">
        <f t="shared" si="0"/>
        <v>2</v>
      </c>
      <c r="K92" s="17">
        <v>2</v>
      </c>
      <c r="L92" s="17">
        <v>0</v>
      </c>
      <c r="M92" s="17">
        <v>0</v>
      </c>
      <c r="N92" s="17">
        <f t="shared" si="1"/>
        <v>2</v>
      </c>
      <c r="O92" s="17">
        <f t="shared" si="2"/>
        <v>0</v>
      </c>
      <c r="P92" s="3"/>
      <c r="Q92" s="19">
        <f t="shared" si="3"/>
        <v>4600</v>
      </c>
      <c r="R92" s="19">
        <v>0</v>
      </c>
      <c r="S92" s="19">
        <f t="shared" si="4"/>
        <v>0</v>
      </c>
      <c r="T92" s="19">
        <f t="shared" si="5"/>
        <v>0</v>
      </c>
      <c r="U92" s="19">
        <f t="shared" si="6"/>
        <v>0</v>
      </c>
      <c r="V92" s="19">
        <f t="shared" si="7"/>
        <v>0</v>
      </c>
      <c r="W92" s="19">
        <f t="shared" si="8"/>
        <v>4600</v>
      </c>
      <c r="X92" s="20">
        <f t="shared" si="9"/>
        <v>4600</v>
      </c>
      <c r="Y92" s="20">
        <f t="shared" si="10"/>
        <v>0</v>
      </c>
    </row>
    <row r="93" spans="1:25" ht="15.75" customHeight="1">
      <c r="A93" s="14" t="s">
        <v>196</v>
      </c>
      <c r="B93" s="15" t="s">
        <v>197</v>
      </c>
      <c r="C93" s="16">
        <v>1200</v>
      </c>
      <c r="D93" s="16">
        <v>1200</v>
      </c>
      <c r="E93" s="17">
        <v>1</v>
      </c>
      <c r="F93" s="18">
        <v>0</v>
      </c>
      <c r="G93" s="18">
        <v>0</v>
      </c>
      <c r="H93" s="18">
        <v>0</v>
      </c>
      <c r="I93" s="17">
        <v>0</v>
      </c>
      <c r="J93" s="17">
        <f t="shared" si="0"/>
        <v>1</v>
      </c>
      <c r="K93" s="17">
        <v>1</v>
      </c>
      <c r="L93" s="17">
        <v>0</v>
      </c>
      <c r="M93" s="17">
        <v>0</v>
      </c>
      <c r="N93" s="17">
        <f t="shared" si="1"/>
        <v>1</v>
      </c>
      <c r="O93" s="17">
        <f t="shared" si="2"/>
        <v>0</v>
      </c>
      <c r="P93" s="3"/>
      <c r="Q93" s="19">
        <f t="shared" si="3"/>
        <v>1200</v>
      </c>
      <c r="R93" s="19">
        <v>0</v>
      </c>
      <c r="S93" s="19">
        <f t="shared" si="4"/>
        <v>0</v>
      </c>
      <c r="T93" s="19">
        <f t="shared" si="5"/>
        <v>0</v>
      </c>
      <c r="U93" s="19">
        <f t="shared" si="6"/>
        <v>0</v>
      </c>
      <c r="V93" s="19">
        <f t="shared" si="7"/>
        <v>0</v>
      </c>
      <c r="W93" s="19">
        <f t="shared" si="8"/>
        <v>1200</v>
      </c>
      <c r="X93" s="20">
        <f t="shared" si="9"/>
        <v>1200</v>
      </c>
      <c r="Y93" s="20">
        <f t="shared" si="10"/>
        <v>0</v>
      </c>
    </row>
    <row r="94" spans="1:25" ht="15.75" customHeight="1">
      <c r="A94" s="14" t="s">
        <v>198</v>
      </c>
      <c r="B94" s="15" t="s">
        <v>199</v>
      </c>
      <c r="C94" s="16">
        <v>4600</v>
      </c>
      <c r="D94" s="16">
        <v>4600</v>
      </c>
      <c r="E94" s="17">
        <v>7</v>
      </c>
      <c r="F94" s="18">
        <v>0</v>
      </c>
      <c r="G94" s="18">
        <v>0</v>
      </c>
      <c r="H94" s="18">
        <v>0</v>
      </c>
      <c r="I94" s="17">
        <v>0</v>
      </c>
      <c r="J94" s="17">
        <f t="shared" si="0"/>
        <v>7</v>
      </c>
      <c r="K94" s="17">
        <v>7</v>
      </c>
      <c r="L94" s="17">
        <v>0</v>
      </c>
      <c r="M94" s="17">
        <v>0</v>
      </c>
      <c r="N94" s="17">
        <f t="shared" si="1"/>
        <v>7</v>
      </c>
      <c r="O94" s="17">
        <f t="shared" si="2"/>
        <v>0</v>
      </c>
      <c r="P94" s="3"/>
      <c r="Q94" s="19">
        <f t="shared" si="3"/>
        <v>32200</v>
      </c>
      <c r="R94" s="19">
        <v>0</v>
      </c>
      <c r="S94" s="19">
        <f t="shared" si="4"/>
        <v>0</v>
      </c>
      <c r="T94" s="19">
        <f t="shared" si="5"/>
        <v>0</v>
      </c>
      <c r="U94" s="19">
        <f t="shared" si="6"/>
        <v>0</v>
      </c>
      <c r="V94" s="19">
        <f t="shared" si="7"/>
        <v>0</v>
      </c>
      <c r="W94" s="19">
        <f t="shared" si="8"/>
        <v>32200</v>
      </c>
      <c r="X94" s="20">
        <f t="shared" si="9"/>
        <v>32200</v>
      </c>
      <c r="Y94" s="20">
        <f t="shared" si="10"/>
        <v>0</v>
      </c>
    </row>
    <row r="95" spans="1:25" ht="15.75" customHeight="1">
      <c r="A95" s="14" t="s">
        <v>200</v>
      </c>
      <c r="B95" s="15" t="s">
        <v>201</v>
      </c>
      <c r="C95" s="16">
        <v>820</v>
      </c>
      <c r="D95" s="16">
        <v>820</v>
      </c>
      <c r="E95" s="17">
        <v>2</v>
      </c>
      <c r="F95" s="18">
        <v>0</v>
      </c>
      <c r="G95" s="18">
        <v>0</v>
      </c>
      <c r="H95" s="18">
        <v>0</v>
      </c>
      <c r="I95" s="17">
        <v>0</v>
      </c>
      <c r="J95" s="17">
        <f t="shared" si="0"/>
        <v>2</v>
      </c>
      <c r="K95" s="17">
        <v>2</v>
      </c>
      <c r="L95" s="17">
        <v>0</v>
      </c>
      <c r="M95" s="17">
        <v>0</v>
      </c>
      <c r="N95" s="17">
        <f t="shared" si="1"/>
        <v>2</v>
      </c>
      <c r="O95" s="17">
        <f t="shared" si="2"/>
        <v>0</v>
      </c>
      <c r="P95" s="3"/>
      <c r="Q95" s="19">
        <f t="shared" si="3"/>
        <v>1640</v>
      </c>
      <c r="R95" s="19">
        <v>0</v>
      </c>
      <c r="S95" s="19">
        <f t="shared" si="4"/>
        <v>0</v>
      </c>
      <c r="T95" s="19">
        <f t="shared" si="5"/>
        <v>0</v>
      </c>
      <c r="U95" s="19">
        <f t="shared" si="6"/>
        <v>0</v>
      </c>
      <c r="V95" s="19">
        <f t="shared" si="7"/>
        <v>0</v>
      </c>
      <c r="W95" s="19">
        <f t="shared" si="8"/>
        <v>1640</v>
      </c>
      <c r="X95" s="20">
        <f t="shared" si="9"/>
        <v>1640</v>
      </c>
      <c r="Y95" s="20">
        <f t="shared" si="10"/>
        <v>0</v>
      </c>
    </row>
    <row r="96" spans="1:25" ht="15.75" customHeight="1">
      <c r="A96" s="14" t="s">
        <v>202</v>
      </c>
      <c r="B96" s="15" t="s">
        <v>203</v>
      </c>
      <c r="C96" s="16">
        <v>5735</v>
      </c>
      <c r="D96" s="16">
        <v>5735</v>
      </c>
      <c r="E96" s="17">
        <v>1</v>
      </c>
      <c r="F96" s="18">
        <v>0</v>
      </c>
      <c r="G96" s="18">
        <v>0</v>
      </c>
      <c r="H96" s="18">
        <v>0</v>
      </c>
      <c r="I96" s="17">
        <v>0</v>
      </c>
      <c r="J96" s="17">
        <f t="shared" si="0"/>
        <v>1</v>
      </c>
      <c r="K96" s="17">
        <v>1</v>
      </c>
      <c r="L96" s="17">
        <v>0</v>
      </c>
      <c r="M96" s="17">
        <v>0</v>
      </c>
      <c r="N96" s="17">
        <f t="shared" si="1"/>
        <v>1</v>
      </c>
      <c r="O96" s="17">
        <f t="shared" si="2"/>
        <v>0</v>
      </c>
      <c r="P96" s="3"/>
      <c r="Q96" s="19">
        <f t="shared" si="3"/>
        <v>5735</v>
      </c>
      <c r="R96" s="19">
        <v>0</v>
      </c>
      <c r="S96" s="19">
        <f t="shared" si="4"/>
        <v>0</v>
      </c>
      <c r="T96" s="19">
        <f t="shared" si="5"/>
        <v>0</v>
      </c>
      <c r="U96" s="19">
        <f t="shared" si="6"/>
        <v>0</v>
      </c>
      <c r="V96" s="19">
        <f t="shared" si="7"/>
        <v>0</v>
      </c>
      <c r="W96" s="19">
        <f t="shared" si="8"/>
        <v>5735</v>
      </c>
      <c r="X96" s="20">
        <f t="shared" si="9"/>
        <v>5735</v>
      </c>
      <c r="Y96" s="20">
        <f t="shared" si="10"/>
        <v>0</v>
      </c>
    </row>
    <row r="97" spans="1:25" ht="15.75" customHeight="1">
      <c r="A97" s="14" t="s">
        <v>204</v>
      </c>
      <c r="B97" s="15" t="s">
        <v>205</v>
      </c>
      <c r="C97" s="16">
        <v>150.36000000000001</v>
      </c>
      <c r="D97" s="16">
        <v>150.36000000000001</v>
      </c>
      <c r="E97" s="17">
        <v>2</v>
      </c>
      <c r="F97" s="18">
        <v>0</v>
      </c>
      <c r="G97" s="18">
        <v>0</v>
      </c>
      <c r="H97" s="18">
        <v>0</v>
      </c>
      <c r="I97" s="17">
        <v>0</v>
      </c>
      <c r="J97" s="17">
        <f t="shared" si="0"/>
        <v>2</v>
      </c>
      <c r="K97" s="17">
        <v>2</v>
      </c>
      <c r="L97" s="17">
        <v>0</v>
      </c>
      <c r="M97" s="17">
        <v>0</v>
      </c>
      <c r="N97" s="17">
        <f t="shared" si="1"/>
        <v>2</v>
      </c>
      <c r="O97" s="17">
        <f t="shared" si="2"/>
        <v>0</v>
      </c>
      <c r="P97" s="3"/>
      <c r="Q97" s="19">
        <f t="shared" si="3"/>
        <v>300.72000000000003</v>
      </c>
      <c r="R97" s="19">
        <v>0</v>
      </c>
      <c r="S97" s="19">
        <f t="shared" si="4"/>
        <v>0</v>
      </c>
      <c r="T97" s="19">
        <f t="shared" si="5"/>
        <v>0</v>
      </c>
      <c r="U97" s="19">
        <f t="shared" si="6"/>
        <v>0</v>
      </c>
      <c r="V97" s="19">
        <f t="shared" si="7"/>
        <v>0</v>
      </c>
      <c r="W97" s="19">
        <f t="shared" si="8"/>
        <v>300.72000000000003</v>
      </c>
      <c r="X97" s="20">
        <f t="shared" si="9"/>
        <v>300.72000000000003</v>
      </c>
      <c r="Y97" s="20">
        <f t="shared" si="10"/>
        <v>0</v>
      </c>
    </row>
    <row r="98" spans="1:25" ht="15.75" customHeight="1">
      <c r="A98" s="14" t="s">
        <v>206</v>
      </c>
      <c r="B98" s="15" t="s">
        <v>207</v>
      </c>
      <c r="C98" s="16">
        <v>680</v>
      </c>
      <c r="D98" s="16">
        <v>680</v>
      </c>
      <c r="E98" s="17">
        <v>2</v>
      </c>
      <c r="F98" s="18">
        <v>0</v>
      </c>
      <c r="G98" s="18">
        <v>0</v>
      </c>
      <c r="H98" s="18">
        <v>0</v>
      </c>
      <c r="I98" s="17">
        <v>0</v>
      </c>
      <c r="J98" s="17">
        <f t="shared" si="0"/>
        <v>2</v>
      </c>
      <c r="K98" s="17">
        <v>2</v>
      </c>
      <c r="L98" s="17">
        <v>0</v>
      </c>
      <c r="M98" s="17">
        <v>0</v>
      </c>
      <c r="N98" s="17">
        <f t="shared" si="1"/>
        <v>2</v>
      </c>
      <c r="O98" s="17">
        <f t="shared" si="2"/>
        <v>0</v>
      </c>
      <c r="P98" s="3"/>
      <c r="Q98" s="19">
        <f t="shared" si="3"/>
        <v>1360</v>
      </c>
      <c r="R98" s="19">
        <v>0</v>
      </c>
      <c r="S98" s="19">
        <f t="shared" si="4"/>
        <v>0</v>
      </c>
      <c r="T98" s="19">
        <f t="shared" si="5"/>
        <v>0</v>
      </c>
      <c r="U98" s="19">
        <f t="shared" si="6"/>
        <v>0</v>
      </c>
      <c r="V98" s="19">
        <f t="shared" si="7"/>
        <v>0</v>
      </c>
      <c r="W98" s="19">
        <f t="shared" si="8"/>
        <v>1360</v>
      </c>
      <c r="X98" s="20">
        <f t="shared" si="9"/>
        <v>1360</v>
      </c>
      <c r="Y98" s="20">
        <f t="shared" si="10"/>
        <v>0</v>
      </c>
    </row>
    <row r="99" spans="1:25" ht="15.75" customHeight="1">
      <c r="A99" s="14" t="s">
        <v>208</v>
      </c>
      <c r="B99" s="15" t="s">
        <v>209</v>
      </c>
      <c r="C99" s="16">
        <v>374.22</v>
      </c>
      <c r="D99" s="16">
        <v>374.22</v>
      </c>
      <c r="E99" s="17">
        <v>3</v>
      </c>
      <c r="F99" s="18">
        <v>0</v>
      </c>
      <c r="G99" s="18">
        <v>0</v>
      </c>
      <c r="H99" s="18">
        <v>0</v>
      </c>
      <c r="I99" s="17">
        <v>0</v>
      </c>
      <c r="J99" s="17">
        <f t="shared" si="0"/>
        <v>3</v>
      </c>
      <c r="K99" s="17">
        <v>3</v>
      </c>
      <c r="L99" s="17">
        <v>0</v>
      </c>
      <c r="M99" s="17">
        <v>0</v>
      </c>
      <c r="N99" s="17">
        <f t="shared" si="1"/>
        <v>3</v>
      </c>
      <c r="O99" s="17">
        <f t="shared" si="2"/>
        <v>0</v>
      </c>
      <c r="P99" s="3"/>
      <c r="Q99" s="19">
        <f t="shared" si="3"/>
        <v>1122.6600000000001</v>
      </c>
      <c r="R99" s="19">
        <v>0</v>
      </c>
      <c r="S99" s="19">
        <f t="shared" si="4"/>
        <v>0</v>
      </c>
      <c r="T99" s="19">
        <f t="shared" si="5"/>
        <v>0</v>
      </c>
      <c r="U99" s="19">
        <f t="shared" si="6"/>
        <v>0</v>
      </c>
      <c r="V99" s="19">
        <f t="shared" si="7"/>
        <v>0</v>
      </c>
      <c r="W99" s="19">
        <f t="shared" si="8"/>
        <v>1122.6600000000001</v>
      </c>
      <c r="X99" s="20">
        <f t="shared" si="9"/>
        <v>1122.6600000000001</v>
      </c>
      <c r="Y99" s="20">
        <f t="shared" si="10"/>
        <v>0</v>
      </c>
    </row>
    <row r="100" spans="1:25" ht="15.75" customHeight="1">
      <c r="A100" s="14" t="s">
        <v>210</v>
      </c>
      <c r="B100" s="15" t="s">
        <v>211</v>
      </c>
      <c r="C100" s="16">
        <v>1020</v>
      </c>
      <c r="D100" s="16">
        <v>1020</v>
      </c>
      <c r="E100" s="17">
        <v>1</v>
      </c>
      <c r="F100" s="18">
        <v>0</v>
      </c>
      <c r="G100" s="18">
        <v>0</v>
      </c>
      <c r="H100" s="18">
        <v>0</v>
      </c>
      <c r="I100" s="17">
        <v>0</v>
      </c>
      <c r="J100" s="17">
        <f t="shared" si="0"/>
        <v>1</v>
      </c>
      <c r="K100" s="17">
        <v>1</v>
      </c>
      <c r="L100" s="17">
        <v>0</v>
      </c>
      <c r="M100" s="17">
        <v>0</v>
      </c>
      <c r="N100" s="17">
        <f t="shared" si="1"/>
        <v>1</v>
      </c>
      <c r="O100" s="17">
        <f t="shared" si="2"/>
        <v>0</v>
      </c>
      <c r="P100" s="3"/>
      <c r="Q100" s="19">
        <f t="shared" si="3"/>
        <v>1020</v>
      </c>
      <c r="R100" s="19">
        <v>0</v>
      </c>
      <c r="S100" s="19">
        <f t="shared" si="4"/>
        <v>0</v>
      </c>
      <c r="T100" s="19">
        <f t="shared" si="5"/>
        <v>0</v>
      </c>
      <c r="U100" s="19">
        <f t="shared" si="6"/>
        <v>0</v>
      </c>
      <c r="V100" s="19">
        <f t="shared" si="7"/>
        <v>0</v>
      </c>
      <c r="W100" s="19">
        <f t="shared" si="8"/>
        <v>1020</v>
      </c>
      <c r="X100" s="20">
        <f t="shared" si="9"/>
        <v>1020</v>
      </c>
      <c r="Y100" s="20">
        <f t="shared" si="10"/>
        <v>0</v>
      </c>
    </row>
    <row r="101" spans="1:25" ht="15.75" customHeight="1">
      <c r="A101" s="14" t="s">
        <v>212</v>
      </c>
      <c r="B101" s="15" t="s">
        <v>213</v>
      </c>
      <c r="C101" s="16">
        <v>360</v>
      </c>
      <c r="D101" s="16">
        <v>360</v>
      </c>
      <c r="E101" s="17">
        <v>3</v>
      </c>
      <c r="F101" s="18">
        <v>0</v>
      </c>
      <c r="G101" s="18">
        <v>0</v>
      </c>
      <c r="H101" s="18">
        <v>0</v>
      </c>
      <c r="I101" s="17">
        <v>0</v>
      </c>
      <c r="J101" s="17">
        <f t="shared" si="0"/>
        <v>3</v>
      </c>
      <c r="K101" s="17">
        <v>3</v>
      </c>
      <c r="L101" s="17">
        <v>0</v>
      </c>
      <c r="M101" s="17">
        <v>0</v>
      </c>
      <c r="N101" s="17">
        <f t="shared" si="1"/>
        <v>3</v>
      </c>
      <c r="O101" s="17">
        <f t="shared" si="2"/>
        <v>0</v>
      </c>
      <c r="P101" s="3"/>
      <c r="Q101" s="19">
        <f t="shared" si="3"/>
        <v>1080</v>
      </c>
      <c r="R101" s="19">
        <v>0</v>
      </c>
      <c r="S101" s="19">
        <f t="shared" si="4"/>
        <v>0</v>
      </c>
      <c r="T101" s="19">
        <f t="shared" si="5"/>
        <v>0</v>
      </c>
      <c r="U101" s="19">
        <f t="shared" si="6"/>
        <v>0</v>
      </c>
      <c r="V101" s="19">
        <f t="shared" si="7"/>
        <v>0</v>
      </c>
      <c r="W101" s="19">
        <f t="shared" si="8"/>
        <v>1080</v>
      </c>
      <c r="X101" s="20">
        <f t="shared" si="9"/>
        <v>1080</v>
      </c>
      <c r="Y101" s="20">
        <f t="shared" si="10"/>
        <v>0</v>
      </c>
    </row>
    <row r="102" spans="1:25" ht="15.75" customHeight="1">
      <c r="A102" s="14" t="s">
        <v>214</v>
      </c>
      <c r="B102" s="15" t="s">
        <v>215</v>
      </c>
      <c r="C102" s="16">
        <v>1100</v>
      </c>
      <c r="D102" s="16">
        <v>1100</v>
      </c>
      <c r="E102" s="17">
        <v>1</v>
      </c>
      <c r="F102" s="18">
        <v>0</v>
      </c>
      <c r="G102" s="18">
        <v>0</v>
      </c>
      <c r="H102" s="18">
        <v>0</v>
      </c>
      <c r="I102" s="17">
        <v>0</v>
      </c>
      <c r="J102" s="17">
        <f t="shared" si="0"/>
        <v>1</v>
      </c>
      <c r="K102" s="17">
        <v>1</v>
      </c>
      <c r="L102" s="17">
        <v>0</v>
      </c>
      <c r="M102" s="17">
        <v>0</v>
      </c>
      <c r="N102" s="17">
        <f t="shared" si="1"/>
        <v>1</v>
      </c>
      <c r="O102" s="17">
        <f t="shared" si="2"/>
        <v>0</v>
      </c>
      <c r="P102" s="3"/>
      <c r="Q102" s="19">
        <f t="shared" si="3"/>
        <v>1100</v>
      </c>
      <c r="R102" s="19">
        <v>0</v>
      </c>
      <c r="S102" s="19">
        <f t="shared" si="4"/>
        <v>0</v>
      </c>
      <c r="T102" s="19">
        <f t="shared" si="5"/>
        <v>0</v>
      </c>
      <c r="U102" s="19">
        <f t="shared" si="6"/>
        <v>0</v>
      </c>
      <c r="V102" s="19">
        <f t="shared" si="7"/>
        <v>0</v>
      </c>
      <c r="W102" s="19">
        <f t="shared" si="8"/>
        <v>1100</v>
      </c>
      <c r="X102" s="20">
        <f t="shared" si="9"/>
        <v>1100</v>
      </c>
      <c r="Y102" s="20">
        <f t="shared" si="10"/>
        <v>0</v>
      </c>
    </row>
    <row r="103" spans="1:25" ht="15.75" customHeight="1">
      <c r="A103" s="14" t="s">
        <v>216</v>
      </c>
      <c r="B103" s="15" t="s">
        <v>217</v>
      </c>
      <c r="C103" s="16">
        <v>498.85</v>
      </c>
      <c r="D103" s="16">
        <v>498.85</v>
      </c>
      <c r="E103" s="17">
        <v>0</v>
      </c>
      <c r="F103" s="18">
        <v>0</v>
      </c>
      <c r="G103" s="18">
        <v>0</v>
      </c>
      <c r="H103" s="18">
        <v>0</v>
      </c>
      <c r="I103" s="17">
        <v>0</v>
      </c>
      <c r="J103" s="17">
        <f t="shared" si="0"/>
        <v>0</v>
      </c>
      <c r="K103" s="17">
        <v>0</v>
      </c>
      <c r="L103" s="17">
        <v>0</v>
      </c>
      <c r="M103" s="17">
        <v>0</v>
      </c>
      <c r="N103" s="17">
        <f t="shared" si="1"/>
        <v>0</v>
      </c>
      <c r="O103" s="17">
        <f t="shared" si="2"/>
        <v>0</v>
      </c>
      <c r="P103" s="3"/>
      <c r="Q103" s="19">
        <f t="shared" si="3"/>
        <v>0</v>
      </c>
      <c r="R103" s="19">
        <v>0</v>
      </c>
      <c r="S103" s="19">
        <f t="shared" si="4"/>
        <v>0</v>
      </c>
      <c r="T103" s="19">
        <f t="shared" si="5"/>
        <v>0</v>
      </c>
      <c r="U103" s="19">
        <f t="shared" si="6"/>
        <v>0</v>
      </c>
      <c r="V103" s="19">
        <f t="shared" si="7"/>
        <v>0</v>
      </c>
      <c r="W103" s="19">
        <f t="shared" si="8"/>
        <v>0</v>
      </c>
      <c r="X103" s="20">
        <f t="shared" si="9"/>
        <v>0</v>
      </c>
      <c r="Y103" s="20">
        <f t="shared" si="10"/>
        <v>0</v>
      </c>
    </row>
    <row r="104" spans="1:25" ht="15.75" customHeight="1">
      <c r="A104" s="14" t="s">
        <v>218</v>
      </c>
      <c r="B104" s="15" t="s">
        <v>219</v>
      </c>
      <c r="C104" s="16">
        <v>480.5</v>
      </c>
      <c r="D104" s="16">
        <v>480.5</v>
      </c>
      <c r="E104" s="17">
        <v>1</v>
      </c>
      <c r="F104" s="18">
        <v>0</v>
      </c>
      <c r="G104" s="18">
        <v>0</v>
      </c>
      <c r="H104" s="18">
        <v>0</v>
      </c>
      <c r="I104" s="17">
        <v>0</v>
      </c>
      <c r="J104" s="17">
        <f t="shared" si="0"/>
        <v>1</v>
      </c>
      <c r="K104" s="17">
        <v>1</v>
      </c>
      <c r="L104" s="17">
        <v>0</v>
      </c>
      <c r="M104" s="17">
        <v>0</v>
      </c>
      <c r="N104" s="17">
        <f t="shared" si="1"/>
        <v>1</v>
      </c>
      <c r="O104" s="17">
        <f t="shared" si="2"/>
        <v>0</v>
      </c>
      <c r="P104" s="3"/>
      <c r="Q104" s="19">
        <f t="shared" si="3"/>
        <v>480.5</v>
      </c>
      <c r="R104" s="19">
        <v>0</v>
      </c>
      <c r="S104" s="19">
        <f t="shared" si="4"/>
        <v>0</v>
      </c>
      <c r="T104" s="19">
        <f t="shared" si="5"/>
        <v>0</v>
      </c>
      <c r="U104" s="19">
        <f t="shared" si="6"/>
        <v>0</v>
      </c>
      <c r="V104" s="19">
        <f t="shared" si="7"/>
        <v>0</v>
      </c>
      <c r="W104" s="19">
        <f t="shared" si="8"/>
        <v>480.5</v>
      </c>
      <c r="X104" s="20">
        <f t="shared" si="9"/>
        <v>480.5</v>
      </c>
      <c r="Y104" s="20">
        <f t="shared" si="10"/>
        <v>0</v>
      </c>
    </row>
    <row r="105" spans="1:25" ht="15.75" customHeight="1">
      <c r="A105" s="14" t="s">
        <v>220</v>
      </c>
      <c r="B105" s="15" t="s">
        <v>221</v>
      </c>
      <c r="C105" s="16">
        <v>670</v>
      </c>
      <c r="D105" s="16">
        <v>670</v>
      </c>
      <c r="E105" s="17">
        <v>1</v>
      </c>
      <c r="F105" s="18">
        <v>0</v>
      </c>
      <c r="G105" s="18">
        <v>0</v>
      </c>
      <c r="H105" s="18">
        <v>0</v>
      </c>
      <c r="I105" s="17">
        <v>0</v>
      </c>
      <c r="J105" s="17">
        <f t="shared" si="0"/>
        <v>1</v>
      </c>
      <c r="K105" s="17">
        <v>0</v>
      </c>
      <c r="L105" s="17">
        <v>0</v>
      </c>
      <c r="M105" s="17">
        <v>1</v>
      </c>
      <c r="N105" s="17">
        <f t="shared" si="1"/>
        <v>1</v>
      </c>
      <c r="O105" s="17">
        <f t="shared" si="2"/>
        <v>0</v>
      </c>
      <c r="P105" s="3"/>
      <c r="Q105" s="19">
        <f t="shared" si="3"/>
        <v>670</v>
      </c>
      <c r="R105" s="19">
        <v>0</v>
      </c>
      <c r="S105" s="19">
        <f t="shared" si="4"/>
        <v>0</v>
      </c>
      <c r="T105" s="19">
        <f t="shared" si="5"/>
        <v>0</v>
      </c>
      <c r="U105" s="19">
        <f t="shared" si="6"/>
        <v>0</v>
      </c>
      <c r="V105" s="19">
        <f t="shared" si="7"/>
        <v>0</v>
      </c>
      <c r="W105" s="19">
        <f t="shared" si="8"/>
        <v>670</v>
      </c>
      <c r="X105" s="20">
        <f t="shared" si="9"/>
        <v>670</v>
      </c>
      <c r="Y105" s="20">
        <f t="shared" si="10"/>
        <v>0</v>
      </c>
    </row>
    <row r="106" spans="1:25" ht="15.75" customHeight="1">
      <c r="A106" s="14" t="s">
        <v>222</v>
      </c>
      <c r="B106" s="15" t="s">
        <v>223</v>
      </c>
      <c r="C106" s="16">
        <v>775</v>
      </c>
      <c r="D106" s="16">
        <v>775</v>
      </c>
      <c r="E106" s="17">
        <v>2</v>
      </c>
      <c r="F106" s="18">
        <v>0</v>
      </c>
      <c r="G106" s="18">
        <v>0</v>
      </c>
      <c r="H106" s="18">
        <v>0</v>
      </c>
      <c r="I106" s="17">
        <v>0</v>
      </c>
      <c r="J106" s="17">
        <f t="shared" si="0"/>
        <v>2</v>
      </c>
      <c r="K106" s="17">
        <v>2</v>
      </c>
      <c r="L106" s="17">
        <v>0</v>
      </c>
      <c r="M106" s="17">
        <v>0</v>
      </c>
      <c r="N106" s="17">
        <f t="shared" si="1"/>
        <v>2</v>
      </c>
      <c r="O106" s="17">
        <f t="shared" si="2"/>
        <v>0</v>
      </c>
      <c r="P106" s="3"/>
      <c r="Q106" s="19">
        <f t="shared" si="3"/>
        <v>1550</v>
      </c>
      <c r="R106" s="19">
        <v>0</v>
      </c>
      <c r="S106" s="19">
        <f t="shared" si="4"/>
        <v>0</v>
      </c>
      <c r="T106" s="19">
        <f t="shared" si="5"/>
        <v>0</v>
      </c>
      <c r="U106" s="19">
        <f t="shared" si="6"/>
        <v>0</v>
      </c>
      <c r="V106" s="19">
        <f t="shared" si="7"/>
        <v>0</v>
      </c>
      <c r="W106" s="19">
        <f t="shared" si="8"/>
        <v>1550</v>
      </c>
      <c r="X106" s="20">
        <f t="shared" si="9"/>
        <v>1550</v>
      </c>
      <c r="Y106" s="20">
        <f t="shared" si="10"/>
        <v>0</v>
      </c>
    </row>
    <row r="107" spans="1:25" ht="15.75" customHeight="1">
      <c r="A107" s="14" t="s">
        <v>224</v>
      </c>
      <c r="B107" s="15" t="s">
        <v>225</v>
      </c>
      <c r="C107" s="16">
        <v>1320</v>
      </c>
      <c r="D107" s="16">
        <v>1320</v>
      </c>
      <c r="E107" s="17">
        <v>1</v>
      </c>
      <c r="F107" s="18">
        <v>0</v>
      </c>
      <c r="G107" s="18">
        <v>0</v>
      </c>
      <c r="H107" s="18">
        <v>0</v>
      </c>
      <c r="I107" s="17">
        <v>0</v>
      </c>
      <c r="J107" s="17">
        <f t="shared" si="0"/>
        <v>1</v>
      </c>
      <c r="K107" s="17">
        <v>1</v>
      </c>
      <c r="L107" s="17">
        <v>0</v>
      </c>
      <c r="M107" s="17">
        <v>0</v>
      </c>
      <c r="N107" s="17">
        <f t="shared" si="1"/>
        <v>1</v>
      </c>
      <c r="O107" s="17">
        <f t="shared" si="2"/>
        <v>0</v>
      </c>
      <c r="P107" s="3"/>
      <c r="Q107" s="19">
        <f t="shared" si="3"/>
        <v>1320</v>
      </c>
      <c r="R107" s="19">
        <v>0</v>
      </c>
      <c r="S107" s="19">
        <f t="shared" si="4"/>
        <v>0</v>
      </c>
      <c r="T107" s="19">
        <f t="shared" si="5"/>
        <v>0</v>
      </c>
      <c r="U107" s="19">
        <f t="shared" si="6"/>
        <v>0</v>
      </c>
      <c r="V107" s="19">
        <f t="shared" si="7"/>
        <v>0</v>
      </c>
      <c r="W107" s="19">
        <f t="shared" si="8"/>
        <v>1320</v>
      </c>
      <c r="X107" s="20">
        <f t="shared" si="9"/>
        <v>1320</v>
      </c>
      <c r="Y107" s="20">
        <f t="shared" si="10"/>
        <v>0</v>
      </c>
    </row>
    <row r="108" spans="1:25" ht="15.75" customHeight="1">
      <c r="A108" s="14" t="s">
        <v>226</v>
      </c>
      <c r="B108" s="15" t="s">
        <v>227</v>
      </c>
      <c r="C108" s="16">
        <v>2400</v>
      </c>
      <c r="D108" s="16">
        <v>2400</v>
      </c>
      <c r="E108" s="17">
        <v>3</v>
      </c>
      <c r="F108" s="18">
        <v>0</v>
      </c>
      <c r="G108" s="18">
        <v>0</v>
      </c>
      <c r="H108" s="18">
        <v>0</v>
      </c>
      <c r="I108" s="17">
        <v>0</v>
      </c>
      <c r="J108" s="17">
        <f t="shared" si="0"/>
        <v>3</v>
      </c>
      <c r="K108" s="17">
        <v>3</v>
      </c>
      <c r="L108" s="17">
        <v>0</v>
      </c>
      <c r="M108" s="17">
        <v>0</v>
      </c>
      <c r="N108" s="17">
        <f t="shared" si="1"/>
        <v>3</v>
      </c>
      <c r="O108" s="17">
        <f t="shared" si="2"/>
        <v>0</v>
      </c>
      <c r="P108" s="3"/>
      <c r="Q108" s="19">
        <f t="shared" si="3"/>
        <v>7200</v>
      </c>
      <c r="R108" s="19">
        <v>0</v>
      </c>
      <c r="S108" s="19">
        <f t="shared" si="4"/>
        <v>0</v>
      </c>
      <c r="T108" s="19">
        <f t="shared" si="5"/>
        <v>0</v>
      </c>
      <c r="U108" s="19">
        <f t="shared" si="6"/>
        <v>0</v>
      </c>
      <c r="V108" s="19">
        <f t="shared" si="7"/>
        <v>0</v>
      </c>
      <c r="W108" s="19">
        <f t="shared" si="8"/>
        <v>7200</v>
      </c>
      <c r="X108" s="20">
        <f t="shared" si="9"/>
        <v>7200</v>
      </c>
      <c r="Y108" s="20">
        <f t="shared" si="10"/>
        <v>0</v>
      </c>
    </row>
    <row r="109" spans="1:25" ht="15.75" customHeight="1">
      <c r="A109" s="14" t="s">
        <v>228</v>
      </c>
      <c r="B109" s="15" t="s">
        <v>229</v>
      </c>
      <c r="C109" s="16">
        <v>5200</v>
      </c>
      <c r="D109" s="16">
        <v>5200</v>
      </c>
      <c r="E109" s="17">
        <v>1</v>
      </c>
      <c r="F109" s="18">
        <v>0</v>
      </c>
      <c r="G109" s="18">
        <v>0</v>
      </c>
      <c r="H109" s="18">
        <v>0</v>
      </c>
      <c r="I109" s="17">
        <v>0</v>
      </c>
      <c r="J109" s="17">
        <f t="shared" si="0"/>
        <v>1</v>
      </c>
      <c r="K109" s="17">
        <v>1</v>
      </c>
      <c r="L109" s="17">
        <v>0</v>
      </c>
      <c r="M109" s="17">
        <v>0</v>
      </c>
      <c r="N109" s="17">
        <f t="shared" si="1"/>
        <v>1</v>
      </c>
      <c r="O109" s="17">
        <f t="shared" si="2"/>
        <v>0</v>
      </c>
      <c r="P109" s="3"/>
      <c r="Q109" s="19">
        <f t="shared" si="3"/>
        <v>5200</v>
      </c>
      <c r="R109" s="19">
        <v>0</v>
      </c>
      <c r="S109" s="19">
        <f t="shared" si="4"/>
        <v>0</v>
      </c>
      <c r="T109" s="19">
        <f t="shared" si="5"/>
        <v>0</v>
      </c>
      <c r="U109" s="19">
        <f t="shared" si="6"/>
        <v>0</v>
      </c>
      <c r="V109" s="19">
        <f t="shared" si="7"/>
        <v>0</v>
      </c>
      <c r="W109" s="19">
        <f t="shared" si="8"/>
        <v>5200</v>
      </c>
      <c r="X109" s="20">
        <f t="shared" si="9"/>
        <v>5200</v>
      </c>
      <c r="Y109" s="20">
        <f t="shared" si="10"/>
        <v>0</v>
      </c>
    </row>
    <row r="110" spans="1:25" ht="15.75" customHeight="1">
      <c r="A110" s="14" t="s">
        <v>230</v>
      </c>
      <c r="B110" s="15" t="s">
        <v>231</v>
      </c>
      <c r="C110" s="16">
        <v>290</v>
      </c>
      <c r="D110" s="16">
        <v>290</v>
      </c>
      <c r="E110" s="17">
        <v>1</v>
      </c>
      <c r="F110" s="18">
        <v>0</v>
      </c>
      <c r="G110" s="18">
        <v>0</v>
      </c>
      <c r="H110" s="18">
        <v>0</v>
      </c>
      <c r="I110" s="17">
        <v>0</v>
      </c>
      <c r="J110" s="17">
        <f t="shared" si="0"/>
        <v>1</v>
      </c>
      <c r="K110" s="17">
        <v>1</v>
      </c>
      <c r="L110" s="17">
        <v>0</v>
      </c>
      <c r="M110" s="17">
        <v>0</v>
      </c>
      <c r="N110" s="17">
        <f t="shared" si="1"/>
        <v>1</v>
      </c>
      <c r="O110" s="17">
        <f t="shared" si="2"/>
        <v>0</v>
      </c>
      <c r="P110" s="3"/>
      <c r="Q110" s="19">
        <f t="shared" si="3"/>
        <v>290</v>
      </c>
      <c r="R110" s="19">
        <v>0</v>
      </c>
      <c r="S110" s="19">
        <f t="shared" si="4"/>
        <v>0</v>
      </c>
      <c r="T110" s="19">
        <f t="shared" si="5"/>
        <v>0</v>
      </c>
      <c r="U110" s="19">
        <f t="shared" si="6"/>
        <v>0</v>
      </c>
      <c r="V110" s="19">
        <f t="shared" si="7"/>
        <v>0</v>
      </c>
      <c r="W110" s="19">
        <f t="shared" si="8"/>
        <v>290</v>
      </c>
      <c r="X110" s="20">
        <f t="shared" si="9"/>
        <v>290</v>
      </c>
      <c r="Y110" s="20">
        <f t="shared" si="10"/>
        <v>0</v>
      </c>
    </row>
    <row r="111" spans="1:25" ht="15.75" customHeight="1">
      <c r="A111" s="14" t="s">
        <v>232</v>
      </c>
      <c r="B111" s="15" t="s">
        <v>233</v>
      </c>
      <c r="C111" s="16">
        <v>420</v>
      </c>
      <c r="D111" s="16">
        <v>420</v>
      </c>
      <c r="E111" s="17">
        <v>0</v>
      </c>
      <c r="F111" s="18">
        <v>0</v>
      </c>
      <c r="G111" s="18">
        <v>0</v>
      </c>
      <c r="H111" s="18">
        <v>0</v>
      </c>
      <c r="I111" s="17">
        <v>0</v>
      </c>
      <c r="J111" s="17">
        <f t="shared" si="0"/>
        <v>0</v>
      </c>
      <c r="K111" s="17">
        <v>0</v>
      </c>
      <c r="L111" s="17">
        <v>0</v>
      </c>
      <c r="M111" s="17">
        <v>0</v>
      </c>
      <c r="N111" s="17">
        <f t="shared" si="1"/>
        <v>0</v>
      </c>
      <c r="O111" s="17">
        <f t="shared" si="2"/>
        <v>0</v>
      </c>
      <c r="P111" s="3"/>
      <c r="Q111" s="19">
        <f t="shared" si="3"/>
        <v>0</v>
      </c>
      <c r="R111" s="19">
        <v>0</v>
      </c>
      <c r="S111" s="19">
        <f t="shared" si="4"/>
        <v>0</v>
      </c>
      <c r="T111" s="19">
        <f t="shared" si="5"/>
        <v>0</v>
      </c>
      <c r="U111" s="19">
        <f t="shared" si="6"/>
        <v>0</v>
      </c>
      <c r="V111" s="19">
        <f t="shared" si="7"/>
        <v>0</v>
      </c>
      <c r="W111" s="19">
        <f t="shared" si="8"/>
        <v>0</v>
      </c>
      <c r="X111" s="20">
        <f t="shared" si="9"/>
        <v>0</v>
      </c>
      <c r="Y111" s="20">
        <f t="shared" si="10"/>
        <v>0</v>
      </c>
    </row>
    <row r="112" spans="1:25" ht="15.75" customHeight="1">
      <c r="A112" s="14" t="s">
        <v>234</v>
      </c>
      <c r="B112" s="15" t="s">
        <v>235</v>
      </c>
      <c r="C112" s="16">
        <v>31</v>
      </c>
      <c r="D112" s="16">
        <v>31</v>
      </c>
      <c r="E112" s="17">
        <v>116</v>
      </c>
      <c r="F112" s="18">
        <v>0</v>
      </c>
      <c r="G112" s="18">
        <v>0</v>
      </c>
      <c r="H112" s="18">
        <v>0</v>
      </c>
      <c r="I112" s="22">
        <v>0</v>
      </c>
      <c r="J112" s="17">
        <f t="shared" si="0"/>
        <v>116</v>
      </c>
      <c r="K112" s="22">
        <v>116</v>
      </c>
      <c r="L112" s="22">
        <v>0</v>
      </c>
      <c r="M112" s="17">
        <v>0</v>
      </c>
      <c r="N112" s="22">
        <f t="shared" si="1"/>
        <v>116</v>
      </c>
      <c r="O112" s="17">
        <f t="shared" si="2"/>
        <v>0</v>
      </c>
      <c r="P112" s="3"/>
      <c r="Q112" s="19">
        <f t="shared" si="3"/>
        <v>3596</v>
      </c>
      <c r="R112" s="19">
        <v>0</v>
      </c>
      <c r="S112" s="19">
        <f t="shared" si="4"/>
        <v>0</v>
      </c>
      <c r="T112" s="19">
        <f t="shared" si="5"/>
        <v>0</v>
      </c>
      <c r="U112" s="19">
        <f t="shared" si="6"/>
        <v>0</v>
      </c>
      <c r="V112" s="19">
        <f t="shared" si="7"/>
        <v>0</v>
      </c>
      <c r="W112" s="19">
        <f t="shared" si="8"/>
        <v>3596</v>
      </c>
      <c r="X112" s="20">
        <f t="shared" si="9"/>
        <v>3596</v>
      </c>
      <c r="Y112" s="20">
        <f t="shared" si="10"/>
        <v>0</v>
      </c>
    </row>
    <row r="113" spans="1:25" ht="15.75" customHeight="1">
      <c r="A113" s="14" t="s">
        <v>236</v>
      </c>
      <c r="B113" s="15" t="s">
        <v>237</v>
      </c>
      <c r="C113" s="16">
        <v>163.80000000000001</v>
      </c>
      <c r="D113" s="16">
        <v>163.80000000000001</v>
      </c>
      <c r="E113" s="17">
        <v>0</v>
      </c>
      <c r="F113" s="18">
        <v>0</v>
      </c>
      <c r="G113" s="18">
        <v>0</v>
      </c>
      <c r="H113" s="18">
        <v>0</v>
      </c>
      <c r="I113" s="17">
        <v>0</v>
      </c>
      <c r="J113" s="17">
        <f t="shared" si="0"/>
        <v>0</v>
      </c>
      <c r="K113" s="17">
        <v>0</v>
      </c>
      <c r="L113" s="17">
        <v>0</v>
      </c>
      <c r="M113" s="17">
        <v>0</v>
      </c>
      <c r="N113" s="17">
        <f t="shared" si="1"/>
        <v>0</v>
      </c>
      <c r="O113" s="17">
        <f t="shared" si="2"/>
        <v>0</v>
      </c>
      <c r="P113" s="3"/>
      <c r="Q113" s="19">
        <f t="shared" si="3"/>
        <v>0</v>
      </c>
      <c r="R113" s="19">
        <v>0</v>
      </c>
      <c r="S113" s="19">
        <f t="shared" si="4"/>
        <v>0</v>
      </c>
      <c r="T113" s="19">
        <f t="shared" si="5"/>
        <v>0</v>
      </c>
      <c r="U113" s="19">
        <f t="shared" si="6"/>
        <v>0</v>
      </c>
      <c r="V113" s="19">
        <f t="shared" si="7"/>
        <v>0</v>
      </c>
      <c r="W113" s="19">
        <f t="shared" si="8"/>
        <v>0</v>
      </c>
      <c r="X113" s="20">
        <f t="shared" si="9"/>
        <v>0</v>
      </c>
      <c r="Y113" s="20">
        <f t="shared" si="10"/>
        <v>0</v>
      </c>
    </row>
    <row r="114" spans="1:25" ht="15.75" customHeight="1">
      <c r="A114" s="14" t="s">
        <v>238</v>
      </c>
      <c r="B114" s="15" t="s">
        <v>239</v>
      </c>
      <c r="C114" s="16">
        <v>0</v>
      </c>
      <c r="D114" s="16">
        <v>0</v>
      </c>
      <c r="E114" s="17">
        <v>0</v>
      </c>
      <c r="F114" s="18">
        <v>0</v>
      </c>
      <c r="G114" s="18">
        <v>0</v>
      </c>
      <c r="H114" s="18">
        <v>0</v>
      </c>
      <c r="I114" s="17">
        <v>0</v>
      </c>
      <c r="J114" s="17">
        <f t="shared" si="0"/>
        <v>0</v>
      </c>
      <c r="K114" s="17">
        <v>0</v>
      </c>
      <c r="L114" s="17">
        <v>0</v>
      </c>
      <c r="M114" s="17">
        <v>0</v>
      </c>
      <c r="N114" s="17">
        <f t="shared" si="1"/>
        <v>0</v>
      </c>
      <c r="O114" s="17">
        <f t="shared" si="2"/>
        <v>0</v>
      </c>
      <c r="P114" s="3"/>
      <c r="Q114" s="19">
        <f t="shared" si="3"/>
        <v>0</v>
      </c>
      <c r="R114" s="19">
        <v>0</v>
      </c>
      <c r="S114" s="19">
        <f t="shared" si="4"/>
        <v>0</v>
      </c>
      <c r="T114" s="19">
        <f t="shared" si="5"/>
        <v>0</v>
      </c>
      <c r="U114" s="19">
        <f t="shared" si="6"/>
        <v>0</v>
      </c>
      <c r="V114" s="19">
        <f t="shared" si="7"/>
        <v>0</v>
      </c>
      <c r="W114" s="19">
        <f t="shared" si="8"/>
        <v>0</v>
      </c>
      <c r="X114" s="20">
        <f t="shared" si="9"/>
        <v>0</v>
      </c>
      <c r="Y114" s="20">
        <f t="shared" si="10"/>
        <v>0</v>
      </c>
    </row>
    <row r="115" spans="1:25" ht="15.75" customHeight="1">
      <c r="A115" s="23" t="s">
        <v>240</v>
      </c>
      <c r="B115" s="15" t="s">
        <v>241</v>
      </c>
      <c r="C115" s="16">
        <v>149.47</v>
      </c>
      <c r="D115" s="16">
        <v>149.47</v>
      </c>
      <c r="E115" s="17">
        <v>50</v>
      </c>
      <c r="F115" s="18">
        <v>0</v>
      </c>
      <c r="G115" s="18">
        <v>0</v>
      </c>
      <c r="H115" s="18">
        <v>0</v>
      </c>
      <c r="I115" s="17">
        <v>0</v>
      </c>
      <c r="J115" s="17">
        <f t="shared" si="0"/>
        <v>50</v>
      </c>
      <c r="K115" s="17">
        <v>50</v>
      </c>
      <c r="L115" s="17">
        <v>0</v>
      </c>
      <c r="M115" s="17">
        <v>0</v>
      </c>
      <c r="N115" s="17">
        <f t="shared" si="1"/>
        <v>50</v>
      </c>
      <c r="O115" s="17">
        <f t="shared" si="2"/>
        <v>0</v>
      </c>
      <c r="P115" s="3"/>
      <c r="Q115" s="19">
        <f t="shared" si="3"/>
        <v>7473.5</v>
      </c>
      <c r="R115" s="19">
        <v>0</v>
      </c>
      <c r="S115" s="19">
        <f t="shared" si="4"/>
        <v>0</v>
      </c>
      <c r="T115" s="19">
        <f t="shared" si="5"/>
        <v>0</v>
      </c>
      <c r="U115" s="19">
        <f t="shared" si="6"/>
        <v>0</v>
      </c>
      <c r="V115" s="19">
        <f t="shared" si="7"/>
        <v>0</v>
      </c>
      <c r="W115" s="19">
        <f t="shared" si="8"/>
        <v>7473.5</v>
      </c>
      <c r="X115" s="20">
        <f t="shared" si="9"/>
        <v>7473.5</v>
      </c>
      <c r="Y115" s="20">
        <f t="shared" si="10"/>
        <v>0</v>
      </c>
    </row>
    <row r="116" spans="1:25" ht="15.75" customHeight="1">
      <c r="A116" s="14" t="s">
        <v>242</v>
      </c>
      <c r="B116" s="15" t="s">
        <v>243</v>
      </c>
      <c r="C116" s="16">
        <v>66</v>
      </c>
      <c r="D116" s="16">
        <v>66</v>
      </c>
      <c r="E116" s="17">
        <v>50</v>
      </c>
      <c r="F116" s="18">
        <v>0</v>
      </c>
      <c r="G116" s="18">
        <v>0</v>
      </c>
      <c r="H116" s="18">
        <v>0</v>
      </c>
      <c r="I116" s="17">
        <v>0</v>
      </c>
      <c r="J116" s="17">
        <f t="shared" si="0"/>
        <v>50</v>
      </c>
      <c r="K116" s="17">
        <v>50</v>
      </c>
      <c r="L116" s="17">
        <v>0</v>
      </c>
      <c r="M116" s="17">
        <v>0</v>
      </c>
      <c r="N116" s="17">
        <f t="shared" si="1"/>
        <v>50</v>
      </c>
      <c r="O116" s="17">
        <f t="shared" si="2"/>
        <v>0</v>
      </c>
      <c r="P116" s="3"/>
      <c r="Q116" s="19">
        <f t="shared" si="3"/>
        <v>3300</v>
      </c>
      <c r="R116" s="19">
        <v>0</v>
      </c>
      <c r="S116" s="19">
        <f t="shared" si="4"/>
        <v>0</v>
      </c>
      <c r="T116" s="19">
        <f t="shared" si="5"/>
        <v>0</v>
      </c>
      <c r="U116" s="19">
        <f t="shared" si="6"/>
        <v>0</v>
      </c>
      <c r="V116" s="19">
        <f t="shared" si="7"/>
        <v>0</v>
      </c>
      <c r="W116" s="19">
        <f t="shared" si="8"/>
        <v>3300</v>
      </c>
      <c r="X116" s="20">
        <f t="shared" si="9"/>
        <v>3300</v>
      </c>
      <c r="Y116" s="20">
        <f t="shared" si="10"/>
        <v>0</v>
      </c>
    </row>
    <row r="117" spans="1:25" ht="15.75" customHeight="1">
      <c r="A117" s="14" t="s">
        <v>244</v>
      </c>
      <c r="B117" s="15" t="s">
        <v>245</v>
      </c>
      <c r="C117" s="16">
        <v>0</v>
      </c>
      <c r="D117" s="16">
        <v>0</v>
      </c>
      <c r="E117" s="17">
        <v>0</v>
      </c>
      <c r="F117" s="18">
        <v>0</v>
      </c>
      <c r="G117" s="18">
        <v>0</v>
      </c>
      <c r="H117" s="18">
        <v>0</v>
      </c>
      <c r="I117" s="17">
        <v>0</v>
      </c>
      <c r="J117" s="17">
        <f t="shared" si="0"/>
        <v>0</v>
      </c>
      <c r="K117" s="17">
        <v>0</v>
      </c>
      <c r="L117" s="17">
        <v>0</v>
      </c>
      <c r="M117" s="17">
        <v>0</v>
      </c>
      <c r="N117" s="17">
        <f t="shared" si="1"/>
        <v>0</v>
      </c>
      <c r="O117" s="17">
        <f t="shared" si="2"/>
        <v>0</v>
      </c>
      <c r="P117" s="3"/>
      <c r="Q117" s="19">
        <f t="shared" si="3"/>
        <v>0</v>
      </c>
      <c r="R117" s="19">
        <v>0</v>
      </c>
      <c r="S117" s="19">
        <f t="shared" si="4"/>
        <v>0</v>
      </c>
      <c r="T117" s="19">
        <f t="shared" si="5"/>
        <v>0</v>
      </c>
      <c r="U117" s="19">
        <f t="shared" si="6"/>
        <v>0</v>
      </c>
      <c r="V117" s="19">
        <f t="shared" si="7"/>
        <v>0</v>
      </c>
      <c r="W117" s="19">
        <f t="shared" si="8"/>
        <v>0</v>
      </c>
      <c r="X117" s="20">
        <f t="shared" si="9"/>
        <v>0</v>
      </c>
      <c r="Y117" s="20">
        <f t="shared" si="10"/>
        <v>0</v>
      </c>
    </row>
    <row r="118" spans="1:25" ht="15.75" customHeight="1">
      <c r="A118" s="14" t="s">
        <v>246</v>
      </c>
      <c r="B118" s="15" t="s">
        <v>247</v>
      </c>
      <c r="C118" s="16">
        <v>19.5</v>
      </c>
      <c r="D118" s="16">
        <v>19.5</v>
      </c>
      <c r="E118" s="17">
        <v>0</v>
      </c>
      <c r="F118" s="18">
        <v>0</v>
      </c>
      <c r="G118" s="18">
        <v>0</v>
      </c>
      <c r="H118" s="18">
        <v>0</v>
      </c>
      <c r="I118" s="17">
        <v>0</v>
      </c>
      <c r="J118" s="17">
        <f t="shared" si="0"/>
        <v>0</v>
      </c>
      <c r="K118" s="17">
        <v>0</v>
      </c>
      <c r="L118" s="17">
        <v>0</v>
      </c>
      <c r="M118" s="17">
        <v>0</v>
      </c>
      <c r="N118" s="17">
        <f t="shared" si="1"/>
        <v>0</v>
      </c>
      <c r="O118" s="17">
        <f t="shared" si="2"/>
        <v>0</v>
      </c>
      <c r="P118" s="3"/>
      <c r="Q118" s="19">
        <f t="shared" si="3"/>
        <v>0</v>
      </c>
      <c r="R118" s="19">
        <v>0</v>
      </c>
      <c r="S118" s="19">
        <f t="shared" si="4"/>
        <v>0</v>
      </c>
      <c r="T118" s="19">
        <f t="shared" si="5"/>
        <v>0</v>
      </c>
      <c r="U118" s="19">
        <f t="shared" si="6"/>
        <v>0</v>
      </c>
      <c r="V118" s="19">
        <f t="shared" si="7"/>
        <v>0</v>
      </c>
      <c r="W118" s="19">
        <f t="shared" si="8"/>
        <v>0</v>
      </c>
      <c r="X118" s="20">
        <f t="shared" si="9"/>
        <v>0</v>
      </c>
      <c r="Y118" s="20">
        <f t="shared" si="10"/>
        <v>0</v>
      </c>
    </row>
    <row r="119" spans="1:25" ht="15.75" customHeight="1">
      <c r="A119" s="14" t="s">
        <v>248</v>
      </c>
      <c r="B119" s="15" t="s">
        <v>249</v>
      </c>
      <c r="C119" s="16">
        <v>0</v>
      </c>
      <c r="D119" s="16">
        <v>0</v>
      </c>
      <c r="E119" s="17">
        <v>0</v>
      </c>
      <c r="F119" s="18">
        <v>0</v>
      </c>
      <c r="G119" s="18">
        <v>0</v>
      </c>
      <c r="H119" s="18">
        <v>0</v>
      </c>
      <c r="I119" s="17">
        <v>0</v>
      </c>
      <c r="J119" s="17">
        <f t="shared" si="0"/>
        <v>0</v>
      </c>
      <c r="K119" s="17">
        <v>0</v>
      </c>
      <c r="L119" s="17">
        <v>0</v>
      </c>
      <c r="M119" s="17">
        <v>0</v>
      </c>
      <c r="N119" s="17">
        <f t="shared" si="1"/>
        <v>0</v>
      </c>
      <c r="O119" s="17">
        <f t="shared" si="2"/>
        <v>0</v>
      </c>
      <c r="P119" s="3"/>
      <c r="Q119" s="19">
        <f t="shared" si="3"/>
        <v>0</v>
      </c>
      <c r="R119" s="19">
        <v>0</v>
      </c>
      <c r="S119" s="19">
        <f t="shared" si="4"/>
        <v>0</v>
      </c>
      <c r="T119" s="19">
        <f t="shared" si="5"/>
        <v>0</v>
      </c>
      <c r="U119" s="19">
        <f t="shared" si="6"/>
        <v>0</v>
      </c>
      <c r="V119" s="19">
        <f t="shared" si="7"/>
        <v>0</v>
      </c>
      <c r="W119" s="19">
        <f t="shared" si="8"/>
        <v>0</v>
      </c>
      <c r="X119" s="20">
        <f t="shared" si="9"/>
        <v>0</v>
      </c>
      <c r="Y119" s="20">
        <f t="shared" si="10"/>
        <v>0</v>
      </c>
    </row>
    <row r="120" spans="1:25" ht="15.75" customHeight="1">
      <c r="A120" s="14" t="s">
        <v>250</v>
      </c>
      <c r="B120" s="15" t="s">
        <v>251</v>
      </c>
      <c r="C120" s="16">
        <v>3875</v>
      </c>
      <c r="D120" s="16">
        <v>3875</v>
      </c>
      <c r="E120" s="17">
        <v>1</v>
      </c>
      <c r="F120" s="18">
        <v>0</v>
      </c>
      <c r="G120" s="18">
        <v>0</v>
      </c>
      <c r="H120" s="18">
        <v>0</v>
      </c>
      <c r="I120" s="17">
        <v>0</v>
      </c>
      <c r="J120" s="17">
        <f t="shared" si="0"/>
        <v>1</v>
      </c>
      <c r="K120" s="17">
        <v>1</v>
      </c>
      <c r="L120" s="17">
        <v>0</v>
      </c>
      <c r="M120" s="17">
        <v>0</v>
      </c>
      <c r="N120" s="17">
        <f t="shared" si="1"/>
        <v>1</v>
      </c>
      <c r="O120" s="17">
        <f t="shared" si="2"/>
        <v>0</v>
      </c>
      <c r="P120" s="3"/>
      <c r="Q120" s="19">
        <f t="shared" si="3"/>
        <v>3875</v>
      </c>
      <c r="R120" s="19">
        <v>0</v>
      </c>
      <c r="S120" s="19">
        <f t="shared" si="4"/>
        <v>0</v>
      </c>
      <c r="T120" s="19">
        <f t="shared" si="5"/>
        <v>0</v>
      </c>
      <c r="U120" s="19">
        <f t="shared" si="6"/>
        <v>0</v>
      </c>
      <c r="V120" s="19">
        <f t="shared" si="7"/>
        <v>0</v>
      </c>
      <c r="W120" s="19">
        <f t="shared" si="8"/>
        <v>3875</v>
      </c>
      <c r="X120" s="20">
        <f t="shared" si="9"/>
        <v>3875</v>
      </c>
      <c r="Y120" s="20">
        <f t="shared" si="10"/>
        <v>0</v>
      </c>
    </row>
    <row r="121" spans="1:25" ht="15.75" customHeight="1">
      <c r="A121" s="14" t="s">
        <v>252</v>
      </c>
      <c r="B121" s="15" t="s">
        <v>253</v>
      </c>
      <c r="C121" s="16">
        <v>600</v>
      </c>
      <c r="D121" s="16">
        <v>600</v>
      </c>
      <c r="E121" s="17">
        <v>3</v>
      </c>
      <c r="F121" s="18">
        <v>0</v>
      </c>
      <c r="G121" s="18">
        <v>0</v>
      </c>
      <c r="H121" s="18">
        <v>0</v>
      </c>
      <c r="I121" s="17">
        <v>0</v>
      </c>
      <c r="J121" s="17">
        <f t="shared" si="0"/>
        <v>3</v>
      </c>
      <c r="K121" s="17">
        <v>3</v>
      </c>
      <c r="L121" s="17">
        <v>0</v>
      </c>
      <c r="M121" s="17">
        <v>0</v>
      </c>
      <c r="N121" s="17">
        <f t="shared" si="1"/>
        <v>3</v>
      </c>
      <c r="O121" s="17">
        <f t="shared" si="2"/>
        <v>0</v>
      </c>
      <c r="P121" s="3"/>
      <c r="Q121" s="19">
        <f t="shared" si="3"/>
        <v>1800</v>
      </c>
      <c r="R121" s="19">
        <v>0</v>
      </c>
      <c r="S121" s="19">
        <f t="shared" si="4"/>
        <v>0</v>
      </c>
      <c r="T121" s="19">
        <f t="shared" si="5"/>
        <v>0</v>
      </c>
      <c r="U121" s="19">
        <f t="shared" si="6"/>
        <v>0</v>
      </c>
      <c r="V121" s="19">
        <f t="shared" si="7"/>
        <v>0</v>
      </c>
      <c r="W121" s="19">
        <f t="shared" si="8"/>
        <v>1800</v>
      </c>
      <c r="X121" s="20">
        <f t="shared" si="9"/>
        <v>1800</v>
      </c>
      <c r="Y121" s="20">
        <f t="shared" si="10"/>
        <v>0</v>
      </c>
    </row>
    <row r="122" spans="1:25" ht="15.75" customHeight="1">
      <c r="A122" s="14" t="s">
        <v>254</v>
      </c>
      <c r="B122" s="15" t="s">
        <v>255</v>
      </c>
      <c r="C122" s="16">
        <v>92.4</v>
      </c>
      <c r="D122" s="16">
        <v>92.4</v>
      </c>
      <c r="E122" s="17">
        <v>3</v>
      </c>
      <c r="F122" s="18">
        <v>0</v>
      </c>
      <c r="G122" s="18">
        <v>0</v>
      </c>
      <c r="H122" s="18">
        <v>0</v>
      </c>
      <c r="I122" s="17">
        <v>0</v>
      </c>
      <c r="J122" s="17">
        <f t="shared" si="0"/>
        <v>3</v>
      </c>
      <c r="K122" s="17">
        <v>3</v>
      </c>
      <c r="L122" s="17">
        <v>0</v>
      </c>
      <c r="M122" s="17">
        <v>0</v>
      </c>
      <c r="N122" s="17">
        <f t="shared" si="1"/>
        <v>3</v>
      </c>
      <c r="O122" s="17">
        <f t="shared" si="2"/>
        <v>0</v>
      </c>
      <c r="P122" s="3"/>
      <c r="Q122" s="19">
        <f t="shared" si="3"/>
        <v>277.20000000000005</v>
      </c>
      <c r="R122" s="19">
        <v>0</v>
      </c>
      <c r="S122" s="19">
        <f t="shared" si="4"/>
        <v>0</v>
      </c>
      <c r="T122" s="19">
        <f t="shared" si="5"/>
        <v>0</v>
      </c>
      <c r="U122" s="19">
        <f t="shared" si="6"/>
        <v>0</v>
      </c>
      <c r="V122" s="19">
        <f t="shared" si="7"/>
        <v>0</v>
      </c>
      <c r="W122" s="19">
        <f t="shared" si="8"/>
        <v>277.20000000000005</v>
      </c>
      <c r="X122" s="20">
        <f t="shared" si="9"/>
        <v>277.20000000000005</v>
      </c>
      <c r="Y122" s="20">
        <f t="shared" si="10"/>
        <v>0</v>
      </c>
    </row>
    <row r="123" spans="1:25" ht="15.75" customHeight="1">
      <c r="A123" s="14" t="s">
        <v>256</v>
      </c>
      <c r="B123" s="15" t="s">
        <v>257</v>
      </c>
      <c r="C123" s="16">
        <v>260</v>
      </c>
      <c r="D123" s="16">
        <v>260</v>
      </c>
      <c r="E123" s="17">
        <v>5</v>
      </c>
      <c r="F123" s="18">
        <v>0</v>
      </c>
      <c r="G123" s="18">
        <v>0</v>
      </c>
      <c r="H123" s="18">
        <v>0</v>
      </c>
      <c r="I123" s="17">
        <v>0</v>
      </c>
      <c r="J123" s="17">
        <f t="shared" si="0"/>
        <v>5</v>
      </c>
      <c r="K123" s="17">
        <v>5</v>
      </c>
      <c r="L123" s="17">
        <v>0</v>
      </c>
      <c r="M123" s="17">
        <v>0</v>
      </c>
      <c r="N123" s="17">
        <f t="shared" si="1"/>
        <v>5</v>
      </c>
      <c r="O123" s="17">
        <f t="shared" si="2"/>
        <v>0</v>
      </c>
      <c r="P123" s="3"/>
      <c r="Q123" s="19">
        <f t="shared" si="3"/>
        <v>1300</v>
      </c>
      <c r="R123" s="19">
        <v>0</v>
      </c>
      <c r="S123" s="19">
        <f t="shared" si="4"/>
        <v>0</v>
      </c>
      <c r="T123" s="19">
        <f t="shared" si="5"/>
        <v>0</v>
      </c>
      <c r="U123" s="19">
        <f t="shared" si="6"/>
        <v>0</v>
      </c>
      <c r="V123" s="19">
        <f t="shared" si="7"/>
        <v>0</v>
      </c>
      <c r="W123" s="19">
        <f t="shared" si="8"/>
        <v>1300</v>
      </c>
      <c r="X123" s="20">
        <f t="shared" si="9"/>
        <v>1300</v>
      </c>
      <c r="Y123" s="20">
        <f t="shared" si="10"/>
        <v>0</v>
      </c>
    </row>
    <row r="124" spans="1:25" ht="15.75" customHeight="1">
      <c r="A124" s="14" t="s">
        <v>258</v>
      </c>
      <c r="B124" s="15" t="s">
        <v>259</v>
      </c>
      <c r="C124" s="16">
        <v>830</v>
      </c>
      <c r="D124" s="16">
        <v>830</v>
      </c>
      <c r="E124" s="17">
        <v>0</v>
      </c>
      <c r="F124" s="18">
        <v>0</v>
      </c>
      <c r="G124" s="18">
        <v>0</v>
      </c>
      <c r="H124" s="24">
        <v>0</v>
      </c>
      <c r="I124" s="17">
        <v>0</v>
      </c>
      <c r="J124" s="17">
        <f t="shared" si="0"/>
        <v>0</v>
      </c>
      <c r="K124" s="17">
        <v>0</v>
      </c>
      <c r="L124" s="17">
        <v>0</v>
      </c>
      <c r="M124" s="17">
        <v>0</v>
      </c>
      <c r="N124" s="17">
        <f t="shared" si="1"/>
        <v>0</v>
      </c>
      <c r="O124" s="17">
        <f t="shared" si="2"/>
        <v>0</v>
      </c>
      <c r="P124" s="3"/>
      <c r="Q124" s="19">
        <f t="shared" si="3"/>
        <v>0</v>
      </c>
      <c r="R124" s="19">
        <v>0</v>
      </c>
      <c r="S124" s="19">
        <f t="shared" si="4"/>
        <v>0</v>
      </c>
      <c r="T124" s="19">
        <f t="shared" si="5"/>
        <v>0</v>
      </c>
      <c r="U124" s="19">
        <f t="shared" si="6"/>
        <v>0</v>
      </c>
      <c r="V124" s="19">
        <f t="shared" si="7"/>
        <v>0</v>
      </c>
      <c r="W124" s="19">
        <f t="shared" si="8"/>
        <v>0</v>
      </c>
      <c r="X124" s="20">
        <f t="shared" si="9"/>
        <v>0</v>
      </c>
      <c r="Y124" s="20">
        <f t="shared" si="10"/>
        <v>0</v>
      </c>
    </row>
    <row r="125" spans="1:25" ht="15.75" customHeight="1">
      <c r="A125" s="14" t="s">
        <v>260</v>
      </c>
      <c r="B125" s="15" t="s">
        <v>261</v>
      </c>
      <c r="C125" s="16">
        <v>0</v>
      </c>
      <c r="D125" s="16">
        <v>0</v>
      </c>
      <c r="E125" s="17">
        <v>0</v>
      </c>
      <c r="F125" s="18">
        <v>0</v>
      </c>
      <c r="G125" s="18">
        <v>0</v>
      </c>
      <c r="H125" s="18">
        <v>0</v>
      </c>
      <c r="I125" s="17">
        <v>0</v>
      </c>
      <c r="J125" s="17">
        <f t="shared" si="0"/>
        <v>0</v>
      </c>
      <c r="K125" s="17">
        <v>0</v>
      </c>
      <c r="L125" s="17">
        <v>0</v>
      </c>
      <c r="M125" s="17">
        <v>0</v>
      </c>
      <c r="N125" s="17">
        <f t="shared" si="1"/>
        <v>0</v>
      </c>
      <c r="O125" s="17">
        <f t="shared" si="2"/>
        <v>0</v>
      </c>
      <c r="P125" s="3"/>
      <c r="Q125" s="19">
        <f t="shared" si="3"/>
        <v>0</v>
      </c>
      <c r="R125" s="19">
        <v>0</v>
      </c>
      <c r="S125" s="19">
        <f t="shared" si="4"/>
        <v>0</v>
      </c>
      <c r="T125" s="19">
        <f t="shared" si="5"/>
        <v>0</v>
      </c>
      <c r="U125" s="19">
        <f t="shared" si="6"/>
        <v>0</v>
      </c>
      <c r="V125" s="19">
        <f t="shared" si="7"/>
        <v>0</v>
      </c>
      <c r="W125" s="19">
        <f t="shared" si="8"/>
        <v>0</v>
      </c>
      <c r="X125" s="20">
        <f t="shared" si="9"/>
        <v>0</v>
      </c>
      <c r="Y125" s="20">
        <f t="shared" si="10"/>
        <v>0</v>
      </c>
    </row>
    <row r="126" spans="1:25" ht="15.75" customHeight="1">
      <c r="A126" s="14" t="s">
        <v>262</v>
      </c>
      <c r="B126" s="15" t="s">
        <v>263</v>
      </c>
      <c r="C126" s="16">
        <v>252.37</v>
      </c>
      <c r="D126" s="16">
        <v>252.37</v>
      </c>
      <c r="E126" s="17">
        <v>0</v>
      </c>
      <c r="F126" s="18">
        <v>0</v>
      </c>
      <c r="G126" s="18">
        <v>0</v>
      </c>
      <c r="H126" s="18">
        <v>0</v>
      </c>
      <c r="I126" s="17">
        <v>0</v>
      </c>
      <c r="J126" s="17">
        <f t="shared" si="0"/>
        <v>0</v>
      </c>
      <c r="K126" s="17">
        <v>0</v>
      </c>
      <c r="L126" s="17">
        <v>0</v>
      </c>
      <c r="M126" s="17">
        <v>0</v>
      </c>
      <c r="N126" s="17">
        <f t="shared" si="1"/>
        <v>0</v>
      </c>
      <c r="O126" s="17">
        <f t="shared" si="2"/>
        <v>0</v>
      </c>
      <c r="P126" s="3"/>
      <c r="Q126" s="19">
        <f t="shared" si="3"/>
        <v>0</v>
      </c>
      <c r="R126" s="19">
        <v>0</v>
      </c>
      <c r="S126" s="19">
        <f t="shared" si="4"/>
        <v>0</v>
      </c>
      <c r="T126" s="19">
        <f t="shared" si="5"/>
        <v>0</v>
      </c>
      <c r="U126" s="19">
        <f t="shared" si="6"/>
        <v>0</v>
      </c>
      <c r="V126" s="19">
        <f t="shared" si="7"/>
        <v>0</v>
      </c>
      <c r="W126" s="19">
        <f t="shared" si="8"/>
        <v>0</v>
      </c>
      <c r="X126" s="20">
        <f t="shared" si="9"/>
        <v>0</v>
      </c>
      <c r="Y126" s="20">
        <f t="shared" si="10"/>
        <v>0</v>
      </c>
    </row>
    <row r="127" spans="1:25" ht="15.75" customHeight="1">
      <c r="A127" s="14" t="s">
        <v>264</v>
      </c>
      <c r="B127" s="15" t="s">
        <v>265</v>
      </c>
      <c r="C127" s="16">
        <v>480</v>
      </c>
      <c r="D127" s="16">
        <v>480</v>
      </c>
      <c r="E127" s="17">
        <v>1</v>
      </c>
      <c r="F127" s="18">
        <v>0</v>
      </c>
      <c r="G127" s="18">
        <v>0</v>
      </c>
      <c r="H127" s="18">
        <v>0</v>
      </c>
      <c r="I127" s="17">
        <v>0</v>
      </c>
      <c r="J127" s="17">
        <f t="shared" si="0"/>
        <v>1</v>
      </c>
      <c r="K127" s="17">
        <v>1</v>
      </c>
      <c r="L127" s="17">
        <v>0</v>
      </c>
      <c r="M127" s="17">
        <v>0</v>
      </c>
      <c r="N127" s="17">
        <f t="shared" si="1"/>
        <v>1</v>
      </c>
      <c r="O127" s="17">
        <f t="shared" si="2"/>
        <v>0</v>
      </c>
      <c r="P127" s="3"/>
      <c r="Q127" s="19">
        <f t="shared" si="3"/>
        <v>480</v>
      </c>
      <c r="R127" s="19">
        <v>0</v>
      </c>
      <c r="S127" s="19">
        <f t="shared" si="4"/>
        <v>0</v>
      </c>
      <c r="T127" s="19">
        <f t="shared" si="5"/>
        <v>0</v>
      </c>
      <c r="U127" s="19">
        <f t="shared" si="6"/>
        <v>0</v>
      </c>
      <c r="V127" s="19">
        <f t="shared" si="7"/>
        <v>0</v>
      </c>
      <c r="W127" s="19">
        <f t="shared" si="8"/>
        <v>480</v>
      </c>
      <c r="X127" s="20">
        <f t="shared" si="9"/>
        <v>480</v>
      </c>
      <c r="Y127" s="20">
        <f t="shared" si="10"/>
        <v>0</v>
      </c>
    </row>
    <row r="128" spans="1:25" ht="15.75" customHeight="1">
      <c r="A128" s="14" t="s">
        <v>266</v>
      </c>
      <c r="B128" s="15" t="s">
        <v>267</v>
      </c>
      <c r="C128" s="16">
        <v>1040.52</v>
      </c>
      <c r="D128" s="16">
        <v>1040.52</v>
      </c>
      <c r="E128" s="17">
        <v>0</v>
      </c>
      <c r="F128" s="18">
        <v>0</v>
      </c>
      <c r="G128" s="18">
        <v>0</v>
      </c>
      <c r="H128" s="18">
        <v>0</v>
      </c>
      <c r="I128" s="17">
        <v>0</v>
      </c>
      <c r="J128" s="17">
        <f t="shared" si="0"/>
        <v>0</v>
      </c>
      <c r="K128" s="17">
        <v>0</v>
      </c>
      <c r="L128" s="17">
        <v>0</v>
      </c>
      <c r="M128" s="17">
        <v>0</v>
      </c>
      <c r="N128" s="17">
        <f t="shared" si="1"/>
        <v>0</v>
      </c>
      <c r="O128" s="17">
        <f t="shared" si="2"/>
        <v>0</v>
      </c>
      <c r="P128" s="3"/>
      <c r="Q128" s="19">
        <f t="shared" si="3"/>
        <v>0</v>
      </c>
      <c r="R128" s="19">
        <v>0</v>
      </c>
      <c r="S128" s="19">
        <f t="shared" si="4"/>
        <v>0</v>
      </c>
      <c r="T128" s="19">
        <f t="shared" si="5"/>
        <v>0</v>
      </c>
      <c r="U128" s="19">
        <f t="shared" si="6"/>
        <v>0</v>
      </c>
      <c r="V128" s="19">
        <f t="shared" si="7"/>
        <v>0</v>
      </c>
      <c r="W128" s="19">
        <f t="shared" si="8"/>
        <v>0</v>
      </c>
      <c r="X128" s="20">
        <f t="shared" si="9"/>
        <v>0</v>
      </c>
      <c r="Y128" s="20">
        <f t="shared" si="10"/>
        <v>0</v>
      </c>
    </row>
    <row r="129" spans="1:25" ht="15.75" customHeight="1">
      <c r="A129" s="14" t="s">
        <v>268</v>
      </c>
      <c r="B129" s="15" t="s">
        <v>269</v>
      </c>
      <c r="C129" s="16">
        <v>246.5</v>
      </c>
      <c r="D129" s="16">
        <v>246.5</v>
      </c>
      <c r="E129" s="17">
        <v>3</v>
      </c>
      <c r="F129" s="18">
        <v>0</v>
      </c>
      <c r="G129" s="18">
        <v>0</v>
      </c>
      <c r="H129" s="18">
        <v>0</v>
      </c>
      <c r="I129" s="17">
        <v>0</v>
      </c>
      <c r="J129" s="17">
        <f t="shared" si="0"/>
        <v>3</v>
      </c>
      <c r="K129" s="17">
        <v>3</v>
      </c>
      <c r="L129" s="17">
        <v>0</v>
      </c>
      <c r="M129" s="17">
        <v>0</v>
      </c>
      <c r="N129" s="17">
        <f t="shared" si="1"/>
        <v>3</v>
      </c>
      <c r="O129" s="17">
        <f t="shared" si="2"/>
        <v>0</v>
      </c>
      <c r="P129" s="3"/>
      <c r="Q129" s="19">
        <f t="shared" si="3"/>
        <v>739.5</v>
      </c>
      <c r="R129" s="19">
        <v>0</v>
      </c>
      <c r="S129" s="19">
        <f t="shared" si="4"/>
        <v>0</v>
      </c>
      <c r="T129" s="19">
        <f t="shared" si="5"/>
        <v>0</v>
      </c>
      <c r="U129" s="19">
        <f t="shared" si="6"/>
        <v>0</v>
      </c>
      <c r="V129" s="19">
        <f t="shared" si="7"/>
        <v>0</v>
      </c>
      <c r="W129" s="19">
        <f t="shared" si="8"/>
        <v>739.5</v>
      </c>
      <c r="X129" s="20">
        <f t="shared" si="9"/>
        <v>739.5</v>
      </c>
      <c r="Y129" s="20">
        <f t="shared" si="10"/>
        <v>0</v>
      </c>
    </row>
    <row r="130" spans="1:25" ht="15.75" customHeight="1">
      <c r="A130" s="14" t="s">
        <v>270</v>
      </c>
      <c r="B130" s="15" t="s">
        <v>271</v>
      </c>
      <c r="C130" s="16">
        <v>797.5</v>
      </c>
      <c r="D130" s="16">
        <v>797.5</v>
      </c>
      <c r="E130" s="17">
        <v>1</v>
      </c>
      <c r="F130" s="18">
        <v>0</v>
      </c>
      <c r="G130" s="18">
        <v>0</v>
      </c>
      <c r="H130" s="18">
        <v>0</v>
      </c>
      <c r="I130" s="17">
        <v>0</v>
      </c>
      <c r="J130" s="17">
        <f t="shared" si="0"/>
        <v>1</v>
      </c>
      <c r="K130" s="17">
        <v>1</v>
      </c>
      <c r="L130" s="17">
        <v>0</v>
      </c>
      <c r="M130" s="17">
        <v>0</v>
      </c>
      <c r="N130" s="17">
        <f t="shared" si="1"/>
        <v>1</v>
      </c>
      <c r="O130" s="17">
        <f t="shared" si="2"/>
        <v>0</v>
      </c>
      <c r="P130" s="3"/>
      <c r="Q130" s="19">
        <f t="shared" si="3"/>
        <v>797.5</v>
      </c>
      <c r="R130" s="19">
        <v>0</v>
      </c>
      <c r="S130" s="19">
        <f t="shared" si="4"/>
        <v>0</v>
      </c>
      <c r="T130" s="19">
        <f t="shared" si="5"/>
        <v>0</v>
      </c>
      <c r="U130" s="19">
        <f t="shared" si="6"/>
        <v>0</v>
      </c>
      <c r="V130" s="19">
        <f t="shared" si="7"/>
        <v>0</v>
      </c>
      <c r="W130" s="19">
        <f t="shared" si="8"/>
        <v>797.5</v>
      </c>
      <c r="X130" s="20">
        <f t="shared" si="9"/>
        <v>797.5</v>
      </c>
      <c r="Y130" s="20">
        <f t="shared" si="10"/>
        <v>0</v>
      </c>
    </row>
    <row r="131" spans="1:25" ht="15.75" customHeight="1">
      <c r="A131" s="14" t="s">
        <v>272</v>
      </c>
      <c r="B131" s="15" t="s">
        <v>273</v>
      </c>
      <c r="C131" s="16">
        <v>165.33</v>
      </c>
      <c r="D131" s="16">
        <v>165.33</v>
      </c>
      <c r="E131" s="17">
        <v>1</v>
      </c>
      <c r="F131" s="18">
        <v>0</v>
      </c>
      <c r="G131" s="18">
        <v>0</v>
      </c>
      <c r="H131" s="18">
        <v>0</v>
      </c>
      <c r="I131" s="17">
        <v>0</v>
      </c>
      <c r="J131" s="17">
        <f t="shared" si="0"/>
        <v>1</v>
      </c>
      <c r="K131" s="17">
        <v>1</v>
      </c>
      <c r="L131" s="17">
        <v>0</v>
      </c>
      <c r="M131" s="17">
        <v>0</v>
      </c>
      <c r="N131" s="17">
        <f t="shared" si="1"/>
        <v>1</v>
      </c>
      <c r="O131" s="17">
        <f t="shared" si="2"/>
        <v>0</v>
      </c>
      <c r="P131" s="3"/>
      <c r="Q131" s="19">
        <f t="shared" si="3"/>
        <v>165.33</v>
      </c>
      <c r="R131" s="19">
        <v>0</v>
      </c>
      <c r="S131" s="19">
        <f t="shared" si="4"/>
        <v>0</v>
      </c>
      <c r="T131" s="19">
        <f t="shared" si="5"/>
        <v>0</v>
      </c>
      <c r="U131" s="19">
        <f t="shared" si="6"/>
        <v>0</v>
      </c>
      <c r="V131" s="19">
        <f t="shared" si="7"/>
        <v>0</v>
      </c>
      <c r="W131" s="19">
        <f t="shared" si="8"/>
        <v>165.33</v>
      </c>
      <c r="X131" s="20">
        <f t="shared" si="9"/>
        <v>165.33</v>
      </c>
      <c r="Y131" s="20">
        <f t="shared" si="10"/>
        <v>0</v>
      </c>
    </row>
    <row r="132" spans="1:25" ht="15.75" customHeight="1">
      <c r="A132" s="14" t="s">
        <v>274</v>
      </c>
      <c r="B132" s="15" t="s">
        <v>275</v>
      </c>
      <c r="C132" s="16">
        <v>350</v>
      </c>
      <c r="D132" s="16">
        <v>350</v>
      </c>
      <c r="E132" s="17">
        <v>0</v>
      </c>
      <c r="F132" s="18">
        <v>0</v>
      </c>
      <c r="G132" s="18">
        <v>0</v>
      </c>
      <c r="H132" s="18">
        <v>0</v>
      </c>
      <c r="I132" s="17">
        <v>0</v>
      </c>
      <c r="J132" s="17">
        <f t="shared" si="0"/>
        <v>0</v>
      </c>
      <c r="K132" s="17">
        <v>0</v>
      </c>
      <c r="L132" s="17">
        <v>0</v>
      </c>
      <c r="M132" s="17">
        <v>0</v>
      </c>
      <c r="N132" s="17">
        <f t="shared" si="1"/>
        <v>0</v>
      </c>
      <c r="O132" s="17">
        <f t="shared" si="2"/>
        <v>0</v>
      </c>
      <c r="P132" s="3"/>
      <c r="Q132" s="19">
        <f t="shared" si="3"/>
        <v>0</v>
      </c>
      <c r="R132" s="19">
        <v>0</v>
      </c>
      <c r="S132" s="19">
        <f t="shared" si="4"/>
        <v>0</v>
      </c>
      <c r="T132" s="19">
        <f t="shared" si="5"/>
        <v>0</v>
      </c>
      <c r="U132" s="19">
        <f t="shared" si="6"/>
        <v>0</v>
      </c>
      <c r="V132" s="19">
        <f t="shared" si="7"/>
        <v>0</v>
      </c>
      <c r="W132" s="19">
        <f t="shared" si="8"/>
        <v>0</v>
      </c>
      <c r="X132" s="20">
        <f t="shared" si="9"/>
        <v>0</v>
      </c>
      <c r="Y132" s="20">
        <f t="shared" si="10"/>
        <v>0</v>
      </c>
    </row>
    <row r="133" spans="1:25" ht="15.75" customHeight="1">
      <c r="A133" s="14" t="s">
        <v>276</v>
      </c>
      <c r="B133" s="15" t="s">
        <v>277</v>
      </c>
      <c r="C133" s="16">
        <v>820</v>
      </c>
      <c r="D133" s="16">
        <v>820</v>
      </c>
      <c r="E133" s="17">
        <v>0</v>
      </c>
      <c r="F133" s="18">
        <v>0</v>
      </c>
      <c r="G133" s="18">
        <v>0</v>
      </c>
      <c r="H133" s="18">
        <v>0</v>
      </c>
      <c r="I133" s="17">
        <v>0</v>
      </c>
      <c r="J133" s="17">
        <f t="shared" si="0"/>
        <v>0</v>
      </c>
      <c r="K133" s="17">
        <v>0</v>
      </c>
      <c r="L133" s="17">
        <v>0</v>
      </c>
      <c r="M133" s="17">
        <v>0</v>
      </c>
      <c r="N133" s="17">
        <f t="shared" si="1"/>
        <v>0</v>
      </c>
      <c r="O133" s="17">
        <f t="shared" si="2"/>
        <v>0</v>
      </c>
      <c r="P133" s="3"/>
      <c r="Q133" s="19">
        <f t="shared" si="3"/>
        <v>0</v>
      </c>
      <c r="R133" s="19">
        <v>0</v>
      </c>
      <c r="S133" s="19">
        <f t="shared" si="4"/>
        <v>0</v>
      </c>
      <c r="T133" s="19">
        <f t="shared" si="5"/>
        <v>0</v>
      </c>
      <c r="U133" s="19">
        <f t="shared" si="6"/>
        <v>0</v>
      </c>
      <c r="V133" s="19">
        <f t="shared" si="7"/>
        <v>0</v>
      </c>
      <c r="W133" s="19">
        <f t="shared" si="8"/>
        <v>0</v>
      </c>
      <c r="X133" s="20">
        <f t="shared" si="9"/>
        <v>0</v>
      </c>
      <c r="Y133" s="20">
        <f t="shared" si="10"/>
        <v>0</v>
      </c>
    </row>
    <row r="134" spans="1:25" ht="15.75" customHeight="1">
      <c r="A134" s="14" t="s">
        <v>278</v>
      </c>
      <c r="B134" s="15" t="s">
        <v>279</v>
      </c>
      <c r="C134" s="16">
        <v>176.29</v>
      </c>
      <c r="D134" s="16">
        <v>176.29</v>
      </c>
      <c r="E134" s="17">
        <v>0</v>
      </c>
      <c r="F134" s="18">
        <v>0</v>
      </c>
      <c r="G134" s="18">
        <v>0</v>
      </c>
      <c r="H134" s="18">
        <v>0</v>
      </c>
      <c r="I134" s="17">
        <v>0</v>
      </c>
      <c r="J134" s="17">
        <f t="shared" si="0"/>
        <v>0</v>
      </c>
      <c r="K134" s="17">
        <v>0</v>
      </c>
      <c r="L134" s="17">
        <v>0</v>
      </c>
      <c r="M134" s="17">
        <v>0</v>
      </c>
      <c r="N134" s="17">
        <f t="shared" si="1"/>
        <v>0</v>
      </c>
      <c r="O134" s="17">
        <f t="shared" si="2"/>
        <v>0</v>
      </c>
      <c r="P134" s="3"/>
      <c r="Q134" s="19">
        <f t="shared" si="3"/>
        <v>0</v>
      </c>
      <c r="R134" s="19">
        <v>0</v>
      </c>
      <c r="S134" s="19">
        <f t="shared" si="4"/>
        <v>0</v>
      </c>
      <c r="T134" s="19">
        <f t="shared" si="5"/>
        <v>0</v>
      </c>
      <c r="U134" s="19">
        <f t="shared" si="6"/>
        <v>0</v>
      </c>
      <c r="V134" s="19">
        <f t="shared" si="7"/>
        <v>0</v>
      </c>
      <c r="W134" s="19">
        <f t="shared" si="8"/>
        <v>0</v>
      </c>
      <c r="X134" s="20">
        <f t="shared" si="9"/>
        <v>0</v>
      </c>
      <c r="Y134" s="20">
        <f t="shared" si="10"/>
        <v>0</v>
      </c>
    </row>
    <row r="135" spans="1:25" ht="15.75" customHeight="1">
      <c r="A135" s="14" t="s">
        <v>280</v>
      </c>
      <c r="B135" s="15" t="s">
        <v>281</v>
      </c>
      <c r="C135" s="16">
        <v>159.5</v>
      </c>
      <c r="D135" s="16">
        <v>159.5</v>
      </c>
      <c r="E135" s="17">
        <v>6</v>
      </c>
      <c r="F135" s="18">
        <v>0</v>
      </c>
      <c r="G135" s="18">
        <v>0</v>
      </c>
      <c r="H135" s="18">
        <v>0</v>
      </c>
      <c r="I135" s="17">
        <v>0</v>
      </c>
      <c r="J135" s="17">
        <f t="shared" si="0"/>
        <v>6</v>
      </c>
      <c r="K135" s="17">
        <v>6</v>
      </c>
      <c r="L135" s="17">
        <v>0</v>
      </c>
      <c r="M135" s="17">
        <v>0</v>
      </c>
      <c r="N135" s="17">
        <f t="shared" si="1"/>
        <v>6</v>
      </c>
      <c r="O135" s="17">
        <f t="shared" si="2"/>
        <v>0</v>
      </c>
      <c r="P135" s="3"/>
      <c r="Q135" s="19">
        <f t="shared" si="3"/>
        <v>957</v>
      </c>
      <c r="R135" s="19">
        <v>0</v>
      </c>
      <c r="S135" s="19">
        <f t="shared" si="4"/>
        <v>0</v>
      </c>
      <c r="T135" s="19">
        <f t="shared" si="5"/>
        <v>0</v>
      </c>
      <c r="U135" s="19">
        <f t="shared" si="6"/>
        <v>0</v>
      </c>
      <c r="V135" s="19">
        <f t="shared" si="7"/>
        <v>0</v>
      </c>
      <c r="W135" s="19">
        <f t="shared" si="8"/>
        <v>957</v>
      </c>
      <c r="X135" s="20">
        <f t="shared" si="9"/>
        <v>957</v>
      </c>
      <c r="Y135" s="20">
        <f t="shared" si="10"/>
        <v>0</v>
      </c>
    </row>
    <row r="136" spans="1:25" ht="15.75" customHeight="1">
      <c r="A136" s="14" t="s">
        <v>282</v>
      </c>
      <c r="B136" s="15" t="s">
        <v>283</v>
      </c>
      <c r="C136" s="16">
        <v>179.8</v>
      </c>
      <c r="D136" s="16">
        <v>179.8</v>
      </c>
      <c r="E136" s="17">
        <v>0</v>
      </c>
      <c r="F136" s="18">
        <v>0</v>
      </c>
      <c r="G136" s="18">
        <v>0</v>
      </c>
      <c r="H136" s="18">
        <v>0</v>
      </c>
      <c r="I136" s="17">
        <v>0</v>
      </c>
      <c r="J136" s="17">
        <f t="shared" si="0"/>
        <v>0</v>
      </c>
      <c r="K136" s="17">
        <v>0</v>
      </c>
      <c r="L136" s="17">
        <v>0</v>
      </c>
      <c r="M136" s="17">
        <v>0</v>
      </c>
      <c r="N136" s="17">
        <f t="shared" si="1"/>
        <v>0</v>
      </c>
      <c r="O136" s="17">
        <f t="shared" si="2"/>
        <v>0</v>
      </c>
      <c r="P136" s="3"/>
      <c r="Q136" s="19">
        <f t="shared" si="3"/>
        <v>0</v>
      </c>
      <c r="R136" s="19">
        <v>0</v>
      </c>
      <c r="S136" s="19">
        <f t="shared" si="4"/>
        <v>0</v>
      </c>
      <c r="T136" s="19">
        <f t="shared" si="5"/>
        <v>0</v>
      </c>
      <c r="U136" s="19">
        <f t="shared" si="6"/>
        <v>0</v>
      </c>
      <c r="V136" s="19">
        <f t="shared" si="7"/>
        <v>0</v>
      </c>
      <c r="W136" s="19">
        <f t="shared" si="8"/>
        <v>0</v>
      </c>
      <c r="X136" s="20">
        <f t="shared" si="9"/>
        <v>0</v>
      </c>
      <c r="Y136" s="20">
        <f t="shared" si="10"/>
        <v>0</v>
      </c>
    </row>
    <row r="137" spans="1:25" ht="15.75" customHeight="1">
      <c r="A137" s="14" t="s">
        <v>284</v>
      </c>
      <c r="B137" s="15" t="s">
        <v>285</v>
      </c>
      <c r="C137" s="16">
        <v>279.04000000000002</v>
      </c>
      <c r="D137" s="16">
        <v>279.04000000000002</v>
      </c>
      <c r="E137" s="17">
        <v>0</v>
      </c>
      <c r="F137" s="18">
        <v>0</v>
      </c>
      <c r="G137" s="18">
        <v>0</v>
      </c>
      <c r="H137" s="18">
        <v>0</v>
      </c>
      <c r="I137" s="17">
        <v>0</v>
      </c>
      <c r="J137" s="17">
        <f t="shared" si="0"/>
        <v>0</v>
      </c>
      <c r="K137" s="17">
        <v>0</v>
      </c>
      <c r="L137" s="17">
        <v>0</v>
      </c>
      <c r="M137" s="17">
        <v>0</v>
      </c>
      <c r="N137" s="17">
        <f t="shared" si="1"/>
        <v>0</v>
      </c>
      <c r="O137" s="17">
        <f t="shared" si="2"/>
        <v>0</v>
      </c>
      <c r="P137" s="3"/>
      <c r="Q137" s="19">
        <f t="shared" si="3"/>
        <v>0</v>
      </c>
      <c r="R137" s="19">
        <v>0</v>
      </c>
      <c r="S137" s="19">
        <f t="shared" si="4"/>
        <v>0</v>
      </c>
      <c r="T137" s="19">
        <f t="shared" si="5"/>
        <v>0</v>
      </c>
      <c r="U137" s="19">
        <f t="shared" si="6"/>
        <v>0</v>
      </c>
      <c r="V137" s="19">
        <f t="shared" si="7"/>
        <v>0</v>
      </c>
      <c r="W137" s="19">
        <f t="shared" si="8"/>
        <v>0</v>
      </c>
      <c r="X137" s="20">
        <f t="shared" si="9"/>
        <v>0</v>
      </c>
      <c r="Y137" s="20">
        <f t="shared" si="10"/>
        <v>0</v>
      </c>
    </row>
    <row r="138" spans="1:25" ht="15.75" customHeight="1">
      <c r="A138" s="14" t="s">
        <v>286</v>
      </c>
      <c r="B138" s="15" t="s">
        <v>287</v>
      </c>
      <c r="C138" s="16">
        <v>152.25</v>
      </c>
      <c r="D138" s="16">
        <v>152.25</v>
      </c>
      <c r="E138" s="17">
        <v>7</v>
      </c>
      <c r="F138" s="18">
        <v>0</v>
      </c>
      <c r="G138" s="18">
        <v>0</v>
      </c>
      <c r="H138" s="18">
        <v>0</v>
      </c>
      <c r="I138" s="17">
        <v>0</v>
      </c>
      <c r="J138" s="17">
        <f t="shared" si="0"/>
        <v>7</v>
      </c>
      <c r="K138" s="17">
        <v>7</v>
      </c>
      <c r="L138" s="17">
        <v>0</v>
      </c>
      <c r="M138" s="17">
        <v>0</v>
      </c>
      <c r="N138" s="17">
        <f t="shared" si="1"/>
        <v>7</v>
      </c>
      <c r="O138" s="17">
        <f t="shared" si="2"/>
        <v>0</v>
      </c>
      <c r="P138" s="3"/>
      <c r="Q138" s="19">
        <f t="shared" si="3"/>
        <v>1065.75</v>
      </c>
      <c r="R138" s="19">
        <v>0</v>
      </c>
      <c r="S138" s="19">
        <f t="shared" si="4"/>
        <v>0</v>
      </c>
      <c r="T138" s="19">
        <f t="shared" si="5"/>
        <v>0</v>
      </c>
      <c r="U138" s="19">
        <f t="shared" si="6"/>
        <v>0</v>
      </c>
      <c r="V138" s="19">
        <f t="shared" si="7"/>
        <v>0</v>
      </c>
      <c r="W138" s="19">
        <f t="shared" si="8"/>
        <v>1065.75</v>
      </c>
      <c r="X138" s="20">
        <f t="shared" si="9"/>
        <v>1065.75</v>
      </c>
      <c r="Y138" s="20">
        <f t="shared" si="10"/>
        <v>0</v>
      </c>
    </row>
    <row r="139" spans="1:25" ht="15.75" customHeight="1">
      <c r="A139" s="14" t="s">
        <v>288</v>
      </c>
      <c r="B139" s="15" t="s">
        <v>289</v>
      </c>
      <c r="C139" s="16">
        <v>690</v>
      </c>
      <c r="D139" s="16">
        <v>690</v>
      </c>
      <c r="E139" s="17">
        <v>1</v>
      </c>
      <c r="F139" s="18">
        <v>0</v>
      </c>
      <c r="G139" s="18">
        <v>0</v>
      </c>
      <c r="H139" s="18">
        <v>0</v>
      </c>
      <c r="I139" s="17">
        <v>0</v>
      </c>
      <c r="J139" s="17">
        <f t="shared" si="0"/>
        <v>1</v>
      </c>
      <c r="K139" s="17">
        <v>0</v>
      </c>
      <c r="L139" s="17">
        <v>0</v>
      </c>
      <c r="M139" s="17">
        <v>1</v>
      </c>
      <c r="N139" s="17">
        <f t="shared" si="1"/>
        <v>1</v>
      </c>
      <c r="O139" s="17">
        <f t="shared" si="2"/>
        <v>0</v>
      </c>
      <c r="P139" s="3"/>
      <c r="Q139" s="19">
        <f t="shared" si="3"/>
        <v>690</v>
      </c>
      <c r="R139" s="19">
        <v>0</v>
      </c>
      <c r="S139" s="19">
        <f t="shared" si="4"/>
        <v>0</v>
      </c>
      <c r="T139" s="19">
        <f t="shared" si="5"/>
        <v>0</v>
      </c>
      <c r="U139" s="19">
        <f t="shared" si="6"/>
        <v>0</v>
      </c>
      <c r="V139" s="19">
        <f t="shared" si="7"/>
        <v>0</v>
      </c>
      <c r="W139" s="19">
        <f t="shared" si="8"/>
        <v>690</v>
      </c>
      <c r="X139" s="20">
        <f t="shared" si="9"/>
        <v>690</v>
      </c>
      <c r="Y139" s="20">
        <f t="shared" si="10"/>
        <v>0</v>
      </c>
    </row>
    <row r="140" spans="1:25" ht="15.75" customHeight="1">
      <c r="A140" s="14" t="s">
        <v>290</v>
      </c>
      <c r="B140" s="15" t="s">
        <v>291</v>
      </c>
      <c r="C140" s="16">
        <v>650</v>
      </c>
      <c r="D140" s="16">
        <v>650</v>
      </c>
      <c r="E140" s="17">
        <v>2</v>
      </c>
      <c r="F140" s="18">
        <v>0</v>
      </c>
      <c r="G140" s="18">
        <v>0</v>
      </c>
      <c r="H140" s="18">
        <v>0</v>
      </c>
      <c r="I140" s="17">
        <v>0</v>
      </c>
      <c r="J140" s="17">
        <f t="shared" si="0"/>
        <v>2</v>
      </c>
      <c r="K140" s="17">
        <v>0</v>
      </c>
      <c r="L140" s="17">
        <v>0</v>
      </c>
      <c r="M140" s="17">
        <v>2</v>
      </c>
      <c r="N140" s="17">
        <f t="shared" si="1"/>
        <v>2</v>
      </c>
      <c r="O140" s="17">
        <f t="shared" si="2"/>
        <v>0</v>
      </c>
      <c r="P140" s="3"/>
      <c r="Q140" s="19">
        <f t="shared" si="3"/>
        <v>1300</v>
      </c>
      <c r="R140" s="19">
        <v>0</v>
      </c>
      <c r="S140" s="19">
        <f t="shared" si="4"/>
        <v>0</v>
      </c>
      <c r="T140" s="19">
        <f t="shared" si="5"/>
        <v>0</v>
      </c>
      <c r="U140" s="19">
        <f t="shared" si="6"/>
        <v>0</v>
      </c>
      <c r="V140" s="19">
        <f t="shared" si="7"/>
        <v>0</v>
      </c>
      <c r="W140" s="19">
        <f t="shared" si="8"/>
        <v>1300</v>
      </c>
      <c r="X140" s="20">
        <f t="shared" si="9"/>
        <v>1300</v>
      </c>
      <c r="Y140" s="20">
        <f t="shared" si="10"/>
        <v>0</v>
      </c>
    </row>
    <row r="141" spans="1:25" ht="15.75" customHeight="1">
      <c r="A141" s="14" t="s">
        <v>292</v>
      </c>
      <c r="B141" s="15" t="s">
        <v>293</v>
      </c>
      <c r="C141" s="16">
        <v>590</v>
      </c>
      <c r="D141" s="16">
        <v>590</v>
      </c>
      <c r="E141" s="17">
        <v>1</v>
      </c>
      <c r="F141" s="18">
        <v>0</v>
      </c>
      <c r="G141" s="18">
        <v>0</v>
      </c>
      <c r="H141" s="18">
        <v>0</v>
      </c>
      <c r="I141" s="17">
        <v>0</v>
      </c>
      <c r="J141" s="17">
        <f t="shared" si="0"/>
        <v>1</v>
      </c>
      <c r="K141" s="17">
        <v>0</v>
      </c>
      <c r="L141" s="17">
        <v>0</v>
      </c>
      <c r="M141" s="17">
        <v>1</v>
      </c>
      <c r="N141" s="17">
        <f t="shared" si="1"/>
        <v>1</v>
      </c>
      <c r="O141" s="17">
        <f t="shared" si="2"/>
        <v>0</v>
      </c>
      <c r="P141" s="3"/>
      <c r="Q141" s="19">
        <f t="shared" si="3"/>
        <v>590</v>
      </c>
      <c r="R141" s="19">
        <v>0</v>
      </c>
      <c r="S141" s="19">
        <f t="shared" si="4"/>
        <v>0</v>
      </c>
      <c r="T141" s="19">
        <f t="shared" si="5"/>
        <v>0</v>
      </c>
      <c r="U141" s="19">
        <f t="shared" si="6"/>
        <v>0</v>
      </c>
      <c r="V141" s="19">
        <f t="shared" si="7"/>
        <v>0</v>
      </c>
      <c r="W141" s="19">
        <f t="shared" si="8"/>
        <v>590</v>
      </c>
      <c r="X141" s="20">
        <f t="shared" si="9"/>
        <v>590</v>
      </c>
      <c r="Y141" s="20">
        <f t="shared" si="10"/>
        <v>0</v>
      </c>
    </row>
    <row r="142" spans="1:25" ht="15.75" customHeight="1">
      <c r="A142" s="14" t="s">
        <v>294</v>
      </c>
      <c r="B142" s="15" t="s">
        <v>295</v>
      </c>
      <c r="C142" s="16">
        <v>0</v>
      </c>
      <c r="D142" s="16">
        <v>0</v>
      </c>
      <c r="E142" s="17">
        <v>0</v>
      </c>
      <c r="F142" s="18">
        <v>0</v>
      </c>
      <c r="G142" s="18">
        <v>0</v>
      </c>
      <c r="H142" s="18">
        <v>0</v>
      </c>
      <c r="I142" s="17">
        <v>0</v>
      </c>
      <c r="J142" s="17">
        <f t="shared" si="0"/>
        <v>0</v>
      </c>
      <c r="K142" s="17">
        <v>0</v>
      </c>
      <c r="L142" s="17">
        <v>0</v>
      </c>
      <c r="M142" s="17">
        <v>0</v>
      </c>
      <c r="N142" s="17">
        <f t="shared" si="1"/>
        <v>0</v>
      </c>
      <c r="O142" s="17">
        <f t="shared" si="2"/>
        <v>0</v>
      </c>
      <c r="P142" s="3"/>
      <c r="Q142" s="19">
        <f t="shared" si="3"/>
        <v>0</v>
      </c>
      <c r="R142" s="19">
        <v>0</v>
      </c>
      <c r="S142" s="19">
        <f t="shared" si="4"/>
        <v>0</v>
      </c>
      <c r="T142" s="19">
        <f t="shared" si="5"/>
        <v>0</v>
      </c>
      <c r="U142" s="19">
        <f t="shared" si="6"/>
        <v>0</v>
      </c>
      <c r="V142" s="19">
        <f t="shared" si="7"/>
        <v>0</v>
      </c>
      <c r="W142" s="19">
        <f t="shared" si="8"/>
        <v>0</v>
      </c>
      <c r="X142" s="20">
        <f t="shared" si="9"/>
        <v>0</v>
      </c>
      <c r="Y142" s="20">
        <f t="shared" si="10"/>
        <v>0</v>
      </c>
    </row>
    <row r="143" spans="1:25" ht="15.75" customHeight="1">
      <c r="A143" s="14" t="s">
        <v>296</v>
      </c>
      <c r="B143" s="15" t="s">
        <v>297</v>
      </c>
      <c r="C143" s="16">
        <v>220.17</v>
      </c>
      <c r="D143" s="16">
        <v>220.17</v>
      </c>
      <c r="E143" s="17">
        <v>3</v>
      </c>
      <c r="F143" s="18">
        <v>0</v>
      </c>
      <c r="G143" s="18">
        <v>0</v>
      </c>
      <c r="H143" s="18">
        <v>0</v>
      </c>
      <c r="I143" s="17">
        <v>0</v>
      </c>
      <c r="J143" s="17">
        <f t="shared" si="0"/>
        <v>3</v>
      </c>
      <c r="K143" s="17">
        <v>3</v>
      </c>
      <c r="L143" s="17">
        <v>0</v>
      </c>
      <c r="M143" s="17">
        <v>0</v>
      </c>
      <c r="N143" s="17">
        <f t="shared" si="1"/>
        <v>3</v>
      </c>
      <c r="O143" s="17">
        <f t="shared" si="2"/>
        <v>0</v>
      </c>
      <c r="P143" s="3"/>
      <c r="Q143" s="19">
        <f t="shared" si="3"/>
        <v>660.51</v>
      </c>
      <c r="R143" s="19">
        <v>0</v>
      </c>
      <c r="S143" s="19">
        <f t="shared" si="4"/>
        <v>0</v>
      </c>
      <c r="T143" s="19">
        <f t="shared" si="5"/>
        <v>0</v>
      </c>
      <c r="U143" s="19">
        <f t="shared" si="6"/>
        <v>0</v>
      </c>
      <c r="V143" s="19">
        <f t="shared" si="7"/>
        <v>0</v>
      </c>
      <c r="W143" s="19">
        <f t="shared" si="8"/>
        <v>660.51</v>
      </c>
      <c r="X143" s="20">
        <f t="shared" si="9"/>
        <v>660.51</v>
      </c>
      <c r="Y143" s="20">
        <f t="shared" si="10"/>
        <v>0</v>
      </c>
    </row>
    <row r="144" spans="1:25" ht="15.75" customHeight="1">
      <c r="A144" s="14" t="s">
        <v>298</v>
      </c>
      <c r="B144" s="15" t="s">
        <v>299</v>
      </c>
      <c r="C144" s="16">
        <v>50</v>
      </c>
      <c r="D144" s="16">
        <v>50</v>
      </c>
      <c r="E144" s="17">
        <v>0</v>
      </c>
      <c r="F144" s="18">
        <v>0</v>
      </c>
      <c r="G144" s="18">
        <v>0</v>
      </c>
      <c r="H144" s="18">
        <v>0</v>
      </c>
      <c r="I144" s="17">
        <v>0</v>
      </c>
      <c r="J144" s="17">
        <f t="shared" si="0"/>
        <v>0</v>
      </c>
      <c r="K144" s="17">
        <v>0</v>
      </c>
      <c r="L144" s="17">
        <v>0</v>
      </c>
      <c r="M144" s="17">
        <v>0</v>
      </c>
      <c r="N144" s="17">
        <f t="shared" si="1"/>
        <v>0</v>
      </c>
      <c r="O144" s="17">
        <f t="shared" si="2"/>
        <v>0</v>
      </c>
      <c r="P144" s="3"/>
      <c r="Q144" s="19">
        <f t="shared" si="3"/>
        <v>0</v>
      </c>
      <c r="R144" s="19">
        <v>0</v>
      </c>
      <c r="S144" s="19">
        <f t="shared" si="4"/>
        <v>0</v>
      </c>
      <c r="T144" s="19">
        <f t="shared" si="5"/>
        <v>0</v>
      </c>
      <c r="U144" s="19">
        <f t="shared" si="6"/>
        <v>0</v>
      </c>
      <c r="V144" s="19">
        <f t="shared" si="7"/>
        <v>0</v>
      </c>
      <c r="W144" s="19">
        <f t="shared" si="8"/>
        <v>0</v>
      </c>
      <c r="X144" s="20">
        <f t="shared" si="9"/>
        <v>0</v>
      </c>
      <c r="Y144" s="20">
        <f t="shared" si="10"/>
        <v>0</v>
      </c>
    </row>
    <row r="145" spans="1:25" ht="15.75" customHeight="1">
      <c r="A145" s="14" t="s">
        <v>300</v>
      </c>
      <c r="B145" s="15" t="s">
        <v>301</v>
      </c>
      <c r="C145" s="16">
        <v>467.15</v>
      </c>
      <c r="D145" s="16">
        <v>467.15</v>
      </c>
      <c r="E145" s="17">
        <v>0</v>
      </c>
      <c r="F145" s="18">
        <v>0</v>
      </c>
      <c r="G145" s="18">
        <v>0</v>
      </c>
      <c r="H145" s="18">
        <v>0</v>
      </c>
      <c r="I145" s="17">
        <v>0</v>
      </c>
      <c r="J145" s="17">
        <f t="shared" si="0"/>
        <v>0</v>
      </c>
      <c r="K145" s="17">
        <v>0</v>
      </c>
      <c r="L145" s="17">
        <v>0</v>
      </c>
      <c r="M145" s="17">
        <v>0</v>
      </c>
      <c r="N145" s="17">
        <f t="shared" si="1"/>
        <v>0</v>
      </c>
      <c r="O145" s="17">
        <f t="shared" si="2"/>
        <v>0</v>
      </c>
      <c r="P145" s="3"/>
      <c r="Q145" s="19">
        <f t="shared" si="3"/>
        <v>0</v>
      </c>
      <c r="R145" s="19">
        <v>0</v>
      </c>
      <c r="S145" s="19">
        <f t="shared" si="4"/>
        <v>0</v>
      </c>
      <c r="T145" s="19">
        <f t="shared" si="5"/>
        <v>0</v>
      </c>
      <c r="U145" s="19">
        <f t="shared" si="6"/>
        <v>0</v>
      </c>
      <c r="V145" s="19">
        <f t="shared" si="7"/>
        <v>0</v>
      </c>
      <c r="W145" s="19">
        <f t="shared" si="8"/>
        <v>0</v>
      </c>
      <c r="X145" s="20">
        <f t="shared" si="9"/>
        <v>0</v>
      </c>
      <c r="Y145" s="20">
        <f t="shared" si="10"/>
        <v>0</v>
      </c>
    </row>
    <row r="146" spans="1:25" ht="15.75" customHeight="1">
      <c r="A146" s="14" t="s">
        <v>302</v>
      </c>
      <c r="B146" s="15" t="s">
        <v>303</v>
      </c>
      <c r="C146" s="16">
        <v>680</v>
      </c>
      <c r="D146" s="16">
        <v>680</v>
      </c>
      <c r="E146" s="17">
        <v>1</v>
      </c>
      <c r="F146" s="18">
        <v>0</v>
      </c>
      <c r="G146" s="18">
        <v>0</v>
      </c>
      <c r="H146" s="18">
        <v>0</v>
      </c>
      <c r="I146" s="17">
        <v>0</v>
      </c>
      <c r="J146" s="17">
        <f t="shared" si="0"/>
        <v>1</v>
      </c>
      <c r="K146" s="17">
        <v>1</v>
      </c>
      <c r="L146" s="17">
        <v>0</v>
      </c>
      <c r="M146" s="17">
        <v>0</v>
      </c>
      <c r="N146" s="17">
        <f t="shared" si="1"/>
        <v>1</v>
      </c>
      <c r="O146" s="17">
        <f t="shared" si="2"/>
        <v>0</v>
      </c>
      <c r="P146" s="3"/>
      <c r="Q146" s="19">
        <f t="shared" si="3"/>
        <v>680</v>
      </c>
      <c r="R146" s="19">
        <v>0</v>
      </c>
      <c r="S146" s="19">
        <f t="shared" si="4"/>
        <v>0</v>
      </c>
      <c r="T146" s="19">
        <f t="shared" si="5"/>
        <v>0</v>
      </c>
      <c r="U146" s="19">
        <f t="shared" si="6"/>
        <v>0</v>
      </c>
      <c r="V146" s="19">
        <f t="shared" si="7"/>
        <v>0</v>
      </c>
      <c r="W146" s="19">
        <f t="shared" si="8"/>
        <v>680</v>
      </c>
      <c r="X146" s="20">
        <f t="shared" si="9"/>
        <v>680</v>
      </c>
      <c r="Y146" s="20">
        <f t="shared" si="10"/>
        <v>0</v>
      </c>
    </row>
    <row r="147" spans="1:25" ht="15.75" customHeight="1">
      <c r="A147" s="14" t="s">
        <v>304</v>
      </c>
      <c r="B147" s="15" t="s">
        <v>305</v>
      </c>
      <c r="C147" s="16">
        <v>0</v>
      </c>
      <c r="D147" s="16">
        <v>0</v>
      </c>
      <c r="E147" s="17">
        <v>0</v>
      </c>
      <c r="F147" s="18">
        <v>0</v>
      </c>
      <c r="G147" s="18">
        <v>0</v>
      </c>
      <c r="H147" s="18">
        <v>0</v>
      </c>
      <c r="I147" s="17">
        <v>0</v>
      </c>
      <c r="J147" s="17">
        <f t="shared" si="0"/>
        <v>0</v>
      </c>
      <c r="K147" s="17">
        <v>0</v>
      </c>
      <c r="L147" s="17">
        <v>0</v>
      </c>
      <c r="M147" s="17">
        <v>0</v>
      </c>
      <c r="N147" s="17">
        <f t="shared" si="1"/>
        <v>0</v>
      </c>
      <c r="O147" s="17">
        <f t="shared" si="2"/>
        <v>0</v>
      </c>
      <c r="P147" s="3"/>
      <c r="Q147" s="19">
        <f t="shared" si="3"/>
        <v>0</v>
      </c>
      <c r="R147" s="19">
        <v>0</v>
      </c>
      <c r="S147" s="19">
        <f t="shared" si="4"/>
        <v>0</v>
      </c>
      <c r="T147" s="19">
        <f t="shared" si="5"/>
        <v>0</v>
      </c>
      <c r="U147" s="19">
        <f t="shared" si="6"/>
        <v>0</v>
      </c>
      <c r="V147" s="19">
        <f t="shared" si="7"/>
        <v>0</v>
      </c>
      <c r="W147" s="19">
        <f t="shared" si="8"/>
        <v>0</v>
      </c>
      <c r="X147" s="20">
        <f t="shared" si="9"/>
        <v>0</v>
      </c>
      <c r="Y147" s="20">
        <f t="shared" si="10"/>
        <v>0</v>
      </c>
    </row>
    <row r="148" spans="1:25" ht="15.75" customHeight="1">
      <c r="A148" s="14" t="s">
        <v>306</v>
      </c>
      <c r="B148" s="15" t="s">
        <v>307</v>
      </c>
      <c r="C148" s="16">
        <v>1850</v>
      </c>
      <c r="D148" s="16">
        <v>1850</v>
      </c>
      <c r="E148" s="17">
        <v>0</v>
      </c>
      <c r="F148" s="18">
        <v>0</v>
      </c>
      <c r="G148" s="18">
        <v>0</v>
      </c>
      <c r="H148" s="18">
        <v>0</v>
      </c>
      <c r="I148" s="17">
        <v>0</v>
      </c>
      <c r="J148" s="17">
        <f t="shared" si="0"/>
        <v>0</v>
      </c>
      <c r="K148" s="17">
        <v>0</v>
      </c>
      <c r="L148" s="17">
        <v>0</v>
      </c>
      <c r="M148" s="17">
        <v>0</v>
      </c>
      <c r="N148" s="17">
        <f t="shared" si="1"/>
        <v>0</v>
      </c>
      <c r="O148" s="17">
        <f t="shared" si="2"/>
        <v>0</v>
      </c>
      <c r="P148" s="3"/>
      <c r="Q148" s="19">
        <f t="shared" si="3"/>
        <v>0</v>
      </c>
      <c r="R148" s="19">
        <v>0</v>
      </c>
      <c r="S148" s="19">
        <f t="shared" si="4"/>
        <v>0</v>
      </c>
      <c r="T148" s="19">
        <f t="shared" si="5"/>
        <v>0</v>
      </c>
      <c r="U148" s="19">
        <f t="shared" si="6"/>
        <v>0</v>
      </c>
      <c r="V148" s="19">
        <f t="shared" si="7"/>
        <v>0</v>
      </c>
      <c r="W148" s="19">
        <f t="shared" si="8"/>
        <v>0</v>
      </c>
      <c r="X148" s="20">
        <f t="shared" si="9"/>
        <v>0</v>
      </c>
      <c r="Y148" s="20">
        <f t="shared" si="10"/>
        <v>0</v>
      </c>
    </row>
    <row r="149" spans="1:25" ht="15.75" customHeight="1">
      <c r="A149" s="14" t="s">
        <v>308</v>
      </c>
      <c r="B149" s="15" t="s">
        <v>309</v>
      </c>
      <c r="C149" s="16">
        <v>450</v>
      </c>
      <c r="D149" s="16">
        <v>450</v>
      </c>
      <c r="E149" s="17">
        <v>1</v>
      </c>
      <c r="F149" s="18">
        <v>0</v>
      </c>
      <c r="G149" s="18">
        <v>0</v>
      </c>
      <c r="H149" s="18">
        <v>0</v>
      </c>
      <c r="I149" s="17">
        <v>0</v>
      </c>
      <c r="J149" s="17">
        <f t="shared" si="0"/>
        <v>1</v>
      </c>
      <c r="K149" s="17">
        <v>1</v>
      </c>
      <c r="L149" s="17">
        <v>0</v>
      </c>
      <c r="M149" s="17">
        <v>0</v>
      </c>
      <c r="N149" s="17">
        <f t="shared" si="1"/>
        <v>1</v>
      </c>
      <c r="O149" s="17">
        <f t="shared" si="2"/>
        <v>0</v>
      </c>
      <c r="P149" s="3"/>
      <c r="Q149" s="19">
        <f t="shared" si="3"/>
        <v>450</v>
      </c>
      <c r="R149" s="19">
        <v>0</v>
      </c>
      <c r="S149" s="19">
        <f t="shared" si="4"/>
        <v>0</v>
      </c>
      <c r="T149" s="19">
        <f t="shared" si="5"/>
        <v>0</v>
      </c>
      <c r="U149" s="19">
        <f t="shared" si="6"/>
        <v>0</v>
      </c>
      <c r="V149" s="19">
        <f t="shared" si="7"/>
        <v>0</v>
      </c>
      <c r="W149" s="19">
        <f t="shared" si="8"/>
        <v>450</v>
      </c>
      <c r="X149" s="20">
        <f t="shared" si="9"/>
        <v>450</v>
      </c>
      <c r="Y149" s="20">
        <f t="shared" si="10"/>
        <v>0</v>
      </c>
    </row>
    <row r="150" spans="1:25" ht="15.75" customHeight="1">
      <c r="A150" s="14" t="s">
        <v>310</v>
      </c>
      <c r="B150" s="15" t="s">
        <v>311</v>
      </c>
      <c r="C150" s="16">
        <v>62.64</v>
      </c>
      <c r="D150" s="16">
        <v>62.64</v>
      </c>
      <c r="E150" s="17">
        <v>0</v>
      </c>
      <c r="F150" s="18">
        <v>0</v>
      </c>
      <c r="G150" s="18">
        <v>0</v>
      </c>
      <c r="H150" s="18">
        <v>0</v>
      </c>
      <c r="I150" s="17">
        <v>0</v>
      </c>
      <c r="J150" s="17">
        <f t="shared" si="0"/>
        <v>0</v>
      </c>
      <c r="K150" s="17">
        <v>0</v>
      </c>
      <c r="L150" s="17">
        <v>0</v>
      </c>
      <c r="M150" s="17">
        <v>0</v>
      </c>
      <c r="N150" s="17">
        <f t="shared" si="1"/>
        <v>0</v>
      </c>
      <c r="O150" s="17">
        <f t="shared" si="2"/>
        <v>0</v>
      </c>
      <c r="P150" s="3"/>
      <c r="Q150" s="19">
        <f t="shared" si="3"/>
        <v>0</v>
      </c>
      <c r="R150" s="19">
        <v>0</v>
      </c>
      <c r="S150" s="19">
        <f t="shared" si="4"/>
        <v>0</v>
      </c>
      <c r="T150" s="19">
        <f t="shared" si="5"/>
        <v>0</v>
      </c>
      <c r="U150" s="19">
        <f t="shared" si="6"/>
        <v>0</v>
      </c>
      <c r="V150" s="19">
        <f t="shared" si="7"/>
        <v>0</v>
      </c>
      <c r="W150" s="19">
        <f t="shared" si="8"/>
        <v>0</v>
      </c>
      <c r="X150" s="20">
        <f t="shared" si="9"/>
        <v>0</v>
      </c>
      <c r="Y150" s="20">
        <f t="shared" si="10"/>
        <v>0</v>
      </c>
    </row>
    <row r="151" spans="1:25" ht="15.75" customHeight="1">
      <c r="A151" s="14" t="s">
        <v>312</v>
      </c>
      <c r="B151" s="15" t="s">
        <v>313</v>
      </c>
      <c r="C151" s="16">
        <v>420.5</v>
      </c>
      <c r="D151" s="16">
        <v>420.5</v>
      </c>
      <c r="E151" s="17">
        <v>5</v>
      </c>
      <c r="F151" s="18">
        <v>0</v>
      </c>
      <c r="G151" s="18">
        <v>0</v>
      </c>
      <c r="H151" s="18">
        <v>0</v>
      </c>
      <c r="I151" s="17">
        <v>0</v>
      </c>
      <c r="J151" s="17">
        <f t="shared" si="0"/>
        <v>5</v>
      </c>
      <c r="K151" s="17">
        <v>5</v>
      </c>
      <c r="L151" s="17">
        <v>0</v>
      </c>
      <c r="M151" s="17">
        <v>0</v>
      </c>
      <c r="N151" s="17">
        <f t="shared" si="1"/>
        <v>5</v>
      </c>
      <c r="O151" s="17">
        <f t="shared" si="2"/>
        <v>0</v>
      </c>
      <c r="P151" s="3"/>
      <c r="Q151" s="19">
        <f t="shared" si="3"/>
        <v>2102.5</v>
      </c>
      <c r="R151" s="19">
        <v>0</v>
      </c>
      <c r="S151" s="19">
        <f t="shared" si="4"/>
        <v>0</v>
      </c>
      <c r="T151" s="19">
        <f t="shared" si="5"/>
        <v>0</v>
      </c>
      <c r="U151" s="19">
        <f t="shared" si="6"/>
        <v>0</v>
      </c>
      <c r="V151" s="19">
        <f t="shared" si="7"/>
        <v>0</v>
      </c>
      <c r="W151" s="19">
        <f t="shared" si="8"/>
        <v>2102.5</v>
      </c>
      <c r="X151" s="20">
        <f t="shared" si="9"/>
        <v>2102.5</v>
      </c>
      <c r="Y151" s="20">
        <f t="shared" si="10"/>
        <v>0</v>
      </c>
    </row>
    <row r="152" spans="1:25" ht="15.75" customHeight="1">
      <c r="A152" s="14" t="s">
        <v>314</v>
      </c>
      <c r="B152" s="15" t="s">
        <v>315</v>
      </c>
      <c r="C152" s="16">
        <v>290</v>
      </c>
      <c r="D152" s="16">
        <v>290</v>
      </c>
      <c r="E152" s="17">
        <v>2</v>
      </c>
      <c r="F152" s="18">
        <v>0</v>
      </c>
      <c r="G152" s="18">
        <v>0</v>
      </c>
      <c r="H152" s="18">
        <v>0</v>
      </c>
      <c r="I152" s="17">
        <v>0</v>
      </c>
      <c r="J152" s="17">
        <f t="shared" si="0"/>
        <v>2</v>
      </c>
      <c r="K152" s="17">
        <v>2</v>
      </c>
      <c r="L152" s="17">
        <v>0</v>
      </c>
      <c r="M152" s="17">
        <v>0</v>
      </c>
      <c r="N152" s="17">
        <f t="shared" si="1"/>
        <v>2</v>
      </c>
      <c r="O152" s="17">
        <f t="shared" si="2"/>
        <v>0</v>
      </c>
      <c r="P152" s="3"/>
      <c r="Q152" s="19">
        <f t="shared" si="3"/>
        <v>580</v>
      </c>
      <c r="R152" s="19">
        <v>0</v>
      </c>
      <c r="S152" s="19">
        <f t="shared" si="4"/>
        <v>0</v>
      </c>
      <c r="T152" s="19">
        <f t="shared" si="5"/>
        <v>0</v>
      </c>
      <c r="U152" s="19">
        <f t="shared" si="6"/>
        <v>0</v>
      </c>
      <c r="V152" s="19">
        <f t="shared" si="7"/>
        <v>0</v>
      </c>
      <c r="W152" s="19">
        <f t="shared" si="8"/>
        <v>580</v>
      </c>
      <c r="X152" s="20">
        <f t="shared" si="9"/>
        <v>580</v>
      </c>
      <c r="Y152" s="20">
        <f t="shared" si="10"/>
        <v>0</v>
      </c>
    </row>
    <row r="153" spans="1:25" ht="15.75" customHeight="1">
      <c r="A153" s="14" t="s">
        <v>316</v>
      </c>
      <c r="B153" s="15" t="s">
        <v>317</v>
      </c>
      <c r="C153" s="16">
        <v>443</v>
      </c>
      <c r="D153" s="16">
        <v>443</v>
      </c>
      <c r="E153" s="17">
        <v>4</v>
      </c>
      <c r="F153" s="18">
        <v>0</v>
      </c>
      <c r="G153" s="18">
        <v>0</v>
      </c>
      <c r="H153" s="18">
        <v>0</v>
      </c>
      <c r="I153" s="17">
        <v>0</v>
      </c>
      <c r="J153" s="17">
        <f t="shared" si="0"/>
        <v>4</v>
      </c>
      <c r="K153" s="17">
        <v>4</v>
      </c>
      <c r="L153" s="17">
        <v>0</v>
      </c>
      <c r="M153" s="17">
        <v>0</v>
      </c>
      <c r="N153" s="17">
        <f t="shared" si="1"/>
        <v>4</v>
      </c>
      <c r="O153" s="17">
        <f t="shared" si="2"/>
        <v>0</v>
      </c>
      <c r="P153" s="3"/>
      <c r="Q153" s="19">
        <f t="shared" si="3"/>
        <v>1772</v>
      </c>
      <c r="R153" s="19">
        <v>0</v>
      </c>
      <c r="S153" s="19">
        <f t="shared" si="4"/>
        <v>0</v>
      </c>
      <c r="T153" s="19">
        <f t="shared" si="5"/>
        <v>0</v>
      </c>
      <c r="U153" s="19">
        <f t="shared" si="6"/>
        <v>0</v>
      </c>
      <c r="V153" s="19">
        <f t="shared" si="7"/>
        <v>0</v>
      </c>
      <c r="W153" s="19">
        <f t="shared" si="8"/>
        <v>1772</v>
      </c>
      <c r="X153" s="20">
        <f t="shared" si="9"/>
        <v>1772</v>
      </c>
      <c r="Y153" s="20">
        <f t="shared" si="10"/>
        <v>0</v>
      </c>
    </row>
    <row r="154" spans="1:25" ht="15.75" customHeight="1">
      <c r="A154" s="14" t="s">
        <v>318</v>
      </c>
      <c r="B154" s="15" t="s">
        <v>319</v>
      </c>
      <c r="C154" s="16">
        <v>319</v>
      </c>
      <c r="D154" s="16">
        <v>319</v>
      </c>
      <c r="E154" s="17">
        <v>3</v>
      </c>
      <c r="F154" s="18">
        <v>0</v>
      </c>
      <c r="G154" s="18">
        <v>0</v>
      </c>
      <c r="H154" s="18">
        <v>0</v>
      </c>
      <c r="I154" s="17">
        <v>0</v>
      </c>
      <c r="J154" s="17">
        <f t="shared" si="0"/>
        <v>3</v>
      </c>
      <c r="K154" s="17">
        <v>3</v>
      </c>
      <c r="L154" s="17">
        <v>0</v>
      </c>
      <c r="M154" s="17">
        <v>0</v>
      </c>
      <c r="N154" s="17">
        <f t="shared" si="1"/>
        <v>3</v>
      </c>
      <c r="O154" s="17">
        <f t="shared" si="2"/>
        <v>0</v>
      </c>
      <c r="P154" s="3"/>
      <c r="Q154" s="19">
        <f t="shared" si="3"/>
        <v>957</v>
      </c>
      <c r="R154" s="19">
        <v>0</v>
      </c>
      <c r="S154" s="19">
        <f t="shared" si="4"/>
        <v>0</v>
      </c>
      <c r="T154" s="19">
        <f t="shared" si="5"/>
        <v>0</v>
      </c>
      <c r="U154" s="19">
        <f t="shared" si="6"/>
        <v>0</v>
      </c>
      <c r="V154" s="19">
        <f t="shared" si="7"/>
        <v>0</v>
      </c>
      <c r="W154" s="19">
        <f t="shared" si="8"/>
        <v>957</v>
      </c>
      <c r="X154" s="20">
        <f t="shared" si="9"/>
        <v>957</v>
      </c>
      <c r="Y154" s="20">
        <f t="shared" si="10"/>
        <v>0</v>
      </c>
    </row>
    <row r="155" spans="1:25" ht="15.75" customHeight="1">
      <c r="A155" s="14" t="s">
        <v>320</v>
      </c>
      <c r="B155" s="15" t="s">
        <v>321</v>
      </c>
      <c r="C155" s="16">
        <v>2.35</v>
      </c>
      <c r="D155" s="16">
        <v>2.35</v>
      </c>
      <c r="E155" s="17">
        <v>0</v>
      </c>
      <c r="F155" s="18">
        <v>0</v>
      </c>
      <c r="G155" s="18">
        <v>0</v>
      </c>
      <c r="H155" s="18">
        <v>0</v>
      </c>
      <c r="I155" s="17">
        <v>0</v>
      </c>
      <c r="J155" s="17">
        <f t="shared" si="0"/>
        <v>0</v>
      </c>
      <c r="K155" s="17">
        <v>0</v>
      </c>
      <c r="L155" s="17">
        <v>0</v>
      </c>
      <c r="M155" s="17">
        <v>0</v>
      </c>
      <c r="N155" s="17">
        <f t="shared" si="1"/>
        <v>0</v>
      </c>
      <c r="O155" s="17">
        <f t="shared" si="2"/>
        <v>0</v>
      </c>
      <c r="P155" s="3"/>
      <c r="Q155" s="19">
        <f t="shared" si="3"/>
        <v>0</v>
      </c>
      <c r="R155" s="19">
        <v>0</v>
      </c>
      <c r="S155" s="19">
        <f t="shared" si="4"/>
        <v>0</v>
      </c>
      <c r="T155" s="19">
        <f t="shared" si="5"/>
        <v>0</v>
      </c>
      <c r="U155" s="19">
        <f t="shared" si="6"/>
        <v>0</v>
      </c>
      <c r="V155" s="19">
        <f t="shared" si="7"/>
        <v>0</v>
      </c>
      <c r="W155" s="19">
        <f t="shared" si="8"/>
        <v>0</v>
      </c>
      <c r="X155" s="20">
        <f t="shared" si="9"/>
        <v>0</v>
      </c>
      <c r="Y155" s="20">
        <f t="shared" si="10"/>
        <v>0</v>
      </c>
    </row>
    <row r="156" spans="1:25" ht="15.75" customHeight="1">
      <c r="A156" s="14" t="s">
        <v>322</v>
      </c>
      <c r="B156" s="15" t="s">
        <v>323</v>
      </c>
      <c r="C156" s="16">
        <v>275.5</v>
      </c>
      <c r="D156" s="16">
        <v>275.5</v>
      </c>
      <c r="E156" s="17">
        <v>2</v>
      </c>
      <c r="F156" s="18">
        <v>0</v>
      </c>
      <c r="G156" s="18">
        <v>0</v>
      </c>
      <c r="H156" s="18">
        <v>0</v>
      </c>
      <c r="I156" s="17">
        <v>0</v>
      </c>
      <c r="J156" s="17">
        <f t="shared" si="0"/>
        <v>2</v>
      </c>
      <c r="K156" s="17">
        <v>2</v>
      </c>
      <c r="L156" s="17">
        <v>0</v>
      </c>
      <c r="M156" s="17">
        <v>0</v>
      </c>
      <c r="N156" s="17">
        <f t="shared" si="1"/>
        <v>2</v>
      </c>
      <c r="O156" s="17">
        <f t="shared" si="2"/>
        <v>0</v>
      </c>
      <c r="P156" s="3"/>
      <c r="Q156" s="19">
        <f t="shared" si="3"/>
        <v>551</v>
      </c>
      <c r="R156" s="19">
        <v>0</v>
      </c>
      <c r="S156" s="19">
        <f t="shared" si="4"/>
        <v>0</v>
      </c>
      <c r="T156" s="19">
        <f t="shared" si="5"/>
        <v>0</v>
      </c>
      <c r="U156" s="19">
        <f t="shared" si="6"/>
        <v>0</v>
      </c>
      <c r="V156" s="19">
        <f t="shared" si="7"/>
        <v>0</v>
      </c>
      <c r="W156" s="19">
        <f t="shared" si="8"/>
        <v>551</v>
      </c>
      <c r="X156" s="20">
        <f t="shared" si="9"/>
        <v>551</v>
      </c>
      <c r="Y156" s="20">
        <f t="shared" si="10"/>
        <v>0</v>
      </c>
    </row>
    <row r="157" spans="1:25" ht="15.75" customHeight="1">
      <c r="A157" s="14" t="s">
        <v>324</v>
      </c>
      <c r="B157" s="15" t="s">
        <v>325</v>
      </c>
      <c r="C157" s="16">
        <v>418.76</v>
      </c>
      <c r="D157" s="16">
        <v>418.76</v>
      </c>
      <c r="E157" s="17">
        <v>5</v>
      </c>
      <c r="F157" s="18">
        <v>0</v>
      </c>
      <c r="G157" s="18">
        <v>0</v>
      </c>
      <c r="H157" s="18">
        <v>0</v>
      </c>
      <c r="I157" s="17">
        <v>0</v>
      </c>
      <c r="J157" s="17">
        <f t="shared" si="0"/>
        <v>5</v>
      </c>
      <c r="K157" s="17">
        <v>5</v>
      </c>
      <c r="L157" s="17">
        <v>0</v>
      </c>
      <c r="M157" s="17">
        <v>0</v>
      </c>
      <c r="N157" s="17">
        <f t="shared" si="1"/>
        <v>5</v>
      </c>
      <c r="O157" s="17">
        <f t="shared" si="2"/>
        <v>0</v>
      </c>
      <c r="P157" s="3"/>
      <c r="Q157" s="19">
        <f t="shared" si="3"/>
        <v>2093.8000000000002</v>
      </c>
      <c r="R157" s="19">
        <v>0</v>
      </c>
      <c r="S157" s="19">
        <f t="shared" si="4"/>
        <v>0</v>
      </c>
      <c r="T157" s="19">
        <f t="shared" si="5"/>
        <v>0</v>
      </c>
      <c r="U157" s="19">
        <f t="shared" si="6"/>
        <v>0</v>
      </c>
      <c r="V157" s="19">
        <f t="shared" si="7"/>
        <v>0</v>
      </c>
      <c r="W157" s="19">
        <f t="shared" si="8"/>
        <v>2093.8000000000002</v>
      </c>
      <c r="X157" s="20">
        <f t="shared" si="9"/>
        <v>2093.8000000000002</v>
      </c>
      <c r="Y157" s="20">
        <f t="shared" si="10"/>
        <v>0</v>
      </c>
    </row>
    <row r="158" spans="1:25" ht="15.75" customHeight="1">
      <c r="A158" s="14" t="s">
        <v>326</v>
      </c>
      <c r="B158" s="15" t="s">
        <v>327</v>
      </c>
      <c r="C158" s="16">
        <v>1082</v>
      </c>
      <c r="D158" s="16">
        <v>1082</v>
      </c>
      <c r="E158" s="17">
        <v>3</v>
      </c>
      <c r="F158" s="18">
        <v>0</v>
      </c>
      <c r="G158" s="18">
        <v>0</v>
      </c>
      <c r="H158" s="18">
        <v>0</v>
      </c>
      <c r="I158" s="17">
        <v>0</v>
      </c>
      <c r="J158" s="17">
        <f t="shared" si="0"/>
        <v>3</v>
      </c>
      <c r="K158" s="17">
        <v>3</v>
      </c>
      <c r="L158" s="17">
        <v>0</v>
      </c>
      <c r="M158" s="17">
        <v>0</v>
      </c>
      <c r="N158" s="17">
        <f t="shared" si="1"/>
        <v>3</v>
      </c>
      <c r="O158" s="17">
        <f t="shared" si="2"/>
        <v>0</v>
      </c>
      <c r="P158" s="3"/>
      <c r="Q158" s="19">
        <f t="shared" si="3"/>
        <v>3246</v>
      </c>
      <c r="R158" s="19">
        <v>0</v>
      </c>
      <c r="S158" s="19">
        <f t="shared" si="4"/>
        <v>0</v>
      </c>
      <c r="T158" s="19">
        <f t="shared" si="5"/>
        <v>0</v>
      </c>
      <c r="U158" s="19">
        <f t="shared" si="6"/>
        <v>0</v>
      </c>
      <c r="V158" s="19">
        <f t="shared" si="7"/>
        <v>0</v>
      </c>
      <c r="W158" s="19">
        <f t="shared" si="8"/>
        <v>3246</v>
      </c>
      <c r="X158" s="20">
        <f t="shared" si="9"/>
        <v>3246</v>
      </c>
      <c r="Y158" s="20">
        <f t="shared" si="10"/>
        <v>0</v>
      </c>
    </row>
    <row r="159" spans="1:25" ht="15.75" customHeight="1">
      <c r="A159" s="14" t="s">
        <v>328</v>
      </c>
      <c r="B159" s="15" t="s">
        <v>329</v>
      </c>
      <c r="C159" s="16">
        <v>311.75</v>
      </c>
      <c r="D159" s="16">
        <v>311.75</v>
      </c>
      <c r="E159" s="17">
        <v>3</v>
      </c>
      <c r="F159" s="18">
        <v>0</v>
      </c>
      <c r="G159" s="18">
        <v>0</v>
      </c>
      <c r="H159" s="18">
        <v>0</v>
      </c>
      <c r="I159" s="17">
        <v>0</v>
      </c>
      <c r="J159" s="17">
        <f t="shared" si="0"/>
        <v>3</v>
      </c>
      <c r="K159" s="17">
        <v>3</v>
      </c>
      <c r="L159" s="17">
        <v>0</v>
      </c>
      <c r="M159" s="17">
        <v>0</v>
      </c>
      <c r="N159" s="17">
        <f t="shared" si="1"/>
        <v>3</v>
      </c>
      <c r="O159" s="17">
        <f t="shared" si="2"/>
        <v>0</v>
      </c>
      <c r="P159" s="3"/>
      <c r="Q159" s="19">
        <f t="shared" si="3"/>
        <v>935.25</v>
      </c>
      <c r="R159" s="19">
        <v>0</v>
      </c>
      <c r="S159" s="19">
        <f t="shared" si="4"/>
        <v>0</v>
      </c>
      <c r="T159" s="19">
        <f t="shared" si="5"/>
        <v>0</v>
      </c>
      <c r="U159" s="19">
        <f t="shared" si="6"/>
        <v>0</v>
      </c>
      <c r="V159" s="19">
        <f t="shared" si="7"/>
        <v>0</v>
      </c>
      <c r="W159" s="19">
        <f t="shared" si="8"/>
        <v>935.25</v>
      </c>
      <c r="X159" s="20">
        <f t="shared" si="9"/>
        <v>935.25</v>
      </c>
      <c r="Y159" s="20">
        <f t="shared" si="10"/>
        <v>0</v>
      </c>
    </row>
    <row r="160" spans="1:25" ht="15.75" customHeight="1">
      <c r="A160" s="14" t="s">
        <v>330</v>
      </c>
      <c r="B160" s="15" t="s">
        <v>331</v>
      </c>
      <c r="C160" s="16">
        <v>662.01</v>
      </c>
      <c r="D160" s="16">
        <v>662.01</v>
      </c>
      <c r="E160" s="17">
        <v>3</v>
      </c>
      <c r="F160" s="18">
        <v>0</v>
      </c>
      <c r="G160" s="18">
        <v>0</v>
      </c>
      <c r="H160" s="18">
        <v>0</v>
      </c>
      <c r="I160" s="17">
        <v>0</v>
      </c>
      <c r="J160" s="17">
        <f t="shared" si="0"/>
        <v>3</v>
      </c>
      <c r="K160" s="17">
        <v>3</v>
      </c>
      <c r="L160" s="17">
        <v>0</v>
      </c>
      <c r="M160" s="17">
        <v>0</v>
      </c>
      <c r="N160" s="17">
        <f t="shared" si="1"/>
        <v>3</v>
      </c>
      <c r="O160" s="17">
        <f t="shared" si="2"/>
        <v>0</v>
      </c>
      <c r="P160" s="3"/>
      <c r="Q160" s="19">
        <f t="shared" si="3"/>
        <v>1986.03</v>
      </c>
      <c r="R160" s="19">
        <v>0</v>
      </c>
      <c r="S160" s="19">
        <f t="shared" si="4"/>
        <v>0</v>
      </c>
      <c r="T160" s="19">
        <f t="shared" si="5"/>
        <v>0</v>
      </c>
      <c r="U160" s="19">
        <f t="shared" si="6"/>
        <v>0</v>
      </c>
      <c r="V160" s="19">
        <f t="shared" si="7"/>
        <v>0</v>
      </c>
      <c r="W160" s="19">
        <f t="shared" si="8"/>
        <v>1986.03</v>
      </c>
      <c r="X160" s="20">
        <f t="shared" si="9"/>
        <v>1986.03</v>
      </c>
      <c r="Y160" s="20">
        <f t="shared" si="10"/>
        <v>0</v>
      </c>
    </row>
    <row r="161" spans="1:25" ht="15.75" customHeight="1">
      <c r="A161" s="14" t="s">
        <v>332</v>
      </c>
      <c r="B161" s="15" t="s">
        <v>333</v>
      </c>
      <c r="C161" s="16">
        <v>383.5</v>
      </c>
      <c r="D161" s="16">
        <v>383.5</v>
      </c>
      <c r="E161" s="17">
        <v>0</v>
      </c>
      <c r="F161" s="18">
        <v>0</v>
      </c>
      <c r="G161" s="18">
        <v>0</v>
      </c>
      <c r="H161" s="18">
        <v>0</v>
      </c>
      <c r="I161" s="17">
        <v>0</v>
      </c>
      <c r="J161" s="17">
        <f t="shared" si="0"/>
        <v>0</v>
      </c>
      <c r="K161" s="17">
        <v>0</v>
      </c>
      <c r="L161" s="17">
        <v>0</v>
      </c>
      <c r="M161" s="17">
        <v>0</v>
      </c>
      <c r="N161" s="17">
        <f t="shared" si="1"/>
        <v>0</v>
      </c>
      <c r="O161" s="17">
        <f t="shared" si="2"/>
        <v>0</v>
      </c>
      <c r="P161" s="3"/>
      <c r="Q161" s="19">
        <f t="shared" si="3"/>
        <v>0</v>
      </c>
      <c r="R161" s="19">
        <v>0</v>
      </c>
      <c r="S161" s="19">
        <f t="shared" si="4"/>
        <v>0</v>
      </c>
      <c r="T161" s="19">
        <f t="shared" si="5"/>
        <v>0</v>
      </c>
      <c r="U161" s="19">
        <f t="shared" si="6"/>
        <v>0</v>
      </c>
      <c r="V161" s="19">
        <f t="shared" si="7"/>
        <v>0</v>
      </c>
      <c r="W161" s="19">
        <f t="shared" si="8"/>
        <v>0</v>
      </c>
      <c r="X161" s="20">
        <f t="shared" si="9"/>
        <v>0</v>
      </c>
      <c r="Y161" s="20">
        <f t="shared" si="10"/>
        <v>0</v>
      </c>
    </row>
    <row r="162" spans="1:25" ht="15.75" customHeight="1">
      <c r="A162" s="14" t="s">
        <v>334</v>
      </c>
      <c r="B162" s="15" t="s">
        <v>335</v>
      </c>
      <c r="C162" s="16">
        <v>43.1</v>
      </c>
      <c r="D162" s="16">
        <v>43.1</v>
      </c>
      <c r="E162" s="17">
        <v>1</v>
      </c>
      <c r="F162" s="18">
        <v>0</v>
      </c>
      <c r="G162" s="18">
        <v>0</v>
      </c>
      <c r="H162" s="18">
        <v>0</v>
      </c>
      <c r="I162" s="17">
        <v>0</v>
      </c>
      <c r="J162" s="17">
        <f t="shared" si="0"/>
        <v>1</v>
      </c>
      <c r="K162" s="17">
        <v>1</v>
      </c>
      <c r="L162" s="17">
        <v>0</v>
      </c>
      <c r="M162" s="17">
        <v>0</v>
      </c>
      <c r="N162" s="17">
        <f t="shared" si="1"/>
        <v>1</v>
      </c>
      <c r="O162" s="17">
        <f t="shared" si="2"/>
        <v>0</v>
      </c>
      <c r="P162" s="3"/>
      <c r="Q162" s="19">
        <f t="shared" si="3"/>
        <v>43.1</v>
      </c>
      <c r="R162" s="19">
        <v>0</v>
      </c>
      <c r="S162" s="19">
        <f t="shared" si="4"/>
        <v>0</v>
      </c>
      <c r="T162" s="19">
        <f t="shared" si="5"/>
        <v>0</v>
      </c>
      <c r="U162" s="19">
        <f t="shared" si="6"/>
        <v>0</v>
      </c>
      <c r="V162" s="19">
        <f t="shared" si="7"/>
        <v>0</v>
      </c>
      <c r="W162" s="19">
        <f t="shared" si="8"/>
        <v>43.1</v>
      </c>
      <c r="X162" s="20">
        <f t="shared" si="9"/>
        <v>43.1</v>
      </c>
      <c r="Y162" s="20">
        <f t="shared" si="10"/>
        <v>0</v>
      </c>
    </row>
    <row r="163" spans="1:25" ht="15.75" customHeight="1">
      <c r="A163" s="14" t="s">
        <v>336</v>
      </c>
      <c r="B163" s="15" t="s">
        <v>337</v>
      </c>
      <c r="C163" s="16">
        <v>41.38</v>
      </c>
      <c r="D163" s="16">
        <v>41.38</v>
      </c>
      <c r="E163" s="17">
        <v>1</v>
      </c>
      <c r="F163" s="18">
        <v>0</v>
      </c>
      <c r="G163" s="18">
        <v>0</v>
      </c>
      <c r="H163" s="18">
        <v>0</v>
      </c>
      <c r="I163" s="17">
        <v>0</v>
      </c>
      <c r="J163" s="17">
        <f t="shared" si="0"/>
        <v>1</v>
      </c>
      <c r="K163" s="17">
        <v>1</v>
      </c>
      <c r="L163" s="17">
        <v>0</v>
      </c>
      <c r="M163" s="17">
        <v>0</v>
      </c>
      <c r="N163" s="17">
        <f t="shared" si="1"/>
        <v>1</v>
      </c>
      <c r="O163" s="17">
        <f t="shared" si="2"/>
        <v>0</v>
      </c>
      <c r="P163" s="3"/>
      <c r="Q163" s="19">
        <f t="shared" si="3"/>
        <v>41.38</v>
      </c>
      <c r="R163" s="19">
        <v>0</v>
      </c>
      <c r="S163" s="19">
        <f t="shared" si="4"/>
        <v>0</v>
      </c>
      <c r="T163" s="19">
        <f t="shared" si="5"/>
        <v>0</v>
      </c>
      <c r="U163" s="19">
        <f t="shared" si="6"/>
        <v>0</v>
      </c>
      <c r="V163" s="19">
        <f t="shared" si="7"/>
        <v>0</v>
      </c>
      <c r="W163" s="19">
        <f t="shared" si="8"/>
        <v>41.38</v>
      </c>
      <c r="X163" s="20">
        <f t="shared" si="9"/>
        <v>41.38</v>
      </c>
      <c r="Y163" s="20">
        <f t="shared" si="10"/>
        <v>0</v>
      </c>
    </row>
    <row r="164" spans="1:25" ht="15.75" customHeight="1">
      <c r="A164" s="14" t="s">
        <v>338</v>
      </c>
      <c r="B164" s="15" t="s">
        <v>339</v>
      </c>
      <c r="C164" s="16">
        <v>344.52</v>
      </c>
      <c r="D164" s="16">
        <v>344.52</v>
      </c>
      <c r="E164" s="17">
        <v>0</v>
      </c>
      <c r="F164" s="18">
        <v>0</v>
      </c>
      <c r="G164" s="18">
        <v>0</v>
      </c>
      <c r="H164" s="18">
        <v>0</v>
      </c>
      <c r="I164" s="17">
        <v>0</v>
      </c>
      <c r="J164" s="17">
        <f t="shared" si="0"/>
        <v>0</v>
      </c>
      <c r="K164" s="17">
        <v>0</v>
      </c>
      <c r="L164" s="17">
        <v>0</v>
      </c>
      <c r="M164" s="17">
        <v>0</v>
      </c>
      <c r="N164" s="17">
        <f t="shared" si="1"/>
        <v>0</v>
      </c>
      <c r="O164" s="17">
        <f t="shared" si="2"/>
        <v>0</v>
      </c>
      <c r="P164" s="3"/>
      <c r="Q164" s="19">
        <f t="shared" si="3"/>
        <v>0</v>
      </c>
      <c r="R164" s="19">
        <v>0</v>
      </c>
      <c r="S164" s="19">
        <f t="shared" si="4"/>
        <v>0</v>
      </c>
      <c r="T164" s="19">
        <f t="shared" si="5"/>
        <v>0</v>
      </c>
      <c r="U164" s="19">
        <f t="shared" si="6"/>
        <v>0</v>
      </c>
      <c r="V164" s="19">
        <f t="shared" si="7"/>
        <v>0</v>
      </c>
      <c r="W164" s="19">
        <f t="shared" si="8"/>
        <v>0</v>
      </c>
      <c r="X164" s="20">
        <f t="shared" si="9"/>
        <v>0</v>
      </c>
      <c r="Y164" s="20">
        <f t="shared" si="10"/>
        <v>0</v>
      </c>
    </row>
    <row r="165" spans="1:25" ht="15.75" customHeight="1">
      <c r="A165" s="14" t="s">
        <v>340</v>
      </c>
      <c r="B165" s="15" t="s">
        <v>341</v>
      </c>
      <c r="C165" s="16">
        <v>1350</v>
      </c>
      <c r="D165" s="16">
        <v>1350</v>
      </c>
      <c r="E165" s="17">
        <v>0</v>
      </c>
      <c r="F165" s="18">
        <v>0</v>
      </c>
      <c r="G165" s="18">
        <v>0</v>
      </c>
      <c r="H165" s="18">
        <v>0</v>
      </c>
      <c r="I165" s="17">
        <v>0</v>
      </c>
      <c r="J165" s="17">
        <f t="shared" si="0"/>
        <v>0</v>
      </c>
      <c r="K165" s="17">
        <v>0</v>
      </c>
      <c r="L165" s="17">
        <v>0</v>
      </c>
      <c r="M165" s="17">
        <v>0</v>
      </c>
      <c r="N165" s="17">
        <f t="shared" si="1"/>
        <v>0</v>
      </c>
      <c r="O165" s="17">
        <f t="shared" si="2"/>
        <v>0</v>
      </c>
      <c r="P165" s="3"/>
      <c r="Q165" s="19">
        <f t="shared" si="3"/>
        <v>0</v>
      </c>
      <c r="R165" s="19">
        <v>0</v>
      </c>
      <c r="S165" s="19">
        <f t="shared" si="4"/>
        <v>0</v>
      </c>
      <c r="T165" s="19">
        <f t="shared" si="5"/>
        <v>0</v>
      </c>
      <c r="U165" s="19">
        <f t="shared" si="6"/>
        <v>0</v>
      </c>
      <c r="V165" s="19">
        <f t="shared" si="7"/>
        <v>0</v>
      </c>
      <c r="W165" s="19">
        <f t="shared" si="8"/>
        <v>0</v>
      </c>
      <c r="X165" s="20">
        <f t="shared" si="9"/>
        <v>0</v>
      </c>
      <c r="Y165" s="20">
        <f t="shared" si="10"/>
        <v>0</v>
      </c>
    </row>
    <row r="166" spans="1:25" ht="15.75" customHeight="1">
      <c r="A166" s="14" t="s">
        <v>342</v>
      </c>
      <c r="B166" s="15" t="s">
        <v>343</v>
      </c>
      <c r="C166" s="16">
        <v>1083.3399999999999</v>
      </c>
      <c r="D166" s="16">
        <v>1083.3399999999999</v>
      </c>
      <c r="E166" s="17">
        <v>0</v>
      </c>
      <c r="F166" s="18">
        <v>0</v>
      </c>
      <c r="G166" s="18">
        <v>0</v>
      </c>
      <c r="H166" s="18">
        <v>0</v>
      </c>
      <c r="I166" s="17">
        <v>0</v>
      </c>
      <c r="J166" s="17">
        <f t="shared" si="0"/>
        <v>0</v>
      </c>
      <c r="K166" s="17">
        <v>0</v>
      </c>
      <c r="L166" s="17">
        <v>0</v>
      </c>
      <c r="M166" s="17">
        <v>0</v>
      </c>
      <c r="N166" s="17">
        <f t="shared" si="1"/>
        <v>0</v>
      </c>
      <c r="O166" s="17">
        <f t="shared" si="2"/>
        <v>0</v>
      </c>
      <c r="P166" s="3"/>
      <c r="Q166" s="19">
        <f t="shared" si="3"/>
        <v>0</v>
      </c>
      <c r="R166" s="19">
        <v>0</v>
      </c>
      <c r="S166" s="19">
        <f t="shared" si="4"/>
        <v>0</v>
      </c>
      <c r="T166" s="19">
        <f t="shared" si="5"/>
        <v>0</v>
      </c>
      <c r="U166" s="19">
        <f t="shared" si="6"/>
        <v>0</v>
      </c>
      <c r="V166" s="19">
        <f t="shared" si="7"/>
        <v>0</v>
      </c>
      <c r="W166" s="19">
        <f t="shared" si="8"/>
        <v>0</v>
      </c>
      <c r="X166" s="20">
        <f t="shared" si="9"/>
        <v>0</v>
      </c>
      <c r="Y166" s="20">
        <f t="shared" si="10"/>
        <v>0</v>
      </c>
    </row>
    <row r="167" spans="1:25" ht="15.75" customHeight="1">
      <c r="A167" s="14" t="s">
        <v>344</v>
      </c>
      <c r="B167" s="15" t="s">
        <v>345</v>
      </c>
      <c r="C167" s="16">
        <v>400</v>
      </c>
      <c r="D167" s="16">
        <v>400</v>
      </c>
      <c r="E167" s="17">
        <v>4</v>
      </c>
      <c r="F167" s="18">
        <v>0</v>
      </c>
      <c r="G167" s="18">
        <v>0</v>
      </c>
      <c r="H167" s="18">
        <v>0</v>
      </c>
      <c r="I167" s="17">
        <v>0</v>
      </c>
      <c r="J167" s="17">
        <f t="shared" si="0"/>
        <v>4</v>
      </c>
      <c r="K167" s="17">
        <v>4</v>
      </c>
      <c r="L167" s="17">
        <v>0</v>
      </c>
      <c r="M167" s="17">
        <v>0</v>
      </c>
      <c r="N167" s="17">
        <f t="shared" si="1"/>
        <v>4</v>
      </c>
      <c r="O167" s="17">
        <f t="shared" si="2"/>
        <v>0</v>
      </c>
      <c r="P167" s="3"/>
      <c r="Q167" s="19">
        <f t="shared" si="3"/>
        <v>1600</v>
      </c>
      <c r="R167" s="19">
        <v>0</v>
      </c>
      <c r="S167" s="19">
        <f t="shared" si="4"/>
        <v>0</v>
      </c>
      <c r="T167" s="19">
        <f t="shared" si="5"/>
        <v>0</v>
      </c>
      <c r="U167" s="19">
        <f t="shared" si="6"/>
        <v>0</v>
      </c>
      <c r="V167" s="19">
        <f t="shared" si="7"/>
        <v>0</v>
      </c>
      <c r="W167" s="19">
        <f t="shared" si="8"/>
        <v>1600</v>
      </c>
      <c r="X167" s="20">
        <f t="shared" si="9"/>
        <v>1600</v>
      </c>
      <c r="Y167" s="20">
        <f t="shared" si="10"/>
        <v>0</v>
      </c>
    </row>
    <row r="168" spans="1:25" ht="15.75" customHeight="1">
      <c r="A168" s="14" t="s">
        <v>346</v>
      </c>
      <c r="B168" s="15" t="s">
        <v>347</v>
      </c>
      <c r="C168" s="16">
        <v>697.5</v>
      </c>
      <c r="D168" s="16">
        <v>697.5</v>
      </c>
      <c r="E168" s="17">
        <v>2</v>
      </c>
      <c r="F168" s="18">
        <v>0</v>
      </c>
      <c r="G168" s="18">
        <v>0</v>
      </c>
      <c r="H168" s="18">
        <v>0</v>
      </c>
      <c r="I168" s="17">
        <v>0</v>
      </c>
      <c r="J168" s="17">
        <f t="shared" si="0"/>
        <v>2</v>
      </c>
      <c r="K168" s="17">
        <v>2</v>
      </c>
      <c r="L168" s="17">
        <v>0</v>
      </c>
      <c r="M168" s="17">
        <v>0</v>
      </c>
      <c r="N168" s="17">
        <f t="shared" si="1"/>
        <v>2</v>
      </c>
      <c r="O168" s="17">
        <f t="shared" si="2"/>
        <v>0</v>
      </c>
      <c r="P168" s="3"/>
      <c r="Q168" s="19">
        <f t="shared" si="3"/>
        <v>1395</v>
      </c>
      <c r="R168" s="19">
        <v>0</v>
      </c>
      <c r="S168" s="19">
        <f t="shared" si="4"/>
        <v>0</v>
      </c>
      <c r="T168" s="19">
        <f t="shared" si="5"/>
        <v>0</v>
      </c>
      <c r="U168" s="19">
        <f t="shared" si="6"/>
        <v>0</v>
      </c>
      <c r="V168" s="19">
        <f t="shared" si="7"/>
        <v>0</v>
      </c>
      <c r="W168" s="19">
        <f t="shared" si="8"/>
        <v>1395</v>
      </c>
      <c r="X168" s="20">
        <f t="shared" si="9"/>
        <v>1395</v>
      </c>
      <c r="Y168" s="20">
        <f t="shared" si="10"/>
        <v>0</v>
      </c>
    </row>
    <row r="169" spans="1:25" ht="15.75" customHeight="1">
      <c r="A169" s="14" t="s">
        <v>348</v>
      </c>
      <c r="B169" s="15" t="s">
        <v>349</v>
      </c>
      <c r="C169" s="16">
        <v>0</v>
      </c>
      <c r="D169" s="16">
        <v>0</v>
      </c>
      <c r="E169" s="17">
        <v>0</v>
      </c>
      <c r="F169" s="18">
        <v>0</v>
      </c>
      <c r="G169" s="18">
        <v>0</v>
      </c>
      <c r="H169" s="18">
        <v>0</v>
      </c>
      <c r="I169" s="17">
        <v>0</v>
      </c>
      <c r="J169" s="17">
        <f t="shared" si="0"/>
        <v>0</v>
      </c>
      <c r="K169" s="17">
        <v>0</v>
      </c>
      <c r="L169" s="17">
        <v>0</v>
      </c>
      <c r="M169" s="17">
        <v>0</v>
      </c>
      <c r="N169" s="17">
        <f t="shared" si="1"/>
        <v>0</v>
      </c>
      <c r="O169" s="17">
        <f t="shared" si="2"/>
        <v>0</v>
      </c>
      <c r="P169" s="3"/>
      <c r="Q169" s="19">
        <f t="shared" si="3"/>
        <v>0</v>
      </c>
      <c r="R169" s="19">
        <v>0</v>
      </c>
      <c r="S169" s="19">
        <f t="shared" si="4"/>
        <v>0</v>
      </c>
      <c r="T169" s="19">
        <f t="shared" si="5"/>
        <v>0</v>
      </c>
      <c r="U169" s="19">
        <f t="shared" si="6"/>
        <v>0</v>
      </c>
      <c r="V169" s="19">
        <f t="shared" si="7"/>
        <v>0</v>
      </c>
      <c r="W169" s="19">
        <f t="shared" si="8"/>
        <v>0</v>
      </c>
      <c r="X169" s="20">
        <f t="shared" si="9"/>
        <v>0</v>
      </c>
      <c r="Y169" s="20">
        <f t="shared" si="10"/>
        <v>0</v>
      </c>
    </row>
    <row r="170" spans="1:25" ht="15.75" customHeight="1">
      <c r="A170" s="14" t="s">
        <v>350</v>
      </c>
      <c r="B170" s="15" t="s">
        <v>351</v>
      </c>
      <c r="C170" s="16">
        <v>380</v>
      </c>
      <c r="D170" s="16">
        <v>380</v>
      </c>
      <c r="E170" s="17">
        <v>1</v>
      </c>
      <c r="F170" s="18">
        <v>0</v>
      </c>
      <c r="G170" s="18">
        <v>0</v>
      </c>
      <c r="H170" s="18">
        <v>0</v>
      </c>
      <c r="I170" s="17">
        <v>0</v>
      </c>
      <c r="J170" s="17">
        <f t="shared" si="0"/>
        <v>1</v>
      </c>
      <c r="K170" s="17">
        <v>1</v>
      </c>
      <c r="L170" s="17">
        <v>0</v>
      </c>
      <c r="M170" s="17">
        <v>0</v>
      </c>
      <c r="N170" s="17">
        <f t="shared" si="1"/>
        <v>1</v>
      </c>
      <c r="O170" s="17">
        <f t="shared" si="2"/>
        <v>0</v>
      </c>
      <c r="P170" s="3"/>
      <c r="Q170" s="19">
        <f t="shared" si="3"/>
        <v>380</v>
      </c>
      <c r="R170" s="19">
        <v>0</v>
      </c>
      <c r="S170" s="19">
        <f t="shared" si="4"/>
        <v>0</v>
      </c>
      <c r="T170" s="19">
        <f t="shared" si="5"/>
        <v>0</v>
      </c>
      <c r="U170" s="19">
        <f t="shared" si="6"/>
        <v>0</v>
      </c>
      <c r="V170" s="19">
        <f t="shared" si="7"/>
        <v>0</v>
      </c>
      <c r="W170" s="19">
        <f t="shared" si="8"/>
        <v>380</v>
      </c>
      <c r="X170" s="20">
        <f t="shared" si="9"/>
        <v>380</v>
      </c>
      <c r="Y170" s="20">
        <f t="shared" si="10"/>
        <v>0</v>
      </c>
    </row>
    <row r="171" spans="1:25" ht="15.75" customHeight="1">
      <c r="A171" s="14" t="s">
        <v>352</v>
      </c>
      <c r="B171" s="15" t="s">
        <v>353</v>
      </c>
      <c r="C171" s="16">
        <v>670</v>
      </c>
      <c r="D171" s="16">
        <v>670</v>
      </c>
      <c r="E171" s="17">
        <v>1</v>
      </c>
      <c r="F171" s="18">
        <v>0</v>
      </c>
      <c r="G171" s="18">
        <v>0</v>
      </c>
      <c r="H171" s="18">
        <v>0</v>
      </c>
      <c r="I171" s="17">
        <v>0</v>
      </c>
      <c r="J171" s="17">
        <f t="shared" si="0"/>
        <v>1</v>
      </c>
      <c r="K171" s="17">
        <v>1</v>
      </c>
      <c r="L171" s="17">
        <v>0</v>
      </c>
      <c r="M171" s="17">
        <v>0</v>
      </c>
      <c r="N171" s="17">
        <f t="shared" si="1"/>
        <v>1</v>
      </c>
      <c r="O171" s="17">
        <f t="shared" si="2"/>
        <v>0</v>
      </c>
      <c r="P171" s="3"/>
      <c r="Q171" s="19">
        <f t="shared" si="3"/>
        <v>670</v>
      </c>
      <c r="R171" s="19">
        <v>0</v>
      </c>
      <c r="S171" s="19">
        <f t="shared" si="4"/>
        <v>0</v>
      </c>
      <c r="T171" s="19">
        <f t="shared" si="5"/>
        <v>0</v>
      </c>
      <c r="U171" s="19">
        <f t="shared" si="6"/>
        <v>0</v>
      </c>
      <c r="V171" s="19">
        <f t="shared" si="7"/>
        <v>0</v>
      </c>
      <c r="W171" s="19">
        <f t="shared" si="8"/>
        <v>670</v>
      </c>
      <c r="X171" s="20">
        <f t="shared" si="9"/>
        <v>670</v>
      </c>
      <c r="Y171" s="20">
        <f t="shared" si="10"/>
        <v>0</v>
      </c>
    </row>
    <row r="172" spans="1:25" ht="15.75" customHeight="1">
      <c r="A172" s="14" t="s">
        <v>354</v>
      </c>
      <c r="B172" s="15" t="s">
        <v>355</v>
      </c>
      <c r="C172" s="16">
        <v>990</v>
      </c>
      <c r="D172" s="16">
        <v>990</v>
      </c>
      <c r="E172" s="17">
        <v>0</v>
      </c>
      <c r="F172" s="18">
        <v>0</v>
      </c>
      <c r="G172" s="18">
        <v>0</v>
      </c>
      <c r="H172" s="18">
        <v>0</v>
      </c>
      <c r="I172" s="17">
        <v>0</v>
      </c>
      <c r="J172" s="17">
        <f t="shared" si="0"/>
        <v>0</v>
      </c>
      <c r="K172" s="17">
        <v>0</v>
      </c>
      <c r="L172" s="17">
        <v>0</v>
      </c>
      <c r="M172" s="17">
        <v>0</v>
      </c>
      <c r="N172" s="17">
        <f t="shared" si="1"/>
        <v>0</v>
      </c>
      <c r="O172" s="17">
        <f t="shared" si="2"/>
        <v>0</v>
      </c>
      <c r="P172" s="3"/>
      <c r="Q172" s="19">
        <f t="shared" si="3"/>
        <v>0</v>
      </c>
      <c r="R172" s="19">
        <v>0</v>
      </c>
      <c r="S172" s="19">
        <f t="shared" si="4"/>
        <v>0</v>
      </c>
      <c r="T172" s="19">
        <f t="shared" si="5"/>
        <v>0</v>
      </c>
      <c r="U172" s="19">
        <f t="shared" si="6"/>
        <v>0</v>
      </c>
      <c r="V172" s="19">
        <f t="shared" si="7"/>
        <v>0</v>
      </c>
      <c r="W172" s="19">
        <f t="shared" si="8"/>
        <v>0</v>
      </c>
      <c r="X172" s="20">
        <f t="shared" si="9"/>
        <v>0</v>
      </c>
      <c r="Y172" s="20">
        <f t="shared" si="10"/>
        <v>0</v>
      </c>
    </row>
    <row r="173" spans="1:25" ht="15.75" customHeight="1">
      <c r="A173" s="14" t="s">
        <v>356</v>
      </c>
      <c r="B173" s="15" t="s">
        <v>357</v>
      </c>
      <c r="C173" s="16">
        <v>400</v>
      </c>
      <c r="D173" s="16">
        <v>400</v>
      </c>
      <c r="E173" s="17">
        <v>0</v>
      </c>
      <c r="F173" s="18">
        <v>0</v>
      </c>
      <c r="G173" s="18">
        <v>0</v>
      </c>
      <c r="H173" s="18">
        <v>0</v>
      </c>
      <c r="I173" s="17">
        <v>0</v>
      </c>
      <c r="J173" s="17">
        <f t="shared" si="0"/>
        <v>0</v>
      </c>
      <c r="K173" s="17">
        <v>0</v>
      </c>
      <c r="L173" s="17">
        <v>0</v>
      </c>
      <c r="M173" s="17">
        <v>0</v>
      </c>
      <c r="N173" s="17">
        <f t="shared" si="1"/>
        <v>0</v>
      </c>
      <c r="O173" s="17">
        <f t="shared" si="2"/>
        <v>0</v>
      </c>
      <c r="P173" s="3"/>
      <c r="Q173" s="19">
        <f t="shared" si="3"/>
        <v>0</v>
      </c>
      <c r="R173" s="19">
        <v>0</v>
      </c>
      <c r="S173" s="19">
        <f t="shared" si="4"/>
        <v>0</v>
      </c>
      <c r="T173" s="19">
        <f t="shared" si="5"/>
        <v>0</v>
      </c>
      <c r="U173" s="19">
        <f t="shared" si="6"/>
        <v>0</v>
      </c>
      <c r="V173" s="19">
        <f t="shared" si="7"/>
        <v>0</v>
      </c>
      <c r="W173" s="19">
        <f t="shared" si="8"/>
        <v>0</v>
      </c>
      <c r="X173" s="20">
        <f t="shared" si="9"/>
        <v>0</v>
      </c>
      <c r="Y173" s="20">
        <f t="shared" si="10"/>
        <v>0</v>
      </c>
    </row>
    <row r="174" spans="1:25" ht="15.75" customHeight="1">
      <c r="A174" s="14" t="s">
        <v>358</v>
      </c>
      <c r="B174" s="15" t="s">
        <v>359</v>
      </c>
      <c r="C174" s="16">
        <v>0</v>
      </c>
      <c r="D174" s="16">
        <v>0</v>
      </c>
      <c r="E174" s="17">
        <v>0</v>
      </c>
      <c r="F174" s="18">
        <v>0</v>
      </c>
      <c r="G174" s="18">
        <v>0</v>
      </c>
      <c r="H174" s="18">
        <v>0</v>
      </c>
      <c r="I174" s="17">
        <v>0</v>
      </c>
      <c r="J174" s="17">
        <f t="shared" si="0"/>
        <v>0</v>
      </c>
      <c r="K174" s="17">
        <v>0</v>
      </c>
      <c r="L174" s="17">
        <v>0</v>
      </c>
      <c r="M174" s="17">
        <v>0</v>
      </c>
      <c r="N174" s="17">
        <f t="shared" si="1"/>
        <v>0</v>
      </c>
      <c r="O174" s="17">
        <f t="shared" si="2"/>
        <v>0</v>
      </c>
      <c r="P174" s="3"/>
      <c r="Q174" s="19">
        <f t="shared" si="3"/>
        <v>0</v>
      </c>
      <c r="R174" s="19">
        <v>0</v>
      </c>
      <c r="S174" s="19">
        <f t="shared" si="4"/>
        <v>0</v>
      </c>
      <c r="T174" s="19">
        <f t="shared" si="5"/>
        <v>0</v>
      </c>
      <c r="U174" s="19">
        <f t="shared" si="6"/>
        <v>0</v>
      </c>
      <c r="V174" s="19">
        <f t="shared" si="7"/>
        <v>0</v>
      </c>
      <c r="W174" s="19">
        <f t="shared" si="8"/>
        <v>0</v>
      </c>
      <c r="X174" s="20">
        <f t="shared" si="9"/>
        <v>0</v>
      </c>
      <c r="Y174" s="20">
        <f t="shared" si="10"/>
        <v>0</v>
      </c>
    </row>
    <row r="175" spans="1:25" ht="15.75" customHeight="1">
      <c r="A175" s="14" t="s">
        <v>360</v>
      </c>
      <c r="B175" s="15" t="s">
        <v>361</v>
      </c>
      <c r="C175" s="16">
        <v>10.35</v>
      </c>
      <c r="D175" s="16">
        <v>10.35</v>
      </c>
      <c r="E175" s="17">
        <v>1</v>
      </c>
      <c r="F175" s="18">
        <v>0</v>
      </c>
      <c r="G175" s="18">
        <v>0</v>
      </c>
      <c r="H175" s="18">
        <v>0</v>
      </c>
      <c r="I175" s="17">
        <v>0</v>
      </c>
      <c r="J175" s="17">
        <f t="shared" si="0"/>
        <v>1</v>
      </c>
      <c r="K175" s="17">
        <v>1</v>
      </c>
      <c r="L175" s="17">
        <v>0</v>
      </c>
      <c r="M175" s="17">
        <v>0</v>
      </c>
      <c r="N175" s="17">
        <f t="shared" si="1"/>
        <v>1</v>
      </c>
      <c r="O175" s="17">
        <f t="shared" si="2"/>
        <v>0</v>
      </c>
      <c r="P175" s="3"/>
      <c r="Q175" s="19">
        <f t="shared" si="3"/>
        <v>10.35</v>
      </c>
      <c r="R175" s="19">
        <v>0</v>
      </c>
      <c r="S175" s="19">
        <f t="shared" si="4"/>
        <v>0</v>
      </c>
      <c r="T175" s="19">
        <f t="shared" si="5"/>
        <v>0</v>
      </c>
      <c r="U175" s="19">
        <f t="shared" si="6"/>
        <v>0</v>
      </c>
      <c r="V175" s="19">
        <f t="shared" si="7"/>
        <v>0</v>
      </c>
      <c r="W175" s="19">
        <f t="shared" si="8"/>
        <v>10.35</v>
      </c>
      <c r="X175" s="20">
        <f t="shared" si="9"/>
        <v>10.35</v>
      </c>
      <c r="Y175" s="20">
        <f t="shared" si="10"/>
        <v>0</v>
      </c>
    </row>
    <row r="176" spans="1:25" ht="15.75" customHeight="1">
      <c r="A176" s="14" t="s">
        <v>362</v>
      </c>
      <c r="B176" s="15" t="s">
        <v>363</v>
      </c>
      <c r="C176" s="16">
        <v>34</v>
      </c>
      <c r="D176" s="16">
        <v>34</v>
      </c>
      <c r="E176" s="17">
        <v>0</v>
      </c>
      <c r="F176" s="18">
        <v>0</v>
      </c>
      <c r="G176" s="18">
        <v>0</v>
      </c>
      <c r="H176" s="18">
        <v>0</v>
      </c>
      <c r="I176" s="17">
        <v>0</v>
      </c>
      <c r="J176" s="17">
        <f t="shared" si="0"/>
        <v>0</v>
      </c>
      <c r="K176" s="17">
        <v>0</v>
      </c>
      <c r="L176" s="17">
        <v>0</v>
      </c>
      <c r="M176" s="17">
        <v>0</v>
      </c>
      <c r="N176" s="17">
        <f t="shared" si="1"/>
        <v>0</v>
      </c>
      <c r="O176" s="17">
        <f t="shared" si="2"/>
        <v>0</v>
      </c>
      <c r="P176" s="3"/>
      <c r="Q176" s="19">
        <f t="shared" si="3"/>
        <v>0</v>
      </c>
      <c r="R176" s="19">
        <v>0</v>
      </c>
      <c r="S176" s="19">
        <f t="shared" si="4"/>
        <v>0</v>
      </c>
      <c r="T176" s="19">
        <f t="shared" si="5"/>
        <v>0</v>
      </c>
      <c r="U176" s="19">
        <f t="shared" si="6"/>
        <v>0</v>
      </c>
      <c r="V176" s="19">
        <f t="shared" si="7"/>
        <v>0</v>
      </c>
      <c r="W176" s="19">
        <f t="shared" si="8"/>
        <v>0</v>
      </c>
      <c r="X176" s="20">
        <f t="shared" si="9"/>
        <v>0</v>
      </c>
      <c r="Y176" s="20">
        <f t="shared" si="10"/>
        <v>0</v>
      </c>
    </row>
    <row r="177" spans="1:25" ht="15.75" customHeight="1">
      <c r="A177" s="14" t="s">
        <v>364</v>
      </c>
      <c r="B177" s="15" t="s">
        <v>365</v>
      </c>
      <c r="C177" s="16">
        <v>12.11</v>
      </c>
      <c r="D177" s="16">
        <v>12.11</v>
      </c>
      <c r="E177" s="17">
        <v>0</v>
      </c>
      <c r="F177" s="18">
        <v>0</v>
      </c>
      <c r="G177" s="18">
        <v>0</v>
      </c>
      <c r="H177" s="18">
        <v>0</v>
      </c>
      <c r="I177" s="17">
        <v>0</v>
      </c>
      <c r="J177" s="17">
        <f t="shared" si="0"/>
        <v>0</v>
      </c>
      <c r="K177" s="17">
        <v>0</v>
      </c>
      <c r="L177" s="17">
        <v>0</v>
      </c>
      <c r="M177" s="17">
        <v>0</v>
      </c>
      <c r="N177" s="17">
        <f t="shared" si="1"/>
        <v>0</v>
      </c>
      <c r="O177" s="17">
        <f t="shared" si="2"/>
        <v>0</v>
      </c>
      <c r="P177" s="3"/>
      <c r="Q177" s="19">
        <f t="shared" si="3"/>
        <v>0</v>
      </c>
      <c r="R177" s="19">
        <v>0</v>
      </c>
      <c r="S177" s="19">
        <f t="shared" si="4"/>
        <v>0</v>
      </c>
      <c r="T177" s="19">
        <f t="shared" si="5"/>
        <v>0</v>
      </c>
      <c r="U177" s="19">
        <f t="shared" si="6"/>
        <v>0</v>
      </c>
      <c r="V177" s="19">
        <f t="shared" si="7"/>
        <v>0</v>
      </c>
      <c r="W177" s="19">
        <f t="shared" si="8"/>
        <v>0</v>
      </c>
      <c r="X177" s="20">
        <f t="shared" si="9"/>
        <v>0</v>
      </c>
      <c r="Y177" s="20">
        <f t="shared" si="10"/>
        <v>0</v>
      </c>
    </row>
    <row r="178" spans="1:25" ht="15.75" customHeight="1">
      <c r="A178" s="14" t="s">
        <v>366</v>
      </c>
      <c r="B178" s="15" t="s">
        <v>367</v>
      </c>
      <c r="C178" s="16">
        <v>75</v>
      </c>
      <c r="D178" s="16">
        <v>75</v>
      </c>
      <c r="E178" s="17">
        <v>10</v>
      </c>
      <c r="F178" s="18">
        <v>0</v>
      </c>
      <c r="G178" s="18">
        <v>0</v>
      </c>
      <c r="H178" s="18">
        <v>0</v>
      </c>
      <c r="I178" s="17">
        <v>0</v>
      </c>
      <c r="J178" s="17">
        <f t="shared" si="0"/>
        <v>10</v>
      </c>
      <c r="K178" s="17">
        <v>0</v>
      </c>
      <c r="L178" s="17">
        <v>0</v>
      </c>
      <c r="M178" s="17">
        <v>10</v>
      </c>
      <c r="N178" s="17">
        <f t="shared" si="1"/>
        <v>10</v>
      </c>
      <c r="O178" s="17">
        <f t="shared" si="2"/>
        <v>0</v>
      </c>
      <c r="P178" s="3"/>
      <c r="Q178" s="19">
        <f t="shared" si="3"/>
        <v>750</v>
      </c>
      <c r="R178" s="19">
        <v>0</v>
      </c>
      <c r="S178" s="19">
        <f t="shared" si="4"/>
        <v>0</v>
      </c>
      <c r="T178" s="19">
        <f t="shared" si="5"/>
        <v>0</v>
      </c>
      <c r="U178" s="19">
        <f t="shared" si="6"/>
        <v>0</v>
      </c>
      <c r="V178" s="19">
        <f t="shared" si="7"/>
        <v>0</v>
      </c>
      <c r="W178" s="19">
        <f t="shared" si="8"/>
        <v>750</v>
      </c>
      <c r="X178" s="20">
        <f t="shared" si="9"/>
        <v>750</v>
      </c>
      <c r="Y178" s="20">
        <f t="shared" si="10"/>
        <v>0</v>
      </c>
    </row>
    <row r="179" spans="1:25" ht="15.75" customHeight="1">
      <c r="A179" s="14" t="s">
        <v>368</v>
      </c>
      <c r="B179" s="15" t="s">
        <v>369</v>
      </c>
      <c r="C179" s="16">
        <v>110</v>
      </c>
      <c r="D179" s="16">
        <v>110</v>
      </c>
      <c r="E179" s="17">
        <v>10</v>
      </c>
      <c r="F179" s="18">
        <v>0</v>
      </c>
      <c r="G179" s="18">
        <v>0</v>
      </c>
      <c r="H179" s="18">
        <v>0</v>
      </c>
      <c r="I179" s="17">
        <v>0</v>
      </c>
      <c r="J179" s="17">
        <f t="shared" si="0"/>
        <v>10</v>
      </c>
      <c r="K179" s="17">
        <v>0</v>
      </c>
      <c r="L179" s="17">
        <v>0</v>
      </c>
      <c r="M179" s="17">
        <v>10</v>
      </c>
      <c r="N179" s="17">
        <f t="shared" si="1"/>
        <v>10</v>
      </c>
      <c r="O179" s="17">
        <f t="shared" si="2"/>
        <v>0</v>
      </c>
      <c r="P179" s="3"/>
      <c r="Q179" s="19">
        <f t="shared" si="3"/>
        <v>1100</v>
      </c>
      <c r="R179" s="19">
        <v>0</v>
      </c>
      <c r="S179" s="19">
        <f t="shared" si="4"/>
        <v>0</v>
      </c>
      <c r="T179" s="19">
        <f t="shared" si="5"/>
        <v>0</v>
      </c>
      <c r="U179" s="19">
        <f t="shared" si="6"/>
        <v>0</v>
      </c>
      <c r="V179" s="19">
        <f t="shared" si="7"/>
        <v>0</v>
      </c>
      <c r="W179" s="19">
        <f t="shared" si="8"/>
        <v>1100</v>
      </c>
      <c r="X179" s="20">
        <f t="shared" si="9"/>
        <v>1100</v>
      </c>
      <c r="Y179" s="20">
        <f t="shared" si="10"/>
        <v>0</v>
      </c>
    </row>
    <row r="180" spans="1:25" ht="15.75" customHeight="1">
      <c r="A180" s="14" t="s">
        <v>370</v>
      </c>
      <c r="B180" s="15" t="s">
        <v>371</v>
      </c>
      <c r="C180" s="16">
        <v>110</v>
      </c>
      <c r="D180" s="16">
        <v>110</v>
      </c>
      <c r="E180" s="17">
        <v>10</v>
      </c>
      <c r="F180" s="18">
        <v>0</v>
      </c>
      <c r="G180" s="18">
        <v>0</v>
      </c>
      <c r="H180" s="18">
        <v>0</v>
      </c>
      <c r="I180" s="17">
        <v>0</v>
      </c>
      <c r="J180" s="17">
        <f t="shared" si="0"/>
        <v>10</v>
      </c>
      <c r="K180" s="17">
        <v>0</v>
      </c>
      <c r="L180" s="17">
        <v>0</v>
      </c>
      <c r="M180" s="17">
        <v>10</v>
      </c>
      <c r="N180" s="17">
        <f t="shared" si="1"/>
        <v>10</v>
      </c>
      <c r="O180" s="17">
        <f t="shared" si="2"/>
        <v>0</v>
      </c>
      <c r="P180" s="3"/>
      <c r="Q180" s="19">
        <f t="shared" si="3"/>
        <v>1100</v>
      </c>
      <c r="R180" s="19">
        <v>0</v>
      </c>
      <c r="S180" s="19">
        <f t="shared" si="4"/>
        <v>0</v>
      </c>
      <c r="T180" s="19">
        <f t="shared" si="5"/>
        <v>0</v>
      </c>
      <c r="U180" s="19">
        <f t="shared" si="6"/>
        <v>0</v>
      </c>
      <c r="V180" s="19">
        <f t="shared" si="7"/>
        <v>0</v>
      </c>
      <c r="W180" s="19">
        <f t="shared" si="8"/>
        <v>1100</v>
      </c>
      <c r="X180" s="20">
        <f t="shared" si="9"/>
        <v>1100</v>
      </c>
      <c r="Y180" s="20">
        <f t="shared" si="10"/>
        <v>0</v>
      </c>
    </row>
    <row r="181" spans="1:25" ht="15.75" customHeight="1">
      <c r="A181" s="14" t="s">
        <v>372</v>
      </c>
      <c r="B181" s="15" t="s">
        <v>373</v>
      </c>
      <c r="C181" s="16">
        <v>272.31</v>
      </c>
      <c r="D181" s="16">
        <v>272.31</v>
      </c>
      <c r="E181" s="17">
        <v>0</v>
      </c>
      <c r="F181" s="18">
        <v>0</v>
      </c>
      <c r="G181" s="18">
        <v>0</v>
      </c>
      <c r="H181" s="18">
        <v>0</v>
      </c>
      <c r="I181" s="17">
        <v>0</v>
      </c>
      <c r="J181" s="17">
        <f t="shared" si="0"/>
        <v>0</v>
      </c>
      <c r="K181" s="17">
        <v>0</v>
      </c>
      <c r="L181" s="17">
        <v>0</v>
      </c>
      <c r="M181" s="17">
        <v>0</v>
      </c>
      <c r="N181" s="17">
        <f t="shared" si="1"/>
        <v>0</v>
      </c>
      <c r="O181" s="17">
        <f t="shared" si="2"/>
        <v>0</v>
      </c>
      <c r="P181" s="3"/>
      <c r="Q181" s="19">
        <f t="shared" si="3"/>
        <v>0</v>
      </c>
      <c r="R181" s="19">
        <v>0</v>
      </c>
      <c r="S181" s="19">
        <f t="shared" si="4"/>
        <v>0</v>
      </c>
      <c r="T181" s="19">
        <f t="shared" si="5"/>
        <v>0</v>
      </c>
      <c r="U181" s="19">
        <f t="shared" si="6"/>
        <v>0</v>
      </c>
      <c r="V181" s="19">
        <f t="shared" si="7"/>
        <v>0</v>
      </c>
      <c r="W181" s="19">
        <f t="shared" si="8"/>
        <v>0</v>
      </c>
      <c r="X181" s="20">
        <f t="shared" si="9"/>
        <v>0</v>
      </c>
      <c r="Y181" s="20">
        <f t="shared" si="10"/>
        <v>0</v>
      </c>
    </row>
    <row r="182" spans="1:25" ht="15.75" customHeight="1">
      <c r="A182" s="14" t="s">
        <v>374</v>
      </c>
      <c r="B182" s="15" t="s">
        <v>375</v>
      </c>
      <c r="C182" s="16">
        <v>0</v>
      </c>
      <c r="D182" s="16">
        <v>0</v>
      </c>
      <c r="E182" s="17">
        <v>0</v>
      </c>
      <c r="F182" s="18">
        <v>0</v>
      </c>
      <c r="G182" s="18">
        <v>0</v>
      </c>
      <c r="H182" s="18">
        <v>0</v>
      </c>
      <c r="I182" s="17">
        <v>0</v>
      </c>
      <c r="J182" s="17">
        <f t="shared" si="0"/>
        <v>0</v>
      </c>
      <c r="K182" s="17">
        <v>0</v>
      </c>
      <c r="L182" s="17">
        <v>0</v>
      </c>
      <c r="M182" s="17">
        <v>0</v>
      </c>
      <c r="N182" s="17">
        <f t="shared" si="1"/>
        <v>0</v>
      </c>
      <c r="O182" s="17">
        <f t="shared" si="2"/>
        <v>0</v>
      </c>
      <c r="P182" s="3"/>
      <c r="Q182" s="19">
        <f t="shared" si="3"/>
        <v>0</v>
      </c>
      <c r="R182" s="19">
        <v>0</v>
      </c>
      <c r="S182" s="19">
        <f t="shared" si="4"/>
        <v>0</v>
      </c>
      <c r="T182" s="19">
        <f t="shared" si="5"/>
        <v>0</v>
      </c>
      <c r="U182" s="19">
        <f t="shared" si="6"/>
        <v>0</v>
      </c>
      <c r="V182" s="19">
        <f t="shared" si="7"/>
        <v>0</v>
      </c>
      <c r="W182" s="19">
        <f t="shared" si="8"/>
        <v>0</v>
      </c>
      <c r="X182" s="20">
        <f t="shared" si="9"/>
        <v>0</v>
      </c>
      <c r="Y182" s="20">
        <f t="shared" si="10"/>
        <v>0</v>
      </c>
    </row>
    <row r="183" spans="1:25" ht="15.75" customHeight="1">
      <c r="A183" s="14" t="s">
        <v>376</v>
      </c>
      <c r="B183" s="15" t="s">
        <v>377</v>
      </c>
      <c r="C183" s="16">
        <v>4500</v>
      </c>
      <c r="D183" s="16">
        <v>4500</v>
      </c>
      <c r="E183" s="17">
        <v>1</v>
      </c>
      <c r="F183" s="18">
        <v>0</v>
      </c>
      <c r="G183" s="18">
        <v>0</v>
      </c>
      <c r="H183" s="18">
        <v>0</v>
      </c>
      <c r="I183" s="17">
        <v>0</v>
      </c>
      <c r="J183" s="17">
        <f t="shared" si="0"/>
        <v>1</v>
      </c>
      <c r="K183" s="17">
        <v>1</v>
      </c>
      <c r="L183" s="17">
        <v>0</v>
      </c>
      <c r="M183" s="17">
        <v>0</v>
      </c>
      <c r="N183" s="17">
        <f t="shared" si="1"/>
        <v>1</v>
      </c>
      <c r="O183" s="17">
        <f t="shared" si="2"/>
        <v>0</v>
      </c>
      <c r="P183" s="3"/>
      <c r="Q183" s="19">
        <f t="shared" si="3"/>
        <v>4500</v>
      </c>
      <c r="R183" s="19">
        <v>0</v>
      </c>
      <c r="S183" s="19">
        <f t="shared" si="4"/>
        <v>0</v>
      </c>
      <c r="T183" s="19">
        <f t="shared" si="5"/>
        <v>0</v>
      </c>
      <c r="U183" s="19">
        <f t="shared" si="6"/>
        <v>0</v>
      </c>
      <c r="V183" s="19">
        <f t="shared" si="7"/>
        <v>0</v>
      </c>
      <c r="W183" s="19">
        <f t="shared" si="8"/>
        <v>4500</v>
      </c>
      <c r="X183" s="20">
        <f t="shared" si="9"/>
        <v>4500</v>
      </c>
      <c r="Y183" s="20">
        <f t="shared" si="10"/>
        <v>0</v>
      </c>
    </row>
    <row r="184" spans="1:25" ht="15.75" customHeight="1">
      <c r="A184" s="14" t="s">
        <v>378</v>
      </c>
      <c r="B184" s="15" t="s">
        <v>379</v>
      </c>
      <c r="C184" s="16">
        <v>1860</v>
      </c>
      <c r="D184" s="16">
        <v>1860</v>
      </c>
      <c r="E184" s="17">
        <v>0</v>
      </c>
      <c r="F184" s="18">
        <v>0</v>
      </c>
      <c r="G184" s="18">
        <v>0</v>
      </c>
      <c r="H184" s="24">
        <v>0</v>
      </c>
      <c r="I184" s="17">
        <v>0</v>
      </c>
      <c r="J184" s="17">
        <f t="shared" si="0"/>
        <v>0</v>
      </c>
      <c r="K184" s="17">
        <v>0</v>
      </c>
      <c r="L184" s="17">
        <v>0</v>
      </c>
      <c r="M184" s="17">
        <v>0</v>
      </c>
      <c r="N184" s="17">
        <f t="shared" si="1"/>
        <v>0</v>
      </c>
      <c r="O184" s="17">
        <f t="shared" si="2"/>
        <v>0</v>
      </c>
      <c r="P184" s="3"/>
      <c r="Q184" s="19">
        <f t="shared" si="3"/>
        <v>0</v>
      </c>
      <c r="R184" s="19">
        <v>0</v>
      </c>
      <c r="S184" s="19">
        <f t="shared" si="4"/>
        <v>0</v>
      </c>
      <c r="T184" s="19">
        <f t="shared" si="5"/>
        <v>0</v>
      </c>
      <c r="U184" s="19">
        <f t="shared" si="6"/>
        <v>0</v>
      </c>
      <c r="V184" s="19">
        <f t="shared" si="7"/>
        <v>0</v>
      </c>
      <c r="W184" s="19">
        <f t="shared" si="8"/>
        <v>0</v>
      </c>
      <c r="X184" s="20">
        <f t="shared" si="9"/>
        <v>0</v>
      </c>
      <c r="Y184" s="20">
        <f t="shared" si="10"/>
        <v>0</v>
      </c>
    </row>
    <row r="185" spans="1:25" ht="15.75" customHeight="1">
      <c r="A185" s="14" t="s">
        <v>380</v>
      </c>
      <c r="B185" s="15" t="s">
        <v>381</v>
      </c>
      <c r="C185" s="16">
        <v>1780</v>
      </c>
      <c r="D185" s="16">
        <v>1780</v>
      </c>
      <c r="E185" s="17">
        <v>1</v>
      </c>
      <c r="F185" s="18">
        <v>0</v>
      </c>
      <c r="G185" s="18">
        <v>0</v>
      </c>
      <c r="H185" s="18">
        <v>0</v>
      </c>
      <c r="I185" s="17">
        <v>0</v>
      </c>
      <c r="J185" s="17">
        <f t="shared" si="0"/>
        <v>1</v>
      </c>
      <c r="K185" s="17">
        <v>1</v>
      </c>
      <c r="L185" s="17">
        <v>0</v>
      </c>
      <c r="M185" s="17">
        <v>0</v>
      </c>
      <c r="N185" s="17">
        <f t="shared" si="1"/>
        <v>1</v>
      </c>
      <c r="O185" s="17">
        <f t="shared" si="2"/>
        <v>0</v>
      </c>
      <c r="P185" s="3"/>
      <c r="Q185" s="19">
        <f t="shared" si="3"/>
        <v>1780</v>
      </c>
      <c r="R185" s="19">
        <v>0</v>
      </c>
      <c r="S185" s="19">
        <f t="shared" si="4"/>
        <v>0</v>
      </c>
      <c r="T185" s="19">
        <f t="shared" si="5"/>
        <v>0</v>
      </c>
      <c r="U185" s="19">
        <f t="shared" si="6"/>
        <v>0</v>
      </c>
      <c r="V185" s="19">
        <f t="shared" si="7"/>
        <v>0</v>
      </c>
      <c r="W185" s="19">
        <f t="shared" si="8"/>
        <v>1780</v>
      </c>
      <c r="X185" s="20">
        <f t="shared" si="9"/>
        <v>1780</v>
      </c>
      <c r="Y185" s="20">
        <f t="shared" si="10"/>
        <v>0</v>
      </c>
    </row>
    <row r="186" spans="1:25" ht="15.75" customHeight="1">
      <c r="A186" s="14" t="s">
        <v>382</v>
      </c>
      <c r="B186" s="15" t="s">
        <v>383</v>
      </c>
      <c r="C186" s="16">
        <v>530</v>
      </c>
      <c r="D186" s="16">
        <v>530</v>
      </c>
      <c r="E186" s="17">
        <v>4</v>
      </c>
      <c r="F186" s="18">
        <v>0</v>
      </c>
      <c r="G186" s="18">
        <v>0</v>
      </c>
      <c r="H186" s="18">
        <v>0</v>
      </c>
      <c r="I186" s="17">
        <v>0</v>
      </c>
      <c r="J186" s="17">
        <f t="shared" si="0"/>
        <v>4</v>
      </c>
      <c r="K186" s="17">
        <v>4</v>
      </c>
      <c r="L186" s="17">
        <v>0</v>
      </c>
      <c r="M186" s="17">
        <v>0</v>
      </c>
      <c r="N186" s="17">
        <f t="shared" si="1"/>
        <v>4</v>
      </c>
      <c r="O186" s="17">
        <f t="shared" si="2"/>
        <v>0</v>
      </c>
      <c r="P186" s="3"/>
      <c r="Q186" s="19">
        <f t="shared" si="3"/>
        <v>2120</v>
      </c>
      <c r="R186" s="19">
        <v>0</v>
      </c>
      <c r="S186" s="19">
        <f t="shared" si="4"/>
        <v>0</v>
      </c>
      <c r="T186" s="19">
        <f t="shared" si="5"/>
        <v>0</v>
      </c>
      <c r="U186" s="19">
        <f t="shared" si="6"/>
        <v>0</v>
      </c>
      <c r="V186" s="19">
        <f t="shared" si="7"/>
        <v>0</v>
      </c>
      <c r="W186" s="19">
        <f t="shared" si="8"/>
        <v>2120</v>
      </c>
      <c r="X186" s="20">
        <f t="shared" si="9"/>
        <v>2120</v>
      </c>
      <c r="Y186" s="20">
        <f t="shared" si="10"/>
        <v>0</v>
      </c>
    </row>
    <row r="187" spans="1:25" ht="15.75" customHeight="1">
      <c r="A187" s="14" t="s">
        <v>384</v>
      </c>
      <c r="B187" s="15" t="s">
        <v>385</v>
      </c>
      <c r="C187" s="16">
        <v>250</v>
      </c>
      <c r="D187" s="16">
        <v>250</v>
      </c>
      <c r="E187" s="17">
        <v>2</v>
      </c>
      <c r="F187" s="18">
        <v>0</v>
      </c>
      <c r="G187" s="18">
        <v>0</v>
      </c>
      <c r="H187" s="18">
        <v>0</v>
      </c>
      <c r="I187" s="17">
        <v>0</v>
      </c>
      <c r="J187" s="17">
        <f t="shared" si="0"/>
        <v>2</v>
      </c>
      <c r="K187" s="17">
        <v>2</v>
      </c>
      <c r="L187" s="17">
        <v>0</v>
      </c>
      <c r="M187" s="17">
        <v>0</v>
      </c>
      <c r="N187" s="17">
        <f t="shared" si="1"/>
        <v>2</v>
      </c>
      <c r="O187" s="17">
        <f t="shared" si="2"/>
        <v>0</v>
      </c>
      <c r="P187" s="3"/>
      <c r="Q187" s="19">
        <f t="shared" si="3"/>
        <v>500</v>
      </c>
      <c r="R187" s="19">
        <v>0</v>
      </c>
      <c r="S187" s="19">
        <f t="shared" si="4"/>
        <v>0</v>
      </c>
      <c r="T187" s="19">
        <f t="shared" si="5"/>
        <v>0</v>
      </c>
      <c r="U187" s="19">
        <f t="shared" si="6"/>
        <v>0</v>
      </c>
      <c r="V187" s="19">
        <f t="shared" si="7"/>
        <v>0</v>
      </c>
      <c r="W187" s="19">
        <f t="shared" si="8"/>
        <v>500</v>
      </c>
      <c r="X187" s="20">
        <f t="shared" si="9"/>
        <v>500</v>
      </c>
      <c r="Y187" s="20">
        <f t="shared" si="10"/>
        <v>0</v>
      </c>
    </row>
    <row r="188" spans="1:25" ht="15.75" customHeight="1">
      <c r="A188" s="14" t="s">
        <v>386</v>
      </c>
      <c r="B188" s="15" t="s">
        <v>387</v>
      </c>
      <c r="C188" s="16">
        <v>517.89</v>
      </c>
      <c r="D188" s="16">
        <v>517.89</v>
      </c>
      <c r="E188" s="17">
        <v>50</v>
      </c>
      <c r="F188" s="18">
        <v>0</v>
      </c>
      <c r="G188" s="18">
        <v>0</v>
      </c>
      <c r="H188" s="18">
        <v>0</v>
      </c>
      <c r="I188" s="17">
        <v>0</v>
      </c>
      <c r="J188" s="17">
        <f t="shared" si="0"/>
        <v>50</v>
      </c>
      <c r="K188" s="17">
        <v>50</v>
      </c>
      <c r="L188" s="17">
        <v>0</v>
      </c>
      <c r="M188" s="17">
        <v>0</v>
      </c>
      <c r="N188" s="17">
        <f t="shared" si="1"/>
        <v>50</v>
      </c>
      <c r="O188" s="17">
        <f t="shared" si="2"/>
        <v>0</v>
      </c>
      <c r="P188" s="3"/>
      <c r="Q188" s="19">
        <f t="shared" si="3"/>
        <v>25894.5</v>
      </c>
      <c r="R188" s="19">
        <v>0</v>
      </c>
      <c r="S188" s="19">
        <f t="shared" si="4"/>
        <v>0</v>
      </c>
      <c r="T188" s="19">
        <f t="shared" si="5"/>
        <v>0</v>
      </c>
      <c r="U188" s="19">
        <f t="shared" si="6"/>
        <v>0</v>
      </c>
      <c r="V188" s="19">
        <f t="shared" si="7"/>
        <v>0</v>
      </c>
      <c r="W188" s="19">
        <f t="shared" si="8"/>
        <v>25894.5</v>
      </c>
      <c r="X188" s="20">
        <f t="shared" si="9"/>
        <v>25894.5</v>
      </c>
      <c r="Y188" s="20">
        <f t="shared" si="10"/>
        <v>0</v>
      </c>
    </row>
    <row r="189" spans="1:25" ht="15.75" customHeight="1">
      <c r="A189" s="14" t="s">
        <v>388</v>
      </c>
      <c r="B189" s="15" t="s">
        <v>389</v>
      </c>
      <c r="C189" s="16">
        <v>70</v>
      </c>
      <c r="D189" s="16">
        <v>70</v>
      </c>
      <c r="E189" s="17">
        <v>4</v>
      </c>
      <c r="F189" s="18">
        <v>0</v>
      </c>
      <c r="G189" s="18">
        <v>0</v>
      </c>
      <c r="H189" s="18">
        <v>0</v>
      </c>
      <c r="I189" s="17">
        <v>0</v>
      </c>
      <c r="J189" s="17">
        <f t="shared" si="0"/>
        <v>4</v>
      </c>
      <c r="K189" s="17">
        <v>4</v>
      </c>
      <c r="L189" s="17">
        <v>0</v>
      </c>
      <c r="M189" s="17">
        <v>0</v>
      </c>
      <c r="N189" s="17">
        <f t="shared" si="1"/>
        <v>4</v>
      </c>
      <c r="O189" s="17">
        <f t="shared" si="2"/>
        <v>0</v>
      </c>
      <c r="P189" s="3"/>
      <c r="Q189" s="19">
        <f t="shared" si="3"/>
        <v>280</v>
      </c>
      <c r="R189" s="19">
        <v>0</v>
      </c>
      <c r="S189" s="19">
        <f t="shared" si="4"/>
        <v>0</v>
      </c>
      <c r="T189" s="19">
        <f t="shared" si="5"/>
        <v>0</v>
      </c>
      <c r="U189" s="19">
        <f t="shared" si="6"/>
        <v>0</v>
      </c>
      <c r="V189" s="19">
        <f t="shared" si="7"/>
        <v>0</v>
      </c>
      <c r="W189" s="19">
        <f t="shared" si="8"/>
        <v>280</v>
      </c>
      <c r="X189" s="20">
        <f t="shared" si="9"/>
        <v>280</v>
      </c>
      <c r="Y189" s="20">
        <f t="shared" si="10"/>
        <v>0</v>
      </c>
    </row>
    <row r="190" spans="1:25" ht="15.75" customHeight="1">
      <c r="A190" s="14" t="s">
        <v>390</v>
      </c>
      <c r="B190" s="15" t="s">
        <v>391</v>
      </c>
      <c r="C190" s="16">
        <v>0</v>
      </c>
      <c r="D190" s="16">
        <v>0</v>
      </c>
      <c r="E190" s="17">
        <v>0</v>
      </c>
      <c r="F190" s="18">
        <v>0</v>
      </c>
      <c r="G190" s="18">
        <v>0</v>
      </c>
      <c r="H190" s="18">
        <v>0</v>
      </c>
      <c r="I190" s="17">
        <v>0</v>
      </c>
      <c r="J190" s="17">
        <f t="shared" si="0"/>
        <v>0</v>
      </c>
      <c r="K190" s="17">
        <v>0</v>
      </c>
      <c r="L190" s="17">
        <v>0</v>
      </c>
      <c r="M190" s="17">
        <v>0</v>
      </c>
      <c r="N190" s="17">
        <f t="shared" si="1"/>
        <v>0</v>
      </c>
      <c r="O190" s="17">
        <f t="shared" si="2"/>
        <v>0</v>
      </c>
      <c r="P190" s="3"/>
      <c r="Q190" s="19">
        <f t="shared" si="3"/>
        <v>0</v>
      </c>
      <c r="R190" s="19">
        <v>0</v>
      </c>
      <c r="S190" s="19">
        <f t="shared" si="4"/>
        <v>0</v>
      </c>
      <c r="T190" s="19">
        <f t="shared" si="5"/>
        <v>0</v>
      </c>
      <c r="U190" s="19">
        <f t="shared" si="6"/>
        <v>0</v>
      </c>
      <c r="V190" s="19">
        <f t="shared" si="7"/>
        <v>0</v>
      </c>
      <c r="W190" s="19">
        <f t="shared" si="8"/>
        <v>0</v>
      </c>
      <c r="X190" s="20">
        <f t="shared" si="9"/>
        <v>0</v>
      </c>
      <c r="Y190" s="20">
        <f t="shared" si="10"/>
        <v>0</v>
      </c>
    </row>
    <row r="191" spans="1:25" ht="15.75" customHeight="1">
      <c r="A191" s="14" t="s">
        <v>392</v>
      </c>
      <c r="B191" s="15" t="s">
        <v>393</v>
      </c>
      <c r="C191" s="16">
        <v>690</v>
      </c>
      <c r="D191" s="16">
        <v>690</v>
      </c>
      <c r="E191" s="17">
        <v>1</v>
      </c>
      <c r="F191" s="18">
        <v>0</v>
      </c>
      <c r="G191" s="18">
        <v>0</v>
      </c>
      <c r="H191" s="18">
        <v>0</v>
      </c>
      <c r="I191" s="17">
        <v>0</v>
      </c>
      <c r="J191" s="17">
        <f t="shared" si="0"/>
        <v>1</v>
      </c>
      <c r="K191" s="17">
        <v>1</v>
      </c>
      <c r="L191" s="17">
        <v>0</v>
      </c>
      <c r="M191" s="17">
        <v>0</v>
      </c>
      <c r="N191" s="17">
        <f t="shared" si="1"/>
        <v>1</v>
      </c>
      <c r="O191" s="17">
        <f t="shared" si="2"/>
        <v>0</v>
      </c>
      <c r="P191" s="3"/>
      <c r="Q191" s="19">
        <f t="shared" si="3"/>
        <v>690</v>
      </c>
      <c r="R191" s="19">
        <v>0</v>
      </c>
      <c r="S191" s="19">
        <f t="shared" si="4"/>
        <v>0</v>
      </c>
      <c r="T191" s="19">
        <f t="shared" si="5"/>
        <v>0</v>
      </c>
      <c r="U191" s="19">
        <f t="shared" si="6"/>
        <v>0</v>
      </c>
      <c r="V191" s="19">
        <f t="shared" si="7"/>
        <v>0</v>
      </c>
      <c r="W191" s="19">
        <f t="shared" si="8"/>
        <v>690</v>
      </c>
      <c r="X191" s="20">
        <f t="shared" si="9"/>
        <v>690</v>
      </c>
      <c r="Y191" s="20">
        <f t="shared" si="10"/>
        <v>0</v>
      </c>
    </row>
    <row r="192" spans="1:25" ht="15.75" customHeight="1">
      <c r="A192" s="14" t="s">
        <v>394</v>
      </c>
      <c r="B192" s="15" t="s">
        <v>395</v>
      </c>
      <c r="C192" s="16">
        <v>0</v>
      </c>
      <c r="D192" s="16">
        <v>0</v>
      </c>
      <c r="E192" s="17">
        <v>0</v>
      </c>
      <c r="F192" s="18">
        <v>0</v>
      </c>
      <c r="G192" s="18">
        <v>0</v>
      </c>
      <c r="H192" s="18">
        <v>0</v>
      </c>
      <c r="I192" s="17">
        <v>0</v>
      </c>
      <c r="J192" s="17">
        <f t="shared" si="0"/>
        <v>0</v>
      </c>
      <c r="K192" s="17">
        <v>0</v>
      </c>
      <c r="L192" s="17">
        <v>0</v>
      </c>
      <c r="M192" s="17">
        <v>0</v>
      </c>
      <c r="N192" s="17">
        <f t="shared" si="1"/>
        <v>0</v>
      </c>
      <c r="O192" s="17">
        <f t="shared" si="2"/>
        <v>0</v>
      </c>
      <c r="P192" s="3"/>
      <c r="Q192" s="19">
        <f t="shared" si="3"/>
        <v>0</v>
      </c>
      <c r="R192" s="19">
        <v>0</v>
      </c>
      <c r="S192" s="19">
        <f t="shared" si="4"/>
        <v>0</v>
      </c>
      <c r="T192" s="19">
        <f t="shared" si="5"/>
        <v>0</v>
      </c>
      <c r="U192" s="19">
        <f t="shared" si="6"/>
        <v>0</v>
      </c>
      <c r="V192" s="19">
        <f t="shared" si="7"/>
        <v>0</v>
      </c>
      <c r="W192" s="19">
        <f t="shared" si="8"/>
        <v>0</v>
      </c>
      <c r="X192" s="20">
        <f t="shared" si="9"/>
        <v>0</v>
      </c>
      <c r="Y192" s="20">
        <f t="shared" si="10"/>
        <v>0</v>
      </c>
    </row>
    <row r="193" spans="1:25" ht="15.75" customHeight="1">
      <c r="A193" s="14" t="s">
        <v>396</v>
      </c>
      <c r="B193" s="15" t="s">
        <v>397</v>
      </c>
      <c r="C193" s="16">
        <v>60</v>
      </c>
      <c r="D193" s="16">
        <v>60</v>
      </c>
      <c r="E193" s="17">
        <v>9</v>
      </c>
      <c r="F193" s="18">
        <v>0</v>
      </c>
      <c r="G193" s="18">
        <v>0</v>
      </c>
      <c r="H193" s="18">
        <v>0</v>
      </c>
      <c r="I193" s="17">
        <v>0</v>
      </c>
      <c r="J193" s="17">
        <f t="shared" si="0"/>
        <v>9</v>
      </c>
      <c r="K193" s="17">
        <v>9</v>
      </c>
      <c r="L193" s="17">
        <v>0</v>
      </c>
      <c r="M193" s="17">
        <v>0</v>
      </c>
      <c r="N193" s="17">
        <f t="shared" si="1"/>
        <v>9</v>
      </c>
      <c r="O193" s="17">
        <f t="shared" si="2"/>
        <v>0</v>
      </c>
      <c r="P193" s="3"/>
      <c r="Q193" s="19">
        <f t="shared" si="3"/>
        <v>540</v>
      </c>
      <c r="R193" s="19">
        <v>0</v>
      </c>
      <c r="S193" s="19">
        <f t="shared" si="4"/>
        <v>0</v>
      </c>
      <c r="T193" s="19">
        <f t="shared" si="5"/>
        <v>0</v>
      </c>
      <c r="U193" s="19">
        <f t="shared" si="6"/>
        <v>0</v>
      </c>
      <c r="V193" s="19">
        <f t="shared" si="7"/>
        <v>0</v>
      </c>
      <c r="W193" s="19">
        <f t="shared" si="8"/>
        <v>540</v>
      </c>
      <c r="X193" s="20">
        <f t="shared" si="9"/>
        <v>540</v>
      </c>
      <c r="Y193" s="20">
        <f t="shared" si="10"/>
        <v>0</v>
      </c>
    </row>
    <row r="194" spans="1:25" ht="15.75" customHeight="1">
      <c r="A194" s="14" t="s">
        <v>398</v>
      </c>
      <c r="B194" s="15" t="s">
        <v>399</v>
      </c>
      <c r="C194" s="16">
        <v>620</v>
      </c>
      <c r="D194" s="16">
        <v>620</v>
      </c>
      <c r="E194" s="17">
        <v>0</v>
      </c>
      <c r="F194" s="18">
        <v>0</v>
      </c>
      <c r="G194" s="18">
        <v>0</v>
      </c>
      <c r="H194" s="18">
        <v>0</v>
      </c>
      <c r="I194" s="17">
        <v>0</v>
      </c>
      <c r="J194" s="17">
        <f t="shared" si="0"/>
        <v>0</v>
      </c>
      <c r="K194" s="17">
        <v>0</v>
      </c>
      <c r="L194" s="17">
        <v>0</v>
      </c>
      <c r="M194" s="17">
        <v>0</v>
      </c>
      <c r="N194" s="17">
        <f t="shared" si="1"/>
        <v>0</v>
      </c>
      <c r="O194" s="17">
        <f t="shared" si="2"/>
        <v>0</v>
      </c>
      <c r="P194" s="3"/>
      <c r="Q194" s="19">
        <f t="shared" si="3"/>
        <v>0</v>
      </c>
      <c r="R194" s="19">
        <v>0</v>
      </c>
      <c r="S194" s="19">
        <f t="shared" si="4"/>
        <v>0</v>
      </c>
      <c r="T194" s="19">
        <f t="shared" si="5"/>
        <v>0</v>
      </c>
      <c r="U194" s="19">
        <f t="shared" si="6"/>
        <v>0</v>
      </c>
      <c r="V194" s="19">
        <f t="shared" si="7"/>
        <v>0</v>
      </c>
      <c r="W194" s="19">
        <f t="shared" si="8"/>
        <v>0</v>
      </c>
      <c r="X194" s="20">
        <f t="shared" si="9"/>
        <v>0</v>
      </c>
      <c r="Y194" s="20">
        <f t="shared" si="10"/>
        <v>0</v>
      </c>
    </row>
    <row r="195" spans="1:25" ht="15.75" customHeight="1">
      <c r="A195" s="14" t="s">
        <v>400</v>
      </c>
      <c r="B195" s="15" t="s">
        <v>401</v>
      </c>
      <c r="C195" s="16">
        <v>390</v>
      </c>
      <c r="D195" s="16">
        <v>390</v>
      </c>
      <c r="E195" s="17">
        <v>3</v>
      </c>
      <c r="F195" s="18">
        <v>0</v>
      </c>
      <c r="G195" s="18">
        <v>0</v>
      </c>
      <c r="H195" s="18">
        <v>0</v>
      </c>
      <c r="I195" s="17">
        <v>0</v>
      </c>
      <c r="J195" s="17">
        <f t="shared" si="0"/>
        <v>3</v>
      </c>
      <c r="K195" s="17">
        <v>3</v>
      </c>
      <c r="L195" s="17">
        <v>0</v>
      </c>
      <c r="M195" s="17">
        <v>0</v>
      </c>
      <c r="N195" s="17">
        <f t="shared" si="1"/>
        <v>3</v>
      </c>
      <c r="O195" s="17">
        <f t="shared" si="2"/>
        <v>0</v>
      </c>
      <c r="P195" s="3"/>
      <c r="Q195" s="19">
        <f t="shared" si="3"/>
        <v>1170</v>
      </c>
      <c r="R195" s="19">
        <v>0</v>
      </c>
      <c r="S195" s="19">
        <f t="shared" si="4"/>
        <v>0</v>
      </c>
      <c r="T195" s="19">
        <f t="shared" si="5"/>
        <v>0</v>
      </c>
      <c r="U195" s="19">
        <f t="shared" si="6"/>
        <v>0</v>
      </c>
      <c r="V195" s="19">
        <f t="shared" si="7"/>
        <v>0</v>
      </c>
      <c r="W195" s="19">
        <f t="shared" si="8"/>
        <v>1170</v>
      </c>
      <c r="X195" s="20">
        <f t="shared" si="9"/>
        <v>1170</v>
      </c>
      <c r="Y195" s="20">
        <f t="shared" si="10"/>
        <v>0</v>
      </c>
    </row>
    <row r="196" spans="1:25" ht="15.75" customHeight="1">
      <c r="A196" s="14" t="s">
        <v>402</v>
      </c>
      <c r="B196" s="15" t="s">
        <v>403</v>
      </c>
      <c r="C196" s="16">
        <v>320</v>
      </c>
      <c r="D196" s="16">
        <v>320</v>
      </c>
      <c r="E196" s="17">
        <v>0</v>
      </c>
      <c r="F196" s="18">
        <v>0</v>
      </c>
      <c r="G196" s="18">
        <v>0</v>
      </c>
      <c r="H196" s="18">
        <v>0</v>
      </c>
      <c r="I196" s="17">
        <v>0</v>
      </c>
      <c r="J196" s="17">
        <f t="shared" si="0"/>
        <v>0</v>
      </c>
      <c r="K196" s="17">
        <v>0</v>
      </c>
      <c r="L196" s="17">
        <v>0</v>
      </c>
      <c r="M196" s="17">
        <v>0</v>
      </c>
      <c r="N196" s="17">
        <f t="shared" si="1"/>
        <v>0</v>
      </c>
      <c r="O196" s="17">
        <f t="shared" si="2"/>
        <v>0</v>
      </c>
      <c r="P196" s="3"/>
      <c r="Q196" s="19">
        <f t="shared" si="3"/>
        <v>0</v>
      </c>
      <c r="R196" s="19">
        <v>0</v>
      </c>
      <c r="S196" s="19">
        <f t="shared" si="4"/>
        <v>0</v>
      </c>
      <c r="T196" s="19">
        <f t="shared" si="5"/>
        <v>0</v>
      </c>
      <c r="U196" s="19">
        <f t="shared" si="6"/>
        <v>0</v>
      </c>
      <c r="V196" s="19">
        <f t="shared" si="7"/>
        <v>0</v>
      </c>
      <c r="W196" s="19">
        <f t="shared" si="8"/>
        <v>0</v>
      </c>
      <c r="X196" s="20">
        <f t="shared" si="9"/>
        <v>0</v>
      </c>
      <c r="Y196" s="20">
        <f t="shared" si="10"/>
        <v>0</v>
      </c>
    </row>
    <row r="197" spans="1:25" ht="15.75" customHeight="1">
      <c r="A197" s="14" t="s">
        <v>404</v>
      </c>
      <c r="B197" s="15" t="s">
        <v>405</v>
      </c>
      <c r="C197" s="16">
        <v>80</v>
      </c>
      <c r="D197" s="16">
        <v>80</v>
      </c>
      <c r="E197" s="17">
        <v>1</v>
      </c>
      <c r="F197" s="18">
        <v>0</v>
      </c>
      <c r="G197" s="18">
        <v>0</v>
      </c>
      <c r="H197" s="18">
        <v>0</v>
      </c>
      <c r="I197" s="17">
        <v>0</v>
      </c>
      <c r="J197" s="17">
        <f t="shared" si="0"/>
        <v>1</v>
      </c>
      <c r="K197" s="17">
        <v>1</v>
      </c>
      <c r="L197" s="17">
        <v>0</v>
      </c>
      <c r="M197" s="17">
        <v>0</v>
      </c>
      <c r="N197" s="17">
        <f t="shared" si="1"/>
        <v>1</v>
      </c>
      <c r="O197" s="17">
        <f t="shared" si="2"/>
        <v>0</v>
      </c>
      <c r="P197" s="3"/>
      <c r="Q197" s="19">
        <f t="shared" si="3"/>
        <v>80</v>
      </c>
      <c r="R197" s="19">
        <v>0</v>
      </c>
      <c r="S197" s="19">
        <f t="shared" si="4"/>
        <v>0</v>
      </c>
      <c r="T197" s="19">
        <f t="shared" si="5"/>
        <v>0</v>
      </c>
      <c r="U197" s="19">
        <f t="shared" si="6"/>
        <v>0</v>
      </c>
      <c r="V197" s="19">
        <f t="shared" si="7"/>
        <v>0</v>
      </c>
      <c r="W197" s="19">
        <f t="shared" si="8"/>
        <v>80</v>
      </c>
      <c r="X197" s="20">
        <f t="shared" si="9"/>
        <v>80</v>
      </c>
      <c r="Y197" s="20">
        <f t="shared" si="10"/>
        <v>0</v>
      </c>
    </row>
    <row r="198" spans="1:25" ht="15.75" customHeight="1">
      <c r="A198" s="14" t="s">
        <v>406</v>
      </c>
      <c r="B198" s="15" t="s">
        <v>407</v>
      </c>
      <c r="C198" s="16">
        <v>251.92</v>
      </c>
      <c r="D198" s="16">
        <v>251.92</v>
      </c>
      <c r="E198" s="17">
        <v>2</v>
      </c>
      <c r="F198" s="18">
        <v>0</v>
      </c>
      <c r="G198" s="18">
        <v>0</v>
      </c>
      <c r="H198" s="18">
        <v>0</v>
      </c>
      <c r="I198" s="17">
        <v>0</v>
      </c>
      <c r="J198" s="17">
        <f t="shared" si="0"/>
        <v>2</v>
      </c>
      <c r="K198" s="17">
        <v>2</v>
      </c>
      <c r="L198" s="17">
        <v>0</v>
      </c>
      <c r="M198" s="17">
        <v>0</v>
      </c>
      <c r="N198" s="17">
        <f t="shared" si="1"/>
        <v>2</v>
      </c>
      <c r="O198" s="17">
        <f t="shared" si="2"/>
        <v>0</v>
      </c>
      <c r="P198" s="3"/>
      <c r="Q198" s="19">
        <f t="shared" si="3"/>
        <v>503.84</v>
      </c>
      <c r="R198" s="19">
        <v>0</v>
      </c>
      <c r="S198" s="19">
        <f t="shared" si="4"/>
        <v>0</v>
      </c>
      <c r="T198" s="19">
        <f t="shared" si="5"/>
        <v>0</v>
      </c>
      <c r="U198" s="19">
        <f t="shared" si="6"/>
        <v>0</v>
      </c>
      <c r="V198" s="19">
        <f t="shared" si="7"/>
        <v>0</v>
      </c>
      <c r="W198" s="19">
        <f t="shared" si="8"/>
        <v>503.84</v>
      </c>
      <c r="X198" s="20">
        <f t="shared" si="9"/>
        <v>503.84</v>
      </c>
      <c r="Y198" s="20">
        <f t="shared" si="10"/>
        <v>0</v>
      </c>
    </row>
    <row r="199" spans="1:25" ht="15.75" customHeight="1">
      <c r="A199" s="14" t="s">
        <v>408</v>
      </c>
      <c r="B199" s="15" t="s">
        <v>409</v>
      </c>
      <c r="C199" s="16">
        <v>3400</v>
      </c>
      <c r="D199" s="16">
        <v>3400</v>
      </c>
      <c r="E199" s="17">
        <v>1</v>
      </c>
      <c r="F199" s="18">
        <v>0</v>
      </c>
      <c r="G199" s="18">
        <v>0</v>
      </c>
      <c r="H199" s="18">
        <v>0</v>
      </c>
      <c r="I199" s="17">
        <v>0</v>
      </c>
      <c r="J199" s="17">
        <f t="shared" si="0"/>
        <v>1</v>
      </c>
      <c r="K199" s="17">
        <v>1</v>
      </c>
      <c r="L199" s="17">
        <v>0</v>
      </c>
      <c r="M199" s="17">
        <v>0</v>
      </c>
      <c r="N199" s="17">
        <f t="shared" si="1"/>
        <v>1</v>
      </c>
      <c r="O199" s="17">
        <f t="shared" si="2"/>
        <v>0</v>
      </c>
      <c r="P199" s="3"/>
      <c r="Q199" s="19">
        <f t="shared" si="3"/>
        <v>3400</v>
      </c>
      <c r="R199" s="19">
        <v>0</v>
      </c>
      <c r="S199" s="19">
        <f t="shared" si="4"/>
        <v>0</v>
      </c>
      <c r="T199" s="19">
        <f t="shared" si="5"/>
        <v>0</v>
      </c>
      <c r="U199" s="19">
        <f t="shared" si="6"/>
        <v>0</v>
      </c>
      <c r="V199" s="19">
        <f t="shared" si="7"/>
        <v>0</v>
      </c>
      <c r="W199" s="19">
        <f t="shared" si="8"/>
        <v>3400</v>
      </c>
      <c r="X199" s="20">
        <f t="shared" si="9"/>
        <v>3400</v>
      </c>
      <c r="Y199" s="20">
        <f t="shared" si="10"/>
        <v>0</v>
      </c>
    </row>
    <row r="200" spans="1:25" ht="15.75" customHeight="1">
      <c r="A200" s="14" t="s">
        <v>410</v>
      </c>
      <c r="B200" s="15" t="s">
        <v>411</v>
      </c>
      <c r="C200" s="16">
        <v>6665.36</v>
      </c>
      <c r="D200" s="16">
        <v>6665.36</v>
      </c>
      <c r="E200" s="17">
        <v>0</v>
      </c>
      <c r="F200" s="18">
        <v>0</v>
      </c>
      <c r="G200" s="18">
        <v>0</v>
      </c>
      <c r="H200" s="18">
        <v>0</v>
      </c>
      <c r="I200" s="17">
        <v>0</v>
      </c>
      <c r="J200" s="17">
        <f t="shared" si="0"/>
        <v>0</v>
      </c>
      <c r="K200" s="17">
        <v>0</v>
      </c>
      <c r="L200" s="17">
        <v>0</v>
      </c>
      <c r="M200" s="17">
        <v>0</v>
      </c>
      <c r="N200" s="17">
        <f t="shared" si="1"/>
        <v>0</v>
      </c>
      <c r="O200" s="17">
        <f t="shared" si="2"/>
        <v>0</v>
      </c>
      <c r="P200" s="3"/>
      <c r="Q200" s="19">
        <f t="shared" si="3"/>
        <v>0</v>
      </c>
      <c r="R200" s="19">
        <v>0</v>
      </c>
      <c r="S200" s="19">
        <f t="shared" si="4"/>
        <v>0</v>
      </c>
      <c r="T200" s="19">
        <f t="shared" si="5"/>
        <v>0</v>
      </c>
      <c r="U200" s="19">
        <f t="shared" si="6"/>
        <v>0</v>
      </c>
      <c r="V200" s="19">
        <f t="shared" si="7"/>
        <v>0</v>
      </c>
      <c r="W200" s="19">
        <f t="shared" si="8"/>
        <v>0</v>
      </c>
      <c r="X200" s="20">
        <f t="shared" si="9"/>
        <v>0</v>
      </c>
      <c r="Y200" s="20">
        <f t="shared" si="10"/>
        <v>0</v>
      </c>
    </row>
    <row r="201" spans="1:25" ht="15.75" customHeight="1">
      <c r="A201" s="14" t="s">
        <v>412</v>
      </c>
      <c r="B201" s="15" t="s">
        <v>413</v>
      </c>
      <c r="C201" s="16">
        <v>0</v>
      </c>
      <c r="D201" s="16">
        <v>0</v>
      </c>
      <c r="E201" s="17">
        <v>0</v>
      </c>
      <c r="F201" s="18">
        <v>0</v>
      </c>
      <c r="G201" s="18">
        <v>0</v>
      </c>
      <c r="H201" s="18">
        <v>0</v>
      </c>
      <c r="I201" s="17">
        <v>0</v>
      </c>
      <c r="J201" s="17">
        <f t="shared" si="0"/>
        <v>0</v>
      </c>
      <c r="K201" s="17">
        <v>0</v>
      </c>
      <c r="L201" s="17">
        <v>0</v>
      </c>
      <c r="M201" s="17">
        <v>0</v>
      </c>
      <c r="N201" s="17">
        <f t="shared" si="1"/>
        <v>0</v>
      </c>
      <c r="O201" s="17">
        <f t="shared" si="2"/>
        <v>0</v>
      </c>
      <c r="P201" s="3"/>
      <c r="Q201" s="19">
        <f t="shared" si="3"/>
        <v>0</v>
      </c>
      <c r="R201" s="19">
        <v>0</v>
      </c>
      <c r="S201" s="19">
        <f t="shared" si="4"/>
        <v>0</v>
      </c>
      <c r="T201" s="19">
        <f t="shared" si="5"/>
        <v>0</v>
      </c>
      <c r="U201" s="19">
        <f t="shared" si="6"/>
        <v>0</v>
      </c>
      <c r="V201" s="19">
        <f t="shared" si="7"/>
        <v>0</v>
      </c>
      <c r="W201" s="19">
        <f t="shared" si="8"/>
        <v>0</v>
      </c>
      <c r="X201" s="20">
        <f t="shared" si="9"/>
        <v>0</v>
      </c>
      <c r="Y201" s="20">
        <f t="shared" si="10"/>
        <v>0</v>
      </c>
    </row>
    <row r="202" spans="1:25" ht="15.75" customHeight="1">
      <c r="A202" s="14" t="s">
        <v>414</v>
      </c>
      <c r="B202" s="15" t="s">
        <v>415</v>
      </c>
      <c r="C202" s="16">
        <v>68</v>
      </c>
      <c r="D202" s="16">
        <v>68</v>
      </c>
      <c r="E202" s="17">
        <v>50</v>
      </c>
      <c r="F202" s="18">
        <v>0</v>
      </c>
      <c r="G202" s="18">
        <v>0</v>
      </c>
      <c r="H202" s="18">
        <v>0</v>
      </c>
      <c r="I202" s="17">
        <v>0</v>
      </c>
      <c r="J202" s="17">
        <f t="shared" si="0"/>
        <v>50</v>
      </c>
      <c r="K202" s="17">
        <v>50</v>
      </c>
      <c r="L202" s="17">
        <v>0</v>
      </c>
      <c r="M202" s="17">
        <v>0</v>
      </c>
      <c r="N202" s="17">
        <f t="shared" si="1"/>
        <v>50</v>
      </c>
      <c r="O202" s="17">
        <f t="shared" si="2"/>
        <v>0</v>
      </c>
      <c r="P202" s="3"/>
      <c r="Q202" s="19">
        <f t="shared" si="3"/>
        <v>3400</v>
      </c>
      <c r="R202" s="19">
        <v>0</v>
      </c>
      <c r="S202" s="19">
        <f t="shared" si="4"/>
        <v>0</v>
      </c>
      <c r="T202" s="19">
        <f t="shared" si="5"/>
        <v>0</v>
      </c>
      <c r="U202" s="19">
        <f t="shared" si="6"/>
        <v>0</v>
      </c>
      <c r="V202" s="19">
        <f t="shared" si="7"/>
        <v>0</v>
      </c>
      <c r="W202" s="19">
        <f t="shared" si="8"/>
        <v>3400</v>
      </c>
      <c r="X202" s="20">
        <f t="shared" si="9"/>
        <v>3400</v>
      </c>
      <c r="Y202" s="20">
        <f t="shared" si="10"/>
        <v>0</v>
      </c>
    </row>
    <row r="203" spans="1:25" ht="15.75" customHeight="1">
      <c r="A203" s="14" t="s">
        <v>416</v>
      </c>
      <c r="B203" s="15" t="s">
        <v>417</v>
      </c>
      <c r="C203" s="16">
        <v>60</v>
      </c>
      <c r="D203" s="16">
        <v>60</v>
      </c>
      <c r="E203" s="17">
        <v>25</v>
      </c>
      <c r="F203" s="18">
        <v>0</v>
      </c>
      <c r="G203" s="18">
        <v>0</v>
      </c>
      <c r="H203" s="18">
        <v>0</v>
      </c>
      <c r="I203" s="17">
        <v>0</v>
      </c>
      <c r="J203" s="17">
        <f t="shared" si="0"/>
        <v>25</v>
      </c>
      <c r="K203" s="17">
        <v>25</v>
      </c>
      <c r="L203" s="17">
        <v>0</v>
      </c>
      <c r="M203" s="17">
        <v>0</v>
      </c>
      <c r="N203" s="17">
        <f t="shared" si="1"/>
        <v>25</v>
      </c>
      <c r="O203" s="17">
        <f t="shared" si="2"/>
        <v>0</v>
      </c>
      <c r="P203" s="3"/>
      <c r="Q203" s="19">
        <f t="shared" si="3"/>
        <v>1500</v>
      </c>
      <c r="R203" s="19">
        <v>0</v>
      </c>
      <c r="S203" s="19">
        <f t="shared" si="4"/>
        <v>0</v>
      </c>
      <c r="T203" s="19">
        <f t="shared" si="5"/>
        <v>0</v>
      </c>
      <c r="U203" s="19">
        <f t="shared" si="6"/>
        <v>0</v>
      </c>
      <c r="V203" s="19">
        <f t="shared" si="7"/>
        <v>0</v>
      </c>
      <c r="W203" s="19">
        <f t="shared" si="8"/>
        <v>1500</v>
      </c>
      <c r="X203" s="20">
        <f t="shared" si="9"/>
        <v>1500</v>
      </c>
      <c r="Y203" s="20">
        <f t="shared" si="10"/>
        <v>0</v>
      </c>
    </row>
    <row r="204" spans="1:25" ht="15.75" customHeight="1">
      <c r="A204" s="14" t="s">
        <v>418</v>
      </c>
      <c r="B204" s="15" t="s">
        <v>419</v>
      </c>
      <c r="C204" s="16">
        <v>3900</v>
      </c>
      <c r="D204" s="16">
        <v>3900</v>
      </c>
      <c r="E204" s="17">
        <v>1</v>
      </c>
      <c r="F204" s="18">
        <v>0</v>
      </c>
      <c r="G204" s="18">
        <v>0</v>
      </c>
      <c r="H204" s="18">
        <v>0</v>
      </c>
      <c r="I204" s="17">
        <v>0</v>
      </c>
      <c r="J204" s="17">
        <f t="shared" si="0"/>
        <v>1</v>
      </c>
      <c r="K204" s="17">
        <v>1</v>
      </c>
      <c r="L204" s="17">
        <v>0</v>
      </c>
      <c r="M204" s="17">
        <v>0</v>
      </c>
      <c r="N204" s="17">
        <f t="shared" si="1"/>
        <v>1</v>
      </c>
      <c r="O204" s="17">
        <f t="shared" si="2"/>
        <v>0</v>
      </c>
      <c r="P204" s="3"/>
      <c r="Q204" s="19">
        <f t="shared" si="3"/>
        <v>3900</v>
      </c>
      <c r="R204" s="19">
        <v>0</v>
      </c>
      <c r="S204" s="19">
        <f t="shared" si="4"/>
        <v>0</v>
      </c>
      <c r="T204" s="19">
        <f t="shared" si="5"/>
        <v>0</v>
      </c>
      <c r="U204" s="19">
        <f t="shared" si="6"/>
        <v>0</v>
      </c>
      <c r="V204" s="19">
        <f t="shared" si="7"/>
        <v>0</v>
      </c>
      <c r="W204" s="19">
        <f t="shared" si="8"/>
        <v>3900</v>
      </c>
      <c r="X204" s="20">
        <f t="shared" si="9"/>
        <v>3900</v>
      </c>
      <c r="Y204" s="20">
        <f t="shared" si="10"/>
        <v>0</v>
      </c>
    </row>
    <row r="205" spans="1:25" ht="15.75" customHeight="1">
      <c r="A205" s="14" t="s">
        <v>420</v>
      </c>
      <c r="B205" s="15" t="s">
        <v>421</v>
      </c>
      <c r="C205" s="16">
        <v>0</v>
      </c>
      <c r="D205" s="16">
        <v>0</v>
      </c>
      <c r="E205" s="17">
        <v>0</v>
      </c>
      <c r="F205" s="18">
        <v>0</v>
      </c>
      <c r="G205" s="18">
        <v>0</v>
      </c>
      <c r="H205" s="18">
        <v>0</v>
      </c>
      <c r="I205" s="17">
        <v>0</v>
      </c>
      <c r="J205" s="17">
        <f t="shared" si="0"/>
        <v>0</v>
      </c>
      <c r="K205" s="17">
        <v>0</v>
      </c>
      <c r="L205" s="17">
        <v>0</v>
      </c>
      <c r="M205" s="17">
        <v>0</v>
      </c>
      <c r="N205" s="17">
        <f t="shared" si="1"/>
        <v>0</v>
      </c>
      <c r="O205" s="17">
        <f t="shared" si="2"/>
        <v>0</v>
      </c>
      <c r="P205" s="3"/>
      <c r="Q205" s="19">
        <f t="shared" si="3"/>
        <v>0</v>
      </c>
      <c r="R205" s="19">
        <v>0</v>
      </c>
      <c r="S205" s="19">
        <f t="shared" si="4"/>
        <v>0</v>
      </c>
      <c r="T205" s="19">
        <f t="shared" si="5"/>
        <v>0</v>
      </c>
      <c r="U205" s="19">
        <f t="shared" si="6"/>
        <v>0</v>
      </c>
      <c r="V205" s="19">
        <f t="shared" si="7"/>
        <v>0</v>
      </c>
      <c r="W205" s="19">
        <f t="shared" si="8"/>
        <v>0</v>
      </c>
      <c r="X205" s="20">
        <f t="shared" si="9"/>
        <v>0</v>
      </c>
      <c r="Y205" s="20">
        <f t="shared" si="10"/>
        <v>0</v>
      </c>
    </row>
    <row r="206" spans="1:25" ht="15.75" customHeight="1">
      <c r="A206" s="14" t="s">
        <v>422</v>
      </c>
      <c r="B206" s="15" t="s">
        <v>423</v>
      </c>
      <c r="C206" s="16">
        <v>0</v>
      </c>
      <c r="D206" s="16">
        <v>0</v>
      </c>
      <c r="E206" s="17">
        <v>0</v>
      </c>
      <c r="F206" s="18">
        <v>0</v>
      </c>
      <c r="G206" s="18">
        <v>0</v>
      </c>
      <c r="H206" s="18">
        <v>0</v>
      </c>
      <c r="I206" s="17">
        <v>0</v>
      </c>
      <c r="J206" s="17">
        <f t="shared" si="0"/>
        <v>0</v>
      </c>
      <c r="K206" s="17">
        <v>0</v>
      </c>
      <c r="L206" s="17">
        <v>0</v>
      </c>
      <c r="M206" s="17">
        <v>0</v>
      </c>
      <c r="N206" s="17">
        <f t="shared" si="1"/>
        <v>0</v>
      </c>
      <c r="O206" s="17">
        <f t="shared" si="2"/>
        <v>0</v>
      </c>
      <c r="P206" s="3"/>
      <c r="Q206" s="19">
        <f t="shared" si="3"/>
        <v>0</v>
      </c>
      <c r="R206" s="19">
        <v>0</v>
      </c>
      <c r="S206" s="19">
        <f t="shared" si="4"/>
        <v>0</v>
      </c>
      <c r="T206" s="19">
        <f t="shared" si="5"/>
        <v>0</v>
      </c>
      <c r="U206" s="19">
        <f t="shared" si="6"/>
        <v>0</v>
      </c>
      <c r="V206" s="19">
        <f t="shared" si="7"/>
        <v>0</v>
      </c>
      <c r="W206" s="19">
        <f t="shared" si="8"/>
        <v>0</v>
      </c>
      <c r="X206" s="20">
        <f t="shared" si="9"/>
        <v>0</v>
      </c>
      <c r="Y206" s="20">
        <f t="shared" si="10"/>
        <v>0</v>
      </c>
    </row>
    <row r="207" spans="1:25" ht="15.75" customHeight="1">
      <c r="A207" s="14" t="s">
        <v>424</v>
      </c>
      <c r="B207" s="15" t="s">
        <v>425</v>
      </c>
      <c r="C207" s="16">
        <v>0</v>
      </c>
      <c r="D207" s="16">
        <v>0</v>
      </c>
      <c r="E207" s="17">
        <v>0</v>
      </c>
      <c r="F207" s="18">
        <v>0</v>
      </c>
      <c r="G207" s="18">
        <v>0</v>
      </c>
      <c r="H207" s="18">
        <v>0</v>
      </c>
      <c r="I207" s="17">
        <v>0</v>
      </c>
      <c r="J207" s="17">
        <f t="shared" si="0"/>
        <v>0</v>
      </c>
      <c r="K207" s="17">
        <v>0</v>
      </c>
      <c r="L207" s="17">
        <v>0</v>
      </c>
      <c r="M207" s="17">
        <v>0</v>
      </c>
      <c r="N207" s="17">
        <f t="shared" si="1"/>
        <v>0</v>
      </c>
      <c r="O207" s="17">
        <f t="shared" si="2"/>
        <v>0</v>
      </c>
      <c r="P207" s="3"/>
      <c r="Q207" s="19">
        <f t="shared" si="3"/>
        <v>0</v>
      </c>
      <c r="R207" s="19">
        <v>0</v>
      </c>
      <c r="S207" s="19">
        <f t="shared" si="4"/>
        <v>0</v>
      </c>
      <c r="T207" s="19">
        <f t="shared" si="5"/>
        <v>0</v>
      </c>
      <c r="U207" s="19">
        <f t="shared" si="6"/>
        <v>0</v>
      </c>
      <c r="V207" s="19">
        <f t="shared" si="7"/>
        <v>0</v>
      </c>
      <c r="W207" s="19">
        <f t="shared" si="8"/>
        <v>0</v>
      </c>
      <c r="X207" s="20">
        <f t="shared" si="9"/>
        <v>0</v>
      </c>
      <c r="Y207" s="20">
        <f t="shared" si="10"/>
        <v>0</v>
      </c>
    </row>
    <row r="208" spans="1:25" ht="15.75" customHeight="1">
      <c r="A208" s="14" t="s">
        <v>426</v>
      </c>
      <c r="B208" s="15" t="s">
        <v>427</v>
      </c>
      <c r="C208" s="16">
        <v>0</v>
      </c>
      <c r="D208" s="16">
        <v>0</v>
      </c>
      <c r="E208" s="17">
        <v>0</v>
      </c>
      <c r="F208" s="18">
        <v>0</v>
      </c>
      <c r="G208" s="18">
        <v>0</v>
      </c>
      <c r="H208" s="18">
        <v>0</v>
      </c>
      <c r="I208" s="17">
        <v>0</v>
      </c>
      <c r="J208" s="17">
        <f t="shared" si="0"/>
        <v>0</v>
      </c>
      <c r="K208" s="17">
        <v>0</v>
      </c>
      <c r="L208" s="17">
        <v>0</v>
      </c>
      <c r="M208" s="17">
        <v>0</v>
      </c>
      <c r="N208" s="17">
        <f t="shared" si="1"/>
        <v>0</v>
      </c>
      <c r="O208" s="17">
        <f t="shared" si="2"/>
        <v>0</v>
      </c>
      <c r="P208" s="3"/>
      <c r="Q208" s="19">
        <f t="shared" si="3"/>
        <v>0</v>
      </c>
      <c r="R208" s="19">
        <v>0</v>
      </c>
      <c r="S208" s="19">
        <f t="shared" si="4"/>
        <v>0</v>
      </c>
      <c r="T208" s="19">
        <f t="shared" si="5"/>
        <v>0</v>
      </c>
      <c r="U208" s="19">
        <f t="shared" si="6"/>
        <v>0</v>
      </c>
      <c r="V208" s="19">
        <f t="shared" si="7"/>
        <v>0</v>
      </c>
      <c r="W208" s="19">
        <f t="shared" si="8"/>
        <v>0</v>
      </c>
      <c r="X208" s="20">
        <f t="shared" si="9"/>
        <v>0</v>
      </c>
      <c r="Y208" s="20">
        <f t="shared" si="10"/>
        <v>0</v>
      </c>
    </row>
    <row r="209" spans="1:25" ht="15.75" customHeight="1">
      <c r="A209" s="14" t="s">
        <v>428</v>
      </c>
      <c r="B209" s="15" t="s">
        <v>429</v>
      </c>
      <c r="C209" s="16">
        <v>0</v>
      </c>
      <c r="D209" s="16">
        <v>0</v>
      </c>
      <c r="E209" s="17">
        <v>0</v>
      </c>
      <c r="F209" s="18">
        <v>0</v>
      </c>
      <c r="G209" s="18">
        <v>0</v>
      </c>
      <c r="H209" s="18">
        <v>0</v>
      </c>
      <c r="I209" s="17">
        <v>0</v>
      </c>
      <c r="J209" s="17">
        <f t="shared" si="0"/>
        <v>0</v>
      </c>
      <c r="K209" s="17">
        <v>0</v>
      </c>
      <c r="L209" s="17">
        <v>0</v>
      </c>
      <c r="M209" s="17">
        <v>0</v>
      </c>
      <c r="N209" s="17">
        <f t="shared" si="1"/>
        <v>0</v>
      </c>
      <c r="O209" s="17">
        <f t="shared" si="2"/>
        <v>0</v>
      </c>
      <c r="P209" s="3"/>
      <c r="Q209" s="19">
        <f t="shared" si="3"/>
        <v>0</v>
      </c>
      <c r="R209" s="19">
        <v>0</v>
      </c>
      <c r="S209" s="19">
        <f t="shared" si="4"/>
        <v>0</v>
      </c>
      <c r="T209" s="19">
        <f t="shared" si="5"/>
        <v>0</v>
      </c>
      <c r="U209" s="19">
        <f t="shared" si="6"/>
        <v>0</v>
      </c>
      <c r="V209" s="19">
        <f t="shared" si="7"/>
        <v>0</v>
      </c>
      <c r="W209" s="19">
        <f t="shared" si="8"/>
        <v>0</v>
      </c>
      <c r="X209" s="20">
        <f t="shared" si="9"/>
        <v>0</v>
      </c>
      <c r="Y209" s="20">
        <f t="shared" si="10"/>
        <v>0</v>
      </c>
    </row>
    <row r="210" spans="1:25" ht="15.75" customHeight="1">
      <c r="A210" s="14" t="s">
        <v>430</v>
      </c>
      <c r="B210" s="15" t="s">
        <v>431</v>
      </c>
      <c r="C210" s="16">
        <v>0</v>
      </c>
      <c r="D210" s="16">
        <v>0</v>
      </c>
      <c r="E210" s="17">
        <v>0</v>
      </c>
      <c r="F210" s="18">
        <v>0</v>
      </c>
      <c r="G210" s="18">
        <v>0</v>
      </c>
      <c r="H210" s="18">
        <v>0</v>
      </c>
      <c r="I210" s="17">
        <v>0</v>
      </c>
      <c r="J210" s="17">
        <f t="shared" si="0"/>
        <v>0</v>
      </c>
      <c r="K210" s="17">
        <v>0</v>
      </c>
      <c r="L210" s="17">
        <v>0</v>
      </c>
      <c r="M210" s="17">
        <v>0</v>
      </c>
      <c r="N210" s="17">
        <f t="shared" si="1"/>
        <v>0</v>
      </c>
      <c r="O210" s="17">
        <f t="shared" si="2"/>
        <v>0</v>
      </c>
      <c r="P210" s="3"/>
      <c r="Q210" s="19">
        <f t="shared" si="3"/>
        <v>0</v>
      </c>
      <c r="R210" s="19">
        <v>0</v>
      </c>
      <c r="S210" s="19">
        <f t="shared" si="4"/>
        <v>0</v>
      </c>
      <c r="T210" s="19">
        <f t="shared" si="5"/>
        <v>0</v>
      </c>
      <c r="U210" s="19">
        <f t="shared" si="6"/>
        <v>0</v>
      </c>
      <c r="V210" s="19">
        <f t="shared" si="7"/>
        <v>0</v>
      </c>
      <c r="W210" s="19">
        <f t="shared" si="8"/>
        <v>0</v>
      </c>
      <c r="X210" s="20">
        <f t="shared" si="9"/>
        <v>0</v>
      </c>
      <c r="Y210" s="20">
        <f t="shared" si="10"/>
        <v>0</v>
      </c>
    </row>
    <row r="211" spans="1:25" ht="15.75" customHeight="1">
      <c r="A211" s="14" t="s">
        <v>432</v>
      </c>
      <c r="B211" s="15" t="s">
        <v>433</v>
      </c>
      <c r="C211" s="16">
        <v>0</v>
      </c>
      <c r="D211" s="16">
        <v>0</v>
      </c>
      <c r="E211" s="17">
        <v>0</v>
      </c>
      <c r="F211" s="18">
        <v>0</v>
      </c>
      <c r="G211" s="18">
        <v>0</v>
      </c>
      <c r="H211" s="18">
        <v>0</v>
      </c>
      <c r="I211" s="17">
        <v>0</v>
      </c>
      <c r="J211" s="17">
        <f t="shared" si="0"/>
        <v>0</v>
      </c>
      <c r="K211" s="17">
        <v>0</v>
      </c>
      <c r="L211" s="17">
        <v>0</v>
      </c>
      <c r="M211" s="17">
        <v>0</v>
      </c>
      <c r="N211" s="17">
        <f t="shared" si="1"/>
        <v>0</v>
      </c>
      <c r="O211" s="17">
        <f t="shared" si="2"/>
        <v>0</v>
      </c>
      <c r="P211" s="3"/>
      <c r="Q211" s="19">
        <f t="shared" si="3"/>
        <v>0</v>
      </c>
      <c r="R211" s="19">
        <v>0</v>
      </c>
      <c r="S211" s="19">
        <f t="shared" si="4"/>
        <v>0</v>
      </c>
      <c r="T211" s="19">
        <f t="shared" si="5"/>
        <v>0</v>
      </c>
      <c r="U211" s="19">
        <f t="shared" si="6"/>
        <v>0</v>
      </c>
      <c r="V211" s="19">
        <f t="shared" si="7"/>
        <v>0</v>
      </c>
      <c r="W211" s="19">
        <f t="shared" si="8"/>
        <v>0</v>
      </c>
      <c r="X211" s="20">
        <f t="shared" si="9"/>
        <v>0</v>
      </c>
      <c r="Y211" s="20">
        <f t="shared" si="10"/>
        <v>0</v>
      </c>
    </row>
    <row r="212" spans="1:25" ht="15.75" customHeight="1">
      <c r="A212" s="14" t="s">
        <v>434</v>
      </c>
      <c r="B212" s="15" t="s">
        <v>435</v>
      </c>
      <c r="C212" s="16">
        <v>406</v>
      </c>
      <c r="D212" s="16">
        <v>406</v>
      </c>
      <c r="E212" s="17">
        <v>4</v>
      </c>
      <c r="F212" s="18">
        <v>0</v>
      </c>
      <c r="G212" s="18">
        <v>0</v>
      </c>
      <c r="H212" s="18">
        <v>0</v>
      </c>
      <c r="I212" s="17">
        <v>0</v>
      </c>
      <c r="J212" s="17">
        <f t="shared" si="0"/>
        <v>4</v>
      </c>
      <c r="K212" s="17">
        <v>0</v>
      </c>
      <c r="L212" s="17">
        <v>0</v>
      </c>
      <c r="M212" s="17">
        <v>4</v>
      </c>
      <c r="N212" s="17">
        <f t="shared" si="1"/>
        <v>4</v>
      </c>
      <c r="O212" s="17">
        <f t="shared" si="2"/>
        <v>0</v>
      </c>
      <c r="P212" s="3"/>
      <c r="Q212" s="19">
        <f t="shared" si="3"/>
        <v>1624</v>
      </c>
      <c r="R212" s="19">
        <v>0</v>
      </c>
      <c r="S212" s="19">
        <f t="shared" si="4"/>
        <v>0</v>
      </c>
      <c r="T212" s="19">
        <f t="shared" si="5"/>
        <v>0</v>
      </c>
      <c r="U212" s="19">
        <f t="shared" si="6"/>
        <v>0</v>
      </c>
      <c r="V212" s="19">
        <f t="shared" si="7"/>
        <v>0</v>
      </c>
      <c r="W212" s="19">
        <f t="shared" si="8"/>
        <v>1624</v>
      </c>
      <c r="X212" s="20">
        <f t="shared" si="9"/>
        <v>1624</v>
      </c>
      <c r="Y212" s="20">
        <f t="shared" si="10"/>
        <v>0</v>
      </c>
    </row>
    <row r="213" spans="1:25" ht="15.75" customHeight="1">
      <c r="A213" s="14" t="s">
        <v>436</v>
      </c>
      <c r="B213" s="15" t="s">
        <v>437</v>
      </c>
      <c r="C213" s="16">
        <v>630</v>
      </c>
      <c r="D213" s="16">
        <v>630</v>
      </c>
      <c r="E213" s="17">
        <v>0</v>
      </c>
      <c r="F213" s="18">
        <v>0</v>
      </c>
      <c r="G213" s="18">
        <v>0</v>
      </c>
      <c r="H213" s="18">
        <v>0</v>
      </c>
      <c r="I213" s="17">
        <v>0</v>
      </c>
      <c r="J213" s="17">
        <f t="shared" si="0"/>
        <v>0</v>
      </c>
      <c r="K213" s="17">
        <v>0</v>
      </c>
      <c r="L213" s="17">
        <v>0</v>
      </c>
      <c r="M213" s="17">
        <v>0</v>
      </c>
      <c r="N213" s="17">
        <f t="shared" si="1"/>
        <v>0</v>
      </c>
      <c r="O213" s="17">
        <f t="shared" si="2"/>
        <v>0</v>
      </c>
      <c r="P213" s="3"/>
      <c r="Q213" s="19">
        <f t="shared" si="3"/>
        <v>0</v>
      </c>
      <c r="R213" s="19">
        <v>0</v>
      </c>
      <c r="S213" s="19">
        <f t="shared" si="4"/>
        <v>0</v>
      </c>
      <c r="T213" s="19">
        <f t="shared" si="5"/>
        <v>0</v>
      </c>
      <c r="U213" s="19">
        <f t="shared" si="6"/>
        <v>0</v>
      </c>
      <c r="V213" s="19">
        <f t="shared" si="7"/>
        <v>0</v>
      </c>
      <c r="W213" s="19">
        <f t="shared" si="8"/>
        <v>0</v>
      </c>
      <c r="X213" s="20">
        <f t="shared" si="9"/>
        <v>0</v>
      </c>
      <c r="Y213" s="20">
        <f t="shared" si="10"/>
        <v>0</v>
      </c>
    </row>
    <row r="214" spans="1:25" ht="15.75" customHeight="1">
      <c r="A214" s="14" t="s">
        <v>438</v>
      </c>
      <c r="B214" s="15" t="s">
        <v>439</v>
      </c>
      <c r="C214" s="16">
        <v>520</v>
      </c>
      <c r="D214" s="16">
        <v>520</v>
      </c>
      <c r="E214" s="17">
        <v>2</v>
      </c>
      <c r="F214" s="18">
        <v>0</v>
      </c>
      <c r="G214" s="18">
        <v>0</v>
      </c>
      <c r="H214" s="18">
        <v>0</v>
      </c>
      <c r="I214" s="17">
        <v>0</v>
      </c>
      <c r="J214" s="17">
        <f t="shared" si="0"/>
        <v>2</v>
      </c>
      <c r="K214" s="17">
        <v>0</v>
      </c>
      <c r="L214" s="17">
        <v>0</v>
      </c>
      <c r="M214" s="17">
        <v>2</v>
      </c>
      <c r="N214" s="17">
        <f t="shared" si="1"/>
        <v>2</v>
      </c>
      <c r="O214" s="17">
        <f t="shared" si="2"/>
        <v>0</v>
      </c>
      <c r="P214" s="3"/>
      <c r="Q214" s="19">
        <f t="shared" si="3"/>
        <v>1040</v>
      </c>
      <c r="R214" s="19">
        <v>0</v>
      </c>
      <c r="S214" s="19">
        <f t="shared" si="4"/>
        <v>0</v>
      </c>
      <c r="T214" s="19">
        <f t="shared" si="5"/>
        <v>0</v>
      </c>
      <c r="U214" s="19">
        <f t="shared" si="6"/>
        <v>0</v>
      </c>
      <c r="V214" s="19">
        <f t="shared" si="7"/>
        <v>0</v>
      </c>
      <c r="W214" s="19">
        <f t="shared" si="8"/>
        <v>1040</v>
      </c>
      <c r="X214" s="20">
        <f t="shared" si="9"/>
        <v>1040</v>
      </c>
      <c r="Y214" s="20">
        <f t="shared" si="10"/>
        <v>0</v>
      </c>
    </row>
    <row r="215" spans="1:25" ht="15.75" customHeight="1">
      <c r="A215" s="14" t="s">
        <v>440</v>
      </c>
      <c r="B215" s="15" t="s">
        <v>441</v>
      </c>
      <c r="C215" s="16">
        <v>93</v>
      </c>
      <c r="D215" s="16">
        <v>93</v>
      </c>
      <c r="E215" s="17">
        <v>0</v>
      </c>
      <c r="F215" s="18">
        <v>0</v>
      </c>
      <c r="G215" s="18">
        <v>0</v>
      </c>
      <c r="H215" s="18">
        <v>0</v>
      </c>
      <c r="I215" s="17">
        <v>0</v>
      </c>
      <c r="J215" s="17">
        <f t="shared" si="0"/>
        <v>0</v>
      </c>
      <c r="K215" s="17">
        <v>0</v>
      </c>
      <c r="L215" s="17">
        <v>0</v>
      </c>
      <c r="M215" s="17">
        <v>0</v>
      </c>
      <c r="N215" s="17">
        <f t="shared" si="1"/>
        <v>0</v>
      </c>
      <c r="O215" s="17">
        <f t="shared" si="2"/>
        <v>0</v>
      </c>
      <c r="P215" s="3"/>
      <c r="Q215" s="19">
        <f t="shared" si="3"/>
        <v>0</v>
      </c>
      <c r="R215" s="19">
        <v>0</v>
      </c>
      <c r="S215" s="19">
        <f t="shared" si="4"/>
        <v>0</v>
      </c>
      <c r="T215" s="19">
        <f t="shared" si="5"/>
        <v>0</v>
      </c>
      <c r="U215" s="19">
        <f t="shared" si="6"/>
        <v>0</v>
      </c>
      <c r="V215" s="19">
        <f t="shared" si="7"/>
        <v>0</v>
      </c>
      <c r="W215" s="19">
        <f t="shared" si="8"/>
        <v>0</v>
      </c>
      <c r="X215" s="20">
        <f t="shared" si="9"/>
        <v>0</v>
      </c>
      <c r="Y215" s="20">
        <f t="shared" si="10"/>
        <v>0</v>
      </c>
    </row>
    <row r="216" spans="1:25" ht="15.75" customHeight="1">
      <c r="A216" s="14" t="s">
        <v>442</v>
      </c>
      <c r="B216" s="15" t="s">
        <v>443</v>
      </c>
      <c r="C216" s="16">
        <v>46.34</v>
      </c>
      <c r="D216" s="16">
        <v>46.34</v>
      </c>
      <c r="E216" s="17">
        <v>1</v>
      </c>
      <c r="F216" s="18">
        <v>0</v>
      </c>
      <c r="G216" s="18">
        <v>0</v>
      </c>
      <c r="H216" s="18">
        <v>0</v>
      </c>
      <c r="I216" s="17">
        <v>0</v>
      </c>
      <c r="J216" s="17">
        <f t="shared" si="0"/>
        <v>1</v>
      </c>
      <c r="K216" s="17">
        <v>1</v>
      </c>
      <c r="L216" s="17">
        <v>0</v>
      </c>
      <c r="M216" s="17">
        <v>0</v>
      </c>
      <c r="N216" s="17">
        <f t="shared" si="1"/>
        <v>1</v>
      </c>
      <c r="O216" s="17">
        <f t="shared" si="2"/>
        <v>0</v>
      </c>
      <c r="P216" s="3"/>
      <c r="Q216" s="19">
        <f t="shared" si="3"/>
        <v>46.34</v>
      </c>
      <c r="R216" s="19">
        <v>0</v>
      </c>
      <c r="S216" s="19">
        <f t="shared" si="4"/>
        <v>0</v>
      </c>
      <c r="T216" s="19">
        <f t="shared" si="5"/>
        <v>0</v>
      </c>
      <c r="U216" s="19">
        <f t="shared" si="6"/>
        <v>0</v>
      </c>
      <c r="V216" s="19">
        <f t="shared" si="7"/>
        <v>0</v>
      </c>
      <c r="W216" s="19">
        <f t="shared" si="8"/>
        <v>46.34</v>
      </c>
      <c r="X216" s="20">
        <f t="shared" si="9"/>
        <v>46.34</v>
      </c>
      <c r="Y216" s="20">
        <f t="shared" si="10"/>
        <v>0</v>
      </c>
    </row>
    <row r="217" spans="1:25" ht="15.75" customHeight="1">
      <c r="A217" s="14" t="s">
        <v>444</v>
      </c>
      <c r="B217" s="15" t="s">
        <v>445</v>
      </c>
      <c r="C217" s="16">
        <v>570</v>
      </c>
      <c r="D217" s="16">
        <v>570</v>
      </c>
      <c r="E217" s="17">
        <v>1</v>
      </c>
      <c r="F217" s="18">
        <v>0</v>
      </c>
      <c r="G217" s="18">
        <v>0</v>
      </c>
      <c r="H217" s="18">
        <v>0</v>
      </c>
      <c r="I217" s="17">
        <v>0</v>
      </c>
      <c r="J217" s="17">
        <f t="shared" si="0"/>
        <v>1</v>
      </c>
      <c r="K217" s="17">
        <v>1</v>
      </c>
      <c r="L217" s="17">
        <v>0</v>
      </c>
      <c r="M217" s="17">
        <v>0</v>
      </c>
      <c r="N217" s="17">
        <f t="shared" si="1"/>
        <v>1</v>
      </c>
      <c r="O217" s="17">
        <f t="shared" si="2"/>
        <v>0</v>
      </c>
      <c r="P217" s="3"/>
      <c r="Q217" s="19">
        <f t="shared" si="3"/>
        <v>570</v>
      </c>
      <c r="R217" s="19">
        <v>0</v>
      </c>
      <c r="S217" s="19">
        <f t="shared" si="4"/>
        <v>0</v>
      </c>
      <c r="T217" s="19">
        <f t="shared" si="5"/>
        <v>0</v>
      </c>
      <c r="U217" s="19">
        <f t="shared" si="6"/>
        <v>0</v>
      </c>
      <c r="V217" s="19">
        <f t="shared" si="7"/>
        <v>0</v>
      </c>
      <c r="W217" s="19">
        <f t="shared" si="8"/>
        <v>570</v>
      </c>
      <c r="X217" s="20">
        <f t="shared" si="9"/>
        <v>570</v>
      </c>
      <c r="Y217" s="20">
        <f t="shared" si="10"/>
        <v>0</v>
      </c>
    </row>
    <row r="218" spans="1:25" ht="15.75" customHeight="1">
      <c r="A218" s="14" t="s">
        <v>446</v>
      </c>
      <c r="B218" s="15" t="s">
        <v>447</v>
      </c>
      <c r="C218" s="16">
        <v>2520</v>
      </c>
      <c r="D218" s="16">
        <v>2520</v>
      </c>
      <c r="E218" s="17">
        <v>1</v>
      </c>
      <c r="F218" s="18">
        <v>0</v>
      </c>
      <c r="G218" s="18">
        <v>0</v>
      </c>
      <c r="H218" s="18">
        <v>0</v>
      </c>
      <c r="I218" s="17">
        <v>0</v>
      </c>
      <c r="J218" s="17">
        <f t="shared" si="0"/>
        <v>1</v>
      </c>
      <c r="K218" s="17">
        <v>1</v>
      </c>
      <c r="L218" s="17">
        <v>0</v>
      </c>
      <c r="M218" s="17">
        <v>0</v>
      </c>
      <c r="N218" s="17">
        <f t="shared" si="1"/>
        <v>1</v>
      </c>
      <c r="O218" s="17">
        <f t="shared" si="2"/>
        <v>0</v>
      </c>
      <c r="P218" s="3"/>
      <c r="Q218" s="19">
        <f t="shared" si="3"/>
        <v>2520</v>
      </c>
      <c r="R218" s="19">
        <v>0</v>
      </c>
      <c r="S218" s="19">
        <f t="shared" si="4"/>
        <v>0</v>
      </c>
      <c r="T218" s="19">
        <f t="shared" si="5"/>
        <v>0</v>
      </c>
      <c r="U218" s="19">
        <f t="shared" si="6"/>
        <v>0</v>
      </c>
      <c r="V218" s="19">
        <f t="shared" si="7"/>
        <v>0</v>
      </c>
      <c r="W218" s="19">
        <f t="shared" si="8"/>
        <v>2520</v>
      </c>
      <c r="X218" s="20">
        <f t="shared" si="9"/>
        <v>2520</v>
      </c>
      <c r="Y218" s="20">
        <f t="shared" si="10"/>
        <v>0</v>
      </c>
    </row>
    <row r="219" spans="1:25" ht="15.75" customHeight="1">
      <c r="A219" s="14" t="s">
        <v>448</v>
      </c>
      <c r="B219" s="15" t="s">
        <v>449</v>
      </c>
      <c r="C219" s="16">
        <v>1380</v>
      </c>
      <c r="D219" s="16">
        <v>1380</v>
      </c>
      <c r="E219" s="17">
        <v>4</v>
      </c>
      <c r="F219" s="18">
        <v>0</v>
      </c>
      <c r="G219" s="18">
        <v>0</v>
      </c>
      <c r="H219" s="18">
        <v>0</v>
      </c>
      <c r="I219" s="17">
        <v>0</v>
      </c>
      <c r="J219" s="17">
        <f t="shared" si="0"/>
        <v>4</v>
      </c>
      <c r="K219" s="17">
        <v>4</v>
      </c>
      <c r="L219" s="17">
        <v>0</v>
      </c>
      <c r="M219" s="17">
        <v>0</v>
      </c>
      <c r="N219" s="17">
        <f t="shared" si="1"/>
        <v>4</v>
      </c>
      <c r="O219" s="17">
        <f t="shared" si="2"/>
        <v>0</v>
      </c>
      <c r="P219" s="3"/>
      <c r="Q219" s="19">
        <f t="shared" si="3"/>
        <v>5520</v>
      </c>
      <c r="R219" s="19">
        <v>0</v>
      </c>
      <c r="S219" s="19">
        <f t="shared" si="4"/>
        <v>0</v>
      </c>
      <c r="T219" s="19">
        <f t="shared" si="5"/>
        <v>0</v>
      </c>
      <c r="U219" s="19">
        <f t="shared" si="6"/>
        <v>0</v>
      </c>
      <c r="V219" s="19">
        <f t="shared" si="7"/>
        <v>0</v>
      </c>
      <c r="W219" s="19">
        <f t="shared" si="8"/>
        <v>5520</v>
      </c>
      <c r="X219" s="20">
        <f t="shared" si="9"/>
        <v>5520</v>
      </c>
      <c r="Y219" s="20">
        <f t="shared" si="10"/>
        <v>0</v>
      </c>
    </row>
    <row r="220" spans="1:25" ht="15.75" customHeight="1">
      <c r="A220" s="14" t="s">
        <v>450</v>
      </c>
      <c r="B220" s="15" t="s">
        <v>451</v>
      </c>
      <c r="C220" s="16">
        <v>1380</v>
      </c>
      <c r="D220" s="16">
        <v>1380</v>
      </c>
      <c r="E220" s="17">
        <v>2</v>
      </c>
      <c r="F220" s="18">
        <v>0</v>
      </c>
      <c r="G220" s="18">
        <v>0</v>
      </c>
      <c r="H220" s="18">
        <v>0</v>
      </c>
      <c r="I220" s="17">
        <v>0</v>
      </c>
      <c r="J220" s="17">
        <f t="shared" si="0"/>
        <v>2</v>
      </c>
      <c r="K220" s="17">
        <v>2</v>
      </c>
      <c r="L220" s="17">
        <v>0</v>
      </c>
      <c r="M220" s="17">
        <v>0</v>
      </c>
      <c r="N220" s="17">
        <f t="shared" si="1"/>
        <v>2</v>
      </c>
      <c r="O220" s="17">
        <f t="shared" si="2"/>
        <v>0</v>
      </c>
      <c r="P220" s="3"/>
      <c r="Q220" s="19">
        <f t="shared" si="3"/>
        <v>2760</v>
      </c>
      <c r="R220" s="19">
        <v>0</v>
      </c>
      <c r="S220" s="19">
        <f t="shared" si="4"/>
        <v>0</v>
      </c>
      <c r="T220" s="19">
        <f t="shared" si="5"/>
        <v>0</v>
      </c>
      <c r="U220" s="19">
        <f t="shared" si="6"/>
        <v>0</v>
      </c>
      <c r="V220" s="19">
        <f t="shared" si="7"/>
        <v>0</v>
      </c>
      <c r="W220" s="19">
        <f t="shared" si="8"/>
        <v>2760</v>
      </c>
      <c r="X220" s="20">
        <f t="shared" si="9"/>
        <v>2760</v>
      </c>
      <c r="Y220" s="20">
        <f t="shared" si="10"/>
        <v>0</v>
      </c>
    </row>
    <row r="221" spans="1:25" ht="15.75" customHeight="1">
      <c r="A221" s="14" t="s">
        <v>452</v>
      </c>
      <c r="B221" s="15" t="s">
        <v>453</v>
      </c>
      <c r="C221" s="16">
        <v>16.82</v>
      </c>
      <c r="D221" s="16">
        <v>16.82</v>
      </c>
      <c r="E221" s="17">
        <v>50</v>
      </c>
      <c r="F221" s="18">
        <v>0</v>
      </c>
      <c r="G221" s="18">
        <v>0</v>
      </c>
      <c r="H221" s="18">
        <v>0</v>
      </c>
      <c r="I221" s="17">
        <v>0</v>
      </c>
      <c r="J221" s="17">
        <f t="shared" si="0"/>
        <v>50</v>
      </c>
      <c r="K221" s="17">
        <v>50</v>
      </c>
      <c r="L221" s="17">
        <v>0</v>
      </c>
      <c r="M221" s="17">
        <v>0</v>
      </c>
      <c r="N221" s="17">
        <f t="shared" si="1"/>
        <v>50</v>
      </c>
      <c r="O221" s="17">
        <f t="shared" si="2"/>
        <v>0</v>
      </c>
      <c r="P221" s="3"/>
      <c r="Q221" s="19">
        <f t="shared" si="3"/>
        <v>841</v>
      </c>
      <c r="R221" s="19">
        <v>0</v>
      </c>
      <c r="S221" s="19">
        <f t="shared" si="4"/>
        <v>0</v>
      </c>
      <c r="T221" s="19">
        <f t="shared" si="5"/>
        <v>0</v>
      </c>
      <c r="U221" s="19">
        <f t="shared" si="6"/>
        <v>0</v>
      </c>
      <c r="V221" s="19">
        <f t="shared" si="7"/>
        <v>0</v>
      </c>
      <c r="W221" s="19">
        <f t="shared" si="8"/>
        <v>841</v>
      </c>
      <c r="X221" s="20">
        <f t="shared" si="9"/>
        <v>841</v>
      </c>
      <c r="Y221" s="20">
        <f t="shared" si="10"/>
        <v>0</v>
      </c>
    </row>
    <row r="222" spans="1:25" ht="15.75" customHeight="1">
      <c r="A222" s="14" t="s">
        <v>454</v>
      </c>
      <c r="B222" s="15" t="s">
        <v>455</v>
      </c>
      <c r="C222" s="16">
        <v>16.82</v>
      </c>
      <c r="D222" s="16">
        <v>16.82</v>
      </c>
      <c r="E222" s="17">
        <v>50</v>
      </c>
      <c r="F222" s="18">
        <v>0</v>
      </c>
      <c r="G222" s="18">
        <v>0</v>
      </c>
      <c r="H222" s="18">
        <v>0</v>
      </c>
      <c r="I222" s="17">
        <v>0</v>
      </c>
      <c r="J222" s="17">
        <f t="shared" si="0"/>
        <v>50</v>
      </c>
      <c r="K222" s="17">
        <v>50</v>
      </c>
      <c r="L222" s="17">
        <v>0</v>
      </c>
      <c r="M222" s="17">
        <v>0</v>
      </c>
      <c r="N222" s="17">
        <f t="shared" si="1"/>
        <v>50</v>
      </c>
      <c r="O222" s="17">
        <f t="shared" si="2"/>
        <v>0</v>
      </c>
      <c r="P222" s="3"/>
      <c r="Q222" s="19">
        <f t="shared" si="3"/>
        <v>841</v>
      </c>
      <c r="R222" s="19">
        <v>0</v>
      </c>
      <c r="S222" s="19">
        <f t="shared" si="4"/>
        <v>0</v>
      </c>
      <c r="T222" s="19">
        <f t="shared" si="5"/>
        <v>0</v>
      </c>
      <c r="U222" s="19">
        <f t="shared" si="6"/>
        <v>0</v>
      </c>
      <c r="V222" s="19">
        <f t="shared" si="7"/>
        <v>0</v>
      </c>
      <c r="W222" s="19">
        <f t="shared" si="8"/>
        <v>841</v>
      </c>
      <c r="X222" s="20">
        <f t="shared" si="9"/>
        <v>841</v>
      </c>
      <c r="Y222" s="20">
        <f t="shared" si="10"/>
        <v>0</v>
      </c>
    </row>
    <row r="223" spans="1:25" ht="15.75" customHeight="1">
      <c r="A223" s="14" t="s">
        <v>456</v>
      </c>
      <c r="B223" s="15" t="s">
        <v>457</v>
      </c>
      <c r="C223" s="16">
        <v>16.82</v>
      </c>
      <c r="D223" s="16">
        <v>16.82</v>
      </c>
      <c r="E223" s="17">
        <v>50</v>
      </c>
      <c r="F223" s="18">
        <v>0</v>
      </c>
      <c r="G223" s="18">
        <v>0</v>
      </c>
      <c r="H223" s="18">
        <v>0</v>
      </c>
      <c r="I223" s="17">
        <v>0</v>
      </c>
      <c r="J223" s="17">
        <f t="shared" si="0"/>
        <v>50</v>
      </c>
      <c r="K223" s="17">
        <v>50</v>
      </c>
      <c r="L223" s="17">
        <v>0</v>
      </c>
      <c r="M223" s="17">
        <v>0</v>
      </c>
      <c r="N223" s="17">
        <f t="shared" si="1"/>
        <v>50</v>
      </c>
      <c r="O223" s="17">
        <f t="shared" si="2"/>
        <v>0</v>
      </c>
      <c r="P223" s="3"/>
      <c r="Q223" s="19">
        <f t="shared" si="3"/>
        <v>841</v>
      </c>
      <c r="R223" s="19">
        <v>0</v>
      </c>
      <c r="S223" s="19">
        <f t="shared" si="4"/>
        <v>0</v>
      </c>
      <c r="T223" s="19">
        <f t="shared" si="5"/>
        <v>0</v>
      </c>
      <c r="U223" s="19">
        <f t="shared" si="6"/>
        <v>0</v>
      </c>
      <c r="V223" s="19">
        <f t="shared" si="7"/>
        <v>0</v>
      </c>
      <c r="W223" s="19">
        <f t="shared" si="8"/>
        <v>841</v>
      </c>
      <c r="X223" s="20">
        <f t="shared" si="9"/>
        <v>841</v>
      </c>
      <c r="Y223" s="20">
        <f t="shared" si="10"/>
        <v>0</v>
      </c>
    </row>
    <row r="224" spans="1:25" ht="15.75" customHeight="1">
      <c r="A224" s="14" t="s">
        <v>458</v>
      </c>
      <c r="B224" s="15" t="s">
        <v>459</v>
      </c>
      <c r="C224" s="16">
        <v>15.6</v>
      </c>
      <c r="D224" s="16">
        <v>15.6</v>
      </c>
      <c r="E224" s="17">
        <v>50</v>
      </c>
      <c r="F224" s="18">
        <v>0</v>
      </c>
      <c r="G224" s="18">
        <v>0</v>
      </c>
      <c r="H224" s="18">
        <v>0</v>
      </c>
      <c r="I224" s="17">
        <v>0</v>
      </c>
      <c r="J224" s="17">
        <f t="shared" si="0"/>
        <v>50</v>
      </c>
      <c r="K224" s="17">
        <v>50</v>
      </c>
      <c r="L224" s="17">
        <v>0</v>
      </c>
      <c r="M224" s="17">
        <v>0</v>
      </c>
      <c r="N224" s="17">
        <f t="shared" si="1"/>
        <v>50</v>
      </c>
      <c r="O224" s="17">
        <f t="shared" si="2"/>
        <v>0</v>
      </c>
      <c r="P224" s="3"/>
      <c r="Q224" s="19">
        <f t="shared" si="3"/>
        <v>780</v>
      </c>
      <c r="R224" s="19">
        <v>0</v>
      </c>
      <c r="S224" s="19">
        <f t="shared" si="4"/>
        <v>0</v>
      </c>
      <c r="T224" s="19">
        <f t="shared" si="5"/>
        <v>0</v>
      </c>
      <c r="U224" s="19">
        <f t="shared" si="6"/>
        <v>0</v>
      </c>
      <c r="V224" s="19">
        <f t="shared" si="7"/>
        <v>0</v>
      </c>
      <c r="W224" s="19">
        <f t="shared" si="8"/>
        <v>780</v>
      </c>
      <c r="X224" s="20">
        <f t="shared" si="9"/>
        <v>780</v>
      </c>
      <c r="Y224" s="20">
        <f t="shared" si="10"/>
        <v>0</v>
      </c>
    </row>
    <row r="225" spans="1:25" ht="15.75" customHeight="1">
      <c r="A225" s="14" t="s">
        <v>460</v>
      </c>
      <c r="B225" s="15" t="s">
        <v>461</v>
      </c>
      <c r="C225" s="16">
        <v>15.6</v>
      </c>
      <c r="D225" s="16">
        <v>15.6</v>
      </c>
      <c r="E225" s="17">
        <v>50</v>
      </c>
      <c r="F225" s="18">
        <v>0</v>
      </c>
      <c r="G225" s="18">
        <v>0</v>
      </c>
      <c r="H225" s="18">
        <v>0</v>
      </c>
      <c r="I225" s="17">
        <v>0</v>
      </c>
      <c r="J225" s="17">
        <f t="shared" si="0"/>
        <v>50</v>
      </c>
      <c r="K225" s="17">
        <v>50</v>
      </c>
      <c r="L225" s="17">
        <v>0</v>
      </c>
      <c r="M225" s="17">
        <v>0</v>
      </c>
      <c r="N225" s="17">
        <f t="shared" si="1"/>
        <v>50</v>
      </c>
      <c r="O225" s="17">
        <f t="shared" si="2"/>
        <v>0</v>
      </c>
      <c r="P225" s="3"/>
      <c r="Q225" s="19">
        <f t="shared" si="3"/>
        <v>780</v>
      </c>
      <c r="R225" s="19">
        <v>0</v>
      </c>
      <c r="S225" s="19">
        <f t="shared" si="4"/>
        <v>0</v>
      </c>
      <c r="T225" s="19">
        <f t="shared" si="5"/>
        <v>0</v>
      </c>
      <c r="U225" s="19">
        <f t="shared" si="6"/>
        <v>0</v>
      </c>
      <c r="V225" s="19">
        <f t="shared" si="7"/>
        <v>0</v>
      </c>
      <c r="W225" s="19">
        <f t="shared" si="8"/>
        <v>780</v>
      </c>
      <c r="X225" s="20">
        <f t="shared" si="9"/>
        <v>780</v>
      </c>
      <c r="Y225" s="20">
        <f t="shared" si="10"/>
        <v>0</v>
      </c>
    </row>
    <row r="226" spans="1:25" ht="15.75" customHeight="1">
      <c r="A226" s="14" t="s">
        <v>462</v>
      </c>
      <c r="B226" s="15" t="s">
        <v>463</v>
      </c>
      <c r="C226" s="16">
        <v>15.6</v>
      </c>
      <c r="D226" s="16">
        <v>15.6</v>
      </c>
      <c r="E226" s="17">
        <v>50</v>
      </c>
      <c r="F226" s="18">
        <v>0</v>
      </c>
      <c r="G226" s="18">
        <v>0</v>
      </c>
      <c r="H226" s="18">
        <v>0</v>
      </c>
      <c r="I226" s="17">
        <v>0</v>
      </c>
      <c r="J226" s="17">
        <f t="shared" si="0"/>
        <v>50</v>
      </c>
      <c r="K226" s="17">
        <v>50</v>
      </c>
      <c r="L226" s="17">
        <v>0</v>
      </c>
      <c r="M226" s="17">
        <v>0</v>
      </c>
      <c r="N226" s="17">
        <f t="shared" si="1"/>
        <v>50</v>
      </c>
      <c r="O226" s="17">
        <f t="shared" si="2"/>
        <v>0</v>
      </c>
      <c r="P226" s="3"/>
      <c r="Q226" s="19">
        <f t="shared" si="3"/>
        <v>780</v>
      </c>
      <c r="R226" s="19">
        <v>0</v>
      </c>
      <c r="S226" s="19">
        <f t="shared" si="4"/>
        <v>0</v>
      </c>
      <c r="T226" s="19">
        <f t="shared" si="5"/>
        <v>0</v>
      </c>
      <c r="U226" s="19">
        <f t="shared" si="6"/>
        <v>0</v>
      </c>
      <c r="V226" s="19">
        <f t="shared" si="7"/>
        <v>0</v>
      </c>
      <c r="W226" s="19">
        <f t="shared" si="8"/>
        <v>780</v>
      </c>
      <c r="X226" s="20">
        <f t="shared" si="9"/>
        <v>780</v>
      </c>
      <c r="Y226" s="20">
        <f t="shared" si="10"/>
        <v>0</v>
      </c>
    </row>
    <row r="227" spans="1:25" ht="15.75" customHeight="1">
      <c r="A227" s="14" t="s">
        <v>464</v>
      </c>
      <c r="B227" s="15" t="s">
        <v>465</v>
      </c>
      <c r="C227" s="16">
        <v>940</v>
      </c>
      <c r="D227" s="16">
        <v>940</v>
      </c>
      <c r="E227" s="17">
        <v>1</v>
      </c>
      <c r="F227" s="18">
        <v>0</v>
      </c>
      <c r="G227" s="18">
        <v>0</v>
      </c>
      <c r="H227" s="18">
        <v>0</v>
      </c>
      <c r="I227" s="17">
        <v>0</v>
      </c>
      <c r="J227" s="17">
        <f t="shared" si="0"/>
        <v>1</v>
      </c>
      <c r="K227" s="17">
        <v>1</v>
      </c>
      <c r="L227" s="17">
        <v>0</v>
      </c>
      <c r="M227" s="17">
        <v>0</v>
      </c>
      <c r="N227" s="17">
        <f t="shared" si="1"/>
        <v>1</v>
      </c>
      <c r="O227" s="17">
        <f t="shared" si="2"/>
        <v>0</v>
      </c>
      <c r="P227" s="3"/>
      <c r="Q227" s="19">
        <f t="shared" si="3"/>
        <v>940</v>
      </c>
      <c r="R227" s="19">
        <v>0</v>
      </c>
      <c r="S227" s="19">
        <f t="shared" si="4"/>
        <v>0</v>
      </c>
      <c r="T227" s="19">
        <f t="shared" si="5"/>
        <v>0</v>
      </c>
      <c r="U227" s="19">
        <f t="shared" si="6"/>
        <v>0</v>
      </c>
      <c r="V227" s="19">
        <f t="shared" si="7"/>
        <v>0</v>
      </c>
      <c r="W227" s="19">
        <f t="shared" si="8"/>
        <v>940</v>
      </c>
      <c r="X227" s="20">
        <f t="shared" si="9"/>
        <v>940</v>
      </c>
      <c r="Y227" s="20">
        <f t="shared" si="10"/>
        <v>0</v>
      </c>
    </row>
    <row r="228" spans="1:25" ht="15.75" customHeight="1">
      <c r="A228" s="14" t="s">
        <v>466</v>
      </c>
      <c r="B228" s="15" t="s">
        <v>467</v>
      </c>
      <c r="C228" s="16">
        <v>290</v>
      </c>
      <c r="D228" s="16">
        <v>290</v>
      </c>
      <c r="E228" s="17">
        <v>0</v>
      </c>
      <c r="F228" s="18">
        <v>0</v>
      </c>
      <c r="G228" s="18">
        <v>0</v>
      </c>
      <c r="H228" s="18">
        <v>0</v>
      </c>
      <c r="I228" s="17">
        <v>0</v>
      </c>
      <c r="J228" s="17">
        <f t="shared" si="0"/>
        <v>0</v>
      </c>
      <c r="K228" s="17">
        <v>0</v>
      </c>
      <c r="L228" s="17">
        <v>0</v>
      </c>
      <c r="M228" s="17">
        <v>0</v>
      </c>
      <c r="N228" s="17">
        <f t="shared" si="1"/>
        <v>0</v>
      </c>
      <c r="O228" s="17">
        <f t="shared" si="2"/>
        <v>0</v>
      </c>
      <c r="P228" s="3"/>
      <c r="Q228" s="19">
        <f t="shared" si="3"/>
        <v>0</v>
      </c>
      <c r="R228" s="19">
        <v>0</v>
      </c>
      <c r="S228" s="19">
        <f t="shared" si="4"/>
        <v>0</v>
      </c>
      <c r="T228" s="19">
        <f t="shared" si="5"/>
        <v>0</v>
      </c>
      <c r="U228" s="19">
        <f t="shared" si="6"/>
        <v>0</v>
      </c>
      <c r="V228" s="19">
        <f t="shared" si="7"/>
        <v>0</v>
      </c>
      <c r="W228" s="19">
        <f t="shared" si="8"/>
        <v>0</v>
      </c>
      <c r="X228" s="20">
        <f t="shared" si="9"/>
        <v>0</v>
      </c>
      <c r="Y228" s="20">
        <f t="shared" si="10"/>
        <v>0</v>
      </c>
    </row>
    <row r="229" spans="1:25" ht="15.75" customHeight="1">
      <c r="A229" s="14" t="s">
        <v>468</v>
      </c>
      <c r="B229" s="15" t="s">
        <v>469</v>
      </c>
      <c r="C229" s="16">
        <v>999</v>
      </c>
      <c r="D229" s="16">
        <v>999</v>
      </c>
      <c r="E229" s="17">
        <v>0</v>
      </c>
      <c r="F229" s="18">
        <v>0</v>
      </c>
      <c r="G229" s="18">
        <v>0</v>
      </c>
      <c r="H229" s="18">
        <v>0</v>
      </c>
      <c r="I229" s="17">
        <v>0</v>
      </c>
      <c r="J229" s="17">
        <f t="shared" si="0"/>
        <v>0</v>
      </c>
      <c r="K229" s="17">
        <v>0</v>
      </c>
      <c r="L229" s="17">
        <v>0</v>
      </c>
      <c r="M229" s="17">
        <v>0</v>
      </c>
      <c r="N229" s="17">
        <f t="shared" si="1"/>
        <v>0</v>
      </c>
      <c r="O229" s="17">
        <f t="shared" si="2"/>
        <v>0</v>
      </c>
      <c r="P229" s="3"/>
      <c r="Q229" s="19">
        <f t="shared" si="3"/>
        <v>0</v>
      </c>
      <c r="R229" s="19">
        <v>0</v>
      </c>
      <c r="S229" s="19">
        <f t="shared" si="4"/>
        <v>0</v>
      </c>
      <c r="T229" s="19">
        <f t="shared" si="5"/>
        <v>0</v>
      </c>
      <c r="U229" s="19">
        <f t="shared" si="6"/>
        <v>0</v>
      </c>
      <c r="V229" s="19">
        <f t="shared" si="7"/>
        <v>0</v>
      </c>
      <c r="W229" s="19">
        <f t="shared" si="8"/>
        <v>0</v>
      </c>
      <c r="X229" s="20">
        <f t="shared" si="9"/>
        <v>0</v>
      </c>
      <c r="Y229" s="20">
        <f t="shared" si="10"/>
        <v>0</v>
      </c>
    </row>
    <row r="230" spans="1:25" ht="15.75" customHeight="1">
      <c r="A230" s="14" t="s">
        <v>470</v>
      </c>
      <c r="B230" s="15" t="s">
        <v>471</v>
      </c>
      <c r="C230" s="16">
        <v>1458.35</v>
      </c>
      <c r="D230" s="16">
        <v>1458.35</v>
      </c>
      <c r="E230" s="17">
        <v>0</v>
      </c>
      <c r="F230" s="18">
        <v>0</v>
      </c>
      <c r="G230" s="18">
        <v>0</v>
      </c>
      <c r="H230" s="18">
        <v>0</v>
      </c>
      <c r="I230" s="17">
        <v>0</v>
      </c>
      <c r="J230" s="17">
        <f t="shared" si="0"/>
        <v>0</v>
      </c>
      <c r="K230" s="17">
        <v>0</v>
      </c>
      <c r="L230" s="17">
        <v>0</v>
      </c>
      <c r="M230" s="17">
        <v>0</v>
      </c>
      <c r="N230" s="17">
        <f t="shared" si="1"/>
        <v>0</v>
      </c>
      <c r="O230" s="17">
        <f t="shared" si="2"/>
        <v>0</v>
      </c>
      <c r="P230" s="3"/>
      <c r="Q230" s="19">
        <f t="shared" si="3"/>
        <v>0</v>
      </c>
      <c r="R230" s="19">
        <v>0</v>
      </c>
      <c r="S230" s="19">
        <f t="shared" si="4"/>
        <v>0</v>
      </c>
      <c r="T230" s="19">
        <f t="shared" si="5"/>
        <v>0</v>
      </c>
      <c r="U230" s="19">
        <f t="shared" si="6"/>
        <v>0</v>
      </c>
      <c r="V230" s="19">
        <f t="shared" si="7"/>
        <v>0</v>
      </c>
      <c r="W230" s="19">
        <f t="shared" si="8"/>
        <v>0</v>
      </c>
      <c r="X230" s="20">
        <f t="shared" si="9"/>
        <v>0</v>
      </c>
      <c r="Y230" s="20">
        <f t="shared" si="10"/>
        <v>0</v>
      </c>
    </row>
    <row r="231" spans="1:25" ht="15.75" customHeight="1">
      <c r="A231" s="14" t="s">
        <v>472</v>
      </c>
      <c r="B231" s="15" t="s">
        <v>473</v>
      </c>
      <c r="C231" s="16">
        <v>0</v>
      </c>
      <c r="D231" s="16">
        <v>0</v>
      </c>
      <c r="E231" s="17">
        <v>0</v>
      </c>
      <c r="F231" s="18">
        <v>0</v>
      </c>
      <c r="G231" s="18">
        <v>0</v>
      </c>
      <c r="H231" s="18">
        <v>0</v>
      </c>
      <c r="I231" s="17">
        <v>0</v>
      </c>
      <c r="J231" s="17">
        <f t="shared" si="0"/>
        <v>0</v>
      </c>
      <c r="K231" s="17">
        <v>0</v>
      </c>
      <c r="L231" s="17">
        <v>0</v>
      </c>
      <c r="M231" s="17">
        <v>0</v>
      </c>
      <c r="N231" s="17">
        <f t="shared" si="1"/>
        <v>0</v>
      </c>
      <c r="O231" s="17">
        <f t="shared" si="2"/>
        <v>0</v>
      </c>
      <c r="P231" s="3"/>
      <c r="Q231" s="19">
        <f t="shared" si="3"/>
        <v>0</v>
      </c>
      <c r="R231" s="19">
        <v>0</v>
      </c>
      <c r="S231" s="19">
        <f t="shared" si="4"/>
        <v>0</v>
      </c>
      <c r="T231" s="19">
        <f t="shared" si="5"/>
        <v>0</v>
      </c>
      <c r="U231" s="19">
        <f t="shared" si="6"/>
        <v>0</v>
      </c>
      <c r="V231" s="19">
        <f t="shared" si="7"/>
        <v>0</v>
      </c>
      <c r="W231" s="19">
        <f t="shared" si="8"/>
        <v>0</v>
      </c>
      <c r="X231" s="20">
        <f t="shared" si="9"/>
        <v>0</v>
      </c>
      <c r="Y231" s="20">
        <f t="shared" si="10"/>
        <v>0</v>
      </c>
    </row>
    <row r="232" spans="1:25" ht="15.75" customHeight="1">
      <c r="A232" s="14" t="s">
        <v>474</v>
      </c>
      <c r="B232" s="15" t="s">
        <v>475</v>
      </c>
      <c r="C232" s="16">
        <v>985</v>
      </c>
      <c r="D232" s="16">
        <v>985</v>
      </c>
      <c r="E232" s="17">
        <v>1</v>
      </c>
      <c r="F232" s="18">
        <v>0</v>
      </c>
      <c r="G232" s="18">
        <v>0</v>
      </c>
      <c r="H232" s="18">
        <v>0</v>
      </c>
      <c r="I232" s="17">
        <v>0</v>
      </c>
      <c r="J232" s="17">
        <f t="shared" si="0"/>
        <v>1</v>
      </c>
      <c r="K232" s="17">
        <v>0</v>
      </c>
      <c r="L232" s="17">
        <v>0</v>
      </c>
      <c r="M232" s="17">
        <v>1</v>
      </c>
      <c r="N232" s="17">
        <f t="shared" si="1"/>
        <v>1</v>
      </c>
      <c r="O232" s="17">
        <f t="shared" si="2"/>
        <v>0</v>
      </c>
      <c r="P232" s="3"/>
      <c r="Q232" s="19">
        <f t="shared" si="3"/>
        <v>985</v>
      </c>
      <c r="R232" s="19">
        <v>0</v>
      </c>
      <c r="S232" s="19">
        <f t="shared" si="4"/>
        <v>0</v>
      </c>
      <c r="T232" s="19">
        <f t="shared" si="5"/>
        <v>0</v>
      </c>
      <c r="U232" s="19">
        <f t="shared" si="6"/>
        <v>0</v>
      </c>
      <c r="V232" s="19">
        <f t="shared" si="7"/>
        <v>0</v>
      </c>
      <c r="W232" s="19">
        <f t="shared" si="8"/>
        <v>985</v>
      </c>
      <c r="X232" s="20">
        <f t="shared" si="9"/>
        <v>985</v>
      </c>
      <c r="Y232" s="20">
        <f t="shared" si="10"/>
        <v>0</v>
      </c>
    </row>
    <row r="233" spans="1:25" ht="15.75" customHeight="1">
      <c r="A233" s="14" t="s">
        <v>476</v>
      </c>
      <c r="B233" s="15" t="s">
        <v>477</v>
      </c>
      <c r="C233" s="16">
        <v>0</v>
      </c>
      <c r="D233" s="16">
        <v>0</v>
      </c>
      <c r="E233" s="17">
        <v>0</v>
      </c>
      <c r="F233" s="18">
        <v>0</v>
      </c>
      <c r="G233" s="18">
        <v>0</v>
      </c>
      <c r="H233" s="18">
        <v>0</v>
      </c>
      <c r="I233" s="17">
        <v>0</v>
      </c>
      <c r="J233" s="17">
        <f t="shared" si="0"/>
        <v>0</v>
      </c>
      <c r="K233" s="17">
        <v>0</v>
      </c>
      <c r="L233" s="17">
        <v>0</v>
      </c>
      <c r="M233" s="17">
        <v>0</v>
      </c>
      <c r="N233" s="17">
        <f t="shared" si="1"/>
        <v>0</v>
      </c>
      <c r="O233" s="17">
        <f t="shared" si="2"/>
        <v>0</v>
      </c>
      <c r="P233" s="3"/>
      <c r="Q233" s="19">
        <f t="shared" si="3"/>
        <v>0</v>
      </c>
      <c r="R233" s="19">
        <v>0</v>
      </c>
      <c r="S233" s="19">
        <f t="shared" si="4"/>
        <v>0</v>
      </c>
      <c r="T233" s="19">
        <f t="shared" si="5"/>
        <v>0</v>
      </c>
      <c r="U233" s="19">
        <f t="shared" si="6"/>
        <v>0</v>
      </c>
      <c r="V233" s="19">
        <f t="shared" si="7"/>
        <v>0</v>
      </c>
      <c r="W233" s="19">
        <f t="shared" si="8"/>
        <v>0</v>
      </c>
      <c r="X233" s="20">
        <f t="shared" si="9"/>
        <v>0</v>
      </c>
      <c r="Y233" s="20">
        <f t="shared" si="10"/>
        <v>0</v>
      </c>
    </row>
    <row r="234" spans="1:25" ht="15.75" customHeight="1">
      <c r="A234" s="14" t="s">
        <v>478</v>
      </c>
      <c r="B234" s="15" t="s">
        <v>479</v>
      </c>
      <c r="C234" s="16">
        <v>0</v>
      </c>
      <c r="D234" s="16">
        <v>0</v>
      </c>
      <c r="E234" s="17">
        <v>0</v>
      </c>
      <c r="F234" s="18">
        <v>0</v>
      </c>
      <c r="G234" s="18">
        <v>0</v>
      </c>
      <c r="H234" s="18">
        <v>0</v>
      </c>
      <c r="I234" s="17">
        <v>0</v>
      </c>
      <c r="J234" s="17">
        <f t="shared" si="0"/>
        <v>0</v>
      </c>
      <c r="K234" s="17">
        <v>0</v>
      </c>
      <c r="L234" s="17">
        <v>0</v>
      </c>
      <c r="M234" s="17">
        <v>0</v>
      </c>
      <c r="N234" s="17">
        <f t="shared" si="1"/>
        <v>0</v>
      </c>
      <c r="O234" s="17">
        <f t="shared" si="2"/>
        <v>0</v>
      </c>
      <c r="P234" s="3"/>
      <c r="Q234" s="19">
        <f t="shared" si="3"/>
        <v>0</v>
      </c>
      <c r="R234" s="19">
        <v>0</v>
      </c>
      <c r="S234" s="19">
        <f t="shared" si="4"/>
        <v>0</v>
      </c>
      <c r="T234" s="19">
        <f t="shared" si="5"/>
        <v>0</v>
      </c>
      <c r="U234" s="19">
        <f t="shared" si="6"/>
        <v>0</v>
      </c>
      <c r="V234" s="19">
        <f t="shared" si="7"/>
        <v>0</v>
      </c>
      <c r="W234" s="19">
        <f t="shared" si="8"/>
        <v>0</v>
      </c>
      <c r="X234" s="20">
        <f t="shared" si="9"/>
        <v>0</v>
      </c>
      <c r="Y234" s="20">
        <f t="shared" si="10"/>
        <v>0</v>
      </c>
    </row>
    <row r="235" spans="1:25" ht="22.5" customHeight="1">
      <c r="A235" s="14" t="s">
        <v>480</v>
      </c>
      <c r="B235" s="15" t="s">
        <v>481</v>
      </c>
      <c r="C235" s="16">
        <v>841</v>
      </c>
      <c r="D235" s="16">
        <v>841</v>
      </c>
      <c r="E235" s="17">
        <v>1</v>
      </c>
      <c r="F235" s="18">
        <v>0</v>
      </c>
      <c r="G235" s="18">
        <v>0</v>
      </c>
      <c r="H235" s="18">
        <v>0</v>
      </c>
      <c r="I235" s="17">
        <v>0</v>
      </c>
      <c r="J235" s="17">
        <f t="shared" si="0"/>
        <v>1</v>
      </c>
      <c r="K235" s="17">
        <v>1</v>
      </c>
      <c r="L235" s="17">
        <v>0</v>
      </c>
      <c r="M235" s="17">
        <v>0</v>
      </c>
      <c r="N235" s="17">
        <f t="shared" si="1"/>
        <v>1</v>
      </c>
      <c r="O235" s="17">
        <f t="shared" si="2"/>
        <v>0</v>
      </c>
      <c r="P235" s="3"/>
      <c r="Q235" s="19">
        <f t="shared" si="3"/>
        <v>841</v>
      </c>
      <c r="R235" s="19">
        <v>0</v>
      </c>
      <c r="S235" s="19">
        <f t="shared" si="4"/>
        <v>0</v>
      </c>
      <c r="T235" s="19">
        <f t="shared" si="5"/>
        <v>0</v>
      </c>
      <c r="U235" s="19">
        <f t="shared" si="6"/>
        <v>0</v>
      </c>
      <c r="V235" s="19">
        <f t="shared" si="7"/>
        <v>0</v>
      </c>
      <c r="W235" s="19">
        <f t="shared" si="8"/>
        <v>841</v>
      </c>
      <c r="X235" s="20">
        <f t="shared" si="9"/>
        <v>841</v>
      </c>
      <c r="Y235" s="20">
        <f t="shared" si="10"/>
        <v>0</v>
      </c>
    </row>
    <row r="236" spans="1:25" ht="15.75" customHeight="1">
      <c r="A236" s="14" t="s">
        <v>482</v>
      </c>
      <c r="B236" s="15" t="s">
        <v>483</v>
      </c>
      <c r="C236" s="16">
        <v>0</v>
      </c>
      <c r="D236" s="16">
        <v>0</v>
      </c>
      <c r="E236" s="17">
        <v>0</v>
      </c>
      <c r="F236" s="18">
        <v>0</v>
      </c>
      <c r="G236" s="18">
        <v>0</v>
      </c>
      <c r="H236" s="18">
        <v>0</v>
      </c>
      <c r="I236" s="17">
        <v>0</v>
      </c>
      <c r="J236" s="17">
        <f t="shared" si="0"/>
        <v>0</v>
      </c>
      <c r="K236" s="17">
        <v>0</v>
      </c>
      <c r="L236" s="17">
        <v>0</v>
      </c>
      <c r="M236" s="17">
        <v>0</v>
      </c>
      <c r="N236" s="17">
        <f t="shared" si="1"/>
        <v>0</v>
      </c>
      <c r="O236" s="17">
        <f t="shared" si="2"/>
        <v>0</v>
      </c>
      <c r="P236" s="3"/>
      <c r="Q236" s="19">
        <f t="shared" si="3"/>
        <v>0</v>
      </c>
      <c r="R236" s="19">
        <v>0</v>
      </c>
      <c r="S236" s="19">
        <f t="shared" si="4"/>
        <v>0</v>
      </c>
      <c r="T236" s="19">
        <f t="shared" si="5"/>
        <v>0</v>
      </c>
      <c r="U236" s="19">
        <f t="shared" si="6"/>
        <v>0</v>
      </c>
      <c r="V236" s="19">
        <f t="shared" si="7"/>
        <v>0</v>
      </c>
      <c r="W236" s="19">
        <f t="shared" si="8"/>
        <v>0</v>
      </c>
      <c r="X236" s="20">
        <f t="shared" si="9"/>
        <v>0</v>
      </c>
      <c r="Y236" s="20">
        <f t="shared" si="10"/>
        <v>0</v>
      </c>
    </row>
    <row r="237" spans="1:25" ht="15.75" customHeight="1">
      <c r="A237" s="14" t="s">
        <v>484</v>
      </c>
      <c r="B237" s="15" t="s">
        <v>485</v>
      </c>
      <c r="C237" s="16">
        <v>3410</v>
      </c>
      <c r="D237" s="16">
        <v>3410</v>
      </c>
      <c r="E237" s="17">
        <v>0</v>
      </c>
      <c r="F237" s="18">
        <v>0</v>
      </c>
      <c r="G237" s="18">
        <v>0</v>
      </c>
      <c r="H237" s="18">
        <v>0</v>
      </c>
      <c r="I237" s="17">
        <v>0</v>
      </c>
      <c r="J237" s="17">
        <f t="shared" si="0"/>
        <v>0</v>
      </c>
      <c r="K237" s="17">
        <v>0</v>
      </c>
      <c r="L237" s="17">
        <v>0</v>
      </c>
      <c r="M237" s="17">
        <v>0</v>
      </c>
      <c r="N237" s="17">
        <f t="shared" si="1"/>
        <v>0</v>
      </c>
      <c r="O237" s="17">
        <f t="shared" si="2"/>
        <v>0</v>
      </c>
      <c r="P237" s="3"/>
      <c r="Q237" s="19">
        <f t="shared" si="3"/>
        <v>0</v>
      </c>
      <c r="R237" s="19">
        <v>0</v>
      </c>
      <c r="S237" s="19">
        <f t="shared" si="4"/>
        <v>0</v>
      </c>
      <c r="T237" s="19">
        <f t="shared" si="5"/>
        <v>0</v>
      </c>
      <c r="U237" s="19">
        <f t="shared" si="6"/>
        <v>0</v>
      </c>
      <c r="V237" s="19">
        <f t="shared" si="7"/>
        <v>0</v>
      </c>
      <c r="W237" s="19">
        <f t="shared" si="8"/>
        <v>0</v>
      </c>
      <c r="X237" s="20">
        <f t="shared" si="9"/>
        <v>0</v>
      </c>
      <c r="Y237" s="20">
        <f t="shared" si="10"/>
        <v>0</v>
      </c>
    </row>
    <row r="238" spans="1:25" ht="15.75" customHeight="1">
      <c r="A238" s="14" t="s">
        <v>486</v>
      </c>
      <c r="B238" s="15" t="s">
        <v>487</v>
      </c>
      <c r="C238" s="16">
        <v>99</v>
      </c>
      <c r="D238" s="16">
        <v>99</v>
      </c>
      <c r="E238" s="17">
        <v>1</v>
      </c>
      <c r="F238" s="18">
        <v>0</v>
      </c>
      <c r="G238" s="18">
        <v>0</v>
      </c>
      <c r="H238" s="18">
        <v>0</v>
      </c>
      <c r="I238" s="17">
        <v>0</v>
      </c>
      <c r="J238" s="17">
        <f t="shared" si="0"/>
        <v>1</v>
      </c>
      <c r="K238" s="17">
        <v>1</v>
      </c>
      <c r="L238" s="17">
        <v>0</v>
      </c>
      <c r="M238" s="17">
        <v>0</v>
      </c>
      <c r="N238" s="17">
        <f t="shared" si="1"/>
        <v>1</v>
      </c>
      <c r="O238" s="17">
        <f t="shared" si="2"/>
        <v>0</v>
      </c>
      <c r="P238" s="3"/>
      <c r="Q238" s="19">
        <f t="shared" si="3"/>
        <v>99</v>
      </c>
      <c r="R238" s="19">
        <v>0</v>
      </c>
      <c r="S238" s="19">
        <f t="shared" si="4"/>
        <v>0</v>
      </c>
      <c r="T238" s="19">
        <f t="shared" si="5"/>
        <v>0</v>
      </c>
      <c r="U238" s="19">
        <f t="shared" si="6"/>
        <v>0</v>
      </c>
      <c r="V238" s="19">
        <f t="shared" si="7"/>
        <v>0</v>
      </c>
      <c r="W238" s="19">
        <f t="shared" si="8"/>
        <v>99</v>
      </c>
      <c r="X238" s="20">
        <f t="shared" si="9"/>
        <v>99</v>
      </c>
      <c r="Y238" s="20">
        <f t="shared" si="10"/>
        <v>0</v>
      </c>
    </row>
    <row r="239" spans="1:25" ht="15.75" customHeight="1">
      <c r="A239" s="14" t="s">
        <v>488</v>
      </c>
      <c r="B239" s="15" t="s">
        <v>489</v>
      </c>
      <c r="C239" s="16">
        <v>113.5</v>
      </c>
      <c r="D239" s="16">
        <v>113.5</v>
      </c>
      <c r="E239" s="17">
        <v>3</v>
      </c>
      <c r="F239" s="18">
        <v>0</v>
      </c>
      <c r="G239" s="18">
        <v>0</v>
      </c>
      <c r="H239" s="18">
        <v>0</v>
      </c>
      <c r="I239" s="17">
        <v>0</v>
      </c>
      <c r="J239" s="17">
        <f t="shared" si="0"/>
        <v>3</v>
      </c>
      <c r="K239" s="17">
        <v>3</v>
      </c>
      <c r="L239" s="17">
        <v>0</v>
      </c>
      <c r="M239" s="17">
        <v>0</v>
      </c>
      <c r="N239" s="17">
        <f t="shared" si="1"/>
        <v>3</v>
      </c>
      <c r="O239" s="17">
        <f t="shared" si="2"/>
        <v>0</v>
      </c>
      <c r="P239" s="3"/>
      <c r="Q239" s="19">
        <f t="shared" si="3"/>
        <v>340.5</v>
      </c>
      <c r="R239" s="19">
        <v>0</v>
      </c>
      <c r="S239" s="19">
        <f t="shared" si="4"/>
        <v>0</v>
      </c>
      <c r="T239" s="19">
        <f t="shared" si="5"/>
        <v>0</v>
      </c>
      <c r="U239" s="19">
        <f t="shared" si="6"/>
        <v>0</v>
      </c>
      <c r="V239" s="19">
        <f t="shared" si="7"/>
        <v>0</v>
      </c>
      <c r="W239" s="19">
        <f t="shared" si="8"/>
        <v>340.5</v>
      </c>
      <c r="X239" s="20">
        <f t="shared" si="9"/>
        <v>340.5</v>
      </c>
      <c r="Y239" s="20">
        <f t="shared" si="10"/>
        <v>0</v>
      </c>
    </row>
    <row r="240" spans="1:25" ht="15.75" customHeight="1">
      <c r="A240" s="14" t="s">
        <v>490</v>
      </c>
      <c r="B240" s="15" t="s">
        <v>491</v>
      </c>
      <c r="C240" s="16">
        <v>1536</v>
      </c>
      <c r="D240" s="16">
        <v>1536</v>
      </c>
      <c r="E240" s="17">
        <v>3</v>
      </c>
      <c r="F240" s="18">
        <v>0</v>
      </c>
      <c r="G240" s="18">
        <v>0</v>
      </c>
      <c r="H240" s="18">
        <v>0</v>
      </c>
      <c r="I240" s="17">
        <v>0</v>
      </c>
      <c r="J240" s="17">
        <f t="shared" si="0"/>
        <v>3</v>
      </c>
      <c r="K240" s="17">
        <v>3</v>
      </c>
      <c r="L240" s="17">
        <v>0</v>
      </c>
      <c r="M240" s="17">
        <v>0</v>
      </c>
      <c r="N240" s="17">
        <f t="shared" si="1"/>
        <v>3</v>
      </c>
      <c r="O240" s="17">
        <f t="shared" si="2"/>
        <v>0</v>
      </c>
      <c r="P240" s="3"/>
      <c r="Q240" s="19">
        <f t="shared" si="3"/>
        <v>4608</v>
      </c>
      <c r="R240" s="19">
        <v>0</v>
      </c>
      <c r="S240" s="19">
        <f t="shared" si="4"/>
        <v>0</v>
      </c>
      <c r="T240" s="19">
        <f t="shared" si="5"/>
        <v>0</v>
      </c>
      <c r="U240" s="19">
        <f t="shared" si="6"/>
        <v>0</v>
      </c>
      <c r="V240" s="19">
        <f t="shared" si="7"/>
        <v>0</v>
      </c>
      <c r="W240" s="19">
        <f t="shared" si="8"/>
        <v>4608</v>
      </c>
      <c r="X240" s="20">
        <f t="shared" si="9"/>
        <v>4608</v>
      </c>
      <c r="Y240" s="20">
        <f t="shared" si="10"/>
        <v>0</v>
      </c>
    </row>
    <row r="241" spans="1:25" ht="15.75" customHeight="1">
      <c r="A241" s="14" t="s">
        <v>492</v>
      </c>
      <c r="B241" s="15" t="s">
        <v>493</v>
      </c>
      <c r="C241" s="16">
        <v>757.98</v>
      </c>
      <c r="D241" s="16">
        <v>757.98</v>
      </c>
      <c r="E241" s="17">
        <v>1</v>
      </c>
      <c r="F241" s="18">
        <v>0</v>
      </c>
      <c r="G241" s="18">
        <v>0</v>
      </c>
      <c r="H241" s="18">
        <v>0</v>
      </c>
      <c r="I241" s="17">
        <v>0</v>
      </c>
      <c r="J241" s="17">
        <f t="shared" si="0"/>
        <v>1</v>
      </c>
      <c r="K241" s="17">
        <v>1</v>
      </c>
      <c r="L241" s="17">
        <v>0</v>
      </c>
      <c r="M241" s="17">
        <v>0</v>
      </c>
      <c r="N241" s="17">
        <f t="shared" si="1"/>
        <v>1</v>
      </c>
      <c r="O241" s="17">
        <f t="shared" si="2"/>
        <v>0</v>
      </c>
      <c r="P241" s="3"/>
      <c r="Q241" s="19">
        <f t="shared" si="3"/>
        <v>757.98</v>
      </c>
      <c r="R241" s="19">
        <v>0</v>
      </c>
      <c r="S241" s="19">
        <f t="shared" si="4"/>
        <v>0</v>
      </c>
      <c r="T241" s="19">
        <f t="shared" si="5"/>
        <v>0</v>
      </c>
      <c r="U241" s="19">
        <f t="shared" si="6"/>
        <v>0</v>
      </c>
      <c r="V241" s="19">
        <f t="shared" si="7"/>
        <v>0</v>
      </c>
      <c r="W241" s="19">
        <f t="shared" si="8"/>
        <v>757.98</v>
      </c>
      <c r="X241" s="20">
        <f t="shared" si="9"/>
        <v>757.98</v>
      </c>
      <c r="Y241" s="20">
        <f t="shared" si="10"/>
        <v>0</v>
      </c>
    </row>
    <row r="242" spans="1:25" ht="15.75" customHeight="1">
      <c r="A242" s="14" t="s">
        <v>494</v>
      </c>
      <c r="B242" s="15" t="s">
        <v>495</v>
      </c>
      <c r="C242" s="16">
        <v>36.5</v>
      </c>
      <c r="D242" s="16">
        <v>36.5</v>
      </c>
      <c r="E242" s="17">
        <v>4</v>
      </c>
      <c r="F242" s="18">
        <v>0</v>
      </c>
      <c r="G242" s="18">
        <v>0</v>
      </c>
      <c r="H242" s="18">
        <v>0</v>
      </c>
      <c r="I242" s="17">
        <v>0</v>
      </c>
      <c r="J242" s="17">
        <f t="shared" si="0"/>
        <v>4</v>
      </c>
      <c r="K242" s="17">
        <v>4</v>
      </c>
      <c r="L242" s="17">
        <v>0</v>
      </c>
      <c r="M242" s="17">
        <v>0</v>
      </c>
      <c r="N242" s="17">
        <f t="shared" si="1"/>
        <v>4</v>
      </c>
      <c r="O242" s="17">
        <f t="shared" si="2"/>
        <v>0</v>
      </c>
      <c r="P242" s="3"/>
      <c r="Q242" s="19">
        <f t="shared" si="3"/>
        <v>146</v>
      </c>
      <c r="R242" s="19">
        <v>0</v>
      </c>
      <c r="S242" s="19">
        <f t="shared" si="4"/>
        <v>0</v>
      </c>
      <c r="T242" s="19">
        <f t="shared" si="5"/>
        <v>0</v>
      </c>
      <c r="U242" s="19">
        <f t="shared" si="6"/>
        <v>0</v>
      </c>
      <c r="V242" s="19">
        <f t="shared" si="7"/>
        <v>0</v>
      </c>
      <c r="W242" s="19">
        <f t="shared" si="8"/>
        <v>146</v>
      </c>
      <c r="X242" s="20">
        <f t="shared" si="9"/>
        <v>146</v>
      </c>
      <c r="Y242" s="20">
        <f t="shared" si="10"/>
        <v>0</v>
      </c>
    </row>
    <row r="243" spans="1:25" ht="15.75" customHeight="1">
      <c r="A243" s="14" t="s">
        <v>496</v>
      </c>
      <c r="B243" s="15" t="s">
        <v>497</v>
      </c>
      <c r="C243" s="16">
        <v>36.5</v>
      </c>
      <c r="D243" s="16">
        <v>36.5</v>
      </c>
      <c r="E243" s="17">
        <v>5</v>
      </c>
      <c r="F243" s="18">
        <v>0</v>
      </c>
      <c r="G243" s="18">
        <v>0</v>
      </c>
      <c r="H243" s="18">
        <v>0</v>
      </c>
      <c r="I243" s="17">
        <v>0</v>
      </c>
      <c r="J243" s="17">
        <f t="shared" si="0"/>
        <v>5</v>
      </c>
      <c r="K243" s="17">
        <v>5</v>
      </c>
      <c r="L243" s="17">
        <v>0</v>
      </c>
      <c r="M243" s="17">
        <v>0</v>
      </c>
      <c r="N243" s="17">
        <f t="shared" si="1"/>
        <v>5</v>
      </c>
      <c r="O243" s="17">
        <f t="shared" si="2"/>
        <v>0</v>
      </c>
      <c r="P243" s="3"/>
      <c r="Q243" s="19">
        <f t="shared" si="3"/>
        <v>182.5</v>
      </c>
      <c r="R243" s="19">
        <v>0</v>
      </c>
      <c r="S243" s="19">
        <f t="shared" si="4"/>
        <v>0</v>
      </c>
      <c r="T243" s="19">
        <f t="shared" si="5"/>
        <v>0</v>
      </c>
      <c r="U243" s="19">
        <f t="shared" si="6"/>
        <v>0</v>
      </c>
      <c r="V243" s="19">
        <f t="shared" si="7"/>
        <v>0</v>
      </c>
      <c r="W243" s="19">
        <f t="shared" si="8"/>
        <v>182.5</v>
      </c>
      <c r="X243" s="20">
        <f t="shared" si="9"/>
        <v>182.5</v>
      </c>
      <c r="Y243" s="20">
        <f t="shared" si="10"/>
        <v>0</v>
      </c>
    </row>
    <row r="244" spans="1:25" ht="15.75" customHeight="1">
      <c r="A244" s="14" t="s">
        <v>498</v>
      </c>
      <c r="B244" s="15" t="s">
        <v>499</v>
      </c>
      <c r="C244" s="16">
        <v>0</v>
      </c>
      <c r="D244" s="16">
        <v>0</v>
      </c>
      <c r="E244" s="17">
        <v>0</v>
      </c>
      <c r="F244" s="18">
        <v>0</v>
      </c>
      <c r="G244" s="18">
        <v>0</v>
      </c>
      <c r="H244" s="18">
        <v>0</v>
      </c>
      <c r="I244" s="17">
        <v>0</v>
      </c>
      <c r="J244" s="17">
        <f t="shared" si="0"/>
        <v>0</v>
      </c>
      <c r="K244" s="17">
        <v>0</v>
      </c>
      <c r="L244" s="17">
        <v>0</v>
      </c>
      <c r="M244" s="17">
        <v>0</v>
      </c>
      <c r="N244" s="17">
        <f t="shared" si="1"/>
        <v>0</v>
      </c>
      <c r="O244" s="17">
        <f t="shared" si="2"/>
        <v>0</v>
      </c>
      <c r="P244" s="3"/>
      <c r="Q244" s="19">
        <f t="shared" si="3"/>
        <v>0</v>
      </c>
      <c r="R244" s="19">
        <v>0</v>
      </c>
      <c r="S244" s="19">
        <f t="shared" si="4"/>
        <v>0</v>
      </c>
      <c r="T244" s="19">
        <f t="shared" si="5"/>
        <v>0</v>
      </c>
      <c r="U244" s="19">
        <f t="shared" si="6"/>
        <v>0</v>
      </c>
      <c r="V244" s="19">
        <f t="shared" si="7"/>
        <v>0</v>
      </c>
      <c r="W244" s="19">
        <f t="shared" si="8"/>
        <v>0</v>
      </c>
      <c r="X244" s="20">
        <f t="shared" si="9"/>
        <v>0</v>
      </c>
      <c r="Y244" s="20">
        <f t="shared" si="10"/>
        <v>0</v>
      </c>
    </row>
    <row r="245" spans="1:25" ht="15.75" customHeight="1">
      <c r="A245" s="14" t="s">
        <v>500</v>
      </c>
      <c r="B245" s="15" t="s">
        <v>501</v>
      </c>
      <c r="C245" s="16">
        <v>46.5</v>
      </c>
      <c r="D245" s="16">
        <v>46.5</v>
      </c>
      <c r="E245" s="17">
        <v>10</v>
      </c>
      <c r="F245" s="18">
        <v>0</v>
      </c>
      <c r="G245" s="18">
        <v>0</v>
      </c>
      <c r="H245" s="18">
        <v>0</v>
      </c>
      <c r="I245" s="17">
        <v>0</v>
      </c>
      <c r="J245" s="17">
        <f t="shared" si="0"/>
        <v>10</v>
      </c>
      <c r="K245" s="17">
        <v>10</v>
      </c>
      <c r="L245" s="17">
        <v>0</v>
      </c>
      <c r="M245" s="17">
        <v>0</v>
      </c>
      <c r="N245" s="17">
        <f t="shared" si="1"/>
        <v>10</v>
      </c>
      <c r="O245" s="17">
        <f t="shared" si="2"/>
        <v>0</v>
      </c>
      <c r="P245" s="3"/>
      <c r="Q245" s="19">
        <f t="shared" si="3"/>
        <v>465</v>
      </c>
      <c r="R245" s="19">
        <v>0</v>
      </c>
      <c r="S245" s="19">
        <f t="shared" si="4"/>
        <v>0</v>
      </c>
      <c r="T245" s="19">
        <f t="shared" si="5"/>
        <v>0</v>
      </c>
      <c r="U245" s="19">
        <f t="shared" si="6"/>
        <v>0</v>
      </c>
      <c r="V245" s="19">
        <f t="shared" si="7"/>
        <v>0</v>
      </c>
      <c r="W245" s="19">
        <f t="shared" si="8"/>
        <v>465</v>
      </c>
      <c r="X245" s="20">
        <f t="shared" si="9"/>
        <v>465</v>
      </c>
      <c r="Y245" s="20">
        <f t="shared" si="10"/>
        <v>0</v>
      </c>
    </row>
    <row r="246" spans="1:25" ht="15.75" customHeight="1">
      <c r="A246" s="14" t="s">
        <v>502</v>
      </c>
      <c r="B246" s="15" t="s">
        <v>503</v>
      </c>
      <c r="C246" s="16">
        <v>120</v>
      </c>
      <c r="D246" s="16">
        <v>120</v>
      </c>
      <c r="E246" s="17">
        <v>8</v>
      </c>
      <c r="F246" s="18">
        <v>0</v>
      </c>
      <c r="G246" s="18">
        <v>0</v>
      </c>
      <c r="H246" s="18">
        <v>0</v>
      </c>
      <c r="I246" s="17">
        <v>0</v>
      </c>
      <c r="J246" s="17">
        <f t="shared" si="0"/>
        <v>8</v>
      </c>
      <c r="K246" s="17">
        <v>8</v>
      </c>
      <c r="L246" s="17">
        <v>0</v>
      </c>
      <c r="M246" s="17">
        <v>0</v>
      </c>
      <c r="N246" s="17">
        <f t="shared" si="1"/>
        <v>8</v>
      </c>
      <c r="O246" s="17">
        <f t="shared" si="2"/>
        <v>0</v>
      </c>
      <c r="P246" s="3"/>
      <c r="Q246" s="19">
        <f t="shared" si="3"/>
        <v>960</v>
      </c>
      <c r="R246" s="19">
        <v>0</v>
      </c>
      <c r="S246" s="19">
        <f t="shared" si="4"/>
        <v>0</v>
      </c>
      <c r="T246" s="19">
        <f t="shared" si="5"/>
        <v>0</v>
      </c>
      <c r="U246" s="19">
        <f t="shared" si="6"/>
        <v>0</v>
      </c>
      <c r="V246" s="19">
        <f t="shared" si="7"/>
        <v>0</v>
      </c>
      <c r="W246" s="19">
        <f t="shared" si="8"/>
        <v>960</v>
      </c>
      <c r="X246" s="20">
        <f t="shared" si="9"/>
        <v>960</v>
      </c>
      <c r="Y246" s="20">
        <f t="shared" si="10"/>
        <v>0</v>
      </c>
    </row>
    <row r="247" spans="1:25" ht="15.75" customHeight="1">
      <c r="A247" s="14" t="s">
        <v>504</v>
      </c>
      <c r="B247" s="15" t="s">
        <v>505</v>
      </c>
      <c r="C247" s="16">
        <v>130</v>
      </c>
      <c r="D247" s="16">
        <v>130</v>
      </c>
      <c r="E247" s="17">
        <v>28</v>
      </c>
      <c r="F247" s="18">
        <v>0</v>
      </c>
      <c r="G247" s="18">
        <v>0</v>
      </c>
      <c r="H247" s="18">
        <v>0</v>
      </c>
      <c r="I247" s="17">
        <v>0</v>
      </c>
      <c r="J247" s="17">
        <f t="shared" si="0"/>
        <v>28</v>
      </c>
      <c r="K247" s="17">
        <v>28</v>
      </c>
      <c r="L247" s="17">
        <v>0</v>
      </c>
      <c r="M247" s="17">
        <v>0</v>
      </c>
      <c r="N247" s="17">
        <f t="shared" si="1"/>
        <v>28</v>
      </c>
      <c r="O247" s="17">
        <f t="shared" si="2"/>
        <v>0</v>
      </c>
      <c r="P247" s="3"/>
      <c r="Q247" s="19">
        <f t="shared" si="3"/>
        <v>3640</v>
      </c>
      <c r="R247" s="19">
        <v>0</v>
      </c>
      <c r="S247" s="19">
        <f t="shared" si="4"/>
        <v>0</v>
      </c>
      <c r="T247" s="19">
        <f t="shared" si="5"/>
        <v>0</v>
      </c>
      <c r="U247" s="19">
        <f t="shared" si="6"/>
        <v>0</v>
      </c>
      <c r="V247" s="19">
        <f t="shared" si="7"/>
        <v>0</v>
      </c>
      <c r="W247" s="19">
        <f t="shared" si="8"/>
        <v>3640</v>
      </c>
      <c r="X247" s="20">
        <f t="shared" si="9"/>
        <v>3640</v>
      </c>
      <c r="Y247" s="20">
        <f t="shared" si="10"/>
        <v>0</v>
      </c>
    </row>
    <row r="248" spans="1:25" ht="15.75" customHeight="1">
      <c r="A248" s="14" t="s">
        <v>506</v>
      </c>
      <c r="B248" s="15" t="s">
        <v>507</v>
      </c>
      <c r="C248" s="16">
        <v>120</v>
      </c>
      <c r="D248" s="16">
        <v>120</v>
      </c>
      <c r="E248" s="17">
        <v>2</v>
      </c>
      <c r="F248" s="18">
        <v>0</v>
      </c>
      <c r="G248" s="18">
        <v>0</v>
      </c>
      <c r="H248" s="18">
        <v>0</v>
      </c>
      <c r="I248" s="17">
        <v>0</v>
      </c>
      <c r="J248" s="17">
        <f t="shared" si="0"/>
        <v>2</v>
      </c>
      <c r="K248" s="17">
        <v>2</v>
      </c>
      <c r="L248" s="17">
        <v>0</v>
      </c>
      <c r="M248" s="17">
        <v>0</v>
      </c>
      <c r="N248" s="17">
        <f t="shared" si="1"/>
        <v>2</v>
      </c>
      <c r="O248" s="17">
        <f t="shared" si="2"/>
        <v>0</v>
      </c>
      <c r="P248" s="3"/>
      <c r="Q248" s="19">
        <f t="shared" si="3"/>
        <v>240</v>
      </c>
      <c r="R248" s="19">
        <v>0</v>
      </c>
      <c r="S248" s="19">
        <f t="shared" si="4"/>
        <v>0</v>
      </c>
      <c r="T248" s="19">
        <f t="shared" si="5"/>
        <v>0</v>
      </c>
      <c r="U248" s="19">
        <f t="shared" si="6"/>
        <v>0</v>
      </c>
      <c r="V248" s="19">
        <f t="shared" si="7"/>
        <v>0</v>
      </c>
      <c r="W248" s="19">
        <f t="shared" si="8"/>
        <v>240</v>
      </c>
      <c r="X248" s="20">
        <f t="shared" si="9"/>
        <v>240</v>
      </c>
      <c r="Y248" s="20">
        <f t="shared" si="10"/>
        <v>0</v>
      </c>
    </row>
    <row r="249" spans="1:25" ht="15.75" customHeight="1">
      <c r="A249" s="14" t="s">
        <v>508</v>
      </c>
      <c r="B249" s="15" t="s">
        <v>509</v>
      </c>
      <c r="C249" s="16">
        <v>720</v>
      </c>
      <c r="D249" s="16">
        <v>720</v>
      </c>
      <c r="E249" s="17">
        <v>2</v>
      </c>
      <c r="F249" s="18">
        <v>0</v>
      </c>
      <c r="G249" s="18">
        <v>0</v>
      </c>
      <c r="H249" s="18">
        <v>0</v>
      </c>
      <c r="I249" s="17">
        <v>0</v>
      </c>
      <c r="J249" s="17">
        <f t="shared" si="0"/>
        <v>2</v>
      </c>
      <c r="K249" s="17">
        <v>2</v>
      </c>
      <c r="L249" s="17">
        <v>0</v>
      </c>
      <c r="M249" s="17">
        <v>0</v>
      </c>
      <c r="N249" s="17">
        <f t="shared" si="1"/>
        <v>2</v>
      </c>
      <c r="O249" s="17">
        <f t="shared" si="2"/>
        <v>0</v>
      </c>
      <c r="P249" s="3"/>
      <c r="Q249" s="19">
        <f t="shared" si="3"/>
        <v>1440</v>
      </c>
      <c r="R249" s="19">
        <v>0</v>
      </c>
      <c r="S249" s="19">
        <f t="shared" si="4"/>
        <v>0</v>
      </c>
      <c r="T249" s="19">
        <f t="shared" si="5"/>
        <v>0</v>
      </c>
      <c r="U249" s="19">
        <f t="shared" si="6"/>
        <v>0</v>
      </c>
      <c r="V249" s="19">
        <f t="shared" si="7"/>
        <v>0</v>
      </c>
      <c r="W249" s="19">
        <f t="shared" si="8"/>
        <v>1440</v>
      </c>
      <c r="X249" s="20">
        <f t="shared" si="9"/>
        <v>1440</v>
      </c>
      <c r="Y249" s="20">
        <f t="shared" si="10"/>
        <v>0</v>
      </c>
    </row>
    <row r="250" spans="1:25" ht="15.75" customHeight="1">
      <c r="A250" s="14" t="s">
        <v>510</v>
      </c>
      <c r="B250" s="15" t="s">
        <v>511</v>
      </c>
      <c r="C250" s="16">
        <v>2151.2199999999998</v>
      </c>
      <c r="D250" s="16">
        <v>2151.2199999999998</v>
      </c>
      <c r="E250" s="17">
        <v>1</v>
      </c>
      <c r="F250" s="18">
        <v>0</v>
      </c>
      <c r="G250" s="18">
        <v>0</v>
      </c>
      <c r="H250" s="18">
        <v>0</v>
      </c>
      <c r="I250" s="17">
        <v>0</v>
      </c>
      <c r="J250" s="17">
        <f t="shared" si="0"/>
        <v>1</v>
      </c>
      <c r="K250" s="17">
        <v>1</v>
      </c>
      <c r="L250" s="17">
        <v>0</v>
      </c>
      <c r="M250" s="17">
        <v>0</v>
      </c>
      <c r="N250" s="17">
        <f t="shared" si="1"/>
        <v>1</v>
      </c>
      <c r="O250" s="17">
        <f t="shared" si="2"/>
        <v>0</v>
      </c>
      <c r="P250" s="3"/>
      <c r="Q250" s="19">
        <f t="shared" si="3"/>
        <v>2151.2199999999998</v>
      </c>
      <c r="R250" s="19">
        <v>0</v>
      </c>
      <c r="S250" s="19">
        <f t="shared" si="4"/>
        <v>0</v>
      </c>
      <c r="T250" s="19">
        <f t="shared" si="5"/>
        <v>0</v>
      </c>
      <c r="U250" s="19">
        <f t="shared" si="6"/>
        <v>0</v>
      </c>
      <c r="V250" s="19">
        <f t="shared" si="7"/>
        <v>0</v>
      </c>
      <c r="W250" s="19">
        <f t="shared" si="8"/>
        <v>2151.2199999999998</v>
      </c>
      <c r="X250" s="20">
        <f t="shared" si="9"/>
        <v>2151.2199999999998</v>
      </c>
      <c r="Y250" s="20">
        <f t="shared" si="10"/>
        <v>0</v>
      </c>
    </row>
    <row r="251" spans="1:25" ht="15.75" customHeight="1">
      <c r="A251" s="14" t="s">
        <v>512</v>
      </c>
      <c r="B251" s="15" t="s">
        <v>513</v>
      </c>
      <c r="C251" s="16">
        <v>215.76</v>
      </c>
      <c r="D251" s="16">
        <v>215.76</v>
      </c>
      <c r="E251" s="17">
        <v>1</v>
      </c>
      <c r="F251" s="18">
        <v>0</v>
      </c>
      <c r="G251" s="18">
        <v>0</v>
      </c>
      <c r="H251" s="18">
        <v>0</v>
      </c>
      <c r="I251" s="17">
        <v>0</v>
      </c>
      <c r="J251" s="17">
        <f t="shared" si="0"/>
        <v>1</v>
      </c>
      <c r="K251" s="18">
        <v>1</v>
      </c>
      <c r="L251" s="18">
        <v>0</v>
      </c>
      <c r="M251" s="17">
        <v>0</v>
      </c>
      <c r="N251" s="18">
        <f t="shared" si="1"/>
        <v>1</v>
      </c>
      <c r="O251" s="17">
        <f t="shared" si="2"/>
        <v>0</v>
      </c>
      <c r="P251" s="3"/>
      <c r="Q251" s="19">
        <f t="shared" si="3"/>
        <v>215.76</v>
      </c>
      <c r="R251" s="19">
        <v>0</v>
      </c>
      <c r="S251" s="19">
        <f t="shared" si="4"/>
        <v>0</v>
      </c>
      <c r="T251" s="19">
        <f t="shared" si="5"/>
        <v>0</v>
      </c>
      <c r="U251" s="19">
        <f t="shared" si="6"/>
        <v>0</v>
      </c>
      <c r="V251" s="19">
        <f t="shared" si="7"/>
        <v>0</v>
      </c>
      <c r="W251" s="19">
        <f t="shared" si="8"/>
        <v>215.76</v>
      </c>
      <c r="X251" s="20">
        <f t="shared" si="9"/>
        <v>215.76</v>
      </c>
      <c r="Y251" s="20">
        <f t="shared" si="10"/>
        <v>0</v>
      </c>
    </row>
    <row r="252" spans="1:25" ht="15.75" customHeight="1">
      <c r="A252" s="14" t="s">
        <v>514</v>
      </c>
      <c r="B252" s="15" t="s">
        <v>515</v>
      </c>
      <c r="C252" s="16">
        <v>182.12</v>
      </c>
      <c r="D252" s="16">
        <v>182.12</v>
      </c>
      <c r="E252" s="17">
        <v>1</v>
      </c>
      <c r="F252" s="18">
        <v>0</v>
      </c>
      <c r="G252" s="18">
        <v>0</v>
      </c>
      <c r="H252" s="18">
        <v>0</v>
      </c>
      <c r="I252" s="17">
        <v>0</v>
      </c>
      <c r="J252" s="17">
        <f t="shared" si="0"/>
        <v>1</v>
      </c>
      <c r="K252" s="18">
        <v>1</v>
      </c>
      <c r="L252" s="18">
        <v>0</v>
      </c>
      <c r="M252" s="17">
        <v>0</v>
      </c>
      <c r="N252" s="18">
        <f t="shared" si="1"/>
        <v>1</v>
      </c>
      <c r="O252" s="17">
        <f t="shared" si="2"/>
        <v>0</v>
      </c>
      <c r="P252" s="3"/>
      <c r="Q252" s="19">
        <f t="shared" si="3"/>
        <v>182.12</v>
      </c>
      <c r="R252" s="19">
        <v>0</v>
      </c>
      <c r="S252" s="19">
        <f t="shared" si="4"/>
        <v>0</v>
      </c>
      <c r="T252" s="19">
        <f t="shared" si="5"/>
        <v>0</v>
      </c>
      <c r="U252" s="19">
        <f t="shared" si="6"/>
        <v>0</v>
      </c>
      <c r="V252" s="19">
        <f t="shared" si="7"/>
        <v>0</v>
      </c>
      <c r="W252" s="19">
        <f t="shared" si="8"/>
        <v>182.12</v>
      </c>
      <c r="X252" s="20">
        <f t="shared" si="9"/>
        <v>182.12</v>
      </c>
      <c r="Y252" s="20">
        <f t="shared" si="10"/>
        <v>0</v>
      </c>
    </row>
    <row r="253" spans="1:25" ht="15.75" customHeight="1">
      <c r="A253" s="14" t="s">
        <v>516</v>
      </c>
      <c r="B253" s="15" t="s">
        <v>517</v>
      </c>
      <c r="C253" s="16">
        <v>192.56</v>
      </c>
      <c r="D253" s="16">
        <v>192.56</v>
      </c>
      <c r="E253" s="17">
        <v>1</v>
      </c>
      <c r="F253" s="18">
        <v>0</v>
      </c>
      <c r="G253" s="18">
        <v>0</v>
      </c>
      <c r="H253" s="18">
        <v>0</v>
      </c>
      <c r="I253" s="17">
        <v>0</v>
      </c>
      <c r="J253" s="17">
        <f t="shared" si="0"/>
        <v>1</v>
      </c>
      <c r="K253" s="18">
        <v>1</v>
      </c>
      <c r="L253" s="18">
        <v>0</v>
      </c>
      <c r="M253" s="17">
        <v>0</v>
      </c>
      <c r="N253" s="18">
        <f t="shared" si="1"/>
        <v>1</v>
      </c>
      <c r="O253" s="17">
        <f t="shared" si="2"/>
        <v>0</v>
      </c>
      <c r="P253" s="3"/>
      <c r="Q253" s="19">
        <f t="shared" si="3"/>
        <v>192.56</v>
      </c>
      <c r="R253" s="19">
        <v>0</v>
      </c>
      <c r="S253" s="19">
        <f t="shared" si="4"/>
        <v>0</v>
      </c>
      <c r="T253" s="19">
        <f t="shared" si="5"/>
        <v>0</v>
      </c>
      <c r="U253" s="19">
        <f t="shared" si="6"/>
        <v>0</v>
      </c>
      <c r="V253" s="19">
        <f t="shared" si="7"/>
        <v>0</v>
      </c>
      <c r="W253" s="19">
        <f t="shared" si="8"/>
        <v>192.56</v>
      </c>
      <c r="X253" s="20">
        <f t="shared" si="9"/>
        <v>192.56</v>
      </c>
      <c r="Y253" s="20">
        <f t="shared" si="10"/>
        <v>0</v>
      </c>
    </row>
    <row r="254" spans="1:25" ht="15.75" customHeight="1">
      <c r="A254" s="14" t="s">
        <v>518</v>
      </c>
      <c r="B254" s="15" t="s">
        <v>519</v>
      </c>
      <c r="C254" s="16">
        <v>1983.6</v>
      </c>
      <c r="D254" s="16">
        <v>1983.6</v>
      </c>
      <c r="E254" s="17">
        <v>1</v>
      </c>
      <c r="F254" s="18">
        <v>0</v>
      </c>
      <c r="G254" s="18">
        <v>0</v>
      </c>
      <c r="H254" s="18">
        <v>0</v>
      </c>
      <c r="I254" s="17">
        <v>0</v>
      </c>
      <c r="J254" s="17">
        <f t="shared" si="0"/>
        <v>1</v>
      </c>
      <c r="K254" s="18">
        <v>1</v>
      </c>
      <c r="L254" s="18">
        <v>0</v>
      </c>
      <c r="M254" s="17">
        <v>0</v>
      </c>
      <c r="N254" s="18">
        <f t="shared" si="1"/>
        <v>1</v>
      </c>
      <c r="O254" s="17">
        <f t="shared" si="2"/>
        <v>0</v>
      </c>
      <c r="P254" s="3"/>
      <c r="Q254" s="19">
        <f t="shared" si="3"/>
        <v>1983.6</v>
      </c>
      <c r="R254" s="19">
        <v>0</v>
      </c>
      <c r="S254" s="19">
        <f t="shared" si="4"/>
        <v>0</v>
      </c>
      <c r="T254" s="19">
        <f t="shared" si="5"/>
        <v>0</v>
      </c>
      <c r="U254" s="19">
        <f t="shared" si="6"/>
        <v>0</v>
      </c>
      <c r="V254" s="19">
        <f t="shared" si="7"/>
        <v>0</v>
      </c>
      <c r="W254" s="19">
        <f t="shared" si="8"/>
        <v>1983.6</v>
      </c>
      <c r="X254" s="20">
        <f t="shared" si="9"/>
        <v>1983.6</v>
      </c>
      <c r="Y254" s="20">
        <f t="shared" si="10"/>
        <v>0</v>
      </c>
    </row>
    <row r="255" spans="1:25" ht="15.75" customHeight="1">
      <c r="A255" s="14" t="s">
        <v>520</v>
      </c>
      <c r="B255" s="15" t="s">
        <v>521</v>
      </c>
      <c r="C255" s="16">
        <v>0</v>
      </c>
      <c r="D255" s="16">
        <v>0</v>
      </c>
      <c r="E255" s="17">
        <v>0</v>
      </c>
      <c r="F255" s="18">
        <v>0</v>
      </c>
      <c r="G255" s="18">
        <v>0</v>
      </c>
      <c r="H255" s="18">
        <v>0</v>
      </c>
      <c r="I255" s="17">
        <v>0</v>
      </c>
      <c r="J255" s="17">
        <f t="shared" si="0"/>
        <v>0</v>
      </c>
      <c r="K255" s="18">
        <v>0</v>
      </c>
      <c r="L255" s="18">
        <v>0</v>
      </c>
      <c r="M255" s="17">
        <v>0</v>
      </c>
      <c r="N255" s="18">
        <f t="shared" si="1"/>
        <v>0</v>
      </c>
      <c r="O255" s="17">
        <f t="shared" si="2"/>
        <v>0</v>
      </c>
      <c r="P255" s="3"/>
      <c r="Q255" s="19">
        <f t="shared" si="3"/>
        <v>0</v>
      </c>
      <c r="R255" s="19">
        <v>0</v>
      </c>
      <c r="S255" s="19">
        <f t="shared" si="4"/>
        <v>0</v>
      </c>
      <c r="T255" s="19">
        <f t="shared" si="5"/>
        <v>0</v>
      </c>
      <c r="U255" s="19">
        <f t="shared" si="6"/>
        <v>0</v>
      </c>
      <c r="V255" s="19">
        <f t="shared" si="7"/>
        <v>0</v>
      </c>
      <c r="W255" s="19">
        <f t="shared" si="8"/>
        <v>0</v>
      </c>
      <c r="X255" s="20">
        <f t="shared" si="9"/>
        <v>0</v>
      </c>
      <c r="Y255" s="20">
        <f t="shared" si="10"/>
        <v>0</v>
      </c>
    </row>
    <row r="256" spans="1:25" ht="15.75" customHeight="1">
      <c r="A256" s="14" t="s">
        <v>522</v>
      </c>
      <c r="B256" s="15" t="s">
        <v>523</v>
      </c>
      <c r="C256" s="16">
        <v>723.8</v>
      </c>
      <c r="D256" s="16">
        <v>723.8</v>
      </c>
      <c r="E256" s="17">
        <v>2</v>
      </c>
      <c r="F256" s="18">
        <v>0</v>
      </c>
      <c r="G256" s="18">
        <v>0</v>
      </c>
      <c r="H256" s="18">
        <v>0</v>
      </c>
      <c r="I256" s="17">
        <v>0</v>
      </c>
      <c r="J256" s="17">
        <f t="shared" si="0"/>
        <v>2</v>
      </c>
      <c r="K256" s="18">
        <v>2</v>
      </c>
      <c r="L256" s="18">
        <v>0</v>
      </c>
      <c r="M256" s="17">
        <v>0</v>
      </c>
      <c r="N256" s="18">
        <f t="shared" si="1"/>
        <v>2</v>
      </c>
      <c r="O256" s="17">
        <f t="shared" si="2"/>
        <v>0</v>
      </c>
      <c r="P256" s="3"/>
      <c r="Q256" s="19">
        <f t="shared" si="3"/>
        <v>1447.6</v>
      </c>
      <c r="R256" s="19">
        <v>0</v>
      </c>
      <c r="S256" s="19">
        <f t="shared" si="4"/>
        <v>0</v>
      </c>
      <c r="T256" s="19">
        <f t="shared" si="5"/>
        <v>0</v>
      </c>
      <c r="U256" s="19">
        <f t="shared" si="6"/>
        <v>0</v>
      </c>
      <c r="V256" s="19">
        <f t="shared" si="7"/>
        <v>0</v>
      </c>
      <c r="W256" s="19">
        <f t="shared" si="8"/>
        <v>1447.6</v>
      </c>
      <c r="X256" s="20">
        <f t="shared" si="9"/>
        <v>1447.6</v>
      </c>
      <c r="Y256" s="20">
        <f t="shared" si="10"/>
        <v>0</v>
      </c>
    </row>
    <row r="257" spans="1:25" ht="15.75" customHeight="1">
      <c r="A257" s="14" t="s">
        <v>524</v>
      </c>
      <c r="B257" s="15" t="s">
        <v>525</v>
      </c>
      <c r="C257" s="16">
        <v>460</v>
      </c>
      <c r="D257" s="16">
        <v>460</v>
      </c>
      <c r="E257" s="17">
        <v>2</v>
      </c>
      <c r="F257" s="18">
        <v>0</v>
      </c>
      <c r="G257" s="18">
        <v>0</v>
      </c>
      <c r="H257" s="18">
        <v>0</v>
      </c>
      <c r="I257" s="17">
        <v>0</v>
      </c>
      <c r="J257" s="17">
        <f t="shared" si="0"/>
        <v>2</v>
      </c>
      <c r="K257" s="18">
        <v>1</v>
      </c>
      <c r="L257" s="18">
        <v>0</v>
      </c>
      <c r="M257" s="17">
        <v>1</v>
      </c>
      <c r="N257" s="18">
        <f t="shared" si="1"/>
        <v>2</v>
      </c>
      <c r="O257" s="17">
        <f t="shared" si="2"/>
        <v>0</v>
      </c>
      <c r="P257" s="3"/>
      <c r="Q257" s="19">
        <f t="shared" si="3"/>
        <v>920</v>
      </c>
      <c r="R257" s="19">
        <v>0</v>
      </c>
      <c r="S257" s="19">
        <f t="shared" si="4"/>
        <v>0</v>
      </c>
      <c r="T257" s="19">
        <f t="shared" si="5"/>
        <v>0</v>
      </c>
      <c r="U257" s="19">
        <f t="shared" si="6"/>
        <v>0</v>
      </c>
      <c r="V257" s="19">
        <f t="shared" si="7"/>
        <v>0</v>
      </c>
      <c r="W257" s="19">
        <f t="shared" si="8"/>
        <v>920</v>
      </c>
      <c r="X257" s="20">
        <f t="shared" si="9"/>
        <v>920</v>
      </c>
      <c r="Y257" s="20">
        <f t="shared" si="10"/>
        <v>0</v>
      </c>
    </row>
    <row r="258" spans="1:25" ht="15.75" customHeight="1">
      <c r="A258" s="14" t="s">
        <v>526</v>
      </c>
      <c r="B258" s="15" t="s">
        <v>527</v>
      </c>
      <c r="C258" s="16">
        <v>0</v>
      </c>
      <c r="D258" s="16">
        <v>0</v>
      </c>
      <c r="E258" s="17">
        <v>0</v>
      </c>
      <c r="F258" s="18">
        <v>0</v>
      </c>
      <c r="G258" s="18">
        <v>0</v>
      </c>
      <c r="H258" s="18">
        <v>0</v>
      </c>
      <c r="I258" s="17">
        <v>0</v>
      </c>
      <c r="J258" s="17">
        <f t="shared" si="0"/>
        <v>0</v>
      </c>
      <c r="K258" s="18">
        <v>0</v>
      </c>
      <c r="L258" s="18">
        <v>0</v>
      </c>
      <c r="M258" s="17">
        <v>0</v>
      </c>
      <c r="N258" s="18">
        <f t="shared" si="1"/>
        <v>0</v>
      </c>
      <c r="O258" s="17">
        <f t="shared" si="2"/>
        <v>0</v>
      </c>
      <c r="P258" s="3"/>
      <c r="Q258" s="19">
        <f t="shared" si="3"/>
        <v>0</v>
      </c>
      <c r="R258" s="19">
        <v>0</v>
      </c>
      <c r="S258" s="19">
        <f t="shared" si="4"/>
        <v>0</v>
      </c>
      <c r="T258" s="19">
        <f t="shared" si="5"/>
        <v>0</v>
      </c>
      <c r="U258" s="19">
        <f t="shared" si="6"/>
        <v>0</v>
      </c>
      <c r="V258" s="19">
        <f t="shared" si="7"/>
        <v>0</v>
      </c>
      <c r="W258" s="19">
        <f t="shared" si="8"/>
        <v>0</v>
      </c>
      <c r="X258" s="20">
        <f t="shared" si="9"/>
        <v>0</v>
      </c>
      <c r="Y258" s="20">
        <f t="shared" si="10"/>
        <v>0</v>
      </c>
    </row>
    <row r="259" spans="1:25" ht="15.75" customHeight="1">
      <c r="A259" s="14" t="s">
        <v>528</v>
      </c>
      <c r="B259" s="15" t="s">
        <v>529</v>
      </c>
      <c r="C259" s="16">
        <v>4700</v>
      </c>
      <c r="D259" s="16">
        <v>4700</v>
      </c>
      <c r="E259" s="17">
        <v>0</v>
      </c>
      <c r="F259" s="18">
        <v>0</v>
      </c>
      <c r="G259" s="18">
        <v>0</v>
      </c>
      <c r="H259" s="18">
        <v>0</v>
      </c>
      <c r="I259" s="17">
        <v>0</v>
      </c>
      <c r="J259" s="17">
        <f t="shared" si="0"/>
        <v>0</v>
      </c>
      <c r="K259" s="18">
        <v>0</v>
      </c>
      <c r="L259" s="18">
        <v>0</v>
      </c>
      <c r="M259" s="17">
        <v>0</v>
      </c>
      <c r="N259" s="18">
        <f t="shared" si="1"/>
        <v>0</v>
      </c>
      <c r="O259" s="17">
        <f t="shared" si="2"/>
        <v>0</v>
      </c>
      <c r="P259" s="3"/>
      <c r="Q259" s="19">
        <f t="shared" si="3"/>
        <v>0</v>
      </c>
      <c r="R259" s="19">
        <v>0</v>
      </c>
      <c r="S259" s="19">
        <f t="shared" si="4"/>
        <v>0</v>
      </c>
      <c r="T259" s="19">
        <f t="shared" si="5"/>
        <v>0</v>
      </c>
      <c r="U259" s="19">
        <f t="shared" si="6"/>
        <v>0</v>
      </c>
      <c r="V259" s="19">
        <f t="shared" si="7"/>
        <v>0</v>
      </c>
      <c r="W259" s="19">
        <f t="shared" si="8"/>
        <v>0</v>
      </c>
      <c r="X259" s="20">
        <f t="shared" si="9"/>
        <v>0</v>
      </c>
      <c r="Y259" s="20">
        <f t="shared" si="10"/>
        <v>0</v>
      </c>
    </row>
    <row r="260" spans="1:25" ht="15.75" customHeight="1">
      <c r="A260" s="14" t="s">
        <v>530</v>
      </c>
      <c r="B260" s="15" t="s">
        <v>531</v>
      </c>
      <c r="C260" s="16">
        <v>9600</v>
      </c>
      <c r="D260" s="16">
        <v>9600</v>
      </c>
      <c r="E260" s="17">
        <v>1</v>
      </c>
      <c r="F260" s="18">
        <v>0</v>
      </c>
      <c r="G260" s="18">
        <v>0</v>
      </c>
      <c r="H260" s="18">
        <v>0</v>
      </c>
      <c r="I260" s="17">
        <v>0</v>
      </c>
      <c r="J260" s="17">
        <f t="shared" si="0"/>
        <v>1</v>
      </c>
      <c r="K260" s="18">
        <v>1</v>
      </c>
      <c r="L260" s="18">
        <v>0</v>
      </c>
      <c r="M260" s="18">
        <v>0</v>
      </c>
      <c r="N260" s="18">
        <f t="shared" si="1"/>
        <v>1</v>
      </c>
      <c r="O260" s="17">
        <f t="shared" si="2"/>
        <v>0</v>
      </c>
      <c r="P260" s="3"/>
      <c r="Q260" s="19">
        <f t="shared" si="3"/>
        <v>9600</v>
      </c>
      <c r="R260" s="19">
        <v>0</v>
      </c>
      <c r="S260" s="19">
        <f t="shared" si="4"/>
        <v>0</v>
      </c>
      <c r="T260" s="19">
        <f t="shared" si="5"/>
        <v>0</v>
      </c>
      <c r="U260" s="19">
        <f t="shared" si="6"/>
        <v>0</v>
      </c>
      <c r="V260" s="19">
        <f t="shared" si="7"/>
        <v>0</v>
      </c>
      <c r="W260" s="19">
        <f t="shared" si="8"/>
        <v>9600</v>
      </c>
      <c r="X260" s="20">
        <f t="shared" si="9"/>
        <v>9600</v>
      </c>
      <c r="Y260" s="20">
        <f t="shared" si="10"/>
        <v>0</v>
      </c>
    </row>
    <row r="261" spans="1:25" ht="15.75" customHeight="1">
      <c r="A261" s="14" t="s">
        <v>532</v>
      </c>
      <c r="B261" s="15" t="s">
        <v>533</v>
      </c>
      <c r="C261" s="16">
        <v>652.5</v>
      </c>
      <c r="D261" s="16">
        <v>652.5</v>
      </c>
      <c r="E261" s="17">
        <v>3</v>
      </c>
      <c r="F261" s="18">
        <v>0</v>
      </c>
      <c r="G261" s="18">
        <v>0</v>
      </c>
      <c r="H261" s="18">
        <v>0</v>
      </c>
      <c r="I261" s="17">
        <v>0</v>
      </c>
      <c r="J261" s="17">
        <f t="shared" si="0"/>
        <v>3</v>
      </c>
      <c r="K261" s="18">
        <v>3</v>
      </c>
      <c r="L261" s="18">
        <v>0</v>
      </c>
      <c r="M261" s="17">
        <v>0</v>
      </c>
      <c r="N261" s="18">
        <f t="shared" si="1"/>
        <v>3</v>
      </c>
      <c r="O261" s="17">
        <f t="shared" si="2"/>
        <v>0</v>
      </c>
      <c r="P261" s="3"/>
      <c r="Q261" s="19">
        <f t="shared" si="3"/>
        <v>1957.5</v>
      </c>
      <c r="R261" s="19">
        <v>0</v>
      </c>
      <c r="S261" s="19">
        <f t="shared" si="4"/>
        <v>0</v>
      </c>
      <c r="T261" s="19">
        <f t="shared" si="5"/>
        <v>0</v>
      </c>
      <c r="U261" s="19">
        <f t="shared" si="6"/>
        <v>0</v>
      </c>
      <c r="V261" s="19">
        <f t="shared" si="7"/>
        <v>0</v>
      </c>
      <c r="W261" s="19">
        <f t="shared" si="8"/>
        <v>1957.5</v>
      </c>
      <c r="X261" s="20">
        <f t="shared" si="9"/>
        <v>1957.5</v>
      </c>
      <c r="Y261" s="20">
        <f t="shared" si="10"/>
        <v>0</v>
      </c>
    </row>
    <row r="262" spans="1:25" ht="15.75" customHeight="1">
      <c r="A262" s="14" t="s">
        <v>534</v>
      </c>
      <c r="B262" s="15" t="s">
        <v>535</v>
      </c>
      <c r="C262" s="16">
        <v>652.5</v>
      </c>
      <c r="D262" s="16">
        <v>652.5</v>
      </c>
      <c r="E262" s="17">
        <v>3</v>
      </c>
      <c r="F262" s="18">
        <v>0</v>
      </c>
      <c r="G262" s="18">
        <v>0</v>
      </c>
      <c r="H262" s="18">
        <v>0</v>
      </c>
      <c r="I262" s="17">
        <v>0</v>
      </c>
      <c r="J262" s="17">
        <f t="shared" ref="J262:J304" si="11">E262+F262+G262-H262-I262</f>
        <v>3</v>
      </c>
      <c r="K262" s="18">
        <v>3</v>
      </c>
      <c r="L262" s="18">
        <v>0</v>
      </c>
      <c r="M262" s="17">
        <v>0</v>
      </c>
      <c r="N262" s="18">
        <f t="shared" ref="N262:N304" si="12">K262+L262+M262</f>
        <v>3</v>
      </c>
      <c r="O262" s="17">
        <f t="shared" ref="O262:O304" si="13">N262-J262</f>
        <v>0</v>
      </c>
      <c r="P262" s="3"/>
      <c r="Q262" s="19">
        <f t="shared" ref="Q262:Q304" si="14">C262*E262</f>
        <v>1957.5</v>
      </c>
      <c r="R262" s="19">
        <v>0</v>
      </c>
      <c r="S262" s="19">
        <f t="shared" ref="S262:S304" si="15">D262*F262</f>
        <v>0</v>
      </c>
      <c r="T262" s="19">
        <f t="shared" ref="T262:T304" si="16">D262*G262</f>
        <v>0</v>
      </c>
      <c r="U262" s="19">
        <f t="shared" ref="U262:U304" si="17">D262*H262</f>
        <v>0</v>
      </c>
      <c r="V262" s="19">
        <f t="shared" ref="V262:V304" si="18">D262*I262</f>
        <v>0</v>
      </c>
      <c r="W262" s="19">
        <f t="shared" ref="W262:W304" si="19">Q262+R262+S262+T262-U262-V262</f>
        <v>1957.5</v>
      </c>
      <c r="X262" s="20">
        <f t="shared" ref="X262:X304" si="20">J262*D262</f>
        <v>1957.5</v>
      </c>
      <c r="Y262" s="20">
        <f t="shared" ref="Y262:Y304" si="21">X262-W262</f>
        <v>0</v>
      </c>
    </row>
    <row r="263" spans="1:25" ht="15.75" customHeight="1">
      <c r="A263" s="14" t="s">
        <v>536</v>
      </c>
      <c r="B263" s="15" t="s">
        <v>537</v>
      </c>
      <c r="C263" s="16">
        <v>652.5</v>
      </c>
      <c r="D263" s="16">
        <v>652.5</v>
      </c>
      <c r="E263" s="17">
        <v>3</v>
      </c>
      <c r="F263" s="18">
        <v>0</v>
      </c>
      <c r="G263" s="18">
        <v>0</v>
      </c>
      <c r="H263" s="18">
        <v>0</v>
      </c>
      <c r="I263" s="17">
        <v>0</v>
      </c>
      <c r="J263" s="17">
        <f t="shared" si="11"/>
        <v>3</v>
      </c>
      <c r="K263" s="18">
        <v>3</v>
      </c>
      <c r="L263" s="18">
        <v>0</v>
      </c>
      <c r="M263" s="17">
        <v>0</v>
      </c>
      <c r="N263" s="18">
        <f t="shared" si="12"/>
        <v>3</v>
      </c>
      <c r="O263" s="17">
        <f t="shared" si="13"/>
        <v>0</v>
      </c>
      <c r="P263" s="3"/>
      <c r="Q263" s="19">
        <f t="shared" si="14"/>
        <v>1957.5</v>
      </c>
      <c r="R263" s="19">
        <v>0</v>
      </c>
      <c r="S263" s="19">
        <f t="shared" si="15"/>
        <v>0</v>
      </c>
      <c r="T263" s="19">
        <f t="shared" si="16"/>
        <v>0</v>
      </c>
      <c r="U263" s="19">
        <f t="shared" si="17"/>
        <v>0</v>
      </c>
      <c r="V263" s="19">
        <f t="shared" si="18"/>
        <v>0</v>
      </c>
      <c r="W263" s="19">
        <f t="shared" si="19"/>
        <v>1957.5</v>
      </c>
      <c r="X263" s="20">
        <f t="shared" si="20"/>
        <v>1957.5</v>
      </c>
      <c r="Y263" s="20">
        <f t="shared" si="21"/>
        <v>0</v>
      </c>
    </row>
    <row r="264" spans="1:25" ht="15.75" customHeight="1">
      <c r="A264" s="14" t="s">
        <v>538</v>
      </c>
      <c r="B264" s="15" t="s">
        <v>539</v>
      </c>
      <c r="C264" s="16">
        <v>652</v>
      </c>
      <c r="D264" s="16">
        <v>652</v>
      </c>
      <c r="E264" s="17">
        <v>3</v>
      </c>
      <c r="F264" s="18">
        <v>0</v>
      </c>
      <c r="G264" s="18">
        <v>0</v>
      </c>
      <c r="H264" s="18">
        <v>0</v>
      </c>
      <c r="I264" s="17">
        <v>0</v>
      </c>
      <c r="J264" s="17">
        <f t="shared" si="11"/>
        <v>3</v>
      </c>
      <c r="K264" s="18">
        <v>3</v>
      </c>
      <c r="L264" s="18">
        <v>0</v>
      </c>
      <c r="M264" s="17">
        <v>0</v>
      </c>
      <c r="N264" s="18">
        <f t="shared" si="12"/>
        <v>3</v>
      </c>
      <c r="O264" s="17">
        <f t="shared" si="13"/>
        <v>0</v>
      </c>
      <c r="P264" s="3"/>
      <c r="Q264" s="19">
        <f t="shared" si="14"/>
        <v>1956</v>
      </c>
      <c r="R264" s="19">
        <v>0</v>
      </c>
      <c r="S264" s="19">
        <f t="shared" si="15"/>
        <v>0</v>
      </c>
      <c r="T264" s="19">
        <f t="shared" si="16"/>
        <v>0</v>
      </c>
      <c r="U264" s="19">
        <f t="shared" si="17"/>
        <v>0</v>
      </c>
      <c r="V264" s="19">
        <f t="shared" si="18"/>
        <v>0</v>
      </c>
      <c r="W264" s="19">
        <f t="shared" si="19"/>
        <v>1956</v>
      </c>
      <c r="X264" s="20">
        <f t="shared" si="20"/>
        <v>1956</v>
      </c>
      <c r="Y264" s="20">
        <f t="shared" si="21"/>
        <v>0</v>
      </c>
    </row>
    <row r="265" spans="1:25" ht="15.75" customHeight="1">
      <c r="A265" s="14" t="s">
        <v>540</v>
      </c>
      <c r="B265" s="15" t="s">
        <v>541</v>
      </c>
      <c r="C265" s="16">
        <v>1320.89</v>
      </c>
      <c r="D265" s="16">
        <v>1320.89</v>
      </c>
      <c r="E265" s="17">
        <v>0</v>
      </c>
      <c r="F265" s="18">
        <v>0</v>
      </c>
      <c r="G265" s="18">
        <v>0</v>
      </c>
      <c r="H265" s="18">
        <v>0</v>
      </c>
      <c r="I265" s="17">
        <v>0</v>
      </c>
      <c r="J265" s="17">
        <f t="shared" si="11"/>
        <v>0</v>
      </c>
      <c r="K265" s="18">
        <v>0</v>
      </c>
      <c r="L265" s="18">
        <v>0</v>
      </c>
      <c r="M265" s="17">
        <v>0</v>
      </c>
      <c r="N265" s="18">
        <f t="shared" si="12"/>
        <v>0</v>
      </c>
      <c r="O265" s="17">
        <f t="shared" si="13"/>
        <v>0</v>
      </c>
      <c r="P265" s="3"/>
      <c r="Q265" s="19">
        <f t="shared" si="14"/>
        <v>0</v>
      </c>
      <c r="R265" s="19">
        <v>0</v>
      </c>
      <c r="S265" s="19">
        <f t="shared" si="15"/>
        <v>0</v>
      </c>
      <c r="T265" s="19">
        <f t="shared" si="16"/>
        <v>0</v>
      </c>
      <c r="U265" s="19">
        <f t="shared" si="17"/>
        <v>0</v>
      </c>
      <c r="V265" s="19">
        <f t="shared" si="18"/>
        <v>0</v>
      </c>
      <c r="W265" s="19">
        <f t="shared" si="19"/>
        <v>0</v>
      </c>
      <c r="X265" s="20">
        <f t="shared" si="20"/>
        <v>0</v>
      </c>
      <c r="Y265" s="20">
        <f t="shared" si="21"/>
        <v>0</v>
      </c>
    </row>
    <row r="266" spans="1:25" ht="15.75" customHeight="1">
      <c r="A266" s="14" t="s">
        <v>542</v>
      </c>
      <c r="B266" s="15" t="s">
        <v>543</v>
      </c>
      <c r="C266" s="16">
        <v>2086.2600000000002</v>
      </c>
      <c r="D266" s="16">
        <v>2086.2600000000002</v>
      </c>
      <c r="E266" s="17">
        <v>3</v>
      </c>
      <c r="F266" s="18">
        <v>0</v>
      </c>
      <c r="G266" s="18">
        <v>0</v>
      </c>
      <c r="H266" s="18">
        <v>0</v>
      </c>
      <c r="I266" s="17">
        <v>0</v>
      </c>
      <c r="J266" s="17">
        <f t="shared" si="11"/>
        <v>3</v>
      </c>
      <c r="K266" s="18">
        <v>3</v>
      </c>
      <c r="L266" s="18">
        <v>0</v>
      </c>
      <c r="M266" s="17">
        <v>0</v>
      </c>
      <c r="N266" s="18">
        <f t="shared" si="12"/>
        <v>3</v>
      </c>
      <c r="O266" s="17">
        <f t="shared" si="13"/>
        <v>0</v>
      </c>
      <c r="P266" s="3"/>
      <c r="Q266" s="19">
        <f t="shared" si="14"/>
        <v>6258.7800000000007</v>
      </c>
      <c r="R266" s="19">
        <v>0</v>
      </c>
      <c r="S266" s="19">
        <f t="shared" si="15"/>
        <v>0</v>
      </c>
      <c r="T266" s="19">
        <f t="shared" si="16"/>
        <v>0</v>
      </c>
      <c r="U266" s="19">
        <f t="shared" si="17"/>
        <v>0</v>
      </c>
      <c r="V266" s="19">
        <f t="shared" si="18"/>
        <v>0</v>
      </c>
      <c r="W266" s="19">
        <f t="shared" si="19"/>
        <v>6258.7800000000007</v>
      </c>
      <c r="X266" s="20">
        <f t="shared" si="20"/>
        <v>6258.7800000000007</v>
      </c>
      <c r="Y266" s="20">
        <f t="shared" si="21"/>
        <v>0</v>
      </c>
    </row>
    <row r="267" spans="1:25" ht="15.75" customHeight="1">
      <c r="A267" s="14" t="s">
        <v>544</v>
      </c>
      <c r="B267" s="15" t="s">
        <v>545</v>
      </c>
      <c r="C267" s="16">
        <v>1462.18</v>
      </c>
      <c r="D267" s="16">
        <v>1462.18</v>
      </c>
      <c r="E267" s="17">
        <v>0</v>
      </c>
      <c r="F267" s="18">
        <v>0</v>
      </c>
      <c r="G267" s="18">
        <v>0</v>
      </c>
      <c r="H267" s="18">
        <v>0</v>
      </c>
      <c r="I267" s="17">
        <v>0</v>
      </c>
      <c r="J267" s="17">
        <f t="shared" si="11"/>
        <v>0</v>
      </c>
      <c r="K267" s="18">
        <v>0</v>
      </c>
      <c r="L267" s="18">
        <v>0</v>
      </c>
      <c r="M267" s="17">
        <v>0</v>
      </c>
      <c r="N267" s="18">
        <f t="shared" si="12"/>
        <v>0</v>
      </c>
      <c r="O267" s="17">
        <f t="shared" si="13"/>
        <v>0</v>
      </c>
      <c r="P267" s="3"/>
      <c r="Q267" s="19">
        <f t="shared" si="14"/>
        <v>0</v>
      </c>
      <c r="R267" s="19">
        <v>0</v>
      </c>
      <c r="S267" s="19">
        <f t="shared" si="15"/>
        <v>0</v>
      </c>
      <c r="T267" s="19">
        <f t="shared" si="16"/>
        <v>0</v>
      </c>
      <c r="U267" s="19">
        <f t="shared" si="17"/>
        <v>0</v>
      </c>
      <c r="V267" s="19">
        <f t="shared" si="18"/>
        <v>0</v>
      </c>
      <c r="W267" s="19">
        <f t="shared" si="19"/>
        <v>0</v>
      </c>
      <c r="X267" s="20">
        <f t="shared" si="20"/>
        <v>0</v>
      </c>
      <c r="Y267" s="20">
        <f t="shared" si="21"/>
        <v>0</v>
      </c>
    </row>
    <row r="268" spans="1:25" ht="15.75" customHeight="1">
      <c r="A268" s="14" t="s">
        <v>546</v>
      </c>
      <c r="B268" s="15" t="s">
        <v>547</v>
      </c>
      <c r="C268" s="16">
        <v>1981.28</v>
      </c>
      <c r="D268" s="16">
        <v>1981.28</v>
      </c>
      <c r="E268" s="17">
        <v>0</v>
      </c>
      <c r="F268" s="18">
        <v>0</v>
      </c>
      <c r="G268" s="18">
        <v>0</v>
      </c>
      <c r="H268" s="18">
        <v>0</v>
      </c>
      <c r="I268" s="17">
        <v>0</v>
      </c>
      <c r="J268" s="17">
        <f t="shared" si="11"/>
        <v>0</v>
      </c>
      <c r="K268" s="18">
        <v>0</v>
      </c>
      <c r="L268" s="18">
        <v>0</v>
      </c>
      <c r="M268" s="17">
        <v>0</v>
      </c>
      <c r="N268" s="18">
        <f t="shared" si="12"/>
        <v>0</v>
      </c>
      <c r="O268" s="17">
        <f t="shared" si="13"/>
        <v>0</v>
      </c>
      <c r="P268" s="3"/>
      <c r="Q268" s="19">
        <f t="shared" si="14"/>
        <v>0</v>
      </c>
      <c r="R268" s="19">
        <v>0</v>
      </c>
      <c r="S268" s="19">
        <f t="shared" si="15"/>
        <v>0</v>
      </c>
      <c r="T268" s="19">
        <f t="shared" si="16"/>
        <v>0</v>
      </c>
      <c r="U268" s="19">
        <f t="shared" si="17"/>
        <v>0</v>
      </c>
      <c r="V268" s="19">
        <f t="shared" si="18"/>
        <v>0</v>
      </c>
      <c r="W268" s="19">
        <f t="shared" si="19"/>
        <v>0</v>
      </c>
      <c r="X268" s="20">
        <f t="shared" si="20"/>
        <v>0</v>
      </c>
      <c r="Y268" s="20">
        <f t="shared" si="21"/>
        <v>0</v>
      </c>
    </row>
    <row r="269" spans="1:25" ht="15.75" customHeight="1">
      <c r="A269" s="14" t="s">
        <v>548</v>
      </c>
      <c r="B269" s="15" t="s">
        <v>549</v>
      </c>
      <c r="C269" s="16">
        <v>630</v>
      </c>
      <c r="D269" s="16">
        <v>630</v>
      </c>
      <c r="E269" s="17">
        <v>3</v>
      </c>
      <c r="F269" s="18">
        <v>0</v>
      </c>
      <c r="G269" s="18">
        <v>0</v>
      </c>
      <c r="H269" s="18">
        <v>0</v>
      </c>
      <c r="I269" s="17">
        <v>0</v>
      </c>
      <c r="J269" s="17">
        <f t="shared" si="11"/>
        <v>3</v>
      </c>
      <c r="K269" s="18">
        <v>3</v>
      </c>
      <c r="L269" s="18">
        <v>0</v>
      </c>
      <c r="M269" s="17">
        <v>0</v>
      </c>
      <c r="N269" s="18">
        <f t="shared" si="12"/>
        <v>3</v>
      </c>
      <c r="O269" s="17">
        <f t="shared" si="13"/>
        <v>0</v>
      </c>
      <c r="P269" s="3"/>
      <c r="Q269" s="19">
        <f t="shared" si="14"/>
        <v>1890</v>
      </c>
      <c r="R269" s="19">
        <v>0</v>
      </c>
      <c r="S269" s="19">
        <f t="shared" si="15"/>
        <v>0</v>
      </c>
      <c r="T269" s="19">
        <f t="shared" si="16"/>
        <v>0</v>
      </c>
      <c r="U269" s="19">
        <f t="shared" si="17"/>
        <v>0</v>
      </c>
      <c r="V269" s="19">
        <f t="shared" si="18"/>
        <v>0</v>
      </c>
      <c r="W269" s="19">
        <f t="shared" si="19"/>
        <v>1890</v>
      </c>
      <c r="X269" s="20">
        <f t="shared" si="20"/>
        <v>1890</v>
      </c>
      <c r="Y269" s="20">
        <f t="shared" si="21"/>
        <v>0</v>
      </c>
    </row>
    <row r="270" spans="1:25" ht="15.75" customHeight="1">
      <c r="A270" s="14" t="s">
        <v>550</v>
      </c>
      <c r="B270" s="15" t="s">
        <v>551</v>
      </c>
      <c r="C270" s="16">
        <v>60</v>
      </c>
      <c r="D270" s="16">
        <v>60</v>
      </c>
      <c r="E270" s="17">
        <v>191</v>
      </c>
      <c r="F270" s="18">
        <v>0</v>
      </c>
      <c r="G270" s="18">
        <v>0</v>
      </c>
      <c r="H270" s="18">
        <v>0</v>
      </c>
      <c r="I270" s="17">
        <v>0</v>
      </c>
      <c r="J270" s="17">
        <f t="shared" si="11"/>
        <v>191</v>
      </c>
      <c r="K270" s="18">
        <v>91</v>
      </c>
      <c r="L270" s="18">
        <v>100</v>
      </c>
      <c r="M270" s="17">
        <v>0</v>
      </c>
      <c r="N270" s="18">
        <f t="shared" si="12"/>
        <v>191</v>
      </c>
      <c r="O270" s="17">
        <f t="shared" si="13"/>
        <v>0</v>
      </c>
      <c r="P270" s="3"/>
      <c r="Q270" s="19">
        <f t="shared" si="14"/>
        <v>11460</v>
      </c>
      <c r="R270" s="19">
        <v>0</v>
      </c>
      <c r="S270" s="19">
        <f t="shared" si="15"/>
        <v>0</v>
      </c>
      <c r="T270" s="19">
        <f t="shared" si="16"/>
        <v>0</v>
      </c>
      <c r="U270" s="19">
        <f t="shared" si="17"/>
        <v>0</v>
      </c>
      <c r="V270" s="19">
        <f t="shared" si="18"/>
        <v>0</v>
      </c>
      <c r="W270" s="19">
        <f t="shared" si="19"/>
        <v>11460</v>
      </c>
      <c r="X270" s="20">
        <f t="shared" si="20"/>
        <v>11460</v>
      </c>
      <c r="Y270" s="20">
        <f t="shared" si="21"/>
        <v>0</v>
      </c>
    </row>
    <row r="271" spans="1:25" ht="15.75" customHeight="1">
      <c r="A271" s="14" t="s">
        <v>552</v>
      </c>
      <c r="B271" s="15" t="s">
        <v>553</v>
      </c>
      <c r="C271" s="16">
        <v>120</v>
      </c>
      <c r="D271" s="16">
        <v>120</v>
      </c>
      <c r="E271" s="17">
        <v>1</v>
      </c>
      <c r="F271" s="18">
        <v>0</v>
      </c>
      <c r="G271" s="18">
        <v>0</v>
      </c>
      <c r="H271" s="18">
        <v>0</v>
      </c>
      <c r="I271" s="17">
        <v>0</v>
      </c>
      <c r="J271" s="17">
        <f t="shared" si="11"/>
        <v>1</v>
      </c>
      <c r="K271" s="18">
        <v>1</v>
      </c>
      <c r="L271" s="18">
        <v>0</v>
      </c>
      <c r="M271" s="17">
        <v>0</v>
      </c>
      <c r="N271" s="18">
        <f t="shared" si="12"/>
        <v>1</v>
      </c>
      <c r="O271" s="17">
        <f t="shared" si="13"/>
        <v>0</v>
      </c>
      <c r="P271" s="3"/>
      <c r="Q271" s="19">
        <f t="shared" si="14"/>
        <v>120</v>
      </c>
      <c r="R271" s="19">
        <v>0</v>
      </c>
      <c r="S271" s="19">
        <f t="shared" si="15"/>
        <v>0</v>
      </c>
      <c r="T271" s="19">
        <f t="shared" si="16"/>
        <v>0</v>
      </c>
      <c r="U271" s="19">
        <f t="shared" si="17"/>
        <v>0</v>
      </c>
      <c r="V271" s="19">
        <f t="shared" si="18"/>
        <v>0</v>
      </c>
      <c r="W271" s="19">
        <f t="shared" si="19"/>
        <v>120</v>
      </c>
      <c r="X271" s="20">
        <f t="shared" si="20"/>
        <v>120</v>
      </c>
      <c r="Y271" s="20">
        <f t="shared" si="21"/>
        <v>0</v>
      </c>
    </row>
    <row r="272" spans="1:25" ht="15.75" customHeight="1">
      <c r="A272" s="14" t="s">
        <v>554</v>
      </c>
      <c r="B272" s="15" t="s">
        <v>555</v>
      </c>
      <c r="C272" s="16">
        <v>0</v>
      </c>
      <c r="D272" s="16">
        <v>0</v>
      </c>
      <c r="E272" s="17">
        <v>0</v>
      </c>
      <c r="F272" s="18">
        <v>0</v>
      </c>
      <c r="G272" s="18">
        <v>0</v>
      </c>
      <c r="H272" s="18">
        <v>0</v>
      </c>
      <c r="I272" s="17">
        <v>0</v>
      </c>
      <c r="J272" s="17">
        <f t="shared" si="11"/>
        <v>0</v>
      </c>
      <c r="K272" s="18">
        <v>0</v>
      </c>
      <c r="L272" s="18">
        <v>0</v>
      </c>
      <c r="M272" s="17">
        <v>0</v>
      </c>
      <c r="N272" s="18">
        <f t="shared" si="12"/>
        <v>0</v>
      </c>
      <c r="O272" s="17">
        <f t="shared" si="13"/>
        <v>0</v>
      </c>
      <c r="P272" s="3"/>
      <c r="Q272" s="19">
        <f t="shared" si="14"/>
        <v>0</v>
      </c>
      <c r="R272" s="19">
        <v>0</v>
      </c>
      <c r="S272" s="19">
        <f t="shared" si="15"/>
        <v>0</v>
      </c>
      <c r="T272" s="19">
        <f t="shared" si="16"/>
        <v>0</v>
      </c>
      <c r="U272" s="19">
        <f t="shared" si="17"/>
        <v>0</v>
      </c>
      <c r="V272" s="19">
        <f t="shared" si="18"/>
        <v>0</v>
      </c>
      <c r="W272" s="19">
        <f t="shared" si="19"/>
        <v>0</v>
      </c>
      <c r="X272" s="20">
        <f t="shared" si="20"/>
        <v>0</v>
      </c>
      <c r="Y272" s="20">
        <f t="shared" si="21"/>
        <v>0</v>
      </c>
    </row>
    <row r="273" spans="1:25" ht="15.75" customHeight="1">
      <c r="A273" s="14" t="s">
        <v>556</v>
      </c>
      <c r="B273" s="15" t="s">
        <v>557</v>
      </c>
      <c r="C273" s="16">
        <v>48.28</v>
      </c>
      <c r="D273" s="16">
        <v>48.28</v>
      </c>
      <c r="E273" s="17">
        <v>0</v>
      </c>
      <c r="F273" s="18">
        <v>0</v>
      </c>
      <c r="G273" s="18">
        <v>0</v>
      </c>
      <c r="H273" s="18">
        <v>0</v>
      </c>
      <c r="I273" s="17">
        <v>0</v>
      </c>
      <c r="J273" s="17">
        <f t="shared" si="11"/>
        <v>0</v>
      </c>
      <c r="K273" s="18">
        <v>0</v>
      </c>
      <c r="L273" s="18">
        <v>0</v>
      </c>
      <c r="M273" s="17">
        <v>0</v>
      </c>
      <c r="N273" s="18">
        <f t="shared" si="12"/>
        <v>0</v>
      </c>
      <c r="O273" s="17">
        <f t="shared" si="13"/>
        <v>0</v>
      </c>
      <c r="P273" s="3"/>
      <c r="Q273" s="19">
        <f t="shared" si="14"/>
        <v>0</v>
      </c>
      <c r="R273" s="19">
        <v>0</v>
      </c>
      <c r="S273" s="19">
        <f t="shared" si="15"/>
        <v>0</v>
      </c>
      <c r="T273" s="19">
        <f t="shared" si="16"/>
        <v>0</v>
      </c>
      <c r="U273" s="19">
        <f t="shared" si="17"/>
        <v>0</v>
      </c>
      <c r="V273" s="19">
        <f t="shared" si="18"/>
        <v>0</v>
      </c>
      <c r="W273" s="19">
        <f t="shared" si="19"/>
        <v>0</v>
      </c>
      <c r="X273" s="20">
        <f t="shared" si="20"/>
        <v>0</v>
      </c>
      <c r="Y273" s="20">
        <f t="shared" si="21"/>
        <v>0</v>
      </c>
    </row>
    <row r="274" spans="1:25" ht="15.75" customHeight="1">
      <c r="A274" s="14" t="s">
        <v>558</v>
      </c>
      <c r="B274" s="15" t="s">
        <v>559</v>
      </c>
      <c r="C274" s="16">
        <v>0</v>
      </c>
      <c r="D274" s="16">
        <v>0</v>
      </c>
      <c r="E274" s="17">
        <v>0</v>
      </c>
      <c r="F274" s="18">
        <v>0</v>
      </c>
      <c r="G274" s="18">
        <v>0</v>
      </c>
      <c r="H274" s="18">
        <v>0</v>
      </c>
      <c r="I274" s="17">
        <v>0</v>
      </c>
      <c r="J274" s="17">
        <f t="shared" si="11"/>
        <v>0</v>
      </c>
      <c r="K274" s="18">
        <v>0</v>
      </c>
      <c r="L274" s="18">
        <v>0</v>
      </c>
      <c r="M274" s="17">
        <v>0</v>
      </c>
      <c r="N274" s="18">
        <f t="shared" si="12"/>
        <v>0</v>
      </c>
      <c r="O274" s="17">
        <f t="shared" si="13"/>
        <v>0</v>
      </c>
      <c r="P274" s="3"/>
      <c r="Q274" s="19">
        <f t="shared" si="14"/>
        <v>0</v>
      </c>
      <c r="R274" s="19">
        <v>0</v>
      </c>
      <c r="S274" s="19">
        <f t="shared" si="15"/>
        <v>0</v>
      </c>
      <c r="T274" s="19">
        <f t="shared" si="16"/>
        <v>0</v>
      </c>
      <c r="U274" s="19">
        <f t="shared" si="17"/>
        <v>0</v>
      </c>
      <c r="V274" s="19">
        <f t="shared" si="18"/>
        <v>0</v>
      </c>
      <c r="W274" s="19">
        <f t="shared" si="19"/>
        <v>0</v>
      </c>
      <c r="X274" s="20">
        <f t="shared" si="20"/>
        <v>0</v>
      </c>
      <c r="Y274" s="20">
        <f t="shared" si="21"/>
        <v>0</v>
      </c>
    </row>
    <row r="275" spans="1:25" ht="15.75" customHeight="1">
      <c r="A275" s="14" t="s">
        <v>560</v>
      </c>
      <c r="B275" s="15" t="s">
        <v>561</v>
      </c>
      <c r="C275" s="16">
        <v>2250</v>
      </c>
      <c r="D275" s="16">
        <v>2250</v>
      </c>
      <c r="E275" s="17">
        <v>1</v>
      </c>
      <c r="F275" s="18">
        <v>0</v>
      </c>
      <c r="G275" s="18">
        <v>0</v>
      </c>
      <c r="H275" s="18">
        <v>0</v>
      </c>
      <c r="I275" s="17">
        <v>0</v>
      </c>
      <c r="J275" s="17">
        <f t="shared" si="11"/>
        <v>1</v>
      </c>
      <c r="K275" s="18">
        <v>1</v>
      </c>
      <c r="L275" s="18">
        <v>0</v>
      </c>
      <c r="M275" s="17">
        <v>0</v>
      </c>
      <c r="N275" s="18">
        <f t="shared" si="12"/>
        <v>1</v>
      </c>
      <c r="O275" s="17">
        <f t="shared" si="13"/>
        <v>0</v>
      </c>
      <c r="P275" s="3"/>
      <c r="Q275" s="19">
        <f t="shared" si="14"/>
        <v>2250</v>
      </c>
      <c r="R275" s="19">
        <v>0</v>
      </c>
      <c r="S275" s="19">
        <f t="shared" si="15"/>
        <v>0</v>
      </c>
      <c r="T275" s="19">
        <f t="shared" si="16"/>
        <v>0</v>
      </c>
      <c r="U275" s="19">
        <f t="shared" si="17"/>
        <v>0</v>
      </c>
      <c r="V275" s="19">
        <f t="shared" si="18"/>
        <v>0</v>
      </c>
      <c r="W275" s="19">
        <f t="shared" si="19"/>
        <v>2250</v>
      </c>
      <c r="X275" s="20">
        <f t="shared" si="20"/>
        <v>2250</v>
      </c>
      <c r="Y275" s="20">
        <f t="shared" si="21"/>
        <v>0</v>
      </c>
    </row>
    <row r="276" spans="1:25" ht="15.75" customHeight="1">
      <c r="A276" s="14" t="s">
        <v>562</v>
      </c>
      <c r="B276" s="15" t="s">
        <v>563</v>
      </c>
      <c r="C276" s="16">
        <v>473</v>
      </c>
      <c r="D276" s="16">
        <v>473</v>
      </c>
      <c r="E276" s="17">
        <v>0</v>
      </c>
      <c r="F276" s="18">
        <v>0</v>
      </c>
      <c r="G276" s="18">
        <v>0</v>
      </c>
      <c r="H276" s="18">
        <v>0</v>
      </c>
      <c r="I276" s="17">
        <v>0</v>
      </c>
      <c r="J276" s="17">
        <f t="shared" si="11"/>
        <v>0</v>
      </c>
      <c r="K276" s="18">
        <v>0</v>
      </c>
      <c r="L276" s="18">
        <v>0</v>
      </c>
      <c r="M276" s="17">
        <v>0</v>
      </c>
      <c r="N276" s="18">
        <f t="shared" si="12"/>
        <v>0</v>
      </c>
      <c r="O276" s="17">
        <f t="shared" si="13"/>
        <v>0</v>
      </c>
      <c r="P276" s="3"/>
      <c r="Q276" s="19">
        <f t="shared" si="14"/>
        <v>0</v>
      </c>
      <c r="R276" s="19">
        <v>0</v>
      </c>
      <c r="S276" s="19">
        <f t="shared" si="15"/>
        <v>0</v>
      </c>
      <c r="T276" s="19">
        <f t="shared" si="16"/>
        <v>0</v>
      </c>
      <c r="U276" s="19">
        <f t="shared" si="17"/>
        <v>0</v>
      </c>
      <c r="V276" s="19">
        <f t="shared" si="18"/>
        <v>0</v>
      </c>
      <c r="W276" s="19">
        <f t="shared" si="19"/>
        <v>0</v>
      </c>
      <c r="X276" s="20">
        <f t="shared" si="20"/>
        <v>0</v>
      </c>
      <c r="Y276" s="20">
        <f t="shared" si="21"/>
        <v>0</v>
      </c>
    </row>
    <row r="277" spans="1:25" ht="15.75" customHeight="1">
      <c r="A277" s="14" t="s">
        <v>564</v>
      </c>
      <c r="B277" s="15" t="s">
        <v>565</v>
      </c>
      <c r="C277" s="16">
        <v>0</v>
      </c>
      <c r="D277" s="16">
        <v>0</v>
      </c>
      <c r="E277" s="17">
        <v>0</v>
      </c>
      <c r="F277" s="18">
        <v>0</v>
      </c>
      <c r="G277" s="18">
        <v>0</v>
      </c>
      <c r="H277" s="18">
        <v>0</v>
      </c>
      <c r="I277" s="17">
        <v>0</v>
      </c>
      <c r="J277" s="17">
        <f t="shared" si="11"/>
        <v>0</v>
      </c>
      <c r="K277" s="18">
        <v>0</v>
      </c>
      <c r="L277" s="18">
        <v>0</v>
      </c>
      <c r="M277" s="17">
        <v>0</v>
      </c>
      <c r="N277" s="18">
        <f t="shared" si="12"/>
        <v>0</v>
      </c>
      <c r="O277" s="17">
        <f t="shared" si="13"/>
        <v>0</v>
      </c>
      <c r="P277" s="3"/>
      <c r="Q277" s="19">
        <f t="shared" si="14"/>
        <v>0</v>
      </c>
      <c r="R277" s="19">
        <v>0</v>
      </c>
      <c r="S277" s="19">
        <f t="shared" si="15"/>
        <v>0</v>
      </c>
      <c r="T277" s="19">
        <f t="shared" si="16"/>
        <v>0</v>
      </c>
      <c r="U277" s="19">
        <f t="shared" si="17"/>
        <v>0</v>
      </c>
      <c r="V277" s="19">
        <f t="shared" si="18"/>
        <v>0</v>
      </c>
      <c r="W277" s="19">
        <f t="shared" si="19"/>
        <v>0</v>
      </c>
      <c r="X277" s="20">
        <f t="shared" si="20"/>
        <v>0</v>
      </c>
      <c r="Y277" s="20">
        <f t="shared" si="21"/>
        <v>0</v>
      </c>
    </row>
    <row r="278" spans="1:25" ht="15.75" customHeight="1">
      <c r="A278" s="14" t="s">
        <v>566</v>
      </c>
      <c r="B278" s="15" t="s">
        <v>567</v>
      </c>
      <c r="C278" s="16">
        <v>1850</v>
      </c>
      <c r="D278" s="16">
        <v>1850</v>
      </c>
      <c r="E278" s="17">
        <v>0</v>
      </c>
      <c r="F278" s="18">
        <v>0</v>
      </c>
      <c r="G278" s="18">
        <v>0</v>
      </c>
      <c r="H278" s="18">
        <v>0</v>
      </c>
      <c r="I278" s="17">
        <v>0</v>
      </c>
      <c r="J278" s="17">
        <f t="shared" si="11"/>
        <v>0</v>
      </c>
      <c r="K278" s="18">
        <v>0</v>
      </c>
      <c r="L278" s="18">
        <v>0</v>
      </c>
      <c r="M278" s="17">
        <v>0</v>
      </c>
      <c r="N278" s="18">
        <f t="shared" si="12"/>
        <v>0</v>
      </c>
      <c r="O278" s="17">
        <f t="shared" si="13"/>
        <v>0</v>
      </c>
      <c r="P278" s="3"/>
      <c r="Q278" s="19">
        <f t="shared" si="14"/>
        <v>0</v>
      </c>
      <c r="R278" s="19">
        <v>0</v>
      </c>
      <c r="S278" s="19">
        <f t="shared" si="15"/>
        <v>0</v>
      </c>
      <c r="T278" s="19">
        <f t="shared" si="16"/>
        <v>0</v>
      </c>
      <c r="U278" s="19">
        <f t="shared" si="17"/>
        <v>0</v>
      </c>
      <c r="V278" s="19">
        <f t="shared" si="18"/>
        <v>0</v>
      </c>
      <c r="W278" s="19">
        <f t="shared" si="19"/>
        <v>0</v>
      </c>
      <c r="X278" s="20">
        <f t="shared" si="20"/>
        <v>0</v>
      </c>
      <c r="Y278" s="20">
        <f t="shared" si="21"/>
        <v>0</v>
      </c>
    </row>
    <row r="279" spans="1:25" ht="15.75" customHeight="1">
      <c r="A279" s="14" t="s">
        <v>568</v>
      </c>
      <c r="B279" s="15" t="s">
        <v>569</v>
      </c>
      <c r="C279" s="16">
        <v>108.9</v>
      </c>
      <c r="D279" s="16">
        <v>108.9</v>
      </c>
      <c r="E279" s="17">
        <v>0</v>
      </c>
      <c r="F279" s="18">
        <v>0</v>
      </c>
      <c r="G279" s="18">
        <v>0</v>
      </c>
      <c r="H279" s="18">
        <v>0</v>
      </c>
      <c r="I279" s="17">
        <v>0</v>
      </c>
      <c r="J279" s="17">
        <f t="shared" si="11"/>
        <v>0</v>
      </c>
      <c r="K279" s="18">
        <v>0</v>
      </c>
      <c r="L279" s="18">
        <v>0</v>
      </c>
      <c r="M279" s="17">
        <v>0</v>
      </c>
      <c r="N279" s="18">
        <f t="shared" si="12"/>
        <v>0</v>
      </c>
      <c r="O279" s="17">
        <f t="shared" si="13"/>
        <v>0</v>
      </c>
      <c r="P279" s="3"/>
      <c r="Q279" s="19">
        <f t="shared" si="14"/>
        <v>0</v>
      </c>
      <c r="R279" s="19">
        <v>0</v>
      </c>
      <c r="S279" s="19">
        <f t="shared" si="15"/>
        <v>0</v>
      </c>
      <c r="T279" s="19">
        <f t="shared" si="16"/>
        <v>0</v>
      </c>
      <c r="U279" s="19">
        <f t="shared" si="17"/>
        <v>0</v>
      </c>
      <c r="V279" s="19">
        <f t="shared" si="18"/>
        <v>0</v>
      </c>
      <c r="W279" s="19">
        <f t="shared" si="19"/>
        <v>0</v>
      </c>
      <c r="X279" s="20">
        <f t="shared" si="20"/>
        <v>0</v>
      </c>
      <c r="Y279" s="20">
        <f t="shared" si="21"/>
        <v>0</v>
      </c>
    </row>
    <row r="280" spans="1:25" ht="15.75" customHeight="1">
      <c r="A280" s="14" t="s">
        <v>570</v>
      </c>
      <c r="B280" s="15" t="s">
        <v>571</v>
      </c>
      <c r="C280" s="16">
        <v>0</v>
      </c>
      <c r="D280" s="16">
        <v>0</v>
      </c>
      <c r="E280" s="17">
        <v>0</v>
      </c>
      <c r="F280" s="18">
        <v>0</v>
      </c>
      <c r="G280" s="18">
        <v>0</v>
      </c>
      <c r="H280" s="18">
        <v>0</v>
      </c>
      <c r="I280" s="17">
        <v>0</v>
      </c>
      <c r="J280" s="17">
        <f t="shared" si="11"/>
        <v>0</v>
      </c>
      <c r="K280" s="18">
        <v>0</v>
      </c>
      <c r="L280" s="18">
        <v>0</v>
      </c>
      <c r="M280" s="17">
        <v>0</v>
      </c>
      <c r="N280" s="18">
        <f t="shared" si="12"/>
        <v>0</v>
      </c>
      <c r="O280" s="17">
        <f t="shared" si="13"/>
        <v>0</v>
      </c>
      <c r="P280" s="3"/>
      <c r="Q280" s="19">
        <f t="shared" si="14"/>
        <v>0</v>
      </c>
      <c r="R280" s="19">
        <v>0</v>
      </c>
      <c r="S280" s="19">
        <f t="shared" si="15"/>
        <v>0</v>
      </c>
      <c r="T280" s="19">
        <f t="shared" si="16"/>
        <v>0</v>
      </c>
      <c r="U280" s="19">
        <f t="shared" si="17"/>
        <v>0</v>
      </c>
      <c r="V280" s="19">
        <f t="shared" si="18"/>
        <v>0</v>
      </c>
      <c r="W280" s="19">
        <f t="shared" si="19"/>
        <v>0</v>
      </c>
      <c r="X280" s="20">
        <f t="shared" si="20"/>
        <v>0</v>
      </c>
      <c r="Y280" s="20">
        <f t="shared" si="21"/>
        <v>0</v>
      </c>
    </row>
    <row r="281" spans="1:25" ht="15.75" customHeight="1">
      <c r="A281" s="14" t="s">
        <v>572</v>
      </c>
      <c r="B281" s="15" t="s">
        <v>573</v>
      </c>
      <c r="C281" s="16">
        <v>12.18</v>
      </c>
      <c r="D281" s="16">
        <v>12.18</v>
      </c>
      <c r="E281" s="17">
        <v>50</v>
      </c>
      <c r="F281" s="18">
        <v>0</v>
      </c>
      <c r="G281" s="18">
        <v>0</v>
      </c>
      <c r="H281" s="18">
        <v>0</v>
      </c>
      <c r="I281" s="17">
        <v>0</v>
      </c>
      <c r="J281" s="17">
        <f t="shared" si="11"/>
        <v>50</v>
      </c>
      <c r="K281" s="18">
        <v>50</v>
      </c>
      <c r="L281" s="18">
        <v>0</v>
      </c>
      <c r="M281" s="17">
        <v>0</v>
      </c>
      <c r="N281" s="18">
        <f t="shared" si="12"/>
        <v>50</v>
      </c>
      <c r="O281" s="17">
        <f t="shared" si="13"/>
        <v>0</v>
      </c>
      <c r="P281" s="3"/>
      <c r="Q281" s="19">
        <f t="shared" si="14"/>
        <v>609</v>
      </c>
      <c r="R281" s="19">
        <v>0</v>
      </c>
      <c r="S281" s="19">
        <f t="shared" si="15"/>
        <v>0</v>
      </c>
      <c r="T281" s="19">
        <f t="shared" si="16"/>
        <v>0</v>
      </c>
      <c r="U281" s="19">
        <f t="shared" si="17"/>
        <v>0</v>
      </c>
      <c r="V281" s="19">
        <f t="shared" si="18"/>
        <v>0</v>
      </c>
      <c r="W281" s="19">
        <f t="shared" si="19"/>
        <v>609</v>
      </c>
      <c r="X281" s="20">
        <f t="shared" si="20"/>
        <v>609</v>
      </c>
      <c r="Y281" s="20">
        <f t="shared" si="21"/>
        <v>0</v>
      </c>
    </row>
    <row r="282" spans="1:25" ht="15.75" customHeight="1">
      <c r="A282" s="14" t="s">
        <v>574</v>
      </c>
      <c r="B282" s="15" t="s">
        <v>575</v>
      </c>
      <c r="C282" s="16">
        <v>12.18</v>
      </c>
      <c r="D282" s="16">
        <v>12.18</v>
      </c>
      <c r="E282" s="17">
        <v>50</v>
      </c>
      <c r="F282" s="18">
        <v>0</v>
      </c>
      <c r="G282" s="18">
        <v>0</v>
      </c>
      <c r="H282" s="18">
        <v>0</v>
      </c>
      <c r="I282" s="17">
        <v>0</v>
      </c>
      <c r="J282" s="17">
        <f t="shared" si="11"/>
        <v>50</v>
      </c>
      <c r="K282" s="18">
        <v>50</v>
      </c>
      <c r="L282" s="18">
        <v>0</v>
      </c>
      <c r="M282" s="17">
        <v>0</v>
      </c>
      <c r="N282" s="18">
        <f t="shared" si="12"/>
        <v>50</v>
      </c>
      <c r="O282" s="17">
        <f t="shared" si="13"/>
        <v>0</v>
      </c>
      <c r="P282" s="3"/>
      <c r="Q282" s="19">
        <f t="shared" si="14"/>
        <v>609</v>
      </c>
      <c r="R282" s="19">
        <v>0</v>
      </c>
      <c r="S282" s="19">
        <f t="shared" si="15"/>
        <v>0</v>
      </c>
      <c r="T282" s="19">
        <f t="shared" si="16"/>
        <v>0</v>
      </c>
      <c r="U282" s="19">
        <f t="shared" si="17"/>
        <v>0</v>
      </c>
      <c r="V282" s="19">
        <f t="shared" si="18"/>
        <v>0</v>
      </c>
      <c r="W282" s="19">
        <f t="shared" si="19"/>
        <v>609</v>
      </c>
      <c r="X282" s="20">
        <f t="shared" si="20"/>
        <v>609</v>
      </c>
      <c r="Y282" s="20">
        <f t="shared" si="21"/>
        <v>0</v>
      </c>
    </row>
    <row r="283" spans="1:25" ht="15.75" customHeight="1">
      <c r="A283" s="14" t="s">
        <v>576</v>
      </c>
      <c r="B283" s="15" t="s">
        <v>577</v>
      </c>
      <c r="C283" s="16">
        <v>820</v>
      </c>
      <c r="D283" s="16">
        <v>820</v>
      </c>
      <c r="E283" s="17">
        <v>2</v>
      </c>
      <c r="F283" s="18">
        <v>0</v>
      </c>
      <c r="G283" s="18">
        <v>0</v>
      </c>
      <c r="H283" s="18">
        <v>0</v>
      </c>
      <c r="I283" s="17">
        <v>0</v>
      </c>
      <c r="J283" s="17">
        <f t="shared" si="11"/>
        <v>2</v>
      </c>
      <c r="K283" s="18">
        <v>2</v>
      </c>
      <c r="L283" s="18">
        <v>0</v>
      </c>
      <c r="M283" s="17">
        <v>0</v>
      </c>
      <c r="N283" s="18">
        <f t="shared" si="12"/>
        <v>2</v>
      </c>
      <c r="O283" s="17">
        <f t="shared" si="13"/>
        <v>0</v>
      </c>
      <c r="P283" s="3"/>
      <c r="Q283" s="19">
        <f t="shared" si="14"/>
        <v>1640</v>
      </c>
      <c r="R283" s="19">
        <v>0</v>
      </c>
      <c r="S283" s="19">
        <f t="shared" si="15"/>
        <v>0</v>
      </c>
      <c r="T283" s="19">
        <f t="shared" si="16"/>
        <v>0</v>
      </c>
      <c r="U283" s="19">
        <f t="shared" si="17"/>
        <v>0</v>
      </c>
      <c r="V283" s="19">
        <f t="shared" si="18"/>
        <v>0</v>
      </c>
      <c r="W283" s="19">
        <f t="shared" si="19"/>
        <v>1640</v>
      </c>
      <c r="X283" s="20">
        <f t="shared" si="20"/>
        <v>1640</v>
      </c>
      <c r="Y283" s="20">
        <f t="shared" si="21"/>
        <v>0</v>
      </c>
    </row>
    <row r="284" spans="1:25" ht="15.75" customHeight="1">
      <c r="A284" s="14" t="s">
        <v>578</v>
      </c>
      <c r="B284" s="15" t="s">
        <v>579</v>
      </c>
      <c r="C284" s="16">
        <v>0</v>
      </c>
      <c r="D284" s="16">
        <v>0</v>
      </c>
      <c r="E284" s="17">
        <v>0</v>
      </c>
      <c r="F284" s="18">
        <v>0</v>
      </c>
      <c r="G284" s="18">
        <v>0</v>
      </c>
      <c r="H284" s="18">
        <v>0</v>
      </c>
      <c r="I284" s="17">
        <v>0</v>
      </c>
      <c r="J284" s="17">
        <f t="shared" si="11"/>
        <v>0</v>
      </c>
      <c r="K284" s="18">
        <v>0</v>
      </c>
      <c r="L284" s="18">
        <v>0</v>
      </c>
      <c r="M284" s="17">
        <v>0</v>
      </c>
      <c r="N284" s="18">
        <f t="shared" si="12"/>
        <v>0</v>
      </c>
      <c r="O284" s="17">
        <f t="shared" si="13"/>
        <v>0</v>
      </c>
      <c r="P284" s="3"/>
      <c r="Q284" s="19">
        <f t="shared" si="14"/>
        <v>0</v>
      </c>
      <c r="R284" s="19">
        <v>0</v>
      </c>
      <c r="S284" s="19">
        <f t="shared" si="15"/>
        <v>0</v>
      </c>
      <c r="T284" s="19">
        <f t="shared" si="16"/>
        <v>0</v>
      </c>
      <c r="U284" s="19">
        <f t="shared" si="17"/>
        <v>0</v>
      </c>
      <c r="V284" s="19">
        <f t="shared" si="18"/>
        <v>0</v>
      </c>
      <c r="W284" s="19">
        <f t="shared" si="19"/>
        <v>0</v>
      </c>
      <c r="X284" s="20">
        <f t="shared" si="20"/>
        <v>0</v>
      </c>
      <c r="Y284" s="20">
        <f t="shared" si="21"/>
        <v>0</v>
      </c>
    </row>
    <row r="285" spans="1:25" ht="15.75" customHeight="1">
      <c r="A285" s="23" t="s">
        <v>580</v>
      </c>
      <c r="B285" s="15" t="s">
        <v>581</v>
      </c>
      <c r="C285" s="16">
        <v>276.57</v>
      </c>
      <c r="D285" s="16">
        <v>276.57</v>
      </c>
      <c r="E285" s="17">
        <v>17</v>
      </c>
      <c r="F285" s="18">
        <v>0</v>
      </c>
      <c r="G285" s="18">
        <v>0</v>
      </c>
      <c r="H285" s="18">
        <v>0</v>
      </c>
      <c r="I285" s="17">
        <v>0</v>
      </c>
      <c r="J285" s="17">
        <f t="shared" si="11"/>
        <v>17</v>
      </c>
      <c r="K285" s="18">
        <v>17</v>
      </c>
      <c r="L285" s="18">
        <v>0</v>
      </c>
      <c r="M285" s="17">
        <v>0</v>
      </c>
      <c r="N285" s="18">
        <f t="shared" si="12"/>
        <v>17</v>
      </c>
      <c r="O285" s="17">
        <f t="shared" si="13"/>
        <v>0</v>
      </c>
      <c r="P285" s="3"/>
      <c r="Q285" s="19">
        <f t="shared" si="14"/>
        <v>4701.6899999999996</v>
      </c>
      <c r="R285" s="19">
        <v>0</v>
      </c>
      <c r="S285" s="19">
        <f t="shared" si="15"/>
        <v>0</v>
      </c>
      <c r="T285" s="19">
        <f t="shared" si="16"/>
        <v>0</v>
      </c>
      <c r="U285" s="19">
        <f t="shared" si="17"/>
        <v>0</v>
      </c>
      <c r="V285" s="19">
        <f t="shared" si="18"/>
        <v>0</v>
      </c>
      <c r="W285" s="19">
        <f t="shared" si="19"/>
        <v>4701.6899999999996</v>
      </c>
      <c r="X285" s="20">
        <f t="shared" si="20"/>
        <v>4701.6899999999996</v>
      </c>
      <c r="Y285" s="20">
        <f t="shared" si="21"/>
        <v>0</v>
      </c>
    </row>
    <row r="286" spans="1:25" ht="15.75" customHeight="1">
      <c r="A286" s="14" t="s">
        <v>582</v>
      </c>
      <c r="B286" s="15" t="s">
        <v>583</v>
      </c>
      <c r="C286" s="16">
        <v>34.53</v>
      </c>
      <c r="D286" s="16">
        <v>34.53</v>
      </c>
      <c r="E286" s="17">
        <v>1</v>
      </c>
      <c r="F286" s="18">
        <v>0</v>
      </c>
      <c r="G286" s="18">
        <v>0</v>
      </c>
      <c r="H286" s="18">
        <v>0</v>
      </c>
      <c r="I286" s="17">
        <v>0</v>
      </c>
      <c r="J286" s="17">
        <f t="shared" si="11"/>
        <v>1</v>
      </c>
      <c r="K286" s="18">
        <v>1</v>
      </c>
      <c r="L286" s="18">
        <v>0</v>
      </c>
      <c r="M286" s="17">
        <v>0</v>
      </c>
      <c r="N286" s="18">
        <f t="shared" si="12"/>
        <v>1</v>
      </c>
      <c r="O286" s="17">
        <f t="shared" si="13"/>
        <v>0</v>
      </c>
      <c r="P286" s="3"/>
      <c r="Q286" s="19">
        <f t="shared" si="14"/>
        <v>34.53</v>
      </c>
      <c r="R286" s="19">
        <v>0</v>
      </c>
      <c r="S286" s="19">
        <f t="shared" si="15"/>
        <v>0</v>
      </c>
      <c r="T286" s="19">
        <f t="shared" si="16"/>
        <v>0</v>
      </c>
      <c r="U286" s="19">
        <f t="shared" si="17"/>
        <v>0</v>
      </c>
      <c r="V286" s="19">
        <f t="shared" si="18"/>
        <v>0</v>
      </c>
      <c r="W286" s="19">
        <f t="shared" si="19"/>
        <v>34.53</v>
      </c>
      <c r="X286" s="20">
        <f t="shared" si="20"/>
        <v>34.53</v>
      </c>
      <c r="Y286" s="20">
        <f t="shared" si="21"/>
        <v>0</v>
      </c>
    </row>
    <row r="287" spans="1:25" ht="15.75" customHeight="1">
      <c r="A287" s="14" t="s">
        <v>584</v>
      </c>
      <c r="B287" s="15" t="s">
        <v>585</v>
      </c>
      <c r="C287" s="16">
        <v>94.83</v>
      </c>
      <c r="D287" s="16">
        <v>94.83</v>
      </c>
      <c r="E287" s="17">
        <v>1</v>
      </c>
      <c r="F287" s="18">
        <v>0</v>
      </c>
      <c r="G287" s="18">
        <v>0</v>
      </c>
      <c r="H287" s="18">
        <v>0</v>
      </c>
      <c r="I287" s="17">
        <v>0</v>
      </c>
      <c r="J287" s="17">
        <f t="shared" si="11"/>
        <v>1</v>
      </c>
      <c r="K287" s="18">
        <v>1</v>
      </c>
      <c r="L287" s="18">
        <v>0</v>
      </c>
      <c r="M287" s="17">
        <v>0</v>
      </c>
      <c r="N287" s="18">
        <f t="shared" si="12"/>
        <v>1</v>
      </c>
      <c r="O287" s="17">
        <f t="shared" si="13"/>
        <v>0</v>
      </c>
      <c r="P287" s="3"/>
      <c r="Q287" s="19">
        <f t="shared" si="14"/>
        <v>94.83</v>
      </c>
      <c r="R287" s="19">
        <v>0</v>
      </c>
      <c r="S287" s="19">
        <f t="shared" si="15"/>
        <v>0</v>
      </c>
      <c r="T287" s="19">
        <f t="shared" si="16"/>
        <v>0</v>
      </c>
      <c r="U287" s="19">
        <f t="shared" si="17"/>
        <v>0</v>
      </c>
      <c r="V287" s="19">
        <f t="shared" si="18"/>
        <v>0</v>
      </c>
      <c r="W287" s="19">
        <f t="shared" si="19"/>
        <v>94.83</v>
      </c>
      <c r="X287" s="20">
        <f t="shared" si="20"/>
        <v>94.83</v>
      </c>
      <c r="Y287" s="20">
        <f t="shared" si="21"/>
        <v>0</v>
      </c>
    </row>
    <row r="288" spans="1:25" ht="15.75" customHeight="1">
      <c r="A288" s="14" t="s">
        <v>586</v>
      </c>
      <c r="B288" s="15" t="s">
        <v>587</v>
      </c>
      <c r="C288" s="16">
        <v>168.1</v>
      </c>
      <c r="D288" s="16">
        <v>168.1</v>
      </c>
      <c r="E288" s="17">
        <v>1</v>
      </c>
      <c r="F288" s="18">
        <v>0</v>
      </c>
      <c r="G288" s="18">
        <v>0</v>
      </c>
      <c r="H288" s="18">
        <v>0</v>
      </c>
      <c r="I288" s="17">
        <v>0</v>
      </c>
      <c r="J288" s="17">
        <f t="shared" si="11"/>
        <v>1</v>
      </c>
      <c r="K288" s="18">
        <v>1</v>
      </c>
      <c r="L288" s="18">
        <v>0</v>
      </c>
      <c r="M288" s="17">
        <v>0</v>
      </c>
      <c r="N288" s="18">
        <f t="shared" si="12"/>
        <v>1</v>
      </c>
      <c r="O288" s="17">
        <f t="shared" si="13"/>
        <v>0</v>
      </c>
      <c r="P288" s="3"/>
      <c r="Q288" s="19">
        <f t="shared" si="14"/>
        <v>168.1</v>
      </c>
      <c r="R288" s="19">
        <v>0</v>
      </c>
      <c r="S288" s="19">
        <f t="shared" si="15"/>
        <v>0</v>
      </c>
      <c r="T288" s="19">
        <f t="shared" si="16"/>
        <v>0</v>
      </c>
      <c r="U288" s="19">
        <f t="shared" si="17"/>
        <v>0</v>
      </c>
      <c r="V288" s="19">
        <f t="shared" si="18"/>
        <v>0</v>
      </c>
      <c r="W288" s="19">
        <f t="shared" si="19"/>
        <v>168.1</v>
      </c>
      <c r="X288" s="20">
        <f t="shared" si="20"/>
        <v>168.1</v>
      </c>
      <c r="Y288" s="20">
        <f t="shared" si="21"/>
        <v>0</v>
      </c>
    </row>
    <row r="289" spans="1:25" ht="15.75" customHeight="1">
      <c r="A289" s="14" t="s">
        <v>588</v>
      </c>
      <c r="B289" s="15" t="s">
        <v>589</v>
      </c>
      <c r="C289" s="16">
        <v>652.5</v>
      </c>
      <c r="D289" s="16">
        <v>652.5</v>
      </c>
      <c r="E289" s="17">
        <v>5</v>
      </c>
      <c r="F289" s="18">
        <v>0</v>
      </c>
      <c r="G289" s="18">
        <v>0</v>
      </c>
      <c r="H289" s="18">
        <v>0</v>
      </c>
      <c r="I289" s="17">
        <v>0</v>
      </c>
      <c r="J289" s="17">
        <f t="shared" si="11"/>
        <v>5</v>
      </c>
      <c r="K289" s="18">
        <v>5</v>
      </c>
      <c r="L289" s="18">
        <v>0</v>
      </c>
      <c r="M289" s="17">
        <v>0</v>
      </c>
      <c r="N289" s="18">
        <f t="shared" si="12"/>
        <v>5</v>
      </c>
      <c r="O289" s="17">
        <f t="shared" si="13"/>
        <v>0</v>
      </c>
      <c r="P289" s="3"/>
      <c r="Q289" s="19">
        <f t="shared" si="14"/>
        <v>3262.5</v>
      </c>
      <c r="R289" s="19">
        <v>0</v>
      </c>
      <c r="S289" s="19">
        <f t="shared" si="15"/>
        <v>0</v>
      </c>
      <c r="T289" s="19">
        <f t="shared" si="16"/>
        <v>0</v>
      </c>
      <c r="U289" s="19">
        <f t="shared" si="17"/>
        <v>0</v>
      </c>
      <c r="V289" s="19">
        <f t="shared" si="18"/>
        <v>0</v>
      </c>
      <c r="W289" s="19">
        <f t="shared" si="19"/>
        <v>3262.5</v>
      </c>
      <c r="X289" s="20">
        <f t="shared" si="20"/>
        <v>3262.5</v>
      </c>
      <c r="Y289" s="20">
        <f t="shared" si="21"/>
        <v>0</v>
      </c>
    </row>
    <row r="290" spans="1:25" ht="15.75" customHeight="1">
      <c r="A290" s="14" t="s">
        <v>590</v>
      </c>
      <c r="B290" s="15" t="s">
        <v>591</v>
      </c>
      <c r="C290" s="16">
        <v>507.5</v>
      </c>
      <c r="D290" s="16">
        <v>507.5</v>
      </c>
      <c r="E290" s="17">
        <v>2</v>
      </c>
      <c r="F290" s="18">
        <v>0</v>
      </c>
      <c r="G290" s="18">
        <v>0</v>
      </c>
      <c r="H290" s="18">
        <v>0</v>
      </c>
      <c r="I290" s="17">
        <v>0</v>
      </c>
      <c r="J290" s="17">
        <f t="shared" si="11"/>
        <v>2</v>
      </c>
      <c r="K290" s="18">
        <v>2</v>
      </c>
      <c r="L290" s="18">
        <v>0</v>
      </c>
      <c r="M290" s="17">
        <v>0</v>
      </c>
      <c r="N290" s="18">
        <f t="shared" si="12"/>
        <v>2</v>
      </c>
      <c r="O290" s="17">
        <f t="shared" si="13"/>
        <v>0</v>
      </c>
      <c r="P290" s="3"/>
      <c r="Q290" s="19">
        <f t="shared" si="14"/>
        <v>1015</v>
      </c>
      <c r="R290" s="19">
        <v>0</v>
      </c>
      <c r="S290" s="19">
        <f t="shared" si="15"/>
        <v>0</v>
      </c>
      <c r="T290" s="19">
        <f t="shared" si="16"/>
        <v>0</v>
      </c>
      <c r="U290" s="19">
        <f t="shared" si="17"/>
        <v>0</v>
      </c>
      <c r="V290" s="19">
        <f t="shared" si="18"/>
        <v>0</v>
      </c>
      <c r="W290" s="19">
        <f t="shared" si="19"/>
        <v>1015</v>
      </c>
      <c r="X290" s="20">
        <f t="shared" si="20"/>
        <v>1015</v>
      </c>
      <c r="Y290" s="20">
        <f t="shared" si="21"/>
        <v>0</v>
      </c>
    </row>
    <row r="291" spans="1:25" ht="15.75" customHeight="1">
      <c r="A291" s="14" t="s">
        <v>592</v>
      </c>
      <c r="B291" s="15" t="s">
        <v>593</v>
      </c>
      <c r="C291" s="16">
        <v>0</v>
      </c>
      <c r="D291" s="16">
        <v>0</v>
      </c>
      <c r="E291" s="17">
        <v>0</v>
      </c>
      <c r="F291" s="18">
        <v>0</v>
      </c>
      <c r="G291" s="18">
        <v>0</v>
      </c>
      <c r="H291" s="18">
        <v>0</v>
      </c>
      <c r="I291" s="17">
        <v>0</v>
      </c>
      <c r="J291" s="17">
        <f t="shared" si="11"/>
        <v>0</v>
      </c>
      <c r="K291" s="18">
        <v>0</v>
      </c>
      <c r="L291" s="18">
        <v>0</v>
      </c>
      <c r="M291" s="17">
        <v>0</v>
      </c>
      <c r="N291" s="18">
        <f t="shared" si="12"/>
        <v>0</v>
      </c>
      <c r="O291" s="17">
        <f t="shared" si="13"/>
        <v>0</v>
      </c>
      <c r="P291" s="3"/>
      <c r="Q291" s="19">
        <f t="shared" si="14"/>
        <v>0</v>
      </c>
      <c r="R291" s="19">
        <v>0</v>
      </c>
      <c r="S291" s="19">
        <f t="shared" si="15"/>
        <v>0</v>
      </c>
      <c r="T291" s="19">
        <f t="shared" si="16"/>
        <v>0</v>
      </c>
      <c r="U291" s="19">
        <f t="shared" si="17"/>
        <v>0</v>
      </c>
      <c r="V291" s="19">
        <f t="shared" si="18"/>
        <v>0</v>
      </c>
      <c r="W291" s="19">
        <f t="shared" si="19"/>
        <v>0</v>
      </c>
      <c r="X291" s="20">
        <f t="shared" si="20"/>
        <v>0</v>
      </c>
      <c r="Y291" s="20">
        <f t="shared" si="21"/>
        <v>0</v>
      </c>
    </row>
    <row r="292" spans="1:25" ht="15.75" customHeight="1">
      <c r="A292" s="14" t="s">
        <v>594</v>
      </c>
      <c r="B292" s="15" t="s">
        <v>595</v>
      </c>
      <c r="C292" s="16">
        <v>19.510000000000002</v>
      </c>
      <c r="D292" s="16">
        <v>19.510000000000002</v>
      </c>
      <c r="E292" s="17">
        <v>0</v>
      </c>
      <c r="F292" s="18">
        <v>0</v>
      </c>
      <c r="G292" s="18">
        <v>0</v>
      </c>
      <c r="H292" s="18">
        <v>0</v>
      </c>
      <c r="I292" s="17">
        <v>0</v>
      </c>
      <c r="J292" s="17">
        <f t="shared" si="11"/>
        <v>0</v>
      </c>
      <c r="K292" s="18">
        <v>0</v>
      </c>
      <c r="L292" s="18">
        <v>0</v>
      </c>
      <c r="M292" s="17">
        <v>0</v>
      </c>
      <c r="N292" s="18">
        <f t="shared" si="12"/>
        <v>0</v>
      </c>
      <c r="O292" s="17">
        <f t="shared" si="13"/>
        <v>0</v>
      </c>
      <c r="P292" s="3"/>
      <c r="Q292" s="19">
        <f t="shared" si="14"/>
        <v>0</v>
      </c>
      <c r="R292" s="19">
        <v>0</v>
      </c>
      <c r="S292" s="19">
        <f t="shared" si="15"/>
        <v>0</v>
      </c>
      <c r="T292" s="19">
        <f t="shared" si="16"/>
        <v>0</v>
      </c>
      <c r="U292" s="19">
        <f t="shared" si="17"/>
        <v>0</v>
      </c>
      <c r="V292" s="19">
        <f t="shared" si="18"/>
        <v>0</v>
      </c>
      <c r="W292" s="19">
        <f t="shared" si="19"/>
        <v>0</v>
      </c>
      <c r="X292" s="20">
        <f t="shared" si="20"/>
        <v>0</v>
      </c>
      <c r="Y292" s="20">
        <f t="shared" si="21"/>
        <v>0</v>
      </c>
    </row>
    <row r="293" spans="1:25" ht="15.75" customHeight="1">
      <c r="A293" s="14" t="s">
        <v>596</v>
      </c>
      <c r="B293" s="15" t="s">
        <v>597</v>
      </c>
      <c r="C293" s="16">
        <v>142.65</v>
      </c>
      <c r="D293" s="16">
        <v>142.65</v>
      </c>
      <c r="E293" s="17">
        <v>2</v>
      </c>
      <c r="F293" s="18">
        <v>0</v>
      </c>
      <c r="G293" s="18">
        <v>0</v>
      </c>
      <c r="H293" s="18">
        <v>0</v>
      </c>
      <c r="I293" s="17">
        <v>0</v>
      </c>
      <c r="J293" s="17">
        <f t="shared" si="11"/>
        <v>2</v>
      </c>
      <c r="K293" s="18">
        <v>2</v>
      </c>
      <c r="L293" s="18">
        <v>0</v>
      </c>
      <c r="M293" s="17">
        <v>0</v>
      </c>
      <c r="N293" s="18">
        <f t="shared" si="12"/>
        <v>2</v>
      </c>
      <c r="O293" s="17">
        <f t="shared" si="13"/>
        <v>0</v>
      </c>
      <c r="P293" s="3"/>
      <c r="Q293" s="19">
        <f t="shared" si="14"/>
        <v>285.3</v>
      </c>
      <c r="R293" s="19">
        <v>0</v>
      </c>
      <c r="S293" s="19">
        <f t="shared" si="15"/>
        <v>0</v>
      </c>
      <c r="T293" s="19">
        <f t="shared" si="16"/>
        <v>0</v>
      </c>
      <c r="U293" s="19">
        <f t="shared" si="17"/>
        <v>0</v>
      </c>
      <c r="V293" s="19">
        <f t="shared" si="18"/>
        <v>0</v>
      </c>
      <c r="W293" s="19">
        <f t="shared" si="19"/>
        <v>285.3</v>
      </c>
      <c r="X293" s="20">
        <f t="shared" si="20"/>
        <v>285.3</v>
      </c>
      <c r="Y293" s="20">
        <f t="shared" si="21"/>
        <v>0</v>
      </c>
    </row>
    <row r="294" spans="1:25" ht="15.75" customHeight="1">
      <c r="A294" s="14" t="s">
        <v>598</v>
      </c>
      <c r="B294" s="15" t="s">
        <v>599</v>
      </c>
      <c r="C294" s="16">
        <v>7.05</v>
      </c>
      <c r="D294" s="16">
        <v>7.05</v>
      </c>
      <c r="E294" s="17">
        <v>0</v>
      </c>
      <c r="F294" s="18">
        <v>0</v>
      </c>
      <c r="G294" s="18">
        <v>0</v>
      </c>
      <c r="H294" s="18">
        <v>0</v>
      </c>
      <c r="I294" s="17">
        <v>0</v>
      </c>
      <c r="J294" s="17">
        <f t="shared" si="11"/>
        <v>0</v>
      </c>
      <c r="K294" s="18">
        <v>0</v>
      </c>
      <c r="L294" s="18">
        <v>0</v>
      </c>
      <c r="M294" s="17">
        <v>0</v>
      </c>
      <c r="N294" s="18">
        <f t="shared" si="12"/>
        <v>0</v>
      </c>
      <c r="O294" s="17">
        <f t="shared" si="13"/>
        <v>0</v>
      </c>
      <c r="P294" s="3"/>
      <c r="Q294" s="19">
        <f t="shared" si="14"/>
        <v>0</v>
      </c>
      <c r="R294" s="19">
        <v>0</v>
      </c>
      <c r="S294" s="19">
        <f t="shared" si="15"/>
        <v>0</v>
      </c>
      <c r="T294" s="19">
        <f t="shared" si="16"/>
        <v>0</v>
      </c>
      <c r="U294" s="19">
        <f t="shared" si="17"/>
        <v>0</v>
      </c>
      <c r="V294" s="19">
        <f t="shared" si="18"/>
        <v>0</v>
      </c>
      <c r="W294" s="19">
        <f t="shared" si="19"/>
        <v>0</v>
      </c>
      <c r="X294" s="20">
        <f t="shared" si="20"/>
        <v>0</v>
      </c>
      <c r="Y294" s="20">
        <f t="shared" si="21"/>
        <v>0</v>
      </c>
    </row>
    <row r="295" spans="1:25" ht="15.75" customHeight="1">
      <c r="A295" s="14" t="s">
        <v>600</v>
      </c>
      <c r="B295" s="15" t="s">
        <v>601</v>
      </c>
      <c r="C295" s="16">
        <v>522</v>
      </c>
      <c r="D295" s="16">
        <v>522</v>
      </c>
      <c r="E295" s="17">
        <v>18</v>
      </c>
      <c r="F295" s="18">
        <v>0</v>
      </c>
      <c r="G295" s="18">
        <v>0</v>
      </c>
      <c r="H295" s="18">
        <v>0</v>
      </c>
      <c r="I295" s="17">
        <v>0</v>
      </c>
      <c r="J295" s="17">
        <f t="shared" si="11"/>
        <v>18</v>
      </c>
      <c r="K295" s="18">
        <v>18</v>
      </c>
      <c r="L295" s="18">
        <v>0</v>
      </c>
      <c r="M295" s="17">
        <v>0</v>
      </c>
      <c r="N295" s="18">
        <f t="shared" si="12"/>
        <v>18</v>
      </c>
      <c r="O295" s="17">
        <f t="shared" si="13"/>
        <v>0</v>
      </c>
      <c r="P295" s="3"/>
      <c r="Q295" s="19">
        <f t="shared" si="14"/>
        <v>9396</v>
      </c>
      <c r="R295" s="19">
        <v>0</v>
      </c>
      <c r="S295" s="19">
        <f t="shared" si="15"/>
        <v>0</v>
      </c>
      <c r="T295" s="19">
        <f t="shared" si="16"/>
        <v>0</v>
      </c>
      <c r="U295" s="19">
        <f t="shared" si="17"/>
        <v>0</v>
      </c>
      <c r="V295" s="19">
        <f t="shared" si="18"/>
        <v>0</v>
      </c>
      <c r="W295" s="19">
        <f t="shared" si="19"/>
        <v>9396</v>
      </c>
      <c r="X295" s="20">
        <f t="shared" si="20"/>
        <v>9396</v>
      </c>
      <c r="Y295" s="20">
        <f t="shared" si="21"/>
        <v>0</v>
      </c>
    </row>
    <row r="296" spans="1:25" ht="15.75" customHeight="1">
      <c r="A296" s="14" t="s">
        <v>602</v>
      </c>
      <c r="B296" s="15" t="s">
        <v>603</v>
      </c>
      <c r="C296" s="16">
        <v>30.91</v>
      </c>
      <c r="D296" s="16">
        <v>30.91</v>
      </c>
      <c r="E296" s="17">
        <v>0</v>
      </c>
      <c r="F296" s="18">
        <v>0</v>
      </c>
      <c r="G296" s="18">
        <v>0</v>
      </c>
      <c r="H296" s="18">
        <v>0</v>
      </c>
      <c r="I296" s="17">
        <v>0</v>
      </c>
      <c r="J296" s="17">
        <f t="shared" si="11"/>
        <v>0</v>
      </c>
      <c r="K296" s="18">
        <v>0</v>
      </c>
      <c r="L296" s="18">
        <v>0</v>
      </c>
      <c r="M296" s="17">
        <v>0</v>
      </c>
      <c r="N296" s="18">
        <f t="shared" si="12"/>
        <v>0</v>
      </c>
      <c r="O296" s="17">
        <f t="shared" si="13"/>
        <v>0</v>
      </c>
      <c r="P296" s="3"/>
      <c r="Q296" s="19">
        <f t="shared" si="14"/>
        <v>0</v>
      </c>
      <c r="R296" s="19">
        <v>0</v>
      </c>
      <c r="S296" s="19">
        <f t="shared" si="15"/>
        <v>0</v>
      </c>
      <c r="T296" s="19">
        <f t="shared" si="16"/>
        <v>0</v>
      </c>
      <c r="U296" s="19">
        <f t="shared" si="17"/>
        <v>0</v>
      </c>
      <c r="V296" s="19">
        <f t="shared" si="18"/>
        <v>0</v>
      </c>
      <c r="W296" s="19">
        <f t="shared" si="19"/>
        <v>0</v>
      </c>
      <c r="X296" s="20">
        <f t="shared" si="20"/>
        <v>0</v>
      </c>
      <c r="Y296" s="20">
        <f t="shared" si="21"/>
        <v>0</v>
      </c>
    </row>
    <row r="297" spans="1:25" ht="15.75" customHeight="1">
      <c r="A297" s="14" t="s">
        <v>604</v>
      </c>
      <c r="B297" s="15" t="s">
        <v>605</v>
      </c>
      <c r="C297" s="16">
        <v>570</v>
      </c>
      <c r="D297" s="16">
        <v>570</v>
      </c>
      <c r="E297" s="17">
        <v>4</v>
      </c>
      <c r="F297" s="18">
        <v>0</v>
      </c>
      <c r="G297" s="18">
        <v>0</v>
      </c>
      <c r="H297" s="18">
        <v>0</v>
      </c>
      <c r="I297" s="17">
        <v>0</v>
      </c>
      <c r="J297" s="17">
        <f t="shared" si="11"/>
        <v>4</v>
      </c>
      <c r="K297" s="18">
        <v>4</v>
      </c>
      <c r="L297" s="18">
        <v>0</v>
      </c>
      <c r="M297" s="17">
        <v>0</v>
      </c>
      <c r="N297" s="18">
        <f t="shared" si="12"/>
        <v>4</v>
      </c>
      <c r="O297" s="17">
        <f t="shared" si="13"/>
        <v>0</v>
      </c>
      <c r="P297" s="3"/>
      <c r="Q297" s="19">
        <f t="shared" si="14"/>
        <v>2280</v>
      </c>
      <c r="R297" s="19">
        <v>0</v>
      </c>
      <c r="S297" s="19">
        <f t="shared" si="15"/>
        <v>0</v>
      </c>
      <c r="T297" s="19">
        <f t="shared" si="16"/>
        <v>0</v>
      </c>
      <c r="U297" s="19">
        <f t="shared" si="17"/>
        <v>0</v>
      </c>
      <c r="V297" s="19">
        <f t="shared" si="18"/>
        <v>0</v>
      </c>
      <c r="W297" s="19">
        <f t="shared" si="19"/>
        <v>2280</v>
      </c>
      <c r="X297" s="20">
        <f t="shared" si="20"/>
        <v>2280</v>
      </c>
      <c r="Y297" s="20">
        <f t="shared" si="21"/>
        <v>0</v>
      </c>
    </row>
    <row r="298" spans="1:25" ht="15.75" customHeight="1">
      <c r="A298" s="14" t="s">
        <v>606</v>
      </c>
      <c r="B298" s="15" t="s">
        <v>607</v>
      </c>
      <c r="C298" s="16">
        <v>380</v>
      </c>
      <c r="D298" s="16">
        <v>380</v>
      </c>
      <c r="E298" s="17">
        <v>0</v>
      </c>
      <c r="F298" s="18">
        <v>0</v>
      </c>
      <c r="G298" s="18">
        <v>0</v>
      </c>
      <c r="H298" s="18">
        <v>0</v>
      </c>
      <c r="I298" s="17">
        <v>0</v>
      </c>
      <c r="J298" s="17">
        <f t="shared" si="11"/>
        <v>0</v>
      </c>
      <c r="K298" s="18">
        <v>0</v>
      </c>
      <c r="L298" s="18">
        <v>0</v>
      </c>
      <c r="M298" s="17">
        <v>0</v>
      </c>
      <c r="N298" s="18">
        <f t="shared" si="12"/>
        <v>0</v>
      </c>
      <c r="O298" s="17">
        <f t="shared" si="13"/>
        <v>0</v>
      </c>
      <c r="P298" s="3"/>
      <c r="Q298" s="19">
        <f t="shared" si="14"/>
        <v>0</v>
      </c>
      <c r="R298" s="19">
        <v>0</v>
      </c>
      <c r="S298" s="19">
        <f t="shared" si="15"/>
        <v>0</v>
      </c>
      <c r="T298" s="19">
        <f t="shared" si="16"/>
        <v>0</v>
      </c>
      <c r="U298" s="19">
        <f t="shared" si="17"/>
        <v>0</v>
      </c>
      <c r="V298" s="19">
        <f t="shared" si="18"/>
        <v>0</v>
      </c>
      <c r="W298" s="19">
        <f t="shared" si="19"/>
        <v>0</v>
      </c>
      <c r="X298" s="20">
        <f t="shared" si="20"/>
        <v>0</v>
      </c>
      <c r="Y298" s="20">
        <f t="shared" si="21"/>
        <v>0</v>
      </c>
    </row>
    <row r="299" spans="1:25" ht="15.75" customHeight="1">
      <c r="A299" s="14" t="s">
        <v>608</v>
      </c>
      <c r="B299" s="15" t="s">
        <v>609</v>
      </c>
      <c r="C299" s="16">
        <v>985</v>
      </c>
      <c r="D299" s="16">
        <v>985</v>
      </c>
      <c r="E299" s="17">
        <v>0</v>
      </c>
      <c r="F299" s="18">
        <v>0</v>
      </c>
      <c r="G299" s="18">
        <v>0</v>
      </c>
      <c r="H299" s="18">
        <v>0</v>
      </c>
      <c r="I299" s="17">
        <v>0</v>
      </c>
      <c r="J299" s="17">
        <f t="shared" si="11"/>
        <v>0</v>
      </c>
      <c r="K299" s="18">
        <v>0</v>
      </c>
      <c r="L299" s="18">
        <v>0</v>
      </c>
      <c r="M299" s="17">
        <v>0</v>
      </c>
      <c r="N299" s="18">
        <f t="shared" si="12"/>
        <v>0</v>
      </c>
      <c r="O299" s="17">
        <f t="shared" si="13"/>
        <v>0</v>
      </c>
      <c r="P299" s="3"/>
      <c r="Q299" s="19">
        <f t="shared" si="14"/>
        <v>0</v>
      </c>
      <c r="R299" s="19">
        <v>0</v>
      </c>
      <c r="S299" s="19">
        <f t="shared" si="15"/>
        <v>0</v>
      </c>
      <c r="T299" s="19">
        <f t="shared" si="16"/>
        <v>0</v>
      </c>
      <c r="U299" s="19">
        <f t="shared" si="17"/>
        <v>0</v>
      </c>
      <c r="V299" s="19">
        <f t="shared" si="18"/>
        <v>0</v>
      </c>
      <c r="W299" s="19">
        <f t="shared" si="19"/>
        <v>0</v>
      </c>
      <c r="X299" s="20">
        <f t="shared" si="20"/>
        <v>0</v>
      </c>
      <c r="Y299" s="20">
        <f t="shared" si="21"/>
        <v>0</v>
      </c>
    </row>
    <row r="300" spans="1:25" ht="15.75" customHeight="1">
      <c r="A300" s="14" t="s">
        <v>610</v>
      </c>
      <c r="B300" s="15" t="s">
        <v>611</v>
      </c>
      <c r="C300" s="16">
        <v>450</v>
      </c>
      <c r="D300" s="16">
        <v>450</v>
      </c>
      <c r="E300" s="17">
        <v>1</v>
      </c>
      <c r="F300" s="18">
        <v>0</v>
      </c>
      <c r="G300" s="18">
        <v>0</v>
      </c>
      <c r="H300" s="18">
        <v>0</v>
      </c>
      <c r="I300" s="17">
        <v>0</v>
      </c>
      <c r="J300" s="17">
        <f t="shared" si="11"/>
        <v>1</v>
      </c>
      <c r="K300" s="18">
        <v>1</v>
      </c>
      <c r="L300" s="18">
        <v>0</v>
      </c>
      <c r="M300" s="18">
        <v>0</v>
      </c>
      <c r="N300" s="18">
        <f t="shared" si="12"/>
        <v>1</v>
      </c>
      <c r="O300" s="17">
        <f t="shared" si="13"/>
        <v>0</v>
      </c>
      <c r="P300" s="3"/>
      <c r="Q300" s="19">
        <f t="shared" si="14"/>
        <v>450</v>
      </c>
      <c r="R300" s="19">
        <v>0</v>
      </c>
      <c r="S300" s="19">
        <f t="shared" si="15"/>
        <v>0</v>
      </c>
      <c r="T300" s="19">
        <f t="shared" si="16"/>
        <v>0</v>
      </c>
      <c r="U300" s="19">
        <f t="shared" si="17"/>
        <v>0</v>
      </c>
      <c r="V300" s="19">
        <f t="shared" si="18"/>
        <v>0</v>
      </c>
      <c r="W300" s="19">
        <f t="shared" si="19"/>
        <v>450</v>
      </c>
      <c r="X300" s="20">
        <f t="shared" si="20"/>
        <v>450</v>
      </c>
      <c r="Y300" s="20">
        <f t="shared" si="21"/>
        <v>0</v>
      </c>
    </row>
    <row r="301" spans="1:25" ht="15.75" customHeight="1">
      <c r="A301" s="14" t="s">
        <v>612</v>
      </c>
      <c r="B301" s="15" t="s">
        <v>613</v>
      </c>
      <c r="C301" s="16">
        <v>888</v>
      </c>
      <c r="D301" s="16">
        <v>888</v>
      </c>
      <c r="E301" s="17">
        <v>1</v>
      </c>
      <c r="F301" s="18">
        <v>0</v>
      </c>
      <c r="G301" s="18">
        <v>0</v>
      </c>
      <c r="H301" s="18">
        <v>0</v>
      </c>
      <c r="I301" s="17">
        <v>0</v>
      </c>
      <c r="J301" s="17">
        <f t="shared" si="11"/>
        <v>1</v>
      </c>
      <c r="K301" s="18">
        <v>1</v>
      </c>
      <c r="L301" s="18">
        <v>0</v>
      </c>
      <c r="M301" s="17">
        <v>0</v>
      </c>
      <c r="N301" s="18">
        <f t="shared" si="12"/>
        <v>1</v>
      </c>
      <c r="O301" s="17">
        <f t="shared" si="13"/>
        <v>0</v>
      </c>
      <c r="P301" s="3"/>
      <c r="Q301" s="19">
        <f t="shared" si="14"/>
        <v>888</v>
      </c>
      <c r="R301" s="19">
        <v>0</v>
      </c>
      <c r="S301" s="19">
        <f t="shared" si="15"/>
        <v>0</v>
      </c>
      <c r="T301" s="19">
        <f t="shared" si="16"/>
        <v>0</v>
      </c>
      <c r="U301" s="19">
        <f t="shared" si="17"/>
        <v>0</v>
      </c>
      <c r="V301" s="19">
        <f t="shared" si="18"/>
        <v>0</v>
      </c>
      <c r="W301" s="19">
        <f t="shared" si="19"/>
        <v>888</v>
      </c>
      <c r="X301" s="20">
        <f t="shared" si="20"/>
        <v>888</v>
      </c>
      <c r="Y301" s="20">
        <f t="shared" si="21"/>
        <v>0</v>
      </c>
    </row>
    <row r="302" spans="1:25" ht="15.75" customHeight="1">
      <c r="A302" s="14" t="s">
        <v>614</v>
      </c>
      <c r="B302" s="15" t="s">
        <v>615</v>
      </c>
      <c r="C302" s="16">
        <v>1204.43</v>
      </c>
      <c r="D302" s="16">
        <v>1204.43</v>
      </c>
      <c r="E302" s="17">
        <v>1</v>
      </c>
      <c r="F302" s="18">
        <v>0</v>
      </c>
      <c r="G302" s="18">
        <v>0</v>
      </c>
      <c r="H302" s="18">
        <v>0</v>
      </c>
      <c r="I302" s="17">
        <v>0</v>
      </c>
      <c r="J302" s="17">
        <f t="shared" si="11"/>
        <v>1</v>
      </c>
      <c r="K302" s="18">
        <v>1</v>
      </c>
      <c r="L302" s="18">
        <v>0</v>
      </c>
      <c r="M302" s="17">
        <v>0</v>
      </c>
      <c r="N302" s="18">
        <f t="shared" si="12"/>
        <v>1</v>
      </c>
      <c r="O302" s="17">
        <f t="shared" si="13"/>
        <v>0</v>
      </c>
      <c r="P302" s="3"/>
      <c r="Q302" s="19">
        <f t="shared" si="14"/>
        <v>1204.43</v>
      </c>
      <c r="R302" s="19">
        <v>0</v>
      </c>
      <c r="S302" s="19">
        <f t="shared" si="15"/>
        <v>0</v>
      </c>
      <c r="T302" s="19">
        <f t="shared" si="16"/>
        <v>0</v>
      </c>
      <c r="U302" s="19">
        <f t="shared" si="17"/>
        <v>0</v>
      </c>
      <c r="V302" s="19">
        <f t="shared" si="18"/>
        <v>0</v>
      </c>
      <c r="W302" s="19">
        <f t="shared" si="19"/>
        <v>1204.43</v>
      </c>
      <c r="X302" s="20">
        <f t="shared" si="20"/>
        <v>1204.43</v>
      </c>
      <c r="Y302" s="20">
        <f t="shared" si="21"/>
        <v>0</v>
      </c>
    </row>
    <row r="303" spans="1:25" ht="15.75" customHeight="1">
      <c r="A303" s="14" t="s">
        <v>616</v>
      </c>
      <c r="B303" s="15" t="s">
        <v>617</v>
      </c>
      <c r="C303" s="16">
        <v>890</v>
      </c>
      <c r="D303" s="16">
        <v>890</v>
      </c>
      <c r="E303" s="17">
        <v>2</v>
      </c>
      <c r="F303" s="18">
        <v>0</v>
      </c>
      <c r="G303" s="18">
        <v>0</v>
      </c>
      <c r="H303" s="18">
        <v>0</v>
      </c>
      <c r="I303" s="17">
        <v>0</v>
      </c>
      <c r="J303" s="17">
        <f t="shared" si="11"/>
        <v>2</v>
      </c>
      <c r="K303" s="18">
        <v>2</v>
      </c>
      <c r="L303" s="18">
        <v>0</v>
      </c>
      <c r="M303" s="17">
        <v>0</v>
      </c>
      <c r="N303" s="18">
        <f t="shared" si="12"/>
        <v>2</v>
      </c>
      <c r="O303" s="17">
        <f t="shared" si="13"/>
        <v>0</v>
      </c>
      <c r="P303" s="3"/>
      <c r="Q303" s="19">
        <f t="shared" si="14"/>
        <v>1780</v>
      </c>
      <c r="R303" s="19">
        <v>0</v>
      </c>
      <c r="S303" s="19">
        <f t="shared" si="15"/>
        <v>0</v>
      </c>
      <c r="T303" s="19">
        <f t="shared" si="16"/>
        <v>0</v>
      </c>
      <c r="U303" s="19">
        <f t="shared" si="17"/>
        <v>0</v>
      </c>
      <c r="V303" s="19">
        <f t="shared" si="18"/>
        <v>0</v>
      </c>
      <c r="W303" s="19">
        <f t="shared" si="19"/>
        <v>1780</v>
      </c>
      <c r="X303" s="20">
        <f t="shared" si="20"/>
        <v>1780</v>
      </c>
      <c r="Y303" s="20">
        <f t="shared" si="21"/>
        <v>0</v>
      </c>
    </row>
    <row r="304" spans="1:25" ht="15.75" customHeight="1">
      <c r="A304" s="14" t="s">
        <v>618</v>
      </c>
      <c r="B304" s="15" t="s">
        <v>619</v>
      </c>
      <c r="C304" s="16">
        <v>695</v>
      </c>
      <c r="D304" s="16">
        <v>695</v>
      </c>
      <c r="E304" s="17">
        <v>14</v>
      </c>
      <c r="F304" s="18">
        <v>0</v>
      </c>
      <c r="G304" s="18">
        <v>0</v>
      </c>
      <c r="H304" s="18">
        <v>0</v>
      </c>
      <c r="I304" s="17">
        <v>0</v>
      </c>
      <c r="J304" s="17">
        <f t="shared" si="11"/>
        <v>14</v>
      </c>
      <c r="K304" s="18">
        <v>14</v>
      </c>
      <c r="L304" s="18">
        <v>0</v>
      </c>
      <c r="M304" s="17">
        <v>0</v>
      </c>
      <c r="N304" s="18">
        <f t="shared" si="12"/>
        <v>14</v>
      </c>
      <c r="O304" s="17">
        <f t="shared" si="13"/>
        <v>0</v>
      </c>
      <c r="P304" s="3"/>
      <c r="Q304" s="19">
        <f t="shared" si="14"/>
        <v>9730</v>
      </c>
      <c r="R304" s="19">
        <v>0</v>
      </c>
      <c r="S304" s="19">
        <f t="shared" si="15"/>
        <v>0</v>
      </c>
      <c r="T304" s="19">
        <f t="shared" si="16"/>
        <v>0</v>
      </c>
      <c r="U304" s="19">
        <f t="shared" si="17"/>
        <v>0</v>
      </c>
      <c r="V304" s="19">
        <f t="shared" si="18"/>
        <v>0</v>
      </c>
      <c r="W304" s="19">
        <f t="shared" si="19"/>
        <v>9730</v>
      </c>
      <c r="X304" s="20">
        <f t="shared" si="20"/>
        <v>9730</v>
      </c>
      <c r="Y304" s="20">
        <f t="shared" si="21"/>
        <v>0</v>
      </c>
    </row>
    <row r="305" spans="1:26" ht="15.75" customHeight="1">
      <c r="A305" s="25" t="s">
        <v>16</v>
      </c>
      <c r="B305" s="25"/>
      <c r="C305" s="26"/>
      <c r="D305" s="26"/>
      <c r="E305" s="27">
        <f t="shared" ref="E305:O305" si="22">SUM(E7:E304)</f>
        <v>1630</v>
      </c>
      <c r="F305" s="27">
        <f t="shared" si="22"/>
        <v>0</v>
      </c>
      <c r="G305" s="27">
        <f t="shared" si="22"/>
        <v>0</v>
      </c>
      <c r="H305" s="27">
        <f t="shared" si="22"/>
        <v>0</v>
      </c>
      <c r="I305" s="27">
        <f t="shared" si="22"/>
        <v>0</v>
      </c>
      <c r="J305" s="27">
        <f t="shared" si="22"/>
        <v>1630</v>
      </c>
      <c r="K305" s="28">
        <f t="shared" si="22"/>
        <v>1478</v>
      </c>
      <c r="L305" s="28">
        <f t="shared" si="22"/>
        <v>104</v>
      </c>
      <c r="M305" s="28">
        <f t="shared" si="22"/>
        <v>51</v>
      </c>
      <c r="N305" s="28">
        <f t="shared" si="22"/>
        <v>1633</v>
      </c>
      <c r="O305" s="28">
        <f t="shared" si="22"/>
        <v>3</v>
      </c>
      <c r="P305" s="3"/>
      <c r="Q305" s="29">
        <f t="shared" ref="Q305:W305" si="23">SUM(Q7:Q304)</f>
        <v>407268.76</v>
      </c>
      <c r="R305" s="29">
        <f t="shared" si="23"/>
        <v>0</v>
      </c>
      <c r="S305" s="29">
        <f t="shared" si="23"/>
        <v>0</v>
      </c>
      <c r="T305" s="29">
        <f t="shared" si="23"/>
        <v>0</v>
      </c>
      <c r="U305" s="29">
        <f t="shared" si="23"/>
        <v>0</v>
      </c>
      <c r="V305" s="29">
        <f t="shared" si="23"/>
        <v>0</v>
      </c>
      <c r="W305" s="29">
        <f t="shared" si="23"/>
        <v>407268.76</v>
      </c>
      <c r="X305" s="30"/>
      <c r="Y305" s="30"/>
    </row>
    <row r="306" spans="1:26" ht="15.75" customHeight="1">
      <c r="A306" s="31"/>
      <c r="B306" s="32"/>
      <c r="C306" s="33"/>
      <c r="D306" s="34"/>
      <c r="E306" s="34"/>
      <c r="F306" s="10"/>
      <c r="G306" s="31"/>
      <c r="H306" s="31"/>
      <c r="I306" s="31"/>
      <c r="J306" s="31"/>
      <c r="K306" s="31"/>
      <c r="L306" s="31"/>
      <c r="M306" s="31"/>
      <c r="N306" s="31"/>
      <c r="O306" s="3"/>
      <c r="P306" s="3"/>
      <c r="Q306" s="3"/>
      <c r="R306" s="3"/>
      <c r="S306" s="3"/>
      <c r="T306" s="3"/>
      <c r="U306" s="3"/>
      <c r="V306" s="31"/>
      <c r="W306" s="31"/>
      <c r="X306" s="31"/>
      <c r="Y306" s="31"/>
      <c r="Z306" s="31"/>
    </row>
    <row r="307" spans="1:26" ht="15.75" customHeight="1"/>
    <row r="308" spans="1:26" ht="15.75" customHeight="1"/>
    <row r="309" spans="1:26" ht="15.75" customHeight="1"/>
    <row r="310" spans="1:26" ht="15.75" customHeight="1"/>
    <row r="311" spans="1:26" ht="15.75" customHeight="1"/>
    <row r="312" spans="1:26" ht="15.75" customHeight="1">
      <c r="O312" s="4"/>
    </row>
    <row r="313" spans="1:26" ht="15.75" customHeight="1">
      <c r="O313" s="4"/>
    </row>
    <row r="314" spans="1:26" ht="15.75" customHeight="1"/>
    <row r="315" spans="1:26" ht="15.75" customHeight="1"/>
    <row r="316" spans="1:26" ht="15.75" customHeight="1"/>
    <row r="317" spans="1:26" ht="15.75" customHeight="1"/>
    <row r="318" spans="1:26" ht="15.75" customHeight="1"/>
    <row r="319" spans="1:26" ht="15.75" customHeight="1"/>
    <row r="320" spans="1:2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6:Z305" xr:uid="{00000000-0009-0000-0000-000002000000}">
    <sortState xmlns:xlrd2="http://schemas.microsoft.com/office/spreadsheetml/2017/richdata2" ref="A6:Z305">
      <sortCondition ref="B6:B305"/>
    </sortState>
  </autoFilter>
  <mergeCells count="4">
    <mergeCell ref="A1:W1"/>
    <mergeCell ref="A2:W2"/>
    <mergeCell ref="A3:W3"/>
    <mergeCell ref="Q4:T4"/>
  </mergeCells>
  <pageMargins left="0.25" right="0.25" top="0.75" bottom="0.75" header="0" footer="0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Z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customHeight="1"/>
  <cols>
    <col min="1" max="1" width="10.7109375" customWidth="1"/>
    <col min="2" max="2" width="31.28515625" customWidth="1"/>
    <col min="3" max="3" width="12.5703125" hidden="1" customWidth="1"/>
    <col min="4" max="4" width="13.7109375" hidden="1" customWidth="1"/>
    <col min="5" max="5" width="11" customWidth="1"/>
    <col min="6" max="8" width="10.5703125" customWidth="1"/>
    <col min="9" max="9" width="11.42578125" customWidth="1"/>
    <col min="10" max="10" width="11" customWidth="1"/>
    <col min="11" max="14" width="11.42578125" customWidth="1"/>
    <col min="15" max="15" width="14.85546875" customWidth="1"/>
    <col min="16" max="16" width="5" customWidth="1"/>
    <col min="17" max="17" width="13.7109375" customWidth="1"/>
    <col min="18" max="22" width="11.42578125" customWidth="1"/>
    <col min="23" max="23" width="15.28515625" customWidth="1"/>
    <col min="24" max="25" width="11.42578125" hidden="1" customWidth="1"/>
    <col min="26" max="26" width="10.7109375" customWidth="1"/>
  </cols>
  <sheetData>
    <row r="1" spans="1:25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</row>
    <row r="2" spans="1:25">
      <c r="A2" s="255" t="s">
        <v>0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</row>
    <row r="3" spans="1:25">
      <c r="A3" s="253" t="s">
        <v>1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</row>
    <row r="4" spans="1:25">
      <c r="A4" s="1"/>
      <c r="B4" s="1"/>
      <c r="C4" s="2"/>
      <c r="D4" s="2"/>
      <c r="E4" s="2"/>
      <c r="F4" s="1"/>
      <c r="K4" s="1"/>
      <c r="L4" s="1"/>
      <c r="M4" s="1"/>
      <c r="N4" s="1"/>
      <c r="O4" s="1"/>
      <c r="P4" s="3"/>
      <c r="Q4" s="256">
        <v>46113</v>
      </c>
      <c r="R4" s="254"/>
      <c r="S4" s="254"/>
      <c r="T4" s="254"/>
      <c r="U4" s="4"/>
      <c r="V4" s="4"/>
      <c r="W4" s="4"/>
    </row>
    <row r="5" spans="1:25" ht="14.25" customHeight="1">
      <c r="C5" s="4"/>
      <c r="D5" s="4"/>
      <c r="F5" s="3"/>
      <c r="G5" s="3"/>
      <c r="H5" s="3"/>
      <c r="I5" s="3"/>
      <c r="J5" s="3"/>
      <c r="K5" s="3"/>
      <c r="L5" s="5"/>
      <c r="M5" s="3"/>
      <c r="N5" s="3"/>
      <c r="O5" s="6" t="s">
        <v>2</v>
      </c>
      <c r="P5" s="3"/>
      <c r="Q5" s="4"/>
      <c r="R5" s="4"/>
      <c r="S5" s="4"/>
      <c r="T5" s="4"/>
      <c r="U5" s="4"/>
      <c r="V5" s="4"/>
      <c r="W5" s="4"/>
    </row>
    <row r="6" spans="1:25" ht="38.25">
      <c r="A6" s="7" t="s">
        <v>3</v>
      </c>
      <c r="B6" s="7" t="s">
        <v>4</v>
      </c>
      <c r="C6" s="8" t="s">
        <v>5</v>
      </c>
      <c r="D6" s="8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35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10"/>
      <c r="Q6" s="11" t="s">
        <v>18</v>
      </c>
      <c r="R6" s="12" t="s">
        <v>19</v>
      </c>
      <c r="S6" s="11" t="s">
        <v>20</v>
      </c>
      <c r="T6" s="11" t="s">
        <v>21</v>
      </c>
      <c r="U6" s="11" t="s">
        <v>22</v>
      </c>
      <c r="V6" s="11" t="s">
        <v>23</v>
      </c>
      <c r="W6" s="11" t="s">
        <v>16</v>
      </c>
      <c r="X6" s="13"/>
      <c r="Y6" s="13"/>
    </row>
    <row r="7" spans="1:25" hidden="1">
      <c r="A7" s="14" t="s">
        <v>24</v>
      </c>
      <c r="B7" s="15" t="s">
        <v>25</v>
      </c>
      <c r="C7" s="16">
        <v>125</v>
      </c>
      <c r="D7" s="16">
        <v>125</v>
      </c>
      <c r="E7" s="17">
        <v>5</v>
      </c>
      <c r="F7" s="18">
        <v>0</v>
      </c>
      <c r="G7" s="18">
        <v>0</v>
      </c>
      <c r="H7" s="36">
        <v>0</v>
      </c>
      <c r="I7" s="17">
        <v>0</v>
      </c>
      <c r="J7" s="17">
        <f t="shared" ref="J7:J261" si="0">E7+F7+G7-H7-I7</f>
        <v>5</v>
      </c>
      <c r="K7" s="37">
        <v>5</v>
      </c>
      <c r="L7" s="17">
        <v>0</v>
      </c>
      <c r="M7" s="17">
        <v>0</v>
      </c>
      <c r="N7" s="17">
        <f t="shared" ref="N7:N261" si="1">K7+L7+M7</f>
        <v>5</v>
      </c>
      <c r="O7" s="17">
        <f t="shared" ref="O7:O261" si="2">N7-J7</f>
        <v>0</v>
      </c>
      <c r="P7" s="3"/>
      <c r="Q7" s="19">
        <f t="shared" ref="Q7:Q261" si="3">C7*E7</f>
        <v>625</v>
      </c>
      <c r="R7" s="19">
        <v>0</v>
      </c>
      <c r="S7" s="19">
        <f t="shared" ref="S7:S261" si="4">D7*F7</f>
        <v>0</v>
      </c>
      <c r="T7" s="19">
        <f t="shared" ref="T7:T261" si="5">D7*G7</f>
        <v>0</v>
      </c>
      <c r="U7" s="19">
        <f t="shared" ref="U7:U261" si="6">D7*H7</f>
        <v>0</v>
      </c>
      <c r="V7" s="19">
        <f t="shared" ref="V7:V261" si="7">D7*I7</f>
        <v>0</v>
      </c>
      <c r="W7" s="19">
        <f t="shared" ref="W7:W261" si="8">Q7+R7+S7+T7-U7-V7</f>
        <v>625</v>
      </c>
      <c r="X7" s="20">
        <f t="shared" ref="X7:X261" si="9">J7*D7</f>
        <v>625</v>
      </c>
      <c r="Y7" s="20">
        <f t="shared" ref="Y7:Y261" si="10">X7-W7</f>
        <v>0</v>
      </c>
    </row>
    <row r="8" spans="1:25" hidden="1">
      <c r="A8" s="14" t="s">
        <v>26</v>
      </c>
      <c r="B8" s="15" t="s">
        <v>27</v>
      </c>
      <c r="C8" s="16">
        <v>325</v>
      </c>
      <c r="D8" s="16">
        <v>325</v>
      </c>
      <c r="E8" s="17">
        <v>0</v>
      </c>
      <c r="F8" s="18">
        <v>0</v>
      </c>
      <c r="G8" s="18">
        <v>0</v>
      </c>
      <c r="H8" s="36">
        <v>0</v>
      </c>
      <c r="I8" s="17">
        <v>0</v>
      </c>
      <c r="J8" s="17">
        <f t="shared" si="0"/>
        <v>0</v>
      </c>
      <c r="K8" s="37">
        <v>0</v>
      </c>
      <c r="L8" s="17">
        <v>0</v>
      </c>
      <c r="M8" s="17">
        <v>0</v>
      </c>
      <c r="N8" s="17">
        <f t="shared" si="1"/>
        <v>0</v>
      </c>
      <c r="O8" s="17">
        <f t="shared" si="2"/>
        <v>0</v>
      </c>
      <c r="P8" s="3"/>
      <c r="Q8" s="19">
        <f t="shared" si="3"/>
        <v>0</v>
      </c>
      <c r="R8" s="19">
        <v>0</v>
      </c>
      <c r="S8" s="19">
        <f t="shared" si="4"/>
        <v>0</v>
      </c>
      <c r="T8" s="19">
        <f t="shared" si="5"/>
        <v>0</v>
      </c>
      <c r="U8" s="19">
        <f t="shared" si="6"/>
        <v>0</v>
      </c>
      <c r="V8" s="19">
        <f t="shared" si="7"/>
        <v>0</v>
      </c>
      <c r="W8" s="19">
        <f t="shared" si="8"/>
        <v>0</v>
      </c>
      <c r="X8" s="20">
        <f t="shared" si="9"/>
        <v>0</v>
      </c>
      <c r="Y8" s="20">
        <f t="shared" si="10"/>
        <v>0</v>
      </c>
    </row>
    <row r="9" spans="1:25" hidden="1">
      <c r="A9" s="14" t="s">
        <v>28</v>
      </c>
      <c r="B9" s="15" t="s">
        <v>29</v>
      </c>
      <c r="C9" s="16">
        <v>105.56</v>
      </c>
      <c r="D9" s="16">
        <v>105.56</v>
      </c>
      <c r="E9" s="17">
        <v>0</v>
      </c>
      <c r="F9" s="18">
        <v>0</v>
      </c>
      <c r="G9" s="18">
        <v>0</v>
      </c>
      <c r="H9" s="36">
        <v>0</v>
      </c>
      <c r="I9" s="17">
        <v>0</v>
      </c>
      <c r="J9" s="17">
        <f t="shared" si="0"/>
        <v>0</v>
      </c>
      <c r="K9" s="37">
        <v>0</v>
      </c>
      <c r="L9" s="17">
        <v>0</v>
      </c>
      <c r="M9" s="17">
        <v>0</v>
      </c>
      <c r="N9" s="17">
        <f t="shared" si="1"/>
        <v>0</v>
      </c>
      <c r="O9" s="17">
        <f t="shared" si="2"/>
        <v>0</v>
      </c>
      <c r="P9" s="3"/>
      <c r="Q9" s="19">
        <f t="shared" si="3"/>
        <v>0</v>
      </c>
      <c r="R9" s="19">
        <v>0</v>
      </c>
      <c r="S9" s="19">
        <f t="shared" si="4"/>
        <v>0</v>
      </c>
      <c r="T9" s="19">
        <f t="shared" si="5"/>
        <v>0</v>
      </c>
      <c r="U9" s="19">
        <f t="shared" si="6"/>
        <v>0</v>
      </c>
      <c r="V9" s="19">
        <f t="shared" si="7"/>
        <v>0</v>
      </c>
      <c r="W9" s="19">
        <f t="shared" si="8"/>
        <v>0</v>
      </c>
      <c r="X9" s="20">
        <f t="shared" si="9"/>
        <v>0</v>
      </c>
      <c r="Y9" s="20">
        <f t="shared" si="10"/>
        <v>0</v>
      </c>
    </row>
    <row r="10" spans="1:25" hidden="1">
      <c r="A10" s="14" t="s">
        <v>30</v>
      </c>
      <c r="B10" s="15" t="s">
        <v>31</v>
      </c>
      <c r="C10" s="16">
        <v>105.56</v>
      </c>
      <c r="D10" s="16">
        <v>105.56</v>
      </c>
      <c r="E10" s="17">
        <v>0</v>
      </c>
      <c r="F10" s="18">
        <v>0</v>
      </c>
      <c r="G10" s="18">
        <v>0</v>
      </c>
      <c r="H10" s="36">
        <v>0</v>
      </c>
      <c r="I10" s="17">
        <v>0</v>
      </c>
      <c r="J10" s="17">
        <f t="shared" si="0"/>
        <v>0</v>
      </c>
      <c r="K10" s="37">
        <v>0</v>
      </c>
      <c r="L10" s="17">
        <v>0</v>
      </c>
      <c r="M10" s="17">
        <v>0</v>
      </c>
      <c r="N10" s="17">
        <f t="shared" si="1"/>
        <v>0</v>
      </c>
      <c r="O10" s="17">
        <f t="shared" si="2"/>
        <v>0</v>
      </c>
      <c r="P10" s="3"/>
      <c r="Q10" s="19">
        <f t="shared" si="3"/>
        <v>0</v>
      </c>
      <c r="R10" s="19">
        <v>0</v>
      </c>
      <c r="S10" s="19">
        <f t="shared" si="4"/>
        <v>0</v>
      </c>
      <c r="T10" s="19">
        <f t="shared" si="5"/>
        <v>0</v>
      </c>
      <c r="U10" s="19">
        <f t="shared" si="6"/>
        <v>0</v>
      </c>
      <c r="V10" s="19">
        <f t="shared" si="7"/>
        <v>0</v>
      </c>
      <c r="W10" s="19">
        <f t="shared" si="8"/>
        <v>0</v>
      </c>
      <c r="X10" s="20">
        <f t="shared" si="9"/>
        <v>0</v>
      </c>
      <c r="Y10" s="20">
        <f t="shared" si="10"/>
        <v>0</v>
      </c>
    </row>
    <row r="11" spans="1:25" hidden="1">
      <c r="A11" s="14" t="s">
        <v>32</v>
      </c>
      <c r="B11" s="15" t="s">
        <v>33</v>
      </c>
      <c r="C11" s="16">
        <v>325</v>
      </c>
      <c r="D11" s="16">
        <v>325</v>
      </c>
      <c r="E11" s="17">
        <v>0</v>
      </c>
      <c r="F11" s="18">
        <v>0</v>
      </c>
      <c r="G11" s="18">
        <v>0</v>
      </c>
      <c r="H11" s="36">
        <v>0</v>
      </c>
      <c r="I11" s="17">
        <v>0</v>
      </c>
      <c r="J11" s="17">
        <f t="shared" si="0"/>
        <v>0</v>
      </c>
      <c r="K11" s="37">
        <v>0</v>
      </c>
      <c r="L11" s="17">
        <v>0</v>
      </c>
      <c r="M11" s="17">
        <v>0</v>
      </c>
      <c r="N11" s="17">
        <f t="shared" si="1"/>
        <v>0</v>
      </c>
      <c r="O11" s="17">
        <f t="shared" si="2"/>
        <v>0</v>
      </c>
      <c r="P11" s="3"/>
      <c r="Q11" s="19">
        <f t="shared" si="3"/>
        <v>0</v>
      </c>
      <c r="R11" s="19">
        <v>0</v>
      </c>
      <c r="S11" s="19">
        <f t="shared" si="4"/>
        <v>0</v>
      </c>
      <c r="T11" s="19">
        <f t="shared" si="5"/>
        <v>0</v>
      </c>
      <c r="U11" s="19">
        <f t="shared" si="6"/>
        <v>0</v>
      </c>
      <c r="V11" s="19">
        <f t="shared" si="7"/>
        <v>0</v>
      </c>
      <c r="W11" s="19">
        <f t="shared" si="8"/>
        <v>0</v>
      </c>
      <c r="X11" s="20">
        <f t="shared" si="9"/>
        <v>0</v>
      </c>
      <c r="Y11" s="20">
        <f t="shared" si="10"/>
        <v>0</v>
      </c>
    </row>
    <row r="12" spans="1:25" hidden="1">
      <c r="A12" s="14" t="s">
        <v>34</v>
      </c>
      <c r="B12" s="15" t="s">
        <v>35</v>
      </c>
      <c r="C12" s="16">
        <v>263.58</v>
      </c>
      <c r="D12" s="16">
        <v>263.58</v>
      </c>
      <c r="E12" s="17">
        <v>15</v>
      </c>
      <c r="F12" s="18">
        <v>0</v>
      </c>
      <c r="G12" s="18">
        <v>0</v>
      </c>
      <c r="H12" s="36">
        <v>0</v>
      </c>
      <c r="I12" s="17">
        <v>0</v>
      </c>
      <c r="J12" s="17">
        <f t="shared" si="0"/>
        <v>15</v>
      </c>
      <c r="K12" s="37">
        <v>15</v>
      </c>
      <c r="L12" s="17">
        <v>0</v>
      </c>
      <c r="M12" s="17">
        <v>0</v>
      </c>
      <c r="N12" s="17">
        <f t="shared" si="1"/>
        <v>15</v>
      </c>
      <c r="O12" s="17">
        <f t="shared" si="2"/>
        <v>0</v>
      </c>
      <c r="P12" s="3"/>
      <c r="Q12" s="19">
        <f t="shared" si="3"/>
        <v>3953.7</v>
      </c>
      <c r="R12" s="19">
        <v>0</v>
      </c>
      <c r="S12" s="19">
        <f t="shared" si="4"/>
        <v>0</v>
      </c>
      <c r="T12" s="19">
        <f t="shared" si="5"/>
        <v>0</v>
      </c>
      <c r="U12" s="19">
        <f t="shared" si="6"/>
        <v>0</v>
      </c>
      <c r="V12" s="19">
        <f t="shared" si="7"/>
        <v>0</v>
      </c>
      <c r="W12" s="19">
        <f t="shared" si="8"/>
        <v>3953.7</v>
      </c>
      <c r="X12" s="20">
        <f t="shared" si="9"/>
        <v>3953.7</v>
      </c>
      <c r="Y12" s="20">
        <f t="shared" si="10"/>
        <v>0</v>
      </c>
    </row>
    <row r="13" spans="1:25" hidden="1">
      <c r="A13" s="14" t="s">
        <v>36</v>
      </c>
      <c r="B13" s="15" t="s">
        <v>37</v>
      </c>
      <c r="C13" s="16">
        <v>0</v>
      </c>
      <c r="D13" s="16">
        <v>0</v>
      </c>
      <c r="E13" s="17">
        <v>0</v>
      </c>
      <c r="F13" s="18">
        <v>0</v>
      </c>
      <c r="G13" s="18">
        <v>0</v>
      </c>
      <c r="H13" s="36">
        <v>0</v>
      </c>
      <c r="I13" s="17">
        <v>0</v>
      </c>
      <c r="J13" s="17">
        <f t="shared" si="0"/>
        <v>0</v>
      </c>
      <c r="K13" s="37">
        <v>0</v>
      </c>
      <c r="L13" s="17">
        <v>0</v>
      </c>
      <c r="M13" s="17">
        <v>0</v>
      </c>
      <c r="N13" s="17">
        <f t="shared" si="1"/>
        <v>0</v>
      </c>
      <c r="O13" s="17">
        <f t="shared" si="2"/>
        <v>0</v>
      </c>
      <c r="P13" s="3"/>
      <c r="Q13" s="19">
        <f t="shared" si="3"/>
        <v>0</v>
      </c>
      <c r="R13" s="19">
        <v>0</v>
      </c>
      <c r="S13" s="19">
        <f t="shared" si="4"/>
        <v>0</v>
      </c>
      <c r="T13" s="19">
        <f t="shared" si="5"/>
        <v>0</v>
      </c>
      <c r="U13" s="19">
        <f t="shared" si="6"/>
        <v>0</v>
      </c>
      <c r="V13" s="19">
        <f t="shared" si="7"/>
        <v>0</v>
      </c>
      <c r="W13" s="19">
        <f t="shared" si="8"/>
        <v>0</v>
      </c>
      <c r="X13" s="20">
        <f t="shared" si="9"/>
        <v>0</v>
      </c>
      <c r="Y13" s="20">
        <f t="shared" si="10"/>
        <v>0</v>
      </c>
    </row>
    <row r="14" spans="1:25" hidden="1">
      <c r="A14" s="14" t="s">
        <v>38</v>
      </c>
      <c r="B14" s="15" t="s">
        <v>39</v>
      </c>
      <c r="C14" s="16">
        <v>1010</v>
      </c>
      <c r="D14" s="16">
        <v>1010</v>
      </c>
      <c r="E14" s="17">
        <v>1</v>
      </c>
      <c r="F14" s="18">
        <v>0</v>
      </c>
      <c r="G14" s="18">
        <v>0</v>
      </c>
      <c r="H14" s="36">
        <v>0</v>
      </c>
      <c r="I14" s="17">
        <v>0</v>
      </c>
      <c r="J14" s="17">
        <f t="shared" si="0"/>
        <v>1</v>
      </c>
      <c r="K14" s="37">
        <v>1</v>
      </c>
      <c r="L14" s="17">
        <v>0</v>
      </c>
      <c r="M14" s="17">
        <v>0</v>
      </c>
      <c r="N14" s="17">
        <f t="shared" si="1"/>
        <v>1</v>
      </c>
      <c r="O14" s="17">
        <f t="shared" si="2"/>
        <v>0</v>
      </c>
      <c r="P14" s="3"/>
      <c r="Q14" s="19">
        <f t="shared" si="3"/>
        <v>1010</v>
      </c>
      <c r="R14" s="19">
        <v>0</v>
      </c>
      <c r="S14" s="19">
        <f t="shared" si="4"/>
        <v>0</v>
      </c>
      <c r="T14" s="19">
        <f t="shared" si="5"/>
        <v>0</v>
      </c>
      <c r="U14" s="19">
        <f t="shared" si="6"/>
        <v>0</v>
      </c>
      <c r="V14" s="19">
        <f t="shared" si="7"/>
        <v>0</v>
      </c>
      <c r="W14" s="19">
        <f t="shared" si="8"/>
        <v>1010</v>
      </c>
      <c r="X14" s="20">
        <f t="shared" si="9"/>
        <v>1010</v>
      </c>
      <c r="Y14" s="20">
        <f t="shared" si="10"/>
        <v>0</v>
      </c>
    </row>
    <row r="15" spans="1:25" hidden="1">
      <c r="A15" s="14" t="s">
        <v>40</v>
      </c>
      <c r="B15" s="15" t="s">
        <v>41</v>
      </c>
      <c r="C15" s="16">
        <v>320</v>
      </c>
      <c r="D15" s="16">
        <v>320</v>
      </c>
      <c r="E15" s="17">
        <v>2</v>
      </c>
      <c r="F15" s="18">
        <v>0</v>
      </c>
      <c r="G15" s="18">
        <v>0</v>
      </c>
      <c r="H15" s="36">
        <v>0</v>
      </c>
      <c r="I15" s="17">
        <v>0</v>
      </c>
      <c r="J15" s="17">
        <f t="shared" si="0"/>
        <v>2</v>
      </c>
      <c r="K15" s="37">
        <v>2</v>
      </c>
      <c r="L15" s="17">
        <v>0</v>
      </c>
      <c r="M15" s="17">
        <v>0</v>
      </c>
      <c r="N15" s="17">
        <f t="shared" si="1"/>
        <v>2</v>
      </c>
      <c r="O15" s="17">
        <f t="shared" si="2"/>
        <v>0</v>
      </c>
      <c r="P15" s="3"/>
      <c r="Q15" s="19">
        <f t="shared" si="3"/>
        <v>640</v>
      </c>
      <c r="R15" s="19">
        <v>0</v>
      </c>
      <c r="S15" s="19">
        <f t="shared" si="4"/>
        <v>0</v>
      </c>
      <c r="T15" s="19">
        <f t="shared" si="5"/>
        <v>0</v>
      </c>
      <c r="U15" s="19">
        <f t="shared" si="6"/>
        <v>0</v>
      </c>
      <c r="V15" s="19">
        <f t="shared" si="7"/>
        <v>0</v>
      </c>
      <c r="W15" s="19">
        <f t="shared" si="8"/>
        <v>640</v>
      </c>
      <c r="X15" s="20">
        <f t="shared" si="9"/>
        <v>640</v>
      </c>
      <c r="Y15" s="20">
        <f t="shared" si="10"/>
        <v>0</v>
      </c>
    </row>
    <row r="16" spans="1:25" hidden="1">
      <c r="A16" s="14" t="s">
        <v>42</v>
      </c>
      <c r="B16" s="15" t="s">
        <v>43</v>
      </c>
      <c r="C16" s="16">
        <v>1</v>
      </c>
      <c r="D16" s="16">
        <v>1</v>
      </c>
      <c r="E16" s="17">
        <v>10</v>
      </c>
      <c r="F16" s="18">
        <v>0</v>
      </c>
      <c r="G16" s="18">
        <v>0</v>
      </c>
      <c r="H16" s="36">
        <v>0</v>
      </c>
      <c r="I16" s="17">
        <v>0</v>
      </c>
      <c r="J16" s="17">
        <f t="shared" si="0"/>
        <v>10</v>
      </c>
      <c r="K16" s="37">
        <v>10</v>
      </c>
      <c r="L16" s="17">
        <v>0</v>
      </c>
      <c r="M16" s="17">
        <v>0</v>
      </c>
      <c r="N16" s="17">
        <f t="shared" si="1"/>
        <v>10</v>
      </c>
      <c r="O16" s="17">
        <f t="shared" si="2"/>
        <v>0</v>
      </c>
      <c r="P16" s="3"/>
      <c r="Q16" s="19">
        <f t="shared" si="3"/>
        <v>10</v>
      </c>
      <c r="R16" s="19">
        <v>0</v>
      </c>
      <c r="S16" s="19">
        <f t="shared" si="4"/>
        <v>0</v>
      </c>
      <c r="T16" s="19">
        <f t="shared" si="5"/>
        <v>0</v>
      </c>
      <c r="U16" s="19">
        <f t="shared" si="6"/>
        <v>0</v>
      </c>
      <c r="V16" s="19">
        <f t="shared" si="7"/>
        <v>0</v>
      </c>
      <c r="W16" s="19">
        <f t="shared" si="8"/>
        <v>10</v>
      </c>
      <c r="X16" s="20">
        <f t="shared" si="9"/>
        <v>10</v>
      </c>
      <c r="Y16" s="20">
        <f t="shared" si="10"/>
        <v>0</v>
      </c>
    </row>
    <row r="17" spans="1:25" hidden="1">
      <c r="A17" s="14" t="s">
        <v>44</v>
      </c>
      <c r="B17" s="15" t="s">
        <v>45</v>
      </c>
      <c r="C17" s="16">
        <v>217.5</v>
      </c>
      <c r="D17" s="16">
        <v>217.5</v>
      </c>
      <c r="E17" s="17">
        <v>4</v>
      </c>
      <c r="F17" s="18">
        <v>0</v>
      </c>
      <c r="G17" s="18">
        <v>0</v>
      </c>
      <c r="H17" s="36">
        <v>0</v>
      </c>
      <c r="I17" s="17">
        <v>0</v>
      </c>
      <c r="J17" s="17">
        <f t="shared" si="0"/>
        <v>4</v>
      </c>
      <c r="K17" s="37">
        <v>4</v>
      </c>
      <c r="L17" s="17">
        <v>0</v>
      </c>
      <c r="M17" s="17">
        <v>0</v>
      </c>
      <c r="N17" s="17">
        <f t="shared" si="1"/>
        <v>4</v>
      </c>
      <c r="O17" s="17">
        <f t="shared" si="2"/>
        <v>0</v>
      </c>
      <c r="P17" s="3"/>
      <c r="Q17" s="19">
        <f t="shared" si="3"/>
        <v>870</v>
      </c>
      <c r="R17" s="19">
        <v>0</v>
      </c>
      <c r="S17" s="19">
        <f t="shared" si="4"/>
        <v>0</v>
      </c>
      <c r="T17" s="19">
        <f t="shared" si="5"/>
        <v>0</v>
      </c>
      <c r="U17" s="19">
        <f t="shared" si="6"/>
        <v>0</v>
      </c>
      <c r="V17" s="19">
        <f t="shared" si="7"/>
        <v>0</v>
      </c>
      <c r="W17" s="19">
        <f t="shared" si="8"/>
        <v>870</v>
      </c>
      <c r="X17" s="20">
        <f t="shared" si="9"/>
        <v>870</v>
      </c>
      <c r="Y17" s="20">
        <f t="shared" si="10"/>
        <v>0</v>
      </c>
    </row>
    <row r="18" spans="1:25" hidden="1">
      <c r="A18" s="14" t="s">
        <v>46</v>
      </c>
      <c r="B18" s="15" t="s">
        <v>47</v>
      </c>
      <c r="C18" s="16">
        <v>1193.5</v>
      </c>
      <c r="D18" s="16">
        <v>1193.5</v>
      </c>
      <c r="E18" s="17">
        <v>1</v>
      </c>
      <c r="F18" s="18">
        <v>0</v>
      </c>
      <c r="G18" s="18">
        <v>0</v>
      </c>
      <c r="H18" s="36">
        <v>0</v>
      </c>
      <c r="I18" s="17">
        <v>0</v>
      </c>
      <c r="J18" s="17">
        <f t="shared" si="0"/>
        <v>1</v>
      </c>
      <c r="K18" s="37">
        <v>1</v>
      </c>
      <c r="L18" s="17">
        <v>0</v>
      </c>
      <c r="M18" s="17">
        <v>0</v>
      </c>
      <c r="N18" s="17">
        <f t="shared" si="1"/>
        <v>1</v>
      </c>
      <c r="O18" s="17">
        <f t="shared" si="2"/>
        <v>0</v>
      </c>
      <c r="P18" s="3"/>
      <c r="Q18" s="19">
        <f t="shared" si="3"/>
        <v>1193.5</v>
      </c>
      <c r="R18" s="19">
        <v>0</v>
      </c>
      <c r="S18" s="19">
        <f t="shared" si="4"/>
        <v>0</v>
      </c>
      <c r="T18" s="19">
        <f t="shared" si="5"/>
        <v>0</v>
      </c>
      <c r="U18" s="19">
        <f t="shared" si="6"/>
        <v>0</v>
      </c>
      <c r="V18" s="19">
        <f t="shared" si="7"/>
        <v>0</v>
      </c>
      <c r="W18" s="19">
        <f t="shared" si="8"/>
        <v>1193.5</v>
      </c>
      <c r="X18" s="20">
        <f t="shared" si="9"/>
        <v>1193.5</v>
      </c>
      <c r="Y18" s="20">
        <f t="shared" si="10"/>
        <v>0</v>
      </c>
    </row>
    <row r="19" spans="1:25" hidden="1">
      <c r="A19" s="14" t="s">
        <v>48</v>
      </c>
      <c r="B19" s="15" t="s">
        <v>49</v>
      </c>
      <c r="C19" s="16">
        <v>580</v>
      </c>
      <c r="D19" s="16">
        <v>580</v>
      </c>
      <c r="E19" s="17">
        <v>0</v>
      </c>
      <c r="F19" s="18">
        <v>0</v>
      </c>
      <c r="G19" s="18">
        <v>0</v>
      </c>
      <c r="H19" s="36">
        <v>0</v>
      </c>
      <c r="I19" s="17">
        <v>0</v>
      </c>
      <c r="J19" s="17">
        <f t="shared" si="0"/>
        <v>0</v>
      </c>
      <c r="K19" s="37">
        <v>0</v>
      </c>
      <c r="L19" s="17">
        <v>0</v>
      </c>
      <c r="M19" s="17">
        <v>0</v>
      </c>
      <c r="N19" s="17">
        <f t="shared" si="1"/>
        <v>0</v>
      </c>
      <c r="O19" s="17">
        <f t="shared" si="2"/>
        <v>0</v>
      </c>
      <c r="P19" s="3"/>
      <c r="Q19" s="19">
        <f t="shared" si="3"/>
        <v>0</v>
      </c>
      <c r="R19" s="19">
        <v>0</v>
      </c>
      <c r="S19" s="19">
        <f t="shared" si="4"/>
        <v>0</v>
      </c>
      <c r="T19" s="19">
        <f t="shared" si="5"/>
        <v>0</v>
      </c>
      <c r="U19" s="19">
        <f t="shared" si="6"/>
        <v>0</v>
      </c>
      <c r="V19" s="19">
        <f t="shared" si="7"/>
        <v>0</v>
      </c>
      <c r="W19" s="19">
        <f t="shared" si="8"/>
        <v>0</v>
      </c>
      <c r="X19" s="20">
        <f t="shared" si="9"/>
        <v>0</v>
      </c>
      <c r="Y19" s="20">
        <f t="shared" si="10"/>
        <v>0</v>
      </c>
    </row>
    <row r="20" spans="1:25" hidden="1">
      <c r="A20" s="14" t="s">
        <v>50</v>
      </c>
      <c r="B20" s="15" t="s">
        <v>51</v>
      </c>
      <c r="C20" s="16">
        <v>700</v>
      </c>
      <c r="D20" s="16">
        <v>700</v>
      </c>
      <c r="E20" s="17">
        <v>2</v>
      </c>
      <c r="F20" s="18">
        <v>0</v>
      </c>
      <c r="G20" s="18">
        <v>0</v>
      </c>
      <c r="H20" s="36">
        <v>0</v>
      </c>
      <c r="I20" s="17">
        <v>0</v>
      </c>
      <c r="J20" s="17">
        <f t="shared" si="0"/>
        <v>2</v>
      </c>
      <c r="K20" s="37">
        <v>2</v>
      </c>
      <c r="L20" s="17">
        <v>0</v>
      </c>
      <c r="M20" s="17">
        <v>0</v>
      </c>
      <c r="N20" s="17">
        <f t="shared" si="1"/>
        <v>2</v>
      </c>
      <c r="O20" s="17">
        <f t="shared" si="2"/>
        <v>0</v>
      </c>
      <c r="P20" s="3"/>
      <c r="Q20" s="19">
        <f t="shared" si="3"/>
        <v>1400</v>
      </c>
      <c r="R20" s="19">
        <v>0</v>
      </c>
      <c r="S20" s="19">
        <f t="shared" si="4"/>
        <v>0</v>
      </c>
      <c r="T20" s="19">
        <f t="shared" si="5"/>
        <v>0</v>
      </c>
      <c r="U20" s="19">
        <f t="shared" si="6"/>
        <v>0</v>
      </c>
      <c r="V20" s="19">
        <f t="shared" si="7"/>
        <v>0</v>
      </c>
      <c r="W20" s="19">
        <f t="shared" si="8"/>
        <v>1400</v>
      </c>
      <c r="X20" s="20">
        <f t="shared" si="9"/>
        <v>1400</v>
      </c>
      <c r="Y20" s="20">
        <f t="shared" si="10"/>
        <v>0</v>
      </c>
    </row>
    <row r="21" spans="1:25" ht="15.75" hidden="1" customHeight="1">
      <c r="A21" s="14" t="s">
        <v>52</v>
      </c>
      <c r="B21" s="15" t="s">
        <v>53</v>
      </c>
      <c r="C21" s="16">
        <v>1020</v>
      </c>
      <c r="D21" s="16">
        <v>1020</v>
      </c>
      <c r="E21" s="17">
        <v>1</v>
      </c>
      <c r="F21" s="18">
        <v>0</v>
      </c>
      <c r="G21" s="18">
        <v>0</v>
      </c>
      <c r="H21" s="36">
        <v>0</v>
      </c>
      <c r="I21" s="17">
        <v>0</v>
      </c>
      <c r="J21" s="17">
        <f t="shared" si="0"/>
        <v>1</v>
      </c>
      <c r="K21" s="37">
        <v>1</v>
      </c>
      <c r="L21" s="17">
        <v>0</v>
      </c>
      <c r="M21" s="17">
        <v>0</v>
      </c>
      <c r="N21" s="17">
        <f t="shared" si="1"/>
        <v>1</v>
      </c>
      <c r="O21" s="17">
        <f t="shared" si="2"/>
        <v>0</v>
      </c>
      <c r="P21" s="3"/>
      <c r="Q21" s="19">
        <f t="shared" si="3"/>
        <v>1020</v>
      </c>
      <c r="R21" s="19">
        <v>0</v>
      </c>
      <c r="S21" s="19">
        <f t="shared" si="4"/>
        <v>0</v>
      </c>
      <c r="T21" s="19">
        <f t="shared" si="5"/>
        <v>0</v>
      </c>
      <c r="U21" s="19">
        <f t="shared" si="6"/>
        <v>0</v>
      </c>
      <c r="V21" s="19">
        <f t="shared" si="7"/>
        <v>0</v>
      </c>
      <c r="W21" s="19">
        <f t="shared" si="8"/>
        <v>1020</v>
      </c>
      <c r="X21" s="20">
        <f t="shared" si="9"/>
        <v>1020</v>
      </c>
      <c r="Y21" s="20">
        <f t="shared" si="10"/>
        <v>0</v>
      </c>
    </row>
    <row r="22" spans="1:25" ht="15.75" hidden="1" customHeight="1">
      <c r="A22" s="14" t="s">
        <v>54</v>
      </c>
      <c r="B22" s="15" t="s">
        <v>55</v>
      </c>
      <c r="C22" s="16">
        <v>253</v>
      </c>
      <c r="D22" s="16">
        <v>253</v>
      </c>
      <c r="E22" s="17">
        <v>0</v>
      </c>
      <c r="F22" s="18">
        <v>0</v>
      </c>
      <c r="G22" s="18">
        <v>0</v>
      </c>
      <c r="H22" s="36">
        <v>0</v>
      </c>
      <c r="I22" s="17">
        <v>0</v>
      </c>
      <c r="J22" s="17">
        <f t="shared" si="0"/>
        <v>0</v>
      </c>
      <c r="K22" s="37">
        <v>0</v>
      </c>
      <c r="L22" s="17">
        <v>0</v>
      </c>
      <c r="M22" s="17">
        <v>0</v>
      </c>
      <c r="N22" s="17">
        <f t="shared" si="1"/>
        <v>0</v>
      </c>
      <c r="O22" s="17">
        <f t="shared" si="2"/>
        <v>0</v>
      </c>
      <c r="P22" s="3"/>
      <c r="Q22" s="19">
        <f t="shared" si="3"/>
        <v>0</v>
      </c>
      <c r="R22" s="19">
        <v>0</v>
      </c>
      <c r="S22" s="19">
        <f t="shared" si="4"/>
        <v>0</v>
      </c>
      <c r="T22" s="19">
        <f t="shared" si="5"/>
        <v>0</v>
      </c>
      <c r="U22" s="19">
        <f t="shared" si="6"/>
        <v>0</v>
      </c>
      <c r="V22" s="19">
        <f t="shared" si="7"/>
        <v>0</v>
      </c>
      <c r="W22" s="19">
        <f t="shared" si="8"/>
        <v>0</v>
      </c>
      <c r="X22" s="20">
        <f t="shared" si="9"/>
        <v>0</v>
      </c>
      <c r="Y22" s="20">
        <f t="shared" si="10"/>
        <v>0</v>
      </c>
    </row>
    <row r="23" spans="1:25" ht="15.75" hidden="1" customHeight="1">
      <c r="A23" s="14" t="s">
        <v>56</v>
      </c>
      <c r="B23" s="15" t="s">
        <v>57</v>
      </c>
      <c r="C23" s="16">
        <v>1222.73</v>
      </c>
      <c r="D23" s="16">
        <v>1222.73</v>
      </c>
      <c r="E23" s="17">
        <v>8</v>
      </c>
      <c r="F23" s="18">
        <v>0</v>
      </c>
      <c r="G23" s="18">
        <v>0</v>
      </c>
      <c r="H23" s="36">
        <v>0</v>
      </c>
      <c r="I23" s="17">
        <v>0</v>
      </c>
      <c r="J23" s="17">
        <f t="shared" si="0"/>
        <v>8</v>
      </c>
      <c r="K23" s="37">
        <v>7</v>
      </c>
      <c r="L23" s="17">
        <v>0</v>
      </c>
      <c r="M23" s="17">
        <v>1</v>
      </c>
      <c r="N23" s="17">
        <f t="shared" si="1"/>
        <v>8</v>
      </c>
      <c r="O23" s="17">
        <f t="shared" si="2"/>
        <v>0</v>
      </c>
      <c r="P23" s="3"/>
      <c r="Q23" s="19">
        <f t="shared" si="3"/>
        <v>9781.84</v>
      </c>
      <c r="R23" s="19">
        <v>0</v>
      </c>
      <c r="S23" s="19">
        <f t="shared" si="4"/>
        <v>0</v>
      </c>
      <c r="T23" s="19">
        <f t="shared" si="5"/>
        <v>0</v>
      </c>
      <c r="U23" s="19">
        <f t="shared" si="6"/>
        <v>0</v>
      </c>
      <c r="V23" s="19">
        <f t="shared" si="7"/>
        <v>0</v>
      </c>
      <c r="W23" s="19">
        <f t="shared" si="8"/>
        <v>9781.84</v>
      </c>
      <c r="X23" s="20">
        <f t="shared" si="9"/>
        <v>9781.84</v>
      </c>
      <c r="Y23" s="20">
        <f t="shared" si="10"/>
        <v>0</v>
      </c>
    </row>
    <row r="24" spans="1:25" ht="15.75" hidden="1" customHeight="1">
      <c r="A24" s="14" t="s">
        <v>58</v>
      </c>
      <c r="B24" s="15" t="s">
        <v>59</v>
      </c>
      <c r="C24" s="16">
        <v>190.5</v>
      </c>
      <c r="D24" s="16">
        <v>190.5</v>
      </c>
      <c r="E24" s="17">
        <v>0</v>
      </c>
      <c r="F24" s="18">
        <v>0</v>
      </c>
      <c r="G24" s="18">
        <v>0</v>
      </c>
      <c r="H24" s="36">
        <v>0</v>
      </c>
      <c r="I24" s="17">
        <v>0</v>
      </c>
      <c r="J24" s="17">
        <f t="shared" si="0"/>
        <v>0</v>
      </c>
      <c r="K24" s="37">
        <v>0</v>
      </c>
      <c r="L24" s="17">
        <v>0</v>
      </c>
      <c r="M24" s="17">
        <v>0</v>
      </c>
      <c r="N24" s="17">
        <f t="shared" si="1"/>
        <v>0</v>
      </c>
      <c r="O24" s="17">
        <f t="shared" si="2"/>
        <v>0</v>
      </c>
      <c r="P24" s="3"/>
      <c r="Q24" s="19">
        <f t="shared" si="3"/>
        <v>0</v>
      </c>
      <c r="R24" s="19">
        <v>0</v>
      </c>
      <c r="S24" s="19">
        <f t="shared" si="4"/>
        <v>0</v>
      </c>
      <c r="T24" s="19">
        <f t="shared" si="5"/>
        <v>0</v>
      </c>
      <c r="U24" s="19">
        <f t="shared" si="6"/>
        <v>0</v>
      </c>
      <c r="V24" s="19">
        <f t="shared" si="7"/>
        <v>0</v>
      </c>
      <c r="W24" s="19">
        <f t="shared" si="8"/>
        <v>0</v>
      </c>
      <c r="X24" s="20">
        <f t="shared" si="9"/>
        <v>0</v>
      </c>
      <c r="Y24" s="20">
        <f t="shared" si="10"/>
        <v>0</v>
      </c>
    </row>
    <row r="25" spans="1:25" ht="15.75" hidden="1" customHeight="1">
      <c r="A25" s="14" t="s">
        <v>60</v>
      </c>
      <c r="B25" s="15" t="s">
        <v>61</v>
      </c>
      <c r="C25" s="16">
        <v>440</v>
      </c>
      <c r="D25" s="16">
        <v>440</v>
      </c>
      <c r="E25" s="17">
        <v>0</v>
      </c>
      <c r="F25" s="18">
        <v>0</v>
      </c>
      <c r="G25" s="18">
        <v>0</v>
      </c>
      <c r="H25" s="36">
        <v>0</v>
      </c>
      <c r="I25" s="17">
        <v>0</v>
      </c>
      <c r="J25" s="17">
        <f t="shared" si="0"/>
        <v>0</v>
      </c>
      <c r="K25" s="37">
        <v>0</v>
      </c>
      <c r="L25" s="17">
        <v>0</v>
      </c>
      <c r="M25" s="17">
        <v>0</v>
      </c>
      <c r="N25" s="17">
        <f t="shared" si="1"/>
        <v>0</v>
      </c>
      <c r="O25" s="17">
        <f t="shared" si="2"/>
        <v>0</v>
      </c>
      <c r="P25" s="3"/>
      <c r="Q25" s="19">
        <f t="shared" si="3"/>
        <v>0</v>
      </c>
      <c r="R25" s="19">
        <v>0</v>
      </c>
      <c r="S25" s="19">
        <f t="shared" si="4"/>
        <v>0</v>
      </c>
      <c r="T25" s="19">
        <f t="shared" si="5"/>
        <v>0</v>
      </c>
      <c r="U25" s="19">
        <f t="shared" si="6"/>
        <v>0</v>
      </c>
      <c r="V25" s="19">
        <f t="shared" si="7"/>
        <v>0</v>
      </c>
      <c r="W25" s="19">
        <f t="shared" si="8"/>
        <v>0</v>
      </c>
      <c r="X25" s="20">
        <f t="shared" si="9"/>
        <v>0</v>
      </c>
      <c r="Y25" s="20">
        <f t="shared" si="10"/>
        <v>0</v>
      </c>
    </row>
    <row r="26" spans="1:25" ht="15.75" hidden="1" customHeight="1">
      <c r="A26" s="14" t="s">
        <v>62</v>
      </c>
      <c r="B26" s="15" t="s">
        <v>63</v>
      </c>
      <c r="C26" s="16">
        <v>34.4</v>
      </c>
      <c r="D26" s="16">
        <v>34.4</v>
      </c>
      <c r="E26" s="17">
        <v>2</v>
      </c>
      <c r="F26" s="18">
        <v>0</v>
      </c>
      <c r="G26" s="18">
        <v>0</v>
      </c>
      <c r="H26" s="36">
        <v>0</v>
      </c>
      <c r="I26" s="17">
        <v>0</v>
      </c>
      <c r="J26" s="17">
        <f t="shared" si="0"/>
        <v>2</v>
      </c>
      <c r="K26" s="37">
        <v>2</v>
      </c>
      <c r="L26" s="17">
        <v>0</v>
      </c>
      <c r="M26" s="17">
        <v>0</v>
      </c>
      <c r="N26" s="17">
        <f t="shared" si="1"/>
        <v>2</v>
      </c>
      <c r="O26" s="17">
        <f t="shared" si="2"/>
        <v>0</v>
      </c>
      <c r="P26" s="3"/>
      <c r="Q26" s="19">
        <f t="shared" si="3"/>
        <v>68.8</v>
      </c>
      <c r="R26" s="19">
        <v>0</v>
      </c>
      <c r="S26" s="19">
        <f t="shared" si="4"/>
        <v>0</v>
      </c>
      <c r="T26" s="19">
        <f t="shared" si="5"/>
        <v>0</v>
      </c>
      <c r="U26" s="19">
        <f t="shared" si="6"/>
        <v>0</v>
      </c>
      <c r="V26" s="19">
        <f t="shared" si="7"/>
        <v>0</v>
      </c>
      <c r="W26" s="19">
        <f t="shared" si="8"/>
        <v>68.8</v>
      </c>
      <c r="X26" s="20">
        <f t="shared" si="9"/>
        <v>68.8</v>
      </c>
      <c r="Y26" s="20">
        <f t="shared" si="10"/>
        <v>0</v>
      </c>
    </row>
    <row r="27" spans="1:25" ht="15.75" hidden="1" customHeight="1">
      <c r="A27" s="14" t="s">
        <v>64</v>
      </c>
      <c r="B27" s="15" t="s">
        <v>65</v>
      </c>
      <c r="C27" s="16">
        <v>34.479999999999997</v>
      </c>
      <c r="D27" s="16">
        <v>34.479999999999997</v>
      </c>
      <c r="E27" s="17">
        <v>2</v>
      </c>
      <c r="F27" s="18">
        <v>0</v>
      </c>
      <c r="G27" s="18">
        <v>0</v>
      </c>
      <c r="H27" s="36">
        <v>0</v>
      </c>
      <c r="I27" s="17">
        <v>0</v>
      </c>
      <c r="J27" s="17">
        <f t="shared" si="0"/>
        <v>2</v>
      </c>
      <c r="K27" s="37">
        <v>2</v>
      </c>
      <c r="L27" s="17">
        <v>0</v>
      </c>
      <c r="M27" s="17">
        <v>0</v>
      </c>
      <c r="N27" s="17">
        <f t="shared" si="1"/>
        <v>2</v>
      </c>
      <c r="O27" s="17">
        <f t="shared" si="2"/>
        <v>0</v>
      </c>
      <c r="P27" s="3"/>
      <c r="Q27" s="19">
        <f t="shared" si="3"/>
        <v>68.959999999999994</v>
      </c>
      <c r="R27" s="19">
        <v>0</v>
      </c>
      <c r="S27" s="19">
        <f t="shared" si="4"/>
        <v>0</v>
      </c>
      <c r="T27" s="19">
        <f t="shared" si="5"/>
        <v>0</v>
      </c>
      <c r="U27" s="19">
        <f t="shared" si="6"/>
        <v>0</v>
      </c>
      <c r="V27" s="19">
        <f t="shared" si="7"/>
        <v>0</v>
      </c>
      <c r="W27" s="19">
        <f t="shared" si="8"/>
        <v>68.959999999999994</v>
      </c>
      <c r="X27" s="20">
        <f t="shared" si="9"/>
        <v>68.959999999999994</v>
      </c>
      <c r="Y27" s="20">
        <f t="shared" si="10"/>
        <v>0</v>
      </c>
    </row>
    <row r="28" spans="1:25" ht="15.75" hidden="1" customHeight="1">
      <c r="A28" s="14" t="s">
        <v>66</v>
      </c>
      <c r="B28" s="15" t="s">
        <v>67</v>
      </c>
      <c r="C28" s="16">
        <v>0</v>
      </c>
      <c r="D28" s="16">
        <v>0</v>
      </c>
      <c r="E28" s="17">
        <v>0</v>
      </c>
      <c r="F28" s="18">
        <v>0</v>
      </c>
      <c r="G28" s="18">
        <v>0</v>
      </c>
      <c r="H28" s="36">
        <v>0</v>
      </c>
      <c r="I28" s="17">
        <v>0</v>
      </c>
      <c r="J28" s="17">
        <f t="shared" si="0"/>
        <v>0</v>
      </c>
      <c r="K28" s="37">
        <v>0</v>
      </c>
      <c r="L28" s="17">
        <v>0</v>
      </c>
      <c r="M28" s="17">
        <v>0</v>
      </c>
      <c r="N28" s="17">
        <f t="shared" si="1"/>
        <v>0</v>
      </c>
      <c r="O28" s="17">
        <f t="shared" si="2"/>
        <v>0</v>
      </c>
      <c r="P28" s="3"/>
      <c r="Q28" s="19">
        <f t="shared" si="3"/>
        <v>0</v>
      </c>
      <c r="R28" s="19">
        <v>0</v>
      </c>
      <c r="S28" s="19">
        <f t="shared" si="4"/>
        <v>0</v>
      </c>
      <c r="T28" s="19">
        <f t="shared" si="5"/>
        <v>0</v>
      </c>
      <c r="U28" s="19">
        <f t="shared" si="6"/>
        <v>0</v>
      </c>
      <c r="V28" s="19">
        <f t="shared" si="7"/>
        <v>0</v>
      </c>
      <c r="W28" s="19">
        <f t="shared" si="8"/>
        <v>0</v>
      </c>
      <c r="X28" s="20">
        <f t="shared" si="9"/>
        <v>0</v>
      </c>
      <c r="Y28" s="20">
        <f t="shared" si="10"/>
        <v>0</v>
      </c>
    </row>
    <row r="29" spans="1:25" ht="15.75" hidden="1" customHeight="1">
      <c r="A29" s="14" t="s">
        <v>68</v>
      </c>
      <c r="B29" s="15" t="s">
        <v>69</v>
      </c>
      <c r="C29" s="16">
        <v>4500</v>
      </c>
      <c r="D29" s="16">
        <v>4500</v>
      </c>
      <c r="E29" s="17">
        <v>0</v>
      </c>
      <c r="F29" s="18">
        <v>0</v>
      </c>
      <c r="G29" s="18">
        <v>0</v>
      </c>
      <c r="H29" s="36">
        <v>0</v>
      </c>
      <c r="I29" s="17">
        <v>0</v>
      </c>
      <c r="J29" s="17">
        <f t="shared" si="0"/>
        <v>0</v>
      </c>
      <c r="K29" s="37">
        <v>0</v>
      </c>
      <c r="L29" s="17">
        <v>0</v>
      </c>
      <c r="M29" s="17">
        <v>0</v>
      </c>
      <c r="N29" s="17">
        <f t="shared" si="1"/>
        <v>0</v>
      </c>
      <c r="O29" s="17">
        <f t="shared" si="2"/>
        <v>0</v>
      </c>
      <c r="P29" s="3"/>
      <c r="Q29" s="19">
        <f t="shared" si="3"/>
        <v>0</v>
      </c>
      <c r="R29" s="19">
        <v>0</v>
      </c>
      <c r="S29" s="19">
        <f t="shared" si="4"/>
        <v>0</v>
      </c>
      <c r="T29" s="19">
        <f t="shared" si="5"/>
        <v>0</v>
      </c>
      <c r="U29" s="19">
        <f t="shared" si="6"/>
        <v>0</v>
      </c>
      <c r="V29" s="19">
        <f t="shared" si="7"/>
        <v>0</v>
      </c>
      <c r="W29" s="19">
        <f t="shared" si="8"/>
        <v>0</v>
      </c>
      <c r="X29" s="20">
        <f t="shared" si="9"/>
        <v>0</v>
      </c>
      <c r="Y29" s="20">
        <f t="shared" si="10"/>
        <v>0</v>
      </c>
    </row>
    <row r="30" spans="1:25" ht="15.75" hidden="1" customHeight="1">
      <c r="A30" s="14" t="s">
        <v>70</v>
      </c>
      <c r="B30" s="15" t="s">
        <v>71</v>
      </c>
      <c r="C30" s="16">
        <v>250</v>
      </c>
      <c r="D30" s="16">
        <v>250</v>
      </c>
      <c r="E30" s="17">
        <v>1</v>
      </c>
      <c r="F30" s="18">
        <v>0</v>
      </c>
      <c r="G30" s="18">
        <v>0</v>
      </c>
      <c r="H30" s="36">
        <v>0</v>
      </c>
      <c r="I30" s="17">
        <v>0</v>
      </c>
      <c r="J30" s="17">
        <f t="shared" si="0"/>
        <v>1</v>
      </c>
      <c r="K30" s="37">
        <v>1</v>
      </c>
      <c r="L30" s="17">
        <v>0</v>
      </c>
      <c r="M30" s="17">
        <v>0</v>
      </c>
      <c r="N30" s="17">
        <f t="shared" si="1"/>
        <v>1</v>
      </c>
      <c r="O30" s="17">
        <f t="shared" si="2"/>
        <v>0</v>
      </c>
      <c r="P30" s="3"/>
      <c r="Q30" s="19">
        <f t="shared" si="3"/>
        <v>250</v>
      </c>
      <c r="R30" s="19">
        <v>0</v>
      </c>
      <c r="S30" s="19">
        <f t="shared" si="4"/>
        <v>0</v>
      </c>
      <c r="T30" s="19">
        <f t="shared" si="5"/>
        <v>0</v>
      </c>
      <c r="U30" s="19">
        <f t="shared" si="6"/>
        <v>0</v>
      </c>
      <c r="V30" s="19">
        <f t="shared" si="7"/>
        <v>0</v>
      </c>
      <c r="W30" s="19">
        <f t="shared" si="8"/>
        <v>250</v>
      </c>
      <c r="X30" s="20">
        <f t="shared" si="9"/>
        <v>250</v>
      </c>
      <c r="Y30" s="20">
        <f t="shared" si="10"/>
        <v>0</v>
      </c>
    </row>
    <row r="31" spans="1:25" ht="15.75" hidden="1" customHeight="1">
      <c r="A31" s="14" t="s">
        <v>72</v>
      </c>
      <c r="B31" s="15" t="s">
        <v>73</v>
      </c>
      <c r="C31" s="16">
        <v>420.61275000000001</v>
      </c>
      <c r="D31" s="16">
        <v>420.61275000000001</v>
      </c>
      <c r="E31" s="17">
        <v>0</v>
      </c>
      <c r="F31" s="18">
        <v>0</v>
      </c>
      <c r="G31" s="18">
        <v>0</v>
      </c>
      <c r="H31" s="36">
        <v>0</v>
      </c>
      <c r="I31" s="17">
        <v>0</v>
      </c>
      <c r="J31" s="17">
        <f t="shared" si="0"/>
        <v>0</v>
      </c>
      <c r="K31" s="37">
        <v>0</v>
      </c>
      <c r="L31" s="17">
        <v>0</v>
      </c>
      <c r="M31" s="17">
        <v>0</v>
      </c>
      <c r="N31" s="17">
        <f t="shared" si="1"/>
        <v>0</v>
      </c>
      <c r="O31" s="17">
        <f t="shared" si="2"/>
        <v>0</v>
      </c>
      <c r="P31" s="3"/>
      <c r="Q31" s="19">
        <f t="shared" si="3"/>
        <v>0</v>
      </c>
      <c r="R31" s="19">
        <v>0</v>
      </c>
      <c r="S31" s="19">
        <f t="shared" si="4"/>
        <v>0</v>
      </c>
      <c r="T31" s="19">
        <f t="shared" si="5"/>
        <v>0</v>
      </c>
      <c r="U31" s="19">
        <f t="shared" si="6"/>
        <v>0</v>
      </c>
      <c r="V31" s="19">
        <f t="shared" si="7"/>
        <v>0</v>
      </c>
      <c r="W31" s="19">
        <f t="shared" si="8"/>
        <v>0</v>
      </c>
      <c r="X31" s="20">
        <f t="shared" si="9"/>
        <v>0</v>
      </c>
      <c r="Y31" s="20">
        <f t="shared" si="10"/>
        <v>0</v>
      </c>
    </row>
    <row r="32" spans="1:25" ht="15.75" hidden="1" customHeight="1">
      <c r="A32" s="14" t="s">
        <v>74</v>
      </c>
      <c r="B32" s="15" t="s">
        <v>75</v>
      </c>
      <c r="C32" s="16">
        <v>0</v>
      </c>
      <c r="D32" s="16">
        <v>0</v>
      </c>
      <c r="E32" s="17">
        <v>0</v>
      </c>
      <c r="F32" s="18">
        <v>0</v>
      </c>
      <c r="G32" s="18">
        <v>0</v>
      </c>
      <c r="H32" s="36">
        <v>0</v>
      </c>
      <c r="I32" s="17">
        <v>0</v>
      </c>
      <c r="J32" s="17">
        <f t="shared" si="0"/>
        <v>0</v>
      </c>
      <c r="K32" s="37">
        <v>0</v>
      </c>
      <c r="L32" s="17">
        <v>0</v>
      </c>
      <c r="M32" s="17">
        <v>0</v>
      </c>
      <c r="N32" s="17">
        <f t="shared" si="1"/>
        <v>0</v>
      </c>
      <c r="O32" s="17">
        <f t="shared" si="2"/>
        <v>0</v>
      </c>
      <c r="P32" s="3"/>
      <c r="Q32" s="19">
        <f t="shared" si="3"/>
        <v>0</v>
      </c>
      <c r="R32" s="19">
        <v>0</v>
      </c>
      <c r="S32" s="19">
        <f t="shared" si="4"/>
        <v>0</v>
      </c>
      <c r="T32" s="19">
        <f t="shared" si="5"/>
        <v>0</v>
      </c>
      <c r="U32" s="19">
        <f t="shared" si="6"/>
        <v>0</v>
      </c>
      <c r="V32" s="19">
        <f t="shared" si="7"/>
        <v>0</v>
      </c>
      <c r="W32" s="19">
        <f t="shared" si="8"/>
        <v>0</v>
      </c>
      <c r="X32" s="20">
        <f t="shared" si="9"/>
        <v>0</v>
      </c>
      <c r="Y32" s="20">
        <f t="shared" si="10"/>
        <v>0</v>
      </c>
    </row>
    <row r="33" spans="1:25" ht="15.75" hidden="1" customHeight="1">
      <c r="A33" s="14" t="s">
        <v>76</v>
      </c>
      <c r="B33" s="15" t="s">
        <v>77</v>
      </c>
      <c r="C33" s="16">
        <v>0</v>
      </c>
      <c r="D33" s="16">
        <v>0</v>
      </c>
      <c r="E33" s="17">
        <v>0</v>
      </c>
      <c r="F33" s="18">
        <v>0</v>
      </c>
      <c r="G33" s="18">
        <v>0</v>
      </c>
      <c r="H33" s="36">
        <v>0</v>
      </c>
      <c r="I33" s="17">
        <v>0</v>
      </c>
      <c r="J33" s="17">
        <f t="shared" si="0"/>
        <v>0</v>
      </c>
      <c r="K33" s="37">
        <v>0</v>
      </c>
      <c r="L33" s="17">
        <v>0</v>
      </c>
      <c r="M33" s="17">
        <v>0</v>
      </c>
      <c r="N33" s="17">
        <f t="shared" si="1"/>
        <v>0</v>
      </c>
      <c r="O33" s="17">
        <f t="shared" si="2"/>
        <v>0</v>
      </c>
      <c r="P33" s="3"/>
      <c r="Q33" s="19">
        <f t="shared" si="3"/>
        <v>0</v>
      </c>
      <c r="R33" s="19">
        <v>0</v>
      </c>
      <c r="S33" s="19">
        <f t="shared" si="4"/>
        <v>0</v>
      </c>
      <c r="T33" s="19">
        <f t="shared" si="5"/>
        <v>0</v>
      </c>
      <c r="U33" s="19">
        <f t="shared" si="6"/>
        <v>0</v>
      </c>
      <c r="V33" s="19">
        <f t="shared" si="7"/>
        <v>0</v>
      </c>
      <c r="W33" s="19">
        <f t="shared" si="8"/>
        <v>0</v>
      </c>
      <c r="X33" s="20">
        <f t="shared" si="9"/>
        <v>0</v>
      </c>
      <c r="Y33" s="20">
        <f t="shared" si="10"/>
        <v>0</v>
      </c>
    </row>
    <row r="34" spans="1:25" ht="15.75" hidden="1" customHeight="1">
      <c r="A34" s="14" t="s">
        <v>78</v>
      </c>
      <c r="B34" s="15" t="s">
        <v>79</v>
      </c>
      <c r="C34" s="16">
        <v>350</v>
      </c>
      <c r="D34" s="16">
        <v>350</v>
      </c>
      <c r="E34" s="17">
        <v>2</v>
      </c>
      <c r="F34" s="18">
        <v>0</v>
      </c>
      <c r="G34" s="18">
        <v>0</v>
      </c>
      <c r="H34" s="36">
        <v>0</v>
      </c>
      <c r="I34" s="17">
        <v>0</v>
      </c>
      <c r="J34" s="17">
        <f t="shared" si="0"/>
        <v>2</v>
      </c>
      <c r="K34" s="37">
        <v>2</v>
      </c>
      <c r="L34" s="17">
        <v>0</v>
      </c>
      <c r="M34" s="17">
        <v>0</v>
      </c>
      <c r="N34" s="17">
        <f t="shared" si="1"/>
        <v>2</v>
      </c>
      <c r="O34" s="17">
        <f t="shared" si="2"/>
        <v>0</v>
      </c>
      <c r="P34" s="3"/>
      <c r="Q34" s="19">
        <f t="shared" si="3"/>
        <v>700</v>
      </c>
      <c r="R34" s="19">
        <v>0</v>
      </c>
      <c r="S34" s="19">
        <f t="shared" si="4"/>
        <v>0</v>
      </c>
      <c r="T34" s="19">
        <f t="shared" si="5"/>
        <v>0</v>
      </c>
      <c r="U34" s="19">
        <f t="shared" si="6"/>
        <v>0</v>
      </c>
      <c r="V34" s="19">
        <f t="shared" si="7"/>
        <v>0</v>
      </c>
      <c r="W34" s="19">
        <f t="shared" si="8"/>
        <v>700</v>
      </c>
      <c r="X34" s="20">
        <f t="shared" si="9"/>
        <v>700</v>
      </c>
      <c r="Y34" s="20">
        <f t="shared" si="10"/>
        <v>0</v>
      </c>
    </row>
    <row r="35" spans="1:25" ht="15.75" hidden="1" customHeight="1">
      <c r="A35" s="14" t="s">
        <v>80</v>
      </c>
      <c r="B35" s="15" t="s">
        <v>81</v>
      </c>
      <c r="C35" s="16">
        <v>0</v>
      </c>
      <c r="D35" s="16">
        <v>0</v>
      </c>
      <c r="E35" s="17">
        <v>0</v>
      </c>
      <c r="F35" s="18">
        <v>0</v>
      </c>
      <c r="G35" s="18">
        <v>0</v>
      </c>
      <c r="H35" s="36">
        <v>0</v>
      </c>
      <c r="I35" s="17">
        <v>0</v>
      </c>
      <c r="J35" s="17">
        <f t="shared" si="0"/>
        <v>0</v>
      </c>
      <c r="K35" s="37">
        <v>0</v>
      </c>
      <c r="L35" s="17">
        <v>0</v>
      </c>
      <c r="M35" s="17">
        <v>0</v>
      </c>
      <c r="N35" s="17">
        <f t="shared" si="1"/>
        <v>0</v>
      </c>
      <c r="O35" s="17">
        <f t="shared" si="2"/>
        <v>0</v>
      </c>
      <c r="P35" s="3"/>
      <c r="Q35" s="19">
        <f t="shared" si="3"/>
        <v>0</v>
      </c>
      <c r="R35" s="19">
        <v>0</v>
      </c>
      <c r="S35" s="19">
        <f t="shared" si="4"/>
        <v>0</v>
      </c>
      <c r="T35" s="19">
        <f t="shared" si="5"/>
        <v>0</v>
      </c>
      <c r="U35" s="19">
        <f t="shared" si="6"/>
        <v>0</v>
      </c>
      <c r="V35" s="19">
        <f t="shared" si="7"/>
        <v>0</v>
      </c>
      <c r="W35" s="19">
        <f t="shared" si="8"/>
        <v>0</v>
      </c>
      <c r="X35" s="20">
        <f t="shared" si="9"/>
        <v>0</v>
      </c>
      <c r="Y35" s="20">
        <f t="shared" si="10"/>
        <v>0</v>
      </c>
    </row>
    <row r="36" spans="1:25" ht="15.75" hidden="1" customHeight="1">
      <c r="A36" s="14" t="s">
        <v>82</v>
      </c>
      <c r="B36" s="15" t="s">
        <v>83</v>
      </c>
      <c r="C36" s="16">
        <v>19</v>
      </c>
      <c r="D36" s="16">
        <v>19</v>
      </c>
      <c r="E36" s="17">
        <v>2</v>
      </c>
      <c r="F36" s="18">
        <v>0</v>
      </c>
      <c r="G36" s="18">
        <v>0</v>
      </c>
      <c r="H36" s="36">
        <v>0</v>
      </c>
      <c r="I36" s="17">
        <v>0</v>
      </c>
      <c r="J36" s="17">
        <f t="shared" si="0"/>
        <v>2</v>
      </c>
      <c r="K36" s="37">
        <v>2</v>
      </c>
      <c r="L36" s="17">
        <v>0</v>
      </c>
      <c r="M36" s="17">
        <v>0</v>
      </c>
      <c r="N36" s="17">
        <f t="shared" si="1"/>
        <v>2</v>
      </c>
      <c r="O36" s="17">
        <f t="shared" si="2"/>
        <v>0</v>
      </c>
      <c r="P36" s="3"/>
      <c r="Q36" s="19">
        <f t="shared" si="3"/>
        <v>38</v>
      </c>
      <c r="R36" s="19">
        <v>0</v>
      </c>
      <c r="S36" s="19">
        <f t="shared" si="4"/>
        <v>0</v>
      </c>
      <c r="T36" s="19">
        <f t="shared" si="5"/>
        <v>0</v>
      </c>
      <c r="U36" s="19">
        <f t="shared" si="6"/>
        <v>0</v>
      </c>
      <c r="V36" s="19">
        <f t="shared" si="7"/>
        <v>0</v>
      </c>
      <c r="W36" s="19">
        <f t="shared" si="8"/>
        <v>38</v>
      </c>
      <c r="X36" s="20">
        <f t="shared" si="9"/>
        <v>38</v>
      </c>
      <c r="Y36" s="20">
        <f t="shared" si="10"/>
        <v>0</v>
      </c>
    </row>
    <row r="37" spans="1:25" ht="15.75" hidden="1" customHeight="1">
      <c r="A37" s="14" t="s">
        <v>84</v>
      </c>
      <c r="B37" s="15" t="s">
        <v>85</v>
      </c>
      <c r="C37" s="16">
        <v>262.36</v>
      </c>
      <c r="D37" s="16">
        <v>262.36</v>
      </c>
      <c r="E37" s="17">
        <v>3</v>
      </c>
      <c r="F37" s="18">
        <v>0</v>
      </c>
      <c r="G37" s="18">
        <v>0</v>
      </c>
      <c r="H37" s="36">
        <v>0</v>
      </c>
      <c r="I37" s="17">
        <v>0</v>
      </c>
      <c r="J37" s="17">
        <f t="shared" si="0"/>
        <v>3</v>
      </c>
      <c r="K37" s="37">
        <v>3</v>
      </c>
      <c r="L37" s="17">
        <v>0</v>
      </c>
      <c r="M37" s="17">
        <v>0</v>
      </c>
      <c r="N37" s="17">
        <f t="shared" si="1"/>
        <v>3</v>
      </c>
      <c r="O37" s="17">
        <f t="shared" si="2"/>
        <v>0</v>
      </c>
      <c r="P37" s="3"/>
      <c r="Q37" s="19">
        <f t="shared" si="3"/>
        <v>787.08</v>
      </c>
      <c r="R37" s="19">
        <v>0</v>
      </c>
      <c r="S37" s="19">
        <f t="shared" si="4"/>
        <v>0</v>
      </c>
      <c r="T37" s="19">
        <f t="shared" si="5"/>
        <v>0</v>
      </c>
      <c r="U37" s="19">
        <f t="shared" si="6"/>
        <v>0</v>
      </c>
      <c r="V37" s="19">
        <f t="shared" si="7"/>
        <v>0</v>
      </c>
      <c r="W37" s="19">
        <f t="shared" si="8"/>
        <v>787.08</v>
      </c>
      <c r="X37" s="20">
        <f t="shared" si="9"/>
        <v>787.08</v>
      </c>
      <c r="Y37" s="20">
        <f t="shared" si="10"/>
        <v>0</v>
      </c>
    </row>
    <row r="38" spans="1:25" ht="15.75" hidden="1" customHeight="1">
      <c r="A38" s="14" t="s">
        <v>86</v>
      </c>
      <c r="B38" s="15" t="s">
        <v>87</v>
      </c>
      <c r="C38" s="16">
        <v>5590</v>
      </c>
      <c r="D38" s="16">
        <v>5590</v>
      </c>
      <c r="E38" s="17">
        <v>1</v>
      </c>
      <c r="F38" s="18">
        <v>0</v>
      </c>
      <c r="G38" s="18">
        <v>0</v>
      </c>
      <c r="H38" s="36">
        <v>0</v>
      </c>
      <c r="I38" s="17">
        <v>0</v>
      </c>
      <c r="J38" s="17">
        <f t="shared" si="0"/>
        <v>1</v>
      </c>
      <c r="K38" s="37">
        <v>1</v>
      </c>
      <c r="L38" s="17">
        <v>0</v>
      </c>
      <c r="M38" s="17">
        <v>0</v>
      </c>
      <c r="N38" s="17">
        <f t="shared" si="1"/>
        <v>1</v>
      </c>
      <c r="O38" s="17">
        <f t="shared" si="2"/>
        <v>0</v>
      </c>
      <c r="P38" s="3"/>
      <c r="Q38" s="19">
        <f t="shared" si="3"/>
        <v>5590</v>
      </c>
      <c r="R38" s="19">
        <v>0</v>
      </c>
      <c r="S38" s="19">
        <f t="shared" si="4"/>
        <v>0</v>
      </c>
      <c r="T38" s="19">
        <f t="shared" si="5"/>
        <v>0</v>
      </c>
      <c r="U38" s="19">
        <f t="shared" si="6"/>
        <v>0</v>
      </c>
      <c r="V38" s="19">
        <f t="shared" si="7"/>
        <v>0</v>
      </c>
      <c r="W38" s="19">
        <f t="shared" si="8"/>
        <v>5590</v>
      </c>
      <c r="X38" s="20">
        <f t="shared" si="9"/>
        <v>5590</v>
      </c>
      <c r="Y38" s="20">
        <f t="shared" si="10"/>
        <v>0</v>
      </c>
    </row>
    <row r="39" spans="1:25" ht="14.25" hidden="1" customHeight="1">
      <c r="A39" s="14" t="s">
        <v>88</v>
      </c>
      <c r="B39" s="15" t="s">
        <v>89</v>
      </c>
      <c r="C39" s="16">
        <v>1250</v>
      </c>
      <c r="D39" s="16">
        <v>1250</v>
      </c>
      <c r="E39" s="17">
        <v>3</v>
      </c>
      <c r="F39" s="18">
        <v>0</v>
      </c>
      <c r="G39" s="18">
        <v>0</v>
      </c>
      <c r="H39" s="36">
        <v>0</v>
      </c>
      <c r="I39" s="17">
        <v>0</v>
      </c>
      <c r="J39" s="17">
        <f t="shared" si="0"/>
        <v>3</v>
      </c>
      <c r="K39" s="37">
        <v>3</v>
      </c>
      <c r="L39" s="17">
        <v>0</v>
      </c>
      <c r="M39" s="17">
        <v>0</v>
      </c>
      <c r="N39" s="17">
        <f t="shared" si="1"/>
        <v>3</v>
      </c>
      <c r="O39" s="17">
        <f t="shared" si="2"/>
        <v>0</v>
      </c>
      <c r="P39" s="3"/>
      <c r="Q39" s="19">
        <f t="shared" si="3"/>
        <v>3750</v>
      </c>
      <c r="R39" s="19">
        <v>0</v>
      </c>
      <c r="S39" s="19">
        <f t="shared" si="4"/>
        <v>0</v>
      </c>
      <c r="T39" s="19">
        <f t="shared" si="5"/>
        <v>0</v>
      </c>
      <c r="U39" s="19">
        <f t="shared" si="6"/>
        <v>0</v>
      </c>
      <c r="V39" s="19">
        <f t="shared" si="7"/>
        <v>0</v>
      </c>
      <c r="W39" s="19">
        <f t="shared" si="8"/>
        <v>3750</v>
      </c>
      <c r="X39" s="20">
        <f t="shared" si="9"/>
        <v>3750</v>
      </c>
      <c r="Y39" s="20">
        <f t="shared" si="10"/>
        <v>0</v>
      </c>
    </row>
    <row r="40" spans="1:25" ht="15.75" hidden="1" customHeight="1">
      <c r="A40" s="14" t="s">
        <v>90</v>
      </c>
      <c r="B40" s="15" t="s">
        <v>91</v>
      </c>
      <c r="C40" s="16">
        <v>760</v>
      </c>
      <c r="D40" s="16">
        <v>760</v>
      </c>
      <c r="E40" s="17">
        <v>2</v>
      </c>
      <c r="F40" s="18">
        <v>0</v>
      </c>
      <c r="G40" s="18">
        <v>0</v>
      </c>
      <c r="H40" s="36">
        <v>0</v>
      </c>
      <c r="I40" s="17">
        <v>0</v>
      </c>
      <c r="J40" s="17">
        <f t="shared" si="0"/>
        <v>2</v>
      </c>
      <c r="K40" s="37">
        <v>2</v>
      </c>
      <c r="L40" s="17">
        <v>0</v>
      </c>
      <c r="M40" s="17">
        <v>0</v>
      </c>
      <c r="N40" s="17">
        <f t="shared" si="1"/>
        <v>2</v>
      </c>
      <c r="O40" s="17">
        <f t="shared" si="2"/>
        <v>0</v>
      </c>
      <c r="P40" s="3"/>
      <c r="Q40" s="19">
        <f t="shared" si="3"/>
        <v>1520</v>
      </c>
      <c r="R40" s="19">
        <v>0</v>
      </c>
      <c r="S40" s="19">
        <f t="shared" si="4"/>
        <v>0</v>
      </c>
      <c r="T40" s="19">
        <f t="shared" si="5"/>
        <v>0</v>
      </c>
      <c r="U40" s="19">
        <f t="shared" si="6"/>
        <v>0</v>
      </c>
      <c r="V40" s="19">
        <f t="shared" si="7"/>
        <v>0</v>
      </c>
      <c r="W40" s="19">
        <f t="shared" si="8"/>
        <v>1520</v>
      </c>
      <c r="X40" s="20">
        <f t="shared" si="9"/>
        <v>1520</v>
      </c>
      <c r="Y40" s="20">
        <f t="shared" si="10"/>
        <v>0</v>
      </c>
    </row>
    <row r="41" spans="1:25" ht="15.75" hidden="1" customHeight="1">
      <c r="A41" s="14" t="s">
        <v>92</v>
      </c>
      <c r="B41" s="15" t="s">
        <v>93</v>
      </c>
      <c r="C41" s="16">
        <v>755</v>
      </c>
      <c r="D41" s="16">
        <v>755</v>
      </c>
      <c r="E41" s="17">
        <v>2</v>
      </c>
      <c r="F41" s="18">
        <v>0</v>
      </c>
      <c r="G41" s="18">
        <v>0</v>
      </c>
      <c r="H41" s="36">
        <v>0</v>
      </c>
      <c r="I41" s="17">
        <v>0</v>
      </c>
      <c r="J41" s="17">
        <f t="shared" si="0"/>
        <v>2</v>
      </c>
      <c r="K41" s="37">
        <v>2</v>
      </c>
      <c r="L41" s="17">
        <v>0</v>
      </c>
      <c r="M41" s="17">
        <v>0</v>
      </c>
      <c r="N41" s="17">
        <f t="shared" si="1"/>
        <v>2</v>
      </c>
      <c r="O41" s="17">
        <f t="shared" si="2"/>
        <v>0</v>
      </c>
      <c r="P41" s="3"/>
      <c r="Q41" s="19">
        <f t="shared" si="3"/>
        <v>1510</v>
      </c>
      <c r="R41" s="19">
        <v>0</v>
      </c>
      <c r="S41" s="19">
        <f t="shared" si="4"/>
        <v>0</v>
      </c>
      <c r="T41" s="19">
        <f t="shared" si="5"/>
        <v>0</v>
      </c>
      <c r="U41" s="19">
        <f t="shared" si="6"/>
        <v>0</v>
      </c>
      <c r="V41" s="19">
        <f t="shared" si="7"/>
        <v>0</v>
      </c>
      <c r="W41" s="19">
        <f t="shared" si="8"/>
        <v>1510</v>
      </c>
      <c r="X41" s="20">
        <f t="shared" si="9"/>
        <v>1510</v>
      </c>
      <c r="Y41" s="20">
        <f t="shared" si="10"/>
        <v>0</v>
      </c>
    </row>
    <row r="42" spans="1:25" ht="15.75" hidden="1" customHeight="1">
      <c r="A42" s="14" t="s">
        <v>94</v>
      </c>
      <c r="B42" s="15" t="s">
        <v>95</v>
      </c>
      <c r="C42" s="16">
        <v>0</v>
      </c>
      <c r="D42" s="16">
        <v>0</v>
      </c>
      <c r="E42" s="17">
        <v>0</v>
      </c>
      <c r="F42" s="18">
        <v>0</v>
      </c>
      <c r="G42" s="18">
        <v>0</v>
      </c>
      <c r="H42" s="36">
        <v>0</v>
      </c>
      <c r="I42" s="17">
        <v>0</v>
      </c>
      <c r="J42" s="17">
        <f t="shared" si="0"/>
        <v>0</v>
      </c>
      <c r="K42" s="37">
        <v>0</v>
      </c>
      <c r="L42" s="17">
        <v>0</v>
      </c>
      <c r="M42" s="17">
        <v>0</v>
      </c>
      <c r="N42" s="17">
        <f t="shared" si="1"/>
        <v>0</v>
      </c>
      <c r="O42" s="17">
        <f t="shared" si="2"/>
        <v>0</v>
      </c>
      <c r="P42" s="3"/>
      <c r="Q42" s="19">
        <f t="shared" si="3"/>
        <v>0</v>
      </c>
      <c r="R42" s="19">
        <v>0</v>
      </c>
      <c r="S42" s="19">
        <f t="shared" si="4"/>
        <v>0</v>
      </c>
      <c r="T42" s="19">
        <f t="shared" si="5"/>
        <v>0</v>
      </c>
      <c r="U42" s="19">
        <f t="shared" si="6"/>
        <v>0</v>
      </c>
      <c r="V42" s="19">
        <f t="shared" si="7"/>
        <v>0</v>
      </c>
      <c r="W42" s="19">
        <f t="shared" si="8"/>
        <v>0</v>
      </c>
      <c r="X42" s="20">
        <f t="shared" si="9"/>
        <v>0</v>
      </c>
      <c r="Y42" s="20">
        <f t="shared" si="10"/>
        <v>0</v>
      </c>
    </row>
    <row r="43" spans="1:25" ht="15.75" hidden="1" customHeight="1">
      <c r="A43" s="14" t="s">
        <v>96</v>
      </c>
      <c r="B43" s="15" t="s">
        <v>97</v>
      </c>
      <c r="C43" s="16">
        <v>610</v>
      </c>
      <c r="D43" s="16">
        <v>610</v>
      </c>
      <c r="E43" s="17">
        <v>2</v>
      </c>
      <c r="F43" s="18">
        <v>0</v>
      </c>
      <c r="G43" s="18">
        <v>0</v>
      </c>
      <c r="H43" s="36">
        <v>0</v>
      </c>
      <c r="I43" s="17">
        <v>0</v>
      </c>
      <c r="J43" s="17">
        <f t="shared" si="0"/>
        <v>2</v>
      </c>
      <c r="K43" s="37">
        <v>2</v>
      </c>
      <c r="L43" s="17">
        <v>0</v>
      </c>
      <c r="M43" s="17">
        <v>0</v>
      </c>
      <c r="N43" s="17">
        <f t="shared" si="1"/>
        <v>2</v>
      </c>
      <c r="O43" s="17">
        <f t="shared" si="2"/>
        <v>0</v>
      </c>
      <c r="P43" s="3"/>
      <c r="Q43" s="19">
        <f t="shared" si="3"/>
        <v>1220</v>
      </c>
      <c r="R43" s="19">
        <v>0</v>
      </c>
      <c r="S43" s="19">
        <f t="shared" si="4"/>
        <v>0</v>
      </c>
      <c r="T43" s="19">
        <f t="shared" si="5"/>
        <v>0</v>
      </c>
      <c r="U43" s="19">
        <f t="shared" si="6"/>
        <v>0</v>
      </c>
      <c r="V43" s="19">
        <f t="shared" si="7"/>
        <v>0</v>
      </c>
      <c r="W43" s="19">
        <f t="shared" si="8"/>
        <v>1220</v>
      </c>
      <c r="X43" s="20">
        <f t="shared" si="9"/>
        <v>1220</v>
      </c>
      <c r="Y43" s="20">
        <f t="shared" si="10"/>
        <v>0</v>
      </c>
    </row>
    <row r="44" spans="1:25" ht="15.75" hidden="1" customHeight="1">
      <c r="A44" s="14" t="s">
        <v>98</v>
      </c>
      <c r="B44" s="15" t="s">
        <v>99</v>
      </c>
      <c r="C44" s="16">
        <v>780</v>
      </c>
      <c r="D44" s="16">
        <v>780</v>
      </c>
      <c r="E44" s="17">
        <v>3</v>
      </c>
      <c r="F44" s="18">
        <v>0</v>
      </c>
      <c r="G44" s="18">
        <v>0</v>
      </c>
      <c r="H44" s="36">
        <v>0</v>
      </c>
      <c r="I44" s="17">
        <v>0</v>
      </c>
      <c r="J44" s="17">
        <f t="shared" si="0"/>
        <v>3</v>
      </c>
      <c r="K44" s="37">
        <v>3</v>
      </c>
      <c r="L44" s="17">
        <v>0</v>
      </c>
      <c r="M44" s="17">
        <v>0</v>
      </c>
      <c r="N44" s="17">
        <f t="shared" si="1"/>
        <v>3</v>
      </c>
      <c r="O44" s="17">
        <f t="shared" si="2"/>
        <v>0</v>
      </c>
      <c r="P44" s="3"/>
      <c r="Q44" s="19">
        <f t="shared" si="3"/>
        <v>2340</v>
      </c>
      <c r="R44" s="19">
        <v>0</v>
      </c>
      <c r="S44" s="19">
        <f t="shared" si="4"/>
        <v>0</v>
      </c>
      <c r="T44" s="19">
        <f t="shared" si="5"/>
        <v>0</v>
      </c>
      <c r="U44" s="19">
        <f t="shared" si="6"/>
        <v>0</v>
      </c>
      <c r="V44" s="19">
        <f t="shared" si="7"/>
        <v>0</v>
      </c>
      <c r="W44" s="19">
        <f t="shared" si="8"/>
        <v>2340</v>
      </c>
      <c r="X44" s="20">
        <f t="shared" si="9"/>
        <v>2340</v>
      </c>
      <c r="Y44" s="20">
        <f t="shared" si="10"/>
        <v>0</v>
      </c>
    </row>
    <row r="45" spans="1:25" ht="15.75" hidden="1" customHeight="1">
      <c r="A45" s="14" t="s">
        <v>100</v>
      </c>
      <c r="B45" s="15" t="s">
        <v>101</v>
      </c>
      <c r="C45" s="16">
        <v>960</v>
      </c>
      <c r="D45" s="16">
        <v>960</v>
      </c>
      <c r="E45" s="17">
        <v>3</v>
      </c>
      <c r="F45" s="18">
        <v>0</v>
      </c>
      <c r="G45" s="18">
        <v>0</v>
      </c>
      <c r="H45" s="36">
        <v>0</v>
      </c>
      <c r="I45" s="17">
        <v>0</v>
      </c>
      <c r="J45" s="17">
        <f t="shared" si="0"/>
        <v>3</v>
      </c>
      <c r="K45" s="37">
        <v>3</v>
      </c>
      <c r="L45" s="17">
        <v>0</v>
      </c>
      <c r="M45" s="17">
        <v>0</v>
      </c>
      <c r="N45" s="17">
        <f t="shared" si="1"/>
        <v>3</v>
      </c>
      <c r="O45" s="17">
        <f t="shared" si="2"/>
        <v>0</v>
      </c>
      <c r="P45" s="3"/>
      <c r="Q45" s="19">
        <f t="shared" si="3"/>
        <v>2880</v>
      </c>
      <c r="R45" s="19">
        <v>0</v>
      </c>
      <c r="S45" s="19">
        <f t="shared" si="4"/>
        <v>0</v>
      </c>
      <c r="T45" s="19">
        <f t="shared" si="5"/>
        <v>0</v>
      </c>
      <c r="U45" s="19">
        <f t="shared" si="6"/>
        <v>0</v>
      </c>
      <c r="V45" s="19">
        <f t="shared" si="7"/>
        <v>0</v>
      </c>
      <c r="W45" s="19">
        <f t="shared" si="8"/>
        <v>2880</v>
      </c>
      <c r="X45" s="20">
        <f t="shared" si="9"/>
        <v>2880</v>
      </c>
      <c r="Y45" s="20">
        <f t="shared" si="10"/>
        <v>0</v>
      </c>
    </row>
    <row r="46" spans="1:25" ht="15.75" hidden="1" customHeight="1">
      <c r="A46" s="14" t="s">
        <v>102</v>
      </c>
      <c r="B46" s="15" t="s">
        <v>103</v>
      </c>
      <c r="C46" s="16">
        <v>8.6</v>
      </c>
      <c r="D46" s="16">
        <v>8.6</v>
      </c>
      <c r="E46" s="17">
        <v>50</v>
      </c>
      <c r="F46" s="18">
        <v>0</v>
      </c>
      <c r="G46" s="18">
        <v>0</v>
      </c>
      <c r="H46" s="36">
        <v>0</v>
      </c>
      <c r="I46" s="17">
        <v>0</v>
      </c>
      <c r="J46" s="17">
        <f t="shared" si="0"/>
        <v>50</v>
      </c>
      <c r="K46" s="37">
        <v>50</v>
      </c>
      <c r="L46" s="17">
        <v>0</v>
      </c>
      <c r="M46" s="17">
        <v>0</v>
      </c>
      <c r="N46" s="17">
        <f t="shared" si="1"/>
        <v>50</v>
      </c>
      <c r="O46" s="17">
        <f t="shared" si="2"/>
        <v>0</v>
      </c>
      <c r="P46" s="3"/>
      <c r="Q46" s="19">
        <f t="shared" si="3"/>
        <v>430</v>
      </c>
      <c r="R46" s="19">
        <v>0</v>
      </c>
      <c r="S46" s="19">
        <f t="shared" si="4"/>
        <v>0</v>
      </c>
      <c r="T46" s="19">
        <f t="shared" si="5"/>
        <v>0</v>
      </c>
      <c r="U46" s="19">
        <f t="shared" si="6"/>
        <v>0</v>
      </c>
      <c r="V46" s="19">
        <f t="shared" si="7"/>
        <v>0</v>
      </c>
      <c r="W46" s="19">
        <f t="shared" si="8"/>
        <v>430</v>
      </c>
      <c r="X46" s="20">
        <f t="shared" si="9"/>
        <v>430</v>
      </c>
      <c r="Y46" s="20">
        <f t="shared" si="10"/>
        <v>0</v>
      </c>
    </row>
    <row r="47" spans="1:25" ht="15.75" hidden="1" customHeight="1">
      <c r="A47" s="14" t="s">
        <v>104</v>
      </c>
      <c r="B47" s="15" t="s">
        <v>105</v>
      </c>
      <c r="C47" s="16">
        <v>1120</v>
      </c>
      <c r="D47" s="16">
        <v>1120</v>
      </c>
      <c r="E47" s="17">
        <v>1</v>
      </c>
      <c r="F47" s="18">
        <v>0</v>
      </c>
      <c r="G47" s="18">
        <v>0</v>
      </c>
      <c r="H47" s="36">
        <v>0</v>
      </c>
      <c r="I47" s="17">
        <v>0</v>
      </c>
      <c r="J47" s="17">
        <f t="shared" si="0"/>
        <v>1</v>
      </c>
      <c r="K47" s="37">
        <v>1</v>
      </c>
      <c r="L47" s="17">
        <v>0</v>
      </c>
      <c r="M47" s="17">
        <v>0</v>
      </c>
      <c r="N47" s="17">
        <f t="shared" si="1"/>
        <v>1</v>
      </c>
      <c r="O47" s="17">
        <f t="shared" si="2"/>
        <v>0</v>
      </c>
      <c r="P47" s="3"/>
      <c r="Q47" s="19">
        <f t="shared" si="3"/>
        <v>1120</v>
      </c>
      <c r="R47" s="19">
        <v>0</v>
      </c>
      <c r="S47" s="19">
        <f t="shared" si="4"/>
        <v>0</v>
      </c>
      <c r="T47" s="19">
        <f t="shared" si="5"/>
        <v>0</v>
      </c>
      <c r="U47" s="19">
        <f t="shared" si="6"/>
        <v>0</v>
      </c>
      <c r="V47" s="19">
        <f t="shared" si="7"/>
        <v>0</v>
      </c>
      <c r="W47" s="19">
        <f t="shared" si="8"/>
        <v>1120</v>
      </c>
      <c r="X47" s="20">
        <f t="shared" si="9"/>
        <v>1120</v>
      </c>
      <c r="Y47" s="20">
        <f t="shared" si="10"/>
        <v>0</v>
      </c>
    </row>
    <row r="48" spans="1:25" ht="15.75" hidden="1" customHeight="1">
      <c r="A48" s="14" t="s">
        <v>106</v>
      </c>
      <c r="B48" s="15" t="s">
        <v>107</v>
      </c>
      <c r="C48" s="16">
        <v>1949.99</v>
      </c>
      <c r="D48" s="16">
        <v>1949.99</v>
      </c>
      <c r="E48" s="17">
        <v>2</v>
      </c>
      <c r="F48" s="18">
        <v>0</v>
      </c>
      <c r="G48" s="18">
        <v>0</v>
      </c>
      <c r="H48" s="36">
        <v>0</v>
      </c>
      <c r="I48" s="17">
        <v>0</v>
      </c>
      <c r="J48" s="17">
        <f t="shared" si="0"/>
        <v>2</v>
      </c>
      <c r="K48" s="37">
        <v>2</v>
      </c>
      <c r="L48" s="17">
        <v>0</v>
      </c>
      <c r="M48" s="17">
        <v>0</v>
      </c>
      <c r="N48" s="17">
        <f t="shared" si="1"/>
        <v>2</v>
      </c>
      <c r="O48" s="17">
        <f t="shared" si="2"/>
        <v>0</v>
      </c>
      <c r="P48" s="3"/>
      <c r="Q48" s="19">
        <f t="shared" si="3"/>
        <v>3899.98</v>
      </c>
      <c r="R48" s="19">
        <v>0</v>
      </c>
      <c r="S48" s="19">
        <f t="shared" si="4"/>
        <v>0</v>
      </c>
      <c r="T48" s="19">
        <f t="shared" si="5"/>
        <v>0</v>
      </c>
      <c r="U48" s="19">
        <f t="shared" si="6"/>
        <v>0</v>
      </c>
      <c r="V48" s="19">
        <f t="shared" si="7"/>
        <v>0</v>
      </c>
      <c r="W48" s="19">
        <f t="shared" si="8"/>
        <v>3899.98</v>
      </c>
      <c r="X48" s="20">
        <f t="shared" si="9"/>
        <v>3899.98</v>
      </c>
      <c r="Y48" s="20">
        <f t="shared" si="10"/>
        <v>0</v>
      </c>
    </row>
    <row r="49" spans="1:25" ht="15.75" hidden="1" customHeight="1">
      <c r="A49" s="14" t="s">
        <v>108</v>
      </c>
      <c r="B49" s="15" t="s">
        <v>109</v>
      </c>
      <c r="C49" s="16">
        <v>0</v>
      </c>
      <c r="D49" s="16">
        <v>0</v>
      </c>
      <c r="E49" s="17">
        <v>0</v>
      </c>
      <c r="F49" s="18">
        <v>0</v>
      </c>
      <c r="G49" s="18">
        <v>0</v>
      </c>
      <c r="H49" s="36">
        <v>0</v>
      </c>
      <c r="I49" s="17">
        <v>0</v>
      </c>
      <c r="J49" s="17">
        <f t="shared" si="0"/>
        <v>0</v>
      </c>
      <c r="K49" s="37">
        <v>0</v>
      </c>
      <c r="L49" s="17">
        <v>0</v>
      </c>
      <c r="M49" s="17">
        <v>0</v>
      </c>
      <c r="N49" s="17">
        <f t="shared" si="1"/>
        <v>0</v>
      </c>
      <c r="O49" s="17">
        <f t="shared" si="2"/>
        <v>0</v>
      </c>
      <c r="P49" s="3"/>
      <c r="Q49" s="19">
        <f t="shared" si="3"/>
        <v>0</v>
      </c>
      <c r="R49" s="19">
        <v>0</v>
      </c>
      <c r="S49" s="19">
        <f t="shared" si="4"/>
        <v>0</v>
      </c>
      <c r="T49" s="19">
        <f t="shared" si="5"/>
        <v>0</v>
      </c>
      <c r="U49" s="19">
        <f t="shared" si="6"/>
        <v>0</v>
      </c>
      <c r="V49" s="19">
        <f t="shared" si="7"/>
        <v>0</v>
      </c>
      <c r="W49" s="19">
        <f t="shared" si="8"/>
        <v>0</v>
      </c>
      <c r="X49" s="20">
        <f t="shared" si="9"/>
        <v>0</v>
      </c>
      <c r="Y49" s="20">
        <f t="shared" si="10"/>
        <v>0</v>
      </c>
    </row>
    <row r="50" spans="1:25" ht="15.75" hidden="1" customHeight="1">
      <c r="A50" s="14" t="s">
        <v>110</v>
      </c>
      <c r="B50" s="15" t="s">
        <v>111</v>
      </c>
      <c r="C50" s="16">
        <v>480</v>
      </c>
      <c r="D50" s="16">
        <v>480</v>
      </c>
      <c r="E50" s="17">
        <v>0</v>
      </c>
      <c r="F50" s="18">
        <v>0</v>
      </c>
      <c r="G50" s="18">
        <v>0</v>
      </c>
      <c r="H50" s="36">
        <v>0</v>
      </c>
      <c r="I50" s="17">
        <v>0</v>
      </c>
      <c r="J50" s="17">
        <f t="shared" si="0"/>
        <v>0</v>
      </c>
      <c r="K50" s="37">
        <v>0</v>
      </c>
      <c r="L50" s="17">
        <v>0</v>
      </c>
      <c r="M50" s="17">
        <v>0</v>
      </c>
      <c r="N50" s="17">
        <f t="shared" si="1"/>
        <v>0</v>
      </c>
      <c r="O50" s="17">
        <f t="shared" si="2"/>
        <v>0</v>
      </c>
      <c r="P50" s="3"/>
      <c r="Q50" s="19">
        <f t="shared" si="3"/>
        <v>0</v>
      </c>
      <c r="R50" s="19">
        <v>0</v>
      </c>
      <c r="S50" s="19">
        <f t="shared" si="4"/>
        <v>0</v>
      </c>
      <c r="T50" s="19">
        <f t="shared" si="5"/>
        <v>0</v>
      </c>
      <c r="U50" s="19">
        <f t="shared" si="6"/>
        <v>0</v>
      </c>
      <c r="V50" s="19">
        <f t="shared" si="7"/>
        <v>0</v>
      </c>
      <c r="W50" s="19">
        <f t="shared" si="8"/>
        <v>0</v>
      </c>
      <c r="X50" s="20">
        <f t="shared" si="9"/>
        <v>0</v>
      </c>
      <c r="Y50" s="20">
        <f t="shared" si="10"/>
        <v>0</v>
      </c>
    </row>
    <row r="51" spans="1:25" ht="15.75" hidden="1" customHeight="1">
      <c r="A51" s="14" t="s">
        <v>112</v>
      </c>
      <c r="B51" s="15" t="s">
        <v>113</v>
      </c>
      <c r="C51" s="16">
        <v>310</v>
      </c>
      <c r="D51" s="16">
        <v>310</v>
      </c>
      <c r="E51" s="17">
        <v>1</v>
      </c>
      <c r="F51" s="18">
        <v>0</v>
      </c>
      <c r="G51" s="18">
        <v>0</v>
      </c>
      <c r="H51" s="36">
        <v>0</v>
      </c>
      <c r="I51" s="17">
        <v>0</v>
      </c>
      <c r="J51" s="17">
        <f t="shared" si="0"/>
        <v>1</v>
      </c>
      <c r="K51" s="37">
        <v>1</v>
      </c>
      <c r="L51" s="17">
        <v>0</v>
      </c>
      <c r="M51" s="17">
        <v>0</v>
      </c>
      <c r="N51" s="17">
        <f t="shared" si="1"/>
        <v>1</v>
      </c>
      <c r="O51" s="17">
        <f t="shared" si="2"/>
        <v>0</v>
      </c>
      <c r="P51" s="3"/>
      <c r="Q51" s="19">
        <f t="shared" si="3"/>
        <v>310</v>
      </c>
      <c r="R51" s="19">
        <v>0</v>
      </c>
      <c r="S51" s="19">
        <f t="shared" si="4"/>
        <v>0</v>
      </c>
      <c r="T51" s="19">
        <f t="shared" si="5"/>
        <v>0</v>
      </c>
      <c r="U51" s="19">
        <f t="shared" si="6"/>
        <v>0</v>
      </c>
      <c r="V51" s="19">
        <f t="shared" si="7"/>
        <v>0</v>
      </c>
      <c r="W51" s="19">
        <f t="shared" si="8"/>
        <v>310</v>
      </c>
      <c r="X51" s="20">
        <f t="shared" si="9"/>
        <v>310</v>
      </c>
      <c r="Y51" s="20">
        <f t="shared" si="10"/>
        <v>0</v>
      </c>
    </row>
    <row r="52" spans="1:25" ht="15.75" hidden="1" customHeight="1">
      <c r="A52" s="14" t="s">
        <v>114</v>
      </c>
      <c r="B52" s="15" t="s">
        <v>115</v>
      </c>
      <c r="C52" s="16">
        <v>2.46</v>
      </c>
      <c r="D52" s="16">
        <v>2.46</v>
      </c>
      <c r="E52" s="17">
        <v>100</v>
      </c>
      <c r="F52" s="18">
        <v>0</v>
      </c>
      <c r="G52" s="18">
        <v>0</v>
      </c>
      <c r="H52" s="36">
        <v>0</v>
      </c>
      <c r="I52" s="17">
        <v>0</v>
      </c>
      <c r="J52" s="17">
        <f t="shared" si="0"/>
        <v>100</v>
      </c>
      <c r="K52" s="37">
        <v>100</v>
      </c>
      <c r="L52" s="17">
        <v>0</v>
      </c>
      <c r="M52" s="17">
        <v>0</v>
      </c>
      <c r="N52" s="17">
        <f t="shared" si="1"/>
        <v>100</v>
      </c>
      <c r="O52" s="17">
        <f t="shared" si="2"/>
        <v>0</v>
      </c>
      <c r="P52" s="3"/>
      <c r="Q52" s="19">
        <f t="shared" si="3"/>
        <v>246</v>
      </c>
      <c r="R52" s="19">
        <v>0</v>
      </c>
      <c r="S52" s="19">
        <f t="shared" si="4"/>
        <v>0</v>
      </c>
      <c r="T52" s="19">
        <f t="shared" si="5"/>
        <v>0</v>
      </c>
      <c r="U52" s="19">
        <f t="shared" si="6"/>
        <v>0</v>
      </c>
      <c r="V52" s="19">
        <f t="shared" si="7"/>
        <v>0</v>
      </c>
      <c r="W52" s="19">
        <f t="shared" si="8"/>
        <v>246</v>
      </c>
      <c r="X52" s="20">
        <f t="shared" si="9"/>
        <v>246</v>
      </c>
      <c r="Y52" s="20">
        <f t="shared" si="10"/>
        <v>0</v>
      </c>
    </row>
    <row r="53" spans="1:25" ht="15.75" hidden="1" customHeight="1">
      <c r="A53" s="14" t="s">
        <v>116</v>
      </c>
      <c r="B53" s="15" t="s">
        <v>117</v>
      </c>
      <c r="C53" s="16">
        <v>625.82000000000005</v>
      </c>
      <c r="D53" s="16">
        <v>625.82000000000005</v>
      </c>
      <c r="E53" s="17">
        <v>2</v>
      </c>
      <c r="F53" s="18">
        <v>0</v>
      </c>
      <c r="G53" s="18">
        <v>0</v>
      </c>
      <c r="H53" s="36">
        <v>0</v>
      </c>
      <c r="I53" s="17">
        <v>0</v>
      </c>
      <c r="J53" s="17">
        <f t="shared" si="0"/>
        <v>2</v>
      </c>
      <c r="K53" s="37">
        <v>2</v>
      </c>
      <c r="L53" s="17">
        <v>0</v>
      </c>
      <c r="M53" s="17">
        <v>0</v>
      </c>
      <c r="N53" s="17">
        <f t="shared" si="1"/>
        <v>2</v>
      </c>
      <c r="O53" s="17">
        <f t="shared" si="2"/>
        <v>0</v>
      </c>
      <c r="P53" s="3"/>
      <c r="Q53" s="19">
        <f t="shared" si="3"/>
        <v>1251.6400000000001</v>
      </c>
      <c r="R53" s="19">
        <v>0</v>
      </c>
      <c r="S53" s="19">
        <f t="shared" si="4"/>
        <v>0</v>
      </c>
      <c r="T53" s="19">
        <f t="shared" si="5"/>
        <v>0</v>
      </c>
      <c r="U53" s="19">
        <f t="shared" si="6"/>
        <v>0</v>
      </c>
      <c r="V53" s="19">
        <f t="shared" si="7"/>
        <v>0</v>
      </c>
      <c r="W53" s="19">
        <f t="shared" si="8"/>
        <v>1251.6400000000001</v>
      </c>
      <c r="X53" s="20">
        <f t="shared" si="9"/>
        <v>1251.6400000000001</v>
      </c>
      <c r="Y53" s="20">
        <f t="shared" si="10"/>
        <v>0</v>
      </c>
    </row>
    <row r="54" spans="1:25" ht="15.75" hidden="1" customHeight="1">
      <c r="A54" s="14" t="s">
        <v>118</v>
      </c>
      <c r="B54" s="15" t="s">
        <v>119</v>
      </c>
      <c r="C54" s="16">
        <v>625.82000000000005</v>
      </c>
      <c r="D54" s="16">
        <v>625.82000000000005</v>
      </c>
      <c r="E54" s="17">
        <v>2</v>
      </c>
      <c r="F54" s="18">
        <v>0</v>
      </c>
      <c r="G54" s="18">
        <v>0</v>
      </c>
      <c r="H54" s="36">
        <v>0</v>
      </c>
      <c r="I54" s="17">
        <v>0</v>
      </c>
      <c r="J54" s="17">
        <f t="shared" si="0"/>
        <v>2</v>
      </c>
      <c r="K54" s="37">
        <v>2</v>
      </c>
      <c r="L54" s="17">
        <v>0</v>
      </c>
      <c r="M54" s="17">
        <v>0</v>
      </c>
      <c r="N54" s="17">
        <f t="shared" si="1"/>
        <v>2</v>
      </c>
      <c r="O54" s="17">
        <f t="shared" si="2"/>
        <v>0</v>
      </c>
      <c r="P54" s="3"/>
      <c r="Q54" s="19">
        <f t="shared" si="3"/>
        <v>1251.6400000000001</v>
      </c>
      <c r="R54" s="19">
        <v>0</v>
      </c>
      <c r="S54" s="19">
        <f t="shared" si="4"/>
        <v>0</v>
      </c>
      <c r="T54" s="19">
        <f t="shared" si="5"/>
        <v>0</v>
      </c>
      <c r="U54" s="19">
        <f t="shared" si="6"/>
        <v>0</v>
      </c>
      <c r="V54" s="19">
        <f t="shared" si="7"/>
        <v>0</v>
      </c>
      <c r="W54" s="19">
        <f t="shared" si="8"/>
        <v>1251.6400000000001</v>
      </c>
      <c r="X54" s="20">
        <f t="shared" si="9"/>
        <v>1251.6400000000001</v>
      </c>
      <c r="Y54" s="20">
        <f t="shared" si="10"/>
        <v>0</v>
      </c>
    </row>
    <row r="55" spans="1:25" ht="15.75" hidden="1" customHeight="1">
      <c r="A55" s="14" t="s">
        <v>120</v>
      </c>
      <c r="B55" s="15" t="s">
        <v>121</v>
      </c>
      <c r="C55" s="16">
        <v>625.82000000000005</v>
      </c>
      <c r="D55" s="16">
        <v>625.82000000000005</v>
      </c>
      <c r="E55" s="17">
        <v>2</v>
      </c>
      <c r="F55" s="18">
        <v>0</v>
      </c>
      <c r="G55" s="18">
        <v>0</v>
      </c>
      <c r="H55" s="36">
        <v>0</v>
      </c>
      <c r="I55" s="17">
        <v>0</v>
      </c>
      <c r="J55" s="17">
        <f t="shared" si="0"/>
        <v>2</v>
      </c>
      <c r="K55" s="37">
        <v>2</v>
      </c>
      <c r="L55" s="17">
        <v>0</v>
      </c>
      <c r="M55" s="17">
        <v>0</v>
      </c>
      <c r="N55" s="17">
        <f t="shared" si="1"/>
        <v>2</v>
      </c>
      <c r="O55" s="17">
        <f t="shared" si="2"/>
        <v>0</v>
      </c>
      <c r="P55" s="3"/>
      <c r="Q55" s="19">
        <f t="shared" si="3"/>
        <v>1251.6400000000001</v>
      </c>
      <c r="R55" s="19">
        <v>0</v>
      </c>
      <c r="S55" s="19">
        <f t="shared" si="4"/>
        <v>0</v>
      </c>
      <c r="T55" s="19">
        <f t="shared" si="5"/>
        <v>0</v>
      </c>
      <c r="U55" s="19">
        <f t="shared" si="6"/>
        <v>0</v>
      </c>
      <c r="V55" s="19">
        <f t="shared" si="7"/>
        <v>0</v>
      </c>
      <c r="W55" s="19">
        <f t="shared" si="8"/>
        <v>1251.6400000000001</v>
      </c>
      <c r="X55" s="20">
        <f t="shared" si="9"/>
        <v>1251.6400000000001</v>
      </c>
      <c r="Y55" s="20">
        <f t="shared" si="10"/>
        <v>0</v>
      </c>
    </row>
    <row r="56" spans="1:25" ht="15.75" hidden="1" customHeight="1">
      <c r="A56" s="14" t="s">
        <v>122</v>
      </c>
      <c r="B56" s="15" t="s">
        <v>123</v>
      </c>
      <c r="C56" s="16">
        <v>625.82000000000005</v>
      </c>
      <c r="D56" s="16">
        <v>625.82000000000005</v>
      </c>
      <c r="E56" s="17">
        <v>2</v>
      </c>
      <c r="F56" s="18">
        <v>0</v>
      </c>
      <c r="G56" s="18">
        <v>0</v>
      </c>
      <c r="H56" s="36">
        <v>0</v>
      </c>
      <c r="I56" s="17">
        <v>0</v>
      </c>
      <c r="J56" s="17">
        <f t="shared" si="0"/>
        <v>2</v>
      </c>
      <c r="K56" s="37">
        <v>2</v>
      </c>
      <c r="L56" s="17">
        <v>0</v>
      </c>
      <c r="M56" s="17">
        <v>0</v>
      </c>
      <c r="N56" s="17">
        <f t="shared" si="1"/>
        <v>2</v>
      </c>
      <c r="O56" s="17">
        <f t="shared" si="2"/>
        <v>0</v>
      </c>
      <c r="P56" s="3"/>
      <c r="Q56" s="19">
        <f t="shared" si="3"/>
        <v>1251.6400000000001</v>
      </c>
      <c r="R56" s="19">
        <v>0</v>
      </c>
      <c r="S56" s="19">
        <f t="shared" si="4"/>
        <v>0</v>
      </c>
      <c r="T56" s="19">
        <f t="shared" si="5"/>
        <v>0</v>
      </c>
      <c r="U56" s="19">
        <f t="shared" si="6"/>
        <v>0</v>
      </c>
      <c r="V56" s="19">
        <f t="shared" si="7"/>
        <v>0</v>
      </c>
      <c r="W56" s="19">
        <f t="shared" si="8"/>
        <v>1251.6400000000001</v>
      </c>
      <c r="X56" s="20">
        <f t="shared" si="9"/>
        <v>1251.6400000000001</v>
      </c>
      <c r="Y56" s="20">
        <f t="shared" si="10"/>
        <v>0</v>
      </c>
    </row>
    <row r="57" spans="1:25" ht="15.75" hidden="1" customHeight="1">
      <c r="A57" s="14" t="s">
        <v>124</v>
      </c>
      <c r="B57" s="15" t="s">
        <v>125</v>
      </c>
      <c r="C57" s="16">
        <v>1300</v>
      </c>
      <c r="D57" s="16">
        <v>1300</v>
      </c>
      <c r="E57" s="17">
        <v>1</v>
      </c>
      <c r="F57" s="18">
        <v>0</v>
      </c>
      <c r="G57" s="18">
        <v>0</v>
      </c>
      <c r="H57" s="36">
        <v>0</v>
      </c>
      <c r="I57" s="17">
        <v>0</v>
      </c>
      <c r="J57" s="17">
        <f t="shared" si="0"/>
        <v>1</v>
      </c>
      <c r="K57" s="37">
        <v>1</v>
      </c>
      <c r="L57" s="17">
        <v>0</v>
      </c>
      <c r="M57" s="17">
        <v>0</v>
      </c>
      <c r="N57" s="17">
        <f t="shared" si="1"/>
        <v>1</v>
      </c>
      <c r="O57" s="17">
        <f t="shared" si="2"/>
        <v>0</v>
      </c>
      <c r="P57" s="3"/>
      <c r="Q57" s="19">
        <f t="shared" si="3"/>
        <v>1300</v>
      </c>
      <c r="R57" s="19">
        <v>0</v>
      </c>
      <c r="S57" s="19">
        <f t="shared" si="4"/>
        <v>0</v>
      </c>
      <c r="T57" s="19">
        <f t="shared" si="5"/>
        <v>0</v>
      </c>
      <c r="U57" s="19">
        <f t="shared" si="6"/>
        <v>0</v>
      </c>
      <c r="V57" s="19">
        <f t="shared" si="7"/>
        <v>0</v>
      </c>
      <c r="W57" s="19">
        <f t="shared" si="8"/>
        <v>1300</v>
      </c>
      <c r="X57" s="20">
        <f t="shared" si="9"/>
        <v>1300</v>
      </c>
      <c r="Y57" s="20">
        <f t="shared" si="10"/>
        <v>0</v>
      </c>
    </row>
    <row r="58" spans="1:25" ht="15.75" hidden="1" customHeight="1">
      <c r="A58" s="14" t="s">
        <v>126</v>
      </c>
      <c r="B58" s="15" t="s">
        <v>127</v>
      </c>
      <c r="C58" s="16">
        <v>185</v>
      </c>
      <c r="D58" s="16">
        <v>185</v>
      </c>
      <c r="E58" s="17">
        <v>0</v>
      </c>
      <c r="F58" s="18">
        <v>0</v>
      </c>
      <c r="G58" s="18">
        <v>0</v>
      </c>
      <c r="H58" s="36">
        <v>0</v>
      </c>
      <c r="I58" s="17">
        <v>0</v>
      </c>
      <c r="J58" s="17">
        <f t="shared" si="0"/>
        <v>0</v>
      </c>
      <c r="K58" s="37">
        <v>0</v>
      </c>
      <c r="L58" s="17">
        <v>0</v>
      </c>
      <c r="M58" s="17">
        <v>0</v>
      </c>
      <c r="N58" s="17">
        <f t="shared" si="1"/>
        <v>0</v>
      </c>
      <c r="O58" s="17">
        <f t="shared" si="2"/>
        <v>0</v>
      </c>
      <c r="P58" s="3"/>
      <c r="Q58" s="19">
        <f t="shared" si="3"/>
        <v>0</v>
      </c>
      <c r="R58" s="19">
        <v>0</v>
      </c>
      <c r="S58" s="19">
        <f t="shared" si="4"/>
        <v>0</v>
      </c>
      <c r="T58" s="19">
        <f t="shared" si="5"/>
        <v>0</v>
      </c>
      <c r="U58" s="19">
        <f t="shared" si="6"/>
        <v>0</v>
      </c>
      <c r="V58" s="19">
        <f t="shared" si="7"/>
        <v>0</v>
      </c>
      <c r="W58" s="19">
        <f t="shared" si="8"/>
        <v>0</v>
      </c>
      <c r="X58" s="20">
        <f t="shared" si="9"/>
        <v>0</v>
      </c>
      <c r="Y58" s="20">
        <f t="shared" si="10"/>
        <v>0</v>
      </c>
    </row>
    <row r="59" spans="1:25" ht="15.75" hidden="1" customHeight="1">
      <c r="A59" s="14" t="s">
        <v>128</v>
      </c>
      <c r="B59" s="15" t="s">
        <v>129</v>
      </c>
      <c r="C59" s="16">
        <v>465</v>
      </c>
      <c r="D59" s="16">
        <v>465</v>
      </c>
      <c r="E59" s="17">
        <v>1</v>
      </c>
      <c r="F59" s="18">
        <v>0</v>
      </c>
      <c r="G59" s="18">
        <v>0</v>
      </c>
      <c r="H59" s="36">
        <v>0</v>
      </c>
      <c r="I59" s="17">
        <v>0</v>
      </c>
      <c r="J59" s="17">
        <f t="shared" si="0"/>
        <v>1</v>
      </c>
      <c r="K59" s="37">
        <v>1</v>
      </c>
      <c r="L59" s="17">
        <v>0</v>
      </c>
      <c r="M59" s="17">
        <v>0</v>
      </c>
      <c r="N59" s="17">
        <f t="shared" si="1"/>
        <v>1</v>
      </c>
      <c r="O59" s="17">
        <f t="shared" si="2"/>
        <v>0</v>
      </c>
      <c r="P59" s="3"/>
      <c r="Q59" s="19">
        <f t="shared" si="3"/>
        <v>465</v>
      </c>
      <c r="R59" s="19">
        <v>0</v>
      </c>
      <c r="S59" s="19">
        <f t="shared" si="4"/>
        <v>0</v>
      </c>
      <c r="T59" s="19">
        <f t="shared" si="5"/>
        <v>0</v>
      </c>
      <c r="U59" s="19">
        <f t="shared" si="6"/>
        <v>0</v>
      </c>
      <c r="V59" s="19">
        <f t="shared" si="7"/>
        <v>0</v>
      </c>
      <c r="W59" s="19">
        <f t="shared" si="8"/>
        <v>465</v>
      </c>
      <c r="X59" s="20">
        <f t="shared" si="9"/>
        <v>465</v>
      </c>
      <c r="Y59" s="20">
        <f t="shared" si="10"/>
        <v>0</v>
      </c>
    </row>
    <row r="60" spans="1:25" ht="15.75" hidden="1" customHeight="1">
      <c r="A60" s="14" t="s">
        <v>130</v>
      </c>
      <c r="B60" s="15" t="s">
        <v>131</v>
      </c>
      <c r="C60" s="16">
        <v>8.99</v>
      </c>
      <c r="D60" s="16">
        <v>8.99</v>
      </c>
      <c r="E60" s="17">
        <v>50</v>
      </c>
      <c r="F60" s="18">
        <v>0</v>
      </c>
      <c r="G60" s="18">
        <v>0</v>
      </c>
      <c r="H60" s="36">
        <v>0</v>
      </c>
      <c r="I60" s="17">
        <v>0</v>
      </c>
      <c r="J60" s="17">
        <f t="shared" si="0"/>
        <v>50</v>
      </c>
      <c r="K60" s="37">
        <v>50</v>
      </c>
      <c r="L60" s="17">
        <v>0</v>
      </c>
      <c r="M60" s="17">
        <v>0</v>
      </c>
      <c r="N60" s="17">
        <f t="shared" si="1"/>
        <v>50</v>
      </c>
      <c r="O60" s="17">
        <f t="shared" si="2"/>
        <v>0</v>
      </c>
      <c r="P60" s="3"/>
      <c r="Q60" s="19">
        <f t="shared" si="3"/>
        <v>449.5</v>
      </c>
      <c r="R60" s="19">
        <v>0</v>
      </c>
      <c r="S60" s="19">
        <f t="shared" si="4"/>
        <v>0</v>
      </c>
      <c r="T60" s="19">
        <f t="shared" si="5"/>
        <v>0</v>
      </c>
      <c r="U60" s="19">
        <f t="shared" si="6"/>
        <v>0</v>
      </c>
      <c r="V60" s="19">
        <f t="shared" si="7"/>
        <v>0</v>
      </c>
      <c r="W60" s="19">
        <f t="shared" si="8"/>
        <v>449.5</v>
      </c>
      <c r="X60" s="20">
        <f t="shared" si="9"/>
        <v>449.5</v>
      </c>
      <c r="Y60" s="20">
        <f t="shared" si="10"/>
        <v>0</v>
      </c>
    </row>
    <row r="61" spans="1:25" ht="15.75" hidden="1" customHeight="1">
      <c r="A61" s="14" t="s">
        <v>132</v>
      </c>
      <c r="B61" s="15" t="s">
        <v>133</v>
      </c>
      <c r="C61" s="16">
        <v>2100</v>
      </c>
      <c r="D61" s="16">
        <v>2100</v>
      </c>
      <c r="E61" s="17">
        <v>1</v>
      </c>
      <c r="F61" s="18">
        <v>0</v>
      </c>
      <c r="G61" s="18">
        <v>0</v>
      </c>
      <c r="H61" s="36">
        <v>0</v>
      </c>
      <c r="I61" s="17">
        <v>0</v>
      </c>
      <c r="J61" s="17">
        <f t="shared" si="0"/>
        <v>1</v>
      </c>
      <c r="K61" s="37">
        <v>1</v>
      </c>
      <c r="L61" s="17">
        <v>0</v>
      </c>
      <c r="M61" s="17">
        <v>0</v>
      </c>
      <c r="N61" s="17">
        <f t="shared" si="1"/>
        <v>1</v>
      </c>
      <c r="O61" s="17">
        <f t="shared" si="2"/>
        <v>0</v>
      </c>
      <c r="P61" s="3"/>
      <c r="Q61" s="19">
        <f t="shared" si="3"/>
        <v>2100</v>
      </c>
      <c r="R61" s="19">
        <v>0</v>
      </c>
      <c r="S61" s="19">
        <f t="shared" si="4"/>
        <v>0</v>
      </c>
      <c r="T61" s="19">
        <f t="shared" si="5"/>
        <v>0</v>
      </c>
      <c r="U61" s="19">
        <f t="shared" si="6"/>
        <v>0</v>
      </c>
      <c r="V61" s="19">
        <f t="shared" si="7"/>
        <v>0</v>
      </c>
      <c r="W61" s="19">
        <f t="shared" si="8"/>
        <v>2100</v>
      </c>
      <c r="X61" s="20">
        <f t="shared" si="9"/>
        <v>2100</v>
      </c>
      <c r="Y61" s="20">
        <f t="shared" si="10"/>
        <v>0</v>
      </c>
    </row>
    <row r="62" spans="1:25" ht="15.75" hidden="1" customHeight="1">
      <c r="A62" s="14" t="s">
        <v>134</v>
      </c>
      <c r="B62" s="15" t="s">
        <v>135</v>
      </c>
      <c r="C62" s="16">
        <v>4205</v>
      </c>
      <c r="D62" s="16">
        <v>4205</v>
      </c>
      <c r="E62" s="17">
        <v>1</v>
      </c>
      <c r="F62" s="18">
        <v>0</v>
      </c>
      <c r="G62" s="18">
        <v>0</v>
      </c>
      <c r="H62" s="36">
        <v>0</v>
      </c>
      <c r="I62" s="17">
        <v>0</v>
      </c>
      <c r="J62" s="17">
        <f t="shared" si="0"/>
        <v>1</v>
      </c>
      <c r="K62" s="37">
        <v>1</v>
      </c>
      <c r="L62" s="17">
        <v>0</v>
      </c>
      <c r="M62" s="17">
        <v>0</v>
      </c>
      <c r="N62" s="17">
        <f t="shared" si="1"/>
        <v>1</v>
      </c>
      <c r="O62" s="17">
        <f t="shared" si="2"/>
        <v>0</v>
      </c>
      <c r="P62" s="3"/>
      <c r="Q62" s="19">
        <f t="shared" si="3"/>
        <v>4205</v>
      </c>
      <c r="R62" s="19">
        <v>0</v>
      </c>
      <c r="S62" s="19">
        <f t="shared" si="4"/>
        <v>0</v>
      </c>
      <c r="T62" s="19">
        <f t="shared" si="5"/>
        <v>0</v>
      </c>
      <c r="U62" s="19">
        <f t="shared" si="6"/>
        <v>0</v>
      </c>
      <c r="V62" s="19">
        <f t="shared" si="7"/>
        <v>0</v>
      </c>
      <c r="W62" s="19">
        <f t="shared" si="8"/>
        <v>4205</v>
      </c>
      <c r="X62" s="20">
        <f t="shared" si="9"/>
        <v>4205</v>
      </c>
      <c r="Y62" s="20">
        <f t="shared" si="10"/>
        <v>0</v>
      </c>
    </row>
    <row r="63" spans="1:25" ht="15.75" hidden="1" customHeight="1">
      <c r="A63" s="14" t="s">
        <v>136</v>
      </c>
      <c r="B63" s="15" t="s">
        <v>137</v>
      </c>
      <c r="C63" s="16">
        <v>406</v>
      </c>
      <c r="D63" s="16">
        <v>406</v>
      </c>
      <c r="E63" s="17">
        <v>3</v>
      </c>
      <c r="F63" s="18">
        <v>0</v>
      </c>
      <c r="G63" s="18">
        <v>0</v>
      </c>
      <c r="H63" s="36">
        <v>0</v>
      </c>
      <c r="I63" s="17">
        <v>0</v>
      </c>
      <c r="J63" s="17">
        <f t="shared" si="0"/>
        <v>3</v>
      </c>
      <c r="K63" s="37">
        <v>0</v>
      </c>
      <c r="L63" s="17">
        <v>0</v>
      </c>
      <c r="M63" s="17">
        <v>3</v>
      </c>
      <c r="N63" s="17">
        <f t="shared" si="1"/>
        <v>3</v>
      </c>
      <c r="O63" s="17">
        <f t="shared" si="2"/>
        <v>0</v>
      </c>
      <c r="P63" s="3"/>
      <c r="Q63" s="19">
        <f t="shared" si="3"/>
        <v>1218</v>
      </c>
      <c r="R63" s="19">
        <v>0</v>
      </c>
      <c r="S63" s="19">
        <f t="shared" si="4"/>
        <v>0</v>
      </c>
      <c r="T63" s="19">
        <f t="shared" si="5"/>
        <v>0</v>
      </c>
      <c r="U63" s="19">
        <f t="shared" si="6"/>
        <v>0</v>
      </c>
      <c r="V63" s="19">
        <f t="shared" si="7"/>
        <v>0</v>
      </c>
      <c r="W63" s="19">
        <f t="shared" si="8"/>
        <v>1218</v>
      </c>
      <c r="X63" s="20">
        <f t="shared" si="9"/>
        <v>1218</v>
      </c>
      <c r="Y63" s="20">
        <f t="shared" si="10"/>
        <v>0</v>
      </c>
    </row>
    <row r="64" spans="1:25" ht="15.75" hidden="1" customHeight="1">
      <c r="A64" s="14" t="s">
        <v>138</v>
      </c>
      <c r="B64" s="15" t="s">
        <v>139</v>
      </c>
      <c r="C64" s="16">
        <v>580</v>
      </c>
      <c r="D64" s="16">
        <v>580</v>
      </c>
      <c r="E64" s="17">
        <v>0</v>
      </c>
      <c r="F64" s="18">
        <v>0</v>
      </c>
      <c r="G64" s="18">
        <v>0</v>
      </c>
      <c r="H64" s="36">
        <v>0</v>
      </c>
      <c r="I64" s="17">
        <v>0</v>
      </c>
      <c r="J64" s="17">
        <f t="shared" si="0"/>
        <v>0</v>
      </c>
      <c r="K64" s="37">
        <v>0</v>
      </c>
      <c r="L64" s="17">
        <v>0</v>
      </c>
      <c r="M64" s="17">
        <v>0</v>
      </c>
      <c r="N64" s="17">
        <f t="shared" si="1"/>
        <v>0</v>
      </c>
      <c r="O64" s="17">
        <f t="shared" si="2"/>
        <v>0</v>
      </c>
      <c r="P64" s="3"/>
      <c r="Q64" s="19">
        <f t="shared" si="3"/>
        <v>0</v>
      </c>
      <c r="R64" s="19">
        <v>0</v>
      </c>
      <c r="S64" s="19">
        <f t="shared" si="4"/>
        <v>0</v>
      </c>
      <c r="T64" s="19">
        <f t="shared" si="5"/>
        <v>0</v>
      </c>
      <c r="U64" s="19">
        <f t="shared" si="6"/>
        <v>0</v>
      </c>
      <c r="V64" s="19">
        <f t="shared" si="7"/>
        <v>0</v>
      </c>
      <c r="W64" s="19">
        <f t="shared" si="8"/>
        <v>0</v>
      </c>
      <c r="X64" s="20">
        <f t="shared" si="9"/>
        <v>0</v>
      </c>
      <c r="Y64" s="20">
        <f t="shared" si="10"/>
        <v>0</v>
      </c>
    </row>
    <row r="65" spans="1:25" ht="15.75" hidden="1" customHeight="1">
      <c r="A65" s="14" t="s">
        <v>140</v>
      </c>
      <c r="B65" s="15" t="s">
        <v>141</v>
      </c>
      <c r="C65" s="16">
        <v>9</v>
      </c>
      <c r="D65" s="16">
        <v>9</v>
      </c>
      <c r="E65" s="17">
        <v>10</v>
      </c>
      <c r="F65" s="18">
        <v>0</v>
      </c>
      <c r="G65" s="18">
        <v>0</v>
      </c>
      <c r="H65" s="36">
        <v>0</v>
      </c>
      <c r="I65" s="17">
        <v>0</v>
      </c>
      <c r="J65" s="17">
        <f t="shared" si="0"/>
        <v>10</v>
      </c>
      <c r="K65" s="37">
        <v>10</v>
      </c>
      <c r="L65" s="17">
        <v>0</v>
      </c>
      <c r="M65" s="17">
        <v>0</v>
      </c>
      <c r="N65" s="17">
        <f t="shared" si="1"/>
        <v>10</v>
      </c>
      <c r="O65" s="17">
        <f t="shared" si="2"/>
        <v>0</v>
      </c>
      <c r="P65" s="3"/>
      <c r="Q65" s="19">
        <f t="shared" si="3"/>
        <v>90</v>
      </c>
      <c r="R65" s="19">
        <v>0</v>
      </c>
      <c r="S65" s="19">
        <f t="shared" si="4"/>
        <v>0</v>
      </c>
      <c r="T65" s="19">
        <f t="shared" si="5"/>
        <v>0</v>
      </c>
      <c r="U65" s="19">
        <f t="shared" si="6"/>
        <v>0</v>
      </c>
      <c r="V65" s="19">
        <f t="shared" si="7"/>
        <v>0</v>
      </c>
      <c r="W65" s="19">
        <f t="shared" si="8"/>
        <v>90</v>
      </c>
      <c r="X65" s="20">
        <f t="shared" si="9"/>
        <v>90</v>
      </c>
      <c r="Y65" s="20">
        <f t="shared" si="10"/>
        <v>0</v>
      </c>
    </row>
    <row r="66" spans="1:25" ht="15.75" hidden="1" customHeight="1">
      <c r="A66" s="14" t="s">
        <v>142</v>
      </c>
      <c r="B66" s="15" t="s">
        <v>143</v>
      </c>
      <c r="C66" s="16">
        <v>13720</v>
      </c>
      <c r="D66" s="16">
        <v>13720</v>
      </c>
      <c r="E66" s="17">
        <v>2</v>
      </c>
      <c r="F66" s="18">
        <v>0</v>
      </c>
      <c r="G66" s="18">
        <v>0</v>
      </c>
      <c r="H66" s="36">
        <v>0</v>
      </c>
      <c r="I66" s="17">
        <v>0</v>
      </c>
      <c r="J66" s="17">
        <f t="shared" si="0"/>
        <v>2</v>
      </c>
      <c r="K66" s="37">
        <v>2</v>
      </c>
      <c r="L66" s="17">
        <v>0</v>
      </c>
      <c r="M66" s="17">
        <v>0</v>
      </c>
      <c r="N66" s="17">
        <f t="shared" si="1"/>
        <v>2</v>
      </c>
      <c r="O66" s="17">
        <f t="shared" si="2"/>
        <v>0</v>
      </c>
      <c r="P66" s="3"/>
      <c r="Q66" s="19">
        <f t="shared" si="3"/>
        <v>27440</v>
      </c>
      <c r="R66" s="19">
        <v>0</v>
      </c>
      <c r="S66" s="19">
        <f t="shared" si="4"/>
        <v>0</v>
      </c>
      <c r="T66" s="19">
        <f t="shared" si="5"/>
        <v>0</v>
      </c>
      <c r="U66" s="19">
        <f t="shared" si="6"/>
        <v>0</v>
      </c>
      <c r="V66" s="19">
        <f t="shared" si="7"/>
        <v>0</v>
      </c>
      <c r="W66" s="19">
        <f t="shared" si="8"/>
        <v>27440</v>
      </c>
      <c r="X66" s="20">
        <f t="shared" si="9"/>
        <v>27440</v>
      </c>
      <c r="Y66" s="20">
        <f t="shared" si="10"/>
        <v>0</v>
      </c>
    </row>
    <row r="67" spans="1:25" ht="15.75" hidden="1" customHeight="1">
      <c r="A67" s="14" t="s">
        <v>144</v>
      </c>
      <c r="B67" s="15" t="s">
        <v>145</v>
      </c>
      <c r="C67" s="16">
        <v>940</v>
      </c>
      <c r="D67" s="16">
        <v>940</v>
      </c>
      <c r="E67" s="17">
        <v>1</v>
      </c>
      <c r="F67" s="18">
        <v>0</v>
      </c>
      <c r="G67" s="18">
        <v>0</v>
      </c>
      <c r="H67" s="36">
        <v>0</v>
      </c>
      <c r="I67" s="17">
        <v>0</v>
      </c>
      <c r="J67" s="17">
        <f t="shared" si="0"/>
        <v>1</v>
      </c>
      <c r="K67" s="37">
        <v>1</v>
      </c>
      <c r="L67" s="17">
        <v>0</v>
      </c>
      <c r="M67" s="17">
        <v>0</v>
      </c>
      <c r="N67" s="17">
        <f t="shared" si="1"/>
        <v>1</v>
      </c>
      <c r="O67" s="17">
        <f t="shared" si="2"/>
        <v>0</v>
      </c>
      <c r="P67" s="3"/>
      <c r="Q67" s="19">
        <f t="shared" si="3"/>
        <v>940</v>
      </c>
      <c r="R67" s="19">
        <v>0</v>
      </c>
      <c r="S67" s="19">
        <f t="shared" si="4"/>
        <v>0</v>
      </c>
      <c r="T67" s="19">
        <f t="shared" si="5"/>
        <v>0</v>
      </c>
      <c r="U67" s="19">
        <f t="shared" si="6"/>
        <v>0</v>
      </c>
      <c r="V67" s="19">
        <f t="shared" si="7"/>
        <v>0</v>
      </c>
      <c r="W67" s="19">
        <f t="shared" si="8"/>
        <v>940</v>
      </c>
      <c r="X67" s="20">
        <f t="shared" si="9"/>
        <v>940</v>
      </c>
      <c r="Y67" s="20">
        <f t="shared" si="10"/>
        <v>0</v>
      </c>
    </row>
    <row r="68" spans="1:25" ht="15.75" hidden="1" customHeight="1">
      <c r="A68" s="14" t="s">
        <v>146</v>
      </c>
      <c r="B68" s="15" t="s">
        <v>147</v>
      </c>
      <c r="C68" s="16">
        <v>24.58</v>
      </c>
      <c r="D68" s="16">
        <v>24.58</v>
      </c>
      <c r="E68" s="17">
        <v>2</v>
      </c>
      <c r="F68" s="18">
        <v>0</v>
      </c>
      <c r="G68" s="18">
        <v>0</v>
      </c>
      <c r="H68" s="36">
        <v>0</v>
      </c>
      <c r="I68" s="17">
        <v>0</v>
      </c>
      <c r="J68" s="17">
        <f t="shared" si="0"/>
        <v>2</v>
      </c>
      <c r="K68" s="37">
        <v>2</v>
      </c>
      <c r="L68" s="17">
        <v>0</v>
      </c>
      <c r="M68" s="17">
        <v>0</v>
      </c>
      <c r="N68" s="17">
        <f t="shared" si="1"/>
        <v>2</v>
      </c>
      <c r="O68" s="17">
        <f t="shared" si="2"/>
        <v>0</v>
      </c>
      <c r="P68" s="3"/>
      <c r="Q68" s="19">
        <f t="shared" si="3"/>
        <v>49.16</v>
      </c>
      <c r="R68" s="19">
        <v>0</v>
      </c>
      <c r="S68" s="19">
        <f t="shared" si="4"/>
        <v>0</v>
      </c>
      <c r="T68" s="19">
        <f t="shared" si="5"/>
        <v>0</v>
      </c>
      <c r="U68" s="19">
        <f t="shared" si="6"/>
        <v>0</v>
      </c>
      <c r="V68" s="19">
        <f t="shared" si="7"/>
        <v>0</v>
      </c>
      <c r="W68" s="19">
        <f t="shared" si="8"/>
        <v>49.16</v>
      </c>
      <c r="X68" s="20">
        <f t="shared" si="9"/>
        <v>49.16</v>
      </c>
      <c r="Y68" s="20">
        <f t="shared" si="10"/>
        <v>0</v>
      </c>
    </row>
    <row r="69" spans="1:25" ht="15.75" hidden="1" customHeight="1">
      <c r="A69" s="14" t="s">
        <v>148</v>
      </c>
      <c r="B69" s="15" t="s">
        <v>149</v>
      </c>
      <c r="C69" s="16">
        <v>890</v>
      </c>
      <c r="D69" s="16">
        <v>890</v>
      </c>
      <c r="E69" s="17">
        <v>1</v>
      </c>
      <c r="F69" s="18">
        <v>0</v>
      </c>
      <c r="G69" s="18">
        <v>0</v>
      </c>
      <c r="H69" s="36">
        <v>0</v>
      </c>
      <c r="I69" s="17">
        <v>0</v>
      </c>
      <c r="J69" s="17">
        <f t="shared" si="0"/>
        <v>1</v>
      </c>
      <c r="K69" s="37">
        <v>1</v>
      </c>
      <c r="L69" s="17">
        <v>0</v>
      </c>
      <c r="M69" s="17">
        <v>0</v>
      </c>
      <c r="N69" s="17">
        <f t="shared" si="1"/>
        <v>1</v>
      </c>
      <c r="O69" s="17">
        <f t="shared" si="2"/>
        <v>0</v>
      </c>
      <c r="P69" s="3"/>
      <c r="Q69" s="19">
        <f t="shared" si="3"/>
        <v>890</v>
      </c>
      <c r="R69" s="19">
        <v>0</v>
      </c>
      <c r="S69" s="19">
        <f t="shared" si="4"/>
        <v>0</v>
      </c>
      <c r="T69" s="19">
        <f t="shared" si="5"/>
        <v>0</v>
      </c>
      <c r="U69" s="19">
        <f t="shared" si="6"/>
        <v>0</v>
      </c>
      <c r="V69" s="19">
        <f t="shared" si="7"/>
        <v>0</v>
      </c>
      <c r="W69" s="19">
        <f t="shared" si="8"/>
        <v>890</v>
      </c>
      <c r="X69" s="20">
        <f t="shared" si="9"/>
        <v>890</v>
      </c>
      <c r="Y69" s="20">
        <f t="shared" si="10"/>
        <v>0</v>
      </c>
    </row>
    <row r="70" spans="1:25" ht="15.75" hidden="1" customHeight="1">
      <c r="A70" s="14" t="s">
        <v>150</v>
      </c>
      <c r="B70" s="15" t="s">
        <v>151</v>
      </c>
      <c r="C70" s="16">
        <v>0</v>
      </c>
      <c r="D70" s="16">
        <v>0</v>
      </c>
      <c r="E70" s="17">
        <v>0</v>
      </c>
      <c r="F70" s="18">
        <v>0</v>
      </c>
      <c r="G70" s="18">
        <v>0</v>
      </c>
      <c r="H70" s="36">
        <v>0</v>
      </c>
      <c r="I70" s="17">
        <v>0</v>
      </c>
      <c r="J70" s="17">
        <f t="shared" si="0"/>
        <v>0</v>
      </c>
      <c r="K70" s="37">
        <v>0</v>
      </c>
      <c r="L70" s="17">
        <v>0</v>
      </c>
      <c r="M70" s="17">
        <v>0</v>
      </c>
      <c r="N70" s="17">
        <f t="shared" si="1"/>
        <v>0</v>
      </c>
      <c r="O70" s="17">
        <f t="shared" si="2"/>
        <v>0</v>
      </c>
      <c r="P70" s="3"/>
      <c r="Q70" s="19">
        <f t="shared" si="3"/>
        <v>0</v>
      </c>
      <c r="R70" s="19">
        <v>0</v>
      </c>
      <c r="S70" s="19">
        <f t="shared" si="4"/>
        <v>0</v>
      </c>
      <c r="T70" s="19">
        <f t="shared" si="5"/>
        <v>0</v>
      </c>
      <c r="U70" s="19">
        <f t="shared" si="6"/>
        <v>0</v>
      </c>
      <c r="V70" s="19">
        <f t="shared" si="7"/>
        <v>0</v>
      </c>
      <c r="W70" s="19">
        <f t="shared" si="8"/>
        <v>0</v>
      </c>
      <c r="X70" s="20">
        <f t="shared" si="9"/>
        <v>0</v>
      </c>
      <c r="Y70" s="20">
        <f t="shared" si="10"/>
        <v>0</v>
      </c>
    </row>
    <row r="71" spans="1:25" ht="15.75" hidden="1" customHeight="1">
      <c r="A71" s="14" t="s">
        <v>152</v>
      </c>
      <c r="B71" s="15" t="s">
        <v>153</v>
      </c>
      <c r="C71" s="16">
        <v>560</v>
      </c>
      <c r="D71" s="16">
        <v>560</v>
      </c>
      <c r="E71" s="17">
        <v>2</v>
      </c>
      <c r="F71" s="18">
        <v>0</v>
      </c>
      <c r="G71" s="18">
        <v>0</v>
      </c>
      <c r="H71" s="36">
        <v>0</v>
      </c>
      <c r="I71" s="17">
        <v>0</v>
      </c>
      <c r="J71" s="17">
        <f t="shared" si="0"/>
        <v>2</v>
      </c>
      <c r="K71" s="37">
        <v>2</v>
      </c>
      <c r="L71" s="17">
        <v>0</v>
      </c>
      <c r="M71" s="17">
        <v>0</v>
      </c>
      <c r="N71" s="17">
        <f t="shared" si="1"/>
        <v>2</v>
      </c>
      <c r="O71" s="17">
        <f t="shared" si="2"/>
        <v>0</v>
      </c>
      <c r="P71" s="3"/>
      <c r="Q71" s="19">
        <f t="shared" si="3"/>
        <v>1120</v>
      </c>
      <c r="R71" s="19">
        <v>0</v>
      </c>
      <c r="S71" s="19">
        <f t="shared" si="4"/>
        <v>0</v>
      </c>
      <c r="T71" s="19">
        <f t="shared" si="5"/>
        <v>0</v>
      </c>
      <c r="U71" s="19">
        <f t="shared" si="6"/>
        <v>0</v>
      </c>
      <c r="V71" s="19">
        <f t="shared" si="7"/>
        <v>0</v>
      </c>
      <c r="W71" s="19">
        <f t="shared" si="8"/>
        <v>1120</v>
      </c>
      <c r="X71" s="20">
        <f t="shared" si="9"/>
        <v>1120</v>
      </c>
      <c r="Y71" s="20">
        <f t="shared" si="10"/>
        <v>0</v>
      </c>
    </row>
    <row r="72" spans="1:25" ht="15.75" hidden="1" customHeight="1">
      <c r="A72" s="14" t="s">
        <v>154</v>
      </c>
      <c r="B72" s="15" t="s">
        <v>155</v>
      </c>
      <c r="C72" s="16">
        <v>36</v>
      </c>
      <c r="D72" s="16">
        <v>36</v>
      </c>
      <c r="E72" s="17">
        <v>0</v>
      </c>
      <c r="F72" s="18">
        <v>0</v>
      </c>
      <c r="G72" s="18">
        <v>0</v>
      </c>
      <c r="H72" s="36">
        <v>0</v>
      </c>
      <c r="I72" s="17">
        <v>0</v>
      </c>
      <c r="J72" s="17">
        <f t="shared" si="0"/>
        <v>0</v>
      </c>
      <c r="K72" s="37">
        <v>0</v>
      </c>
      <c r="L72" s="17">
        <v>0</v>
      </c>
      <c r="M72" s="17">
        <v>0</v>
      </c>
      <c r="N72" s="17">
        <f t="shared" si="1"/>
        <v>0</v>
      </c>
      <c r="O72" s="17">
        <f t="shared" si="2"/>
        <v>0</v>
      </c>
      <c r="P72" s="3"/>
      <c r="Q72" s="19">
        <f t="shared" si="3"/>
        <v>0</v>
      </c>
      <c r="R72" s="19">
        <v>0</v>
      </c>
      <c r="S72" s="19">
        <f t="shared" si="4"/>
        <v>0</v>
      </c>
      <c r="T72" s="19">
        <f t="shared" si="5"/>
        <v>0</v>
      </c>
      <c r="U72" s="19">
        <f t="shared" si="6"/>
        <v>0</v>
      </c>
      <c r="V72" s="19">
        <f t="shared" si="7"/>
        <v>0</v>
      </c>
      <c r="W72" s="19">
        <f t="shared" si="8"/>
        <v>0</v>
      </c>
      <c r="X72" s="20">
        <f t="shared" si="9"/>
        <v>0</v>
      </c>
      <c r="Y72" s="20">
        <f t="shared" si="10"/>
        <v>0</v>
      </c>
    </row>
    <row r="73" spans="1:25" ht="15.75" hidden="1" customHeight="1">
      <c r="A73" s="14" t="s">
        <v>156</v>
      </c>
      <c r="B73" s="15" t="s">
        <v>157</v>
      </c>
      <c r="C73" s="16">
        <v>1122</v>
      </c>
      <c r="D73" s="16">
        <v>1122</v>
      </c>
      <c r="E73" s="17">
        <v>0</v>
      </c>
      <c r="F73" s="18">
        <v>0</v>
      </c>
      <c r="G73" s="18">
        <v>0</v>
      </c>
      <c r="H73" s="36">
        <v>0</v>
      </c>
      <c r="I73" s="17">
        <v>0</v>
      </c>
      <c r="J73" s="17">
        <f t="shared" si="0"/>
        <v>0</v>
      </c>
      <c r="K73" s="37">
        <v>0</v>
      </c>
      <c r="L73" s="17">
        <v>0</v>
      </c>
      <c r="M73" s="17">
        <v>0</v>
      </c>
      <c r="N73" s="17">
        <f t="shared" si="1"/>
        <v>0</v>
      </c>
      <c r="O73" s="17">
        <f t="shared" si="2"/>
        <v>0</v>
      </c>
      <c r="P73" s="3"/>
      <c r="Q73" s="19">
        <f t="shared" si="3"/>
        <v>0</v>
      </c>
      <c r="R73" s="19">
        <v>0</v>
      </c>
      <c r="S73" s="19">
        <f t="shared" si="4"/>
        <v>0</v>
      </c>
      <c r="T73" s="19">
        <f t="shared" si="5"/>
        <v>0</v>
      </c>
      <c r="U73" s="19">
        <f t="shared" si="6"/>
        <v>0</v>
      </c>
      <c r="V73" s="19">
        <f t="shared" si="7"/>
        <v>0</v>
      </c>
      <c r="W73" s="19">
        <f t="shared" si="8"/>
        <v>0</v>
      </c>
      <c r="X73" s="20">
        <f t="shared" si="9"/>
        <v>0</v>
      </c>
      <c r="Y73" s="20">
        <f t="shared" si="10"/>
        <v>0</v>
      </c>
    </row>
    <row r="74" spans="1:25" ht="15.75" hidden="1" customHeight="1">
      <c r="A74" s="14" t="s">
        <v>158</v>
      </c>
      <c r="B74" s="15" t="s">
        <v>159</v>
      </c>
      <c r="C74" s="16">
        <v>0</v>
      </c>
      <c r="D74" s="16">
        <v>0</v>
      </c>
      <c r="E74" s="17">
        <v>0</v>
      </c>
      <c r="F74" s="18">
        <v>0</v>
      </c>
      <c r="G74" s="18">
        <v>0</v>
      </c>
      <c r="H74" s="36">
        <v>0</v>
      </c>
      <c r="I74" s="17">
        <v>0</v>
      </c>
      <c r="J74" s="17">
        <f t="shared" si="0"/>
        <v>0</v>
      </c>
      <c r="K74" s="37">
        <v>0</v>
      </c>
      <c r="L74" s="17">
        <v>0</v>
      </c>
      <c r="M74" s="17">
        <v>0</v>
      </c>
      <c r="N74" s="17">
        <f t="shared" si="1"/>
        <v>0</v>
      </c>
      <c r="O74" s="17">
        <f t="shared" si="2"/>
        <v>0</v>
      </c>
      <c r="P74" s="3"/>
      <c r="Q74" s="19">
        <f t="shared" si="3"/>
        <v>0</v>
      </c>
      <c r="R74" s="19">
        <v>0</v>
      </c>
      <c r="S74" s="19">
        <f t="shared" si="4"/>
        <v>0</v>
      </c>
      <c r="T74" s="19">
        <f t="shared" si="5"/>
        <v>0</v>
      </c>
      <c r="U74" s="19">
        <f t="shared" si="6"/>
        <v>0</v>
      </c>
      <c r="V74" s="19">
        <f t="shared" si="7"/>
        <v>0</v>
      </c>
      <c r="W74" s="19">
        <f t="shared" si="8"/>
        <v>0</v>
      </c>
      <c r="X74" s="20">
        <f t="shared" si="9"/>
        <v>0</v>
      </c>
      <c r="Y74" s="20">
        <f t="shared" si="10"/>
        <v>0</v>
      </c>
    </row>
    <row r="75" spans="1:25" ht="15.75" hidden="1" customHeight="1">
      <c r="A75" s="14" t="s">
        <v>160</v>
      </c>
      <c r="B75" s="15" t="s">
        <v>161</v>
      </c>
      <c r="C75" s="16">
        <v>0</v>
      </c>
      <c r="D75" s="16">
        <v>0</v>
      </c>
      <c r="E75" s="17">
        <v>0</v>
      </c>
      <c r="F75" s="18">
        <v>0</v>
      </c>
      <c r="G75" s="18">
        <v>0</v>
      </c>
      <c r="H75" s="36">
        <v>0</v>
      </c>
      <c r="I75" s="17">
        <v>0</v>
      </c>
      <c r="J75" s="17">
        <f t="shared" si="0"/>
        <v>0</v>
      </c>
      <c r="K75" s="37">
        <v>0</v>
      </c>
      <c r="L75" s="17">
        <v>0</v>
      </c>
      <c r="M75" s="17">
        <v>0</v>
      </c>
      <c r="N75" s="17">
        <f t="shared" si="1"/>
        <v>0</v>
      </c>
      <c r="O75" s="17">
        <f t="shared" si="2"/>
        <v>0</v>
      </c>
      <c r="P75" s="3"/>
      <c r="Q75" s="19">
        <f t="shared" si="3"/>
        <v>0</v>
      </c>
      <c r="R75" s="19">
        <v>0</v>
      </c>
      <c r="S75" s="19">
        <f t="shared" si="4"/>
        <v>0</v>
      </c>
      <c r="T75" s="19">
        <f t="shared" si="5"/>
        <v>0</v>
      </c>
      <c r="U75" s="19">
        <f t="shared" si="6"/>
        <v>0</v>
      </c>
      <c r="V75" s="19">
        <f t="shared" si="7"/>
        <v>0</v>
      </c>
      <c r="W75" s="19">
        <f t="shared" si="8"/>
        <v>0</v>
      </c>
      <c r="X75" s="20">
        <f t="shared" si="9"/>
        <v>0</v>
      </c>
      <c r="Y75" s="20">
        <f t="shared" si="10"/>
        <v>0</v>
      </c>
    </row>
    <row r="76" spans="1:25" ht="15.75" hidden="1" customHeight="1">
      <c r="A76" s="14" t="s">
        <v>162</v>
      </c>
      <c r="B76" s="15" t="s">
        <v>163</v>
      </c>
      <c r="C76" s="16">
        <v>1000</v>
      </c>
      <c r="D76" s="16">
        <v>1000</v>
      </c>
      <c r="E76" s="17">
        <v>2</v>
      </c>
      <c r="F76" s="18">
        <v>0</v>
      </c>
      <c r="G76" s="18">
        <v>0</v>
      </c>
      <c r="H76" s="36">
        <v>0</v>
      </c>
      <c r="I76" s="17">
        <v>0</v>
      </c>
      <c r="J76" s="17">
        <f t="shared" si="0"/>
        <v>2</v>
      </c>
      <c r="K76" s="37">
        <v>0</v>
      </c>
      <c r="L76" s="17">
        <v>0</v>
      </c>
      <c r="M76" s="17">
        <v>2</v>
      </c>
      <c r="N76" s="17">
        <f t="shared" si="1"/>
        <v>2</v>
      </c>
      <c r="O76" s="17">
        <f t="shared" si="2"/>
        <v>0</v>
      </c>
      <c r="P76" s="3"/>
      <c r="Q76" s="19">
        <f t="shared" si="3"/>
        <v>2000</v>
      </c>
      <c r="R76" s="19">
        <v>0</v>
      </c>
      <c r="S76" s="19">
        <f t="shared" si="4"/>
        <v>0</v>
      </c>
      <c r="T76" s="19">
        <f t="shared" si="5"/>
        <v>0</v>
      </c>
      <c r="U76" s="19">
        <f t="shared" si="6"/>
        <v>0</v>
      </c>
      <c r="V76" s="19">
        <f t="shared" si="7"/>
        <v>0</v>
      </c>
      <c r="W76" s="19">
        <f t="shared" si="8"/>
        <v>2000</v>
      </c>
      <c r="X76" s="20">
        <f t="shared" si="9"/>
        <v>2000</v>
      </c>
      <c r="Y76" s="20">
        <f t="shared" si="10"/>
        <v>0</v>
      </c>
    </row>
    <row r="77" spans="1:25" ht="15.75" hidden="1" customHeight="1">
      <c r="A77" s="14" t="s">
        <v>164</v>
      </c>
      <c r="B77" s="15" t="s">
        <v>165</v>
      </c>
      <c r="C77" s="16">
        <v>900</v>
      </c>
      <c r="D77" s="16">
        <v>900</v>
      </c>
      <c r="E77" s="17">
        <v>0</v>
      </c>
      <c r="F77" s="18">
        <v>0</v>
      </c>
      <c r="G77" s="18">
        <v>0</v>
      </c>
      <c r="H77" s="36">
        <v>0</v>
      </c>
      <c r="I77" s="17">
        <v>0</v>
      </c>
      <c r="J77" s="17">
        <f t="shared" si="0"/>
        <v>0</v>
      </c>
      <c r="K77" s="37">
        <v>0</v>
      </c>
      <c r="L77" s="17">
        <v>0</v>
      </c>
      <c r="M77" s="17">
        <v>0</v>
      </c>
      <c r="N77" s="17">
        <f t="shared" si="1"/>
        <v>0</v>
      </c>
      <c r="O77" s="17">
        <f t="shared" si="2"/>
        <v>0</v>
      </c>
      <c r="P77" s="3"/>
      <c r="Q77" s="19">
        <f t="shared" si="3"/>
        <v>0</v>
      </c>
      <c r="R77" s="19">
        <v>0</v>
      </c>
      <c r="S77" s="19">
        <f t="shared" si="4"/>
        <v>0</v>
      </c>
      <c r="T77" s="19">
        <f t="shared" si="5"/>
        <v>0</v>
      </c>
      <c r="U77" s="19">
        <f t="shared" si="6"/>
        <v>0</v>
      </c>
      <c r="V77" s="19">
        <f t="shared" si="7"/>
        <v>0</v>
      </c>
      <c r="W77" s="19">
        <f t="shared" si="8"/>
        <v>0</v>
      </c>
      <c r="X77" s="20">
        <f t="shared" si="9"/>
        <v>0</v>
      </c>
      <c r="Y77" s="20">
        <f t="shared" si="10"/>
        <v>0</v>
      </c>
    </row>
    <row r="78" spans="1:25" ht="15.75" hidden="1" customHeight="1">
      <c r="A78" s="14" t="s">
        <v>166</v>
      </c>
      <c r="B78" s="15" t="s">
        <v>167</v>
      </c>
      <c r="C78" s="16">
        <v>1712</v>
      </c>
      <c r="D78" s="16">
        <v>1712</v>
      </c>
      <c r="E78" s="17">
        <v>2</v>
      </c>
      <c r="F78" s="18">
        <v>0</v>
      </c>
      <c r="G78" s="18">
        <v>0</v>
      </c>
      <c r="H78" s="36">
        <v>0</v>
      </c>
      <c r="I78" s="17">
        <v>0</v>
      </c>
      <c r="J78" s="17">
        <f t="shared" si="0"/>
        <v>2</v>
      </c>
      <c r="K78" s="37">
        <v>0</v>
      </c>
      <c r="L78" s="17">
        <v>0</v>
      </c>
      <c r="M78" s="17">
        <v>2</v>
      </c>
      <c r="N78" s="17">
        <f t="shared" si="1"/>
        <v>2</v>
      </c>
      <c r="O78" s="17">
        <f t="shared" si="2"/>
        <v>0</v>
      </c>
      <c r="P78" s="3"/>
      <c r="Q78" s="19">
        <f t="shared" si="3"/>
        <v>3424</v>
      </c>
      <c r="R78" s="19">
        <v>0</v>
      </c>
      <c r="S78" s="19">
        <f t="shared" si="4"/>
        <v>0</v>
      </c>
      <c r="T78" s="19">
        <f t="shared" si="5"/>
        <v>0</v>
      </c>
      <c r="U78" s="19">
        <f t="shared" si="6"/>
        <v>0</v>
      </c>
      <c r="V78" s="19">
        <f t="shared" si="7"/>
        <v>0</v>
      </c>
      <c r="W78" s="19">
        <f t="shared" si="8"/>
        <v>3424</v>
      </c>
      <c r="X78" s="20">
        <f t="shared" si="9"/>
        <v>3424</v>
      </c>
      <c r="Y78" s="20">
        <f t="shared" si="10"/>
        <v>0</v>
      </c>
    </row>
    <row r="79" spans="1:25" ht="15.75" hidden="1" customHeight="1">
      <c r="A79" s="14" t="s">
        <v>168</v>
      </c>
      <c r="B79" s="15" t="s">
        <v>169</v>
      </c>
      <c r="C79" s="16">
        <v>490</v>
      </c>
      <c r="D79" s="16">
        <v>490</v>
      </c>
      <c r="E79" s="17">
        <v>4</v>
      </c>
      <c r="F79" s="18">
        <v>0</v>
      </c>
      <c r="G79" s="18">
        <v>0</v>
      </c>
      <c r="H79" s="36">
        <v>0</v>
      </c>
      <c r="I79" s="17">
        <v>0</v>
      </c>
      <c r="J79" s="17">
        <f t="shared" si="0"/>
        <v>4</v>
      </c>
      <c r="K79" s="37">
        <v>4</v>
      </c>
      <c r="L79" s="17">
        <v>0</v>
      </c>
      <c r="M79" s="17">
        <v>0</v>
      </c>
      <c r="N79" s="17">
        <f t="shared" si="1"/>
        <v>4</v>
      </c>
      <c r="O79" s="17">
        <f t="shared" si="2"/>
        <v>0</v>
      </c>
      <c r="P79" s="3"/>
      <c r="Q79" s="19">
        <f t="shared" si="3"/>
        <v>1960</v>
      </c>
      <c r="R79" s="19">
        <v>0</v>
      </c>
      <c r="S79" s="19">
        <f t="shared" si="4"/>
        <v>0</v>
      </c>
      <c r="T79" s="19">
        <f t="shared" si="5"/>
        <v>0</v>
      </c>
      <c r="U79" s="19">
        <f t="shared" si="6"/>
        <v>0</v>
      </c>
      <c r="V79" s="19">
        <f t="shared" si="7"/>
        <v>0</v>
      </c>
      <c r="W79" s="19">
        <f t="shared" si="8"/>
        <v>1960</v>
      </c>
      <c r="X79" s="20">
        <f t="shared" si="9"/>
        <v>1960</v>
      </c>
      <c r="Y79" s="20">
        <f t="shared" si="10"/>
        <v>0</v>
      </c>
    </row>
    <row r="80" spans="1:25" ht="15.75" hidden="1" customHeight="1">
      <c r="A80" s="14" t="s">
        <v>170</v>
      </c>
      <c r="B80" s="15" t="s">
        <v>171</v>
      </c>
      <c r="C80" s="16">
        <v>5100</v>
      </c>
      <c r="D80" s="16">
        <v>5100</v>
      </c>
      <c r="E80" s="17">
        <v>1</v>
      </c>
      <c r="F80" s="18">
        <v>0</v>
      </c>
      <c r="G80" s="18">
        <v>0</v>
      </c>
      <c r="H80" s="36">
        <v>0</v>
      </c>
      <c r="I80" s="17">
        <v>0</v>
      </c>
      <c r="J80" s="17">
        <f t="shared" si="0"/>
        <v>1</v>
      </c>
      <c r="K80" s="37">
        <v>1</v>
      </c>
      <c r="L80" s="17">
        <v>0</v>
      </c>
      <c r="M80" s="17">
        <v>0</v>
      </c>
      <c r="N80" s="17">
        <f t="shared" si="1"/>
        <v>1</v>
      </c>
      <c r="O80" s="17">
        <f t="shared" si="2"/>
        <v>0</v>
      </c>
      <c r="P80" s="3"/>
      <c r="Q80" s="19">
        <f t="shared" si="3"/>
        <v>5100</v>
      </c>
      <c r="R80" s="19">
        <v>0</v>
      </c>
      <c r="S80" s="19">
        <f t="shared" si="4"/>
        <v>0</v>
      </c>
      <c r="T80" s="19">
        <f t="shared" si="5"/>
        <v>0</v>
      </c>
      <c r="U80" s="19">
        <f t="shared" si="6"/>
        <v>0</v>
      </c>
      <c r="V80" s="19">
        <f t="shared" si="7"/>
        <v>0</v>
      </c>
      <c r="W80" s="19">
        <f t="shared" si="8"/>
        <v>5100</v>
      </c>
      <c r="X80" s="20">
        <f t="shared" si="9"/>
        <v>5100</v>
      </c>
      <c r="Y80" s="20">
        <f t="shared" si="10"/>
        <v>0</v>
      </c>
    </row>
    <row r="81" spans="1:25" ht="15.75" hidden="1" customHeight="1">
      <c r="A81" s="14" t="s">
        <v>172</v>
      </c>
      <c r="B81" s="15" t="s">
        <v>173</v>
      </c>
      <c r="C81" s="16">
        <v>79.92</v>
      </c>
      <c r="D81" s="16">
        <v>79.92</v>
      </c>
      <c r="E81" s="17">
        <v>2</v>
      </c>
      <c r="F81" s="18">
        <v>0</v>
      </c>
      <c r="G81" s="18">
        <v>0</v>
      </c>
      <c r="H81" s="36">
        <v>0</v>
      </c>
      <c r="I81" s="17">
        <v>0</v>
      </c>
      <c r="J81" s="17">
        <f t="shared" si="0"/>
        <v>2</v>
      </c>
      <c r="K81" s="37">
        <v>2</v>
      </c>
      <c r="L81" s="17">
        <v>0</v>
      </c>
      <c r="M81" s="17">
        <v>0</v>
      </c>
      <c r="N81" s="17">
        <f t="shared" si="1"/>
        <v>2</v>
      </c>
      <c r="O81" s="17">
        <f t="shared" si="2"/>
        <v>0</v>
      </c>
      <c r="P81" s="3"/>
      <c r="Q81" s="19">
        <f t="shared" si="3"/>
        <v>159.84</v>
      </c>
      <c r="R81" s="19">
        <v>0</v>
      </c>
      <c r="S81" s="19">
        <f t="shared" si="4"/>
        <v>0</v>
      </c>
      <c r="T81" s="19">
        <f t="shared" si="5"/>
        <v>0</v>
      </c>
      <c r="U81" s="19">
        <f t="shared" si="6"/>
        <v>0</v>
      </c>
      <c r="V81" s="19">
        <f t="shared" si="7"/>
        <v>0</v>
      </c>
      <c r="W81" s="19">
        <f t="shared" si="8"/>
        <v>159.84</v>
      </c>
      <c r="X81" s="20">
        <f t="shared" si="9"/>
        <v>159.84</v>
      </c>
      <c r="Y81" s="20">
        <f t="shared" si="10"/>
        <v>0</v>
      </c>
    </row>
    <row r="82" spans="1:25" ht="15.75" hidden="1" customHeight="1">
      <c r="A82" s="14" t="s">
        <v>174</v>
      </c>
      <c r="B82" s="15" t="s">
        <v>175</v>
      </c>
      <c r="C82" s="16">
        <v>60.08</v>
      </c>
      <c r="D82" s="16">
        <v>60.08</v>
      </c>
      <c r="E82" s="17">
        <v>1</v>
      </c>
      <c r="F82" s="18">
        <v>0</v>
      </c>
      <c r="G82" s="18">
        <v>0</v>
      </c>
      <c r="H82" s="36">
        <v>0</v>
      </c>
      <c r="I82" s="17">
        <v>0</v>
      </c>
      <c r="J82" s="17">
        <f t="shared" si="0"/>
        <v>1</v>
      </c>
      <c r="K82" s="37">
        <v>1</v>
      </c>
      <c r="L82" s="17">
        <v>0</v>
      </c>
      <c r="M82" s="17">
        <v>0</v>
      </c>
      <c r="N82" s="17">
        <f t="shared" si="1"/>
        <v>1</v>
      </c>
      <c r="O82" s="17">
        <f t="shared" si="2"/>
        <v>0</v>
      </c>
      <c r="P82" s="3"/>
      <c r="Q82" s="19">
        <f t="shared" si="3"/>
        <v>60.08</v>
      </c>
      <c r="R82" s="19">
        <v>0</v>
      </c>
      <c r="S82" s="19">
        <f t="shared" si="4"/>
        <v>0</v>
      </c>
      <c r="T82" s="19">
        <f t="shared" si="5"/>
        <v>0</v>
      </c>
      <c r="U82" s="19">
        <f t="shared" si="6"/>
        <v>0</v>
      </c>
      <c r="V82" s="19">
        <f t="shared" si="7"/>
        <v>0</v>
      </c>
      <c r="W82" s="19">
        <f t="shared" si="8"/>
        <v>60.08</v>
      </c>
      <c r="X82" s="20">
        <f t="shared" si="9"/>
        <v>60.08</v>
      </c>
      <c r="Y82" s="20">
        <f t="shared" si="10"/>
        <v>0</v>
      </c>
    </row>
    <row r="83" spans="1:25" ht="15.75" hidden="1" customHeight="1">
      <c r="A83" s="14" t="s">
        <v>176</v>
      </c>
      <c r="B83" s="15" t="s">
        <v>177</v>
      </c>
      <c r="C83" s="16">
        <v>780</v>
      </c>
      <c r="D83" s="16">
        <v>780</v>
      </c>
      <c r="E83" s="17">
        <v>1</v>
      </c>
      <c r="F83" s="18">
        <v>0</v>
      </c>
      <c r="G83" s="18">
        <v>0</v>
      </c>
      <c r="H83" s="36">
        <v>0</v>
      </c>
      <c r="I83" s="17">
        <v>0</v>
      </c>
      <c r="J83" s="17">
        <f t="shared" si="0"/>
        <v>1</v>
      </c>
      <c r="K83" s="37">
        <v>1</v>
      </c>
      <c r="L83" s="17">
        <v>0</v>
      </c>
      <c r="M83" s="17">
        <v>0</v>
      </c>
      <c r="N83" s="17">
        <f t="shared" si="1"/>
        <v>1</v>
      </c>
      <c r="O83" s="17">
        <f t="shared" si="2"/>
        <v>0</v>
      </c>
      <c r="P83" s="3"/>
      <c r="Q83" s="19">
        <f t="shared" si="3"/>
        <v>780</v>
      </c>
      <c r="R83" s="19">
        <v>0</v>
      </c>
      <c r="S83" s="19">
        <f t="shared" si="4"/>
        <v>0</v>
      </c>
      <c r="T83" s="19">
        <f t="shared" si="5"/>
        <v>0</v>
      </c>
      <c r="U83" s="19">
        <f t="shared" si="6"/>
        <v>0</v>
      </c>
      <c r="V83" s="19">
        <f t="shared" si="7"/>
        <v>0</v>
      </c>
      <c r="W83" s="19">
        <f t="shared" si="8"/>
        <v>780</v>
      </c>
      <c r="X83" s="20">
        <f t="shared" si="9"/>
        <v>780</v>
      </c>
      <c r="Y83" s="20">
        <f t="shared" si="10"/>
        <v>0</v>
      </c>
    </row>
    <row r="84" spans="1:25" ht="15.75" hidden="1" customHeight="1">
      <c r="A84" s="14" t="s">
        <v>178</v>
      </c>
      <c r="B84" s="15" t="s">
        <v>179</v>
      </c>
      <c r="C84" s="16">
        <v>18.600000000000001</v>
      </c>
      <c r="D84" s="16">
        <v>18.600000000000001</v>
      </c>
      <c r="E84" s="17">
        <v>0</v>
      </c>
      <c r="F84" s="18">
        <v>0</v>
      </c>
      <c r="G84" s="18">
        <v>0</v>
      </c>
      <c r="H84" s="36">
        <v>0</v>
      </c>
      <c r="I84" s="17">
        <v>0</v>
      </c>
      <c r="J84" s="17">
        <f t="shared" si="0"/>
        <v>0</v>
      </c>
      <c r="K84" s="37">
        <v>0</v>
      </c>
      <c r="L84" s="17">
        <v>0</v>
      </c>
      <c r="M84" s="17">
        <v>0</v>
      </c>
      <c r="N84" s="17">
        <f t="shared" si="1"/>
        <v>0</v>
      </c>
      <c r="O84" s="17">
        <f t="shared" si="2"/>
        <v>0</v>
      </c>
      <c r="P84" s="3"/>
      <c r="Q84" s="19">
        <f t="shared" si="3"/>
        <v>0</v>
      </c>
      <c r="R84" s="19">
        <v>0</v>
      </c>
      <c r="S84" s="19">
        <f t="shared" si="4"/>
        <v>0</v>
      </c>
      <c r="T84" s="19">
        <f t="shared" si="5"/>
        <v>0</v>
      </c>
      <c r="U84" s="19">
        <f t="shared" si="6"/>
        <v>0</v>
      </c>
      <c r="V84" s="19">
        <f t="shared" si="7"/>
        <v>0</v>
      </c>
      <c r="W84" s="19">
        <f t="shared" si="8"/>
        <v>0</v>
      </c>
      <c r="X84" s="20">
        <f t="shared" si="9"/>
        <v>0</v>
      </c>
      <c r="Y84" s="20">
        <f t="shared" si="10"/>
        <v>0</v>
      </c>
    </row>
    <row r="85" spans="1:25" ht="15.75" hidden="1" customHeight="1">
      <c r="A85" s="14" t="s">
        <v>180</v>
      </c>
      <c r="B85" s="15" t="s">
        <v>181</v>
      </c>
      <c r="C85" s="16">
        <v>852</v>
      </c>
      <c r="D85" s="16">
        <v>852</v>
      </c>
      <c r="E85" s="17">
        <v>2</v>
      </c>
      <c r="F85" s="18">
        <v>0</v>
      </c>
      <c r="G85" s="18">
        <v>0</v>
      </c>
      <c r="H85" s="36">
        <v>0</v>
      </c>
      <c r="I85" s="17">
        <v>0</v>
      </c>
      <c r="J85" s="17">
        <f t="shared" si="0"/>
        <v>2</v>
      </c>
      <c r="K85" s="37">
        <v>2</v>
      </c>
      <c r="L85" s="17">
        <v>0</v>
      </c>
      <c r="M85" s="17">
        <v>0</v>
      </c>
      <c r="N85" s="17">
        <f t="shared" si="1"/>
        <v>2</v>
      </c>
      <c r="O85" s="17">
        <f t="shared" si="2"/>
        <v>0</v>
      </c>
      <c r="P85" s="3"/>
      <c r="Q85" s="19">
        <f t="shared" si="3"/>
        <v>1704</v>
      </c>
      <c r="R85" s="19">
        <v>0</v>
      </c>
      <c r="S85" s="19">
        <f t="shared" si="4"/>
        <v>0</v>
      </c>
      <c r="T85" s="19">
        <f t="shared" si="5"/>
        <v>0</v>
      </c>
      <c r="U85" s="19">
        <f t="shared" si="6"/>
        <v>0</v>
      </c>
      <c r="V85" s="19">
        <f t="shared" si="7"/>
        <v>0</v>
      </c>
      <c r="W85" s="19">
        <f t="shared" si="8"/>
        <v>1704</v>
      </c>
      <c r="X85" s="20">
        <f t="shared" si="9"/>
        <v>1704</v>
      </c>
      <c r="Y85" s="20">
        <f t="shared" si="10"/>
        <v>0</v>
      </c>
    </row>
    <row r="86" spans="1:25" ht="15.75" hidden="1" customHeight="1">
      <c r="A86" s="14" t="s">
        <v>182</v>
      </c>
      <c r="B86" s="21" t="s">
        <v>183</v>
      </c>
      <c r="C86" s="16">
        <v>1750</v>
      </c>
      <c r="D86" s="16">
        <v>1750</v>
      </c>
      <c r="E86" s="17">
        <v>2</v>
      </c>
      <c r="F86" s="18">
        <v>0</v>
      </c>
      <c r="G86" s="18">
        <v>0</v>
      </c>
      <c r="H86" s="36">
        <v>0</v>
      </c>
      <c r="I86" s="17">
        <v>0</v>
      </c>
      <c r="J86" s="17">
        <f t="shared" si="0"/>
        <v>2</v>
      </c>
      <c r="K86" s="37">
        <v>2</v>
      </c>
      <c r="L86" s="17">
        <v>1</v>
      </c>
      <c r="M86" s="17">
        <v>0</v>
      </c>
      <c r="N86" s="17">
        <f t="shared" si="1"/>
        <v>3</v>
      </c>
      <c r="O86" s="17">
        <f t="shared" si="2"/>
        <v>1</v>
      </c>
      <c r="P86" s="3"/>
      <c r="Q86" s="19">
        <f t="shared" si="3"/>
        <v>3500</v>
      </c>
      <c r="R86" s="19">
        <v>0</v>
      </c>
      <c r="S86" s="19">
        <f t="shared" si="4"/>
        <v>0</v>
      </c>
      <c r="T86" s="19">
        <f t="shared" si="5"/>
        <v>0</v>
      </c>
      <c r="U86" s="19">
        <f t="shared" si="6"/>
        <v>0</v>
      </c>
      <c r="V86" s="19">
        <f t="shared" si="7"/>
        <v>0</v>
      </c>
      <c r="W86" s="19">
        <f t="shared" si="8"/>
        <v>3500</v>
      </c>
      <c r="X86" s="20">
        <f t="shared" si="9"/>
        <v>3500</v>
      </c>
      <c r="Y86" s="20">
        <f t="shared" si="10"/>
        <v>0</v>
      </c>
    </row>
    <row r="87" spans="1:25" ht="15.75" hidden="1" customHeight="1">
      <c r="A87" s="14" t="s">
        <v>184</v>
      </c>
      <c r="B87" s="15" t="s">
        <v>185</v>
      </c>
      <c r="C87" s="16">
        <v>1550</v>
      </c>
      <c r="D87" s="16">
        <v>1550</v>
      </c>
      <c r="E87" s="17">
        <v>1</v>
      </c>
      <c r="F87" s="18">
        <v>0</v>
      </c>
      <c r="G87" s="18">
        <v>0</v>
      </c>
      <c r="H87" s="36">
        <v>0</v>
      </c>
      <c r="I87" s="17">
        <v>0</v>
      </c>
      <c r="J87" s="17">
        <f t="shared" si="0"/>
        <v>1</v>
      </c>
      <c r="K87" s="37">
        <v>1</v>
      </c>
      <c r="L87" s="17">
        <v>0</v>
      </c>
      <c r="M87" s="17">
        <v>0</v>
      </c>
      <c r="N87" s="17">
        <f t="shared" si="1"/>
        <v>1</v>
      </c>
      <c r="O87" s="17">
        <f t="shared" si="2"/>
        <v>0</v>
      </c>
      <c r="P87" s="3"/>
      <c r="Q87" s="19">
        <f t="shared" si="3"/>
        <v>1550</v>
      </c>
      <c r="R87" s="19">
        <v>0</v>
      </c>
      <c r="S87" s="19">
        <f t="shared" si="4"/>
        <v>0</v>
      </c>
      <c r="T87" s="19">
        <f t="shared" si="5"/>
        <v>0</v>
      </c>
      <c r="U87" s="19">
        <f t="shared" si="6"/>
        <v>0</v>
      </c>
      <c r="V87" s="19">
        <f t="shared" si="7"/>
        <v>0</v>
      </c>
      <c r="W87" s="19">
        <f t="shared" si="8"/>
        <v>1550</v>
      </c>
      <c r="X87" s="20">
        <f t="shared" si="9"/>
        <v>1550</v>
      </c>
      <c r="Y87" s="20">
        <f t="shared" si="10"/>
        <v>0</v>
      </c>
    </row>
    <row r="88" spans="1:25" ht="15.75" hidden="1" customHeight="1">
      <c r="A88" s="14" t="s">
        <v>186</v>
      </c>
      <c r="B88" s="21" t="s">
        <v>187</v>
      </c>
      <c r="C88" s="16">
        <v>1750</v>
      </c>
      <c r="D88" s="16">
        <v>1750</v>
      </c>
      <c r="E88" s="17">
        <v>1</v>
      </c>
      <c r="F88" s="18">
        <v>0</v>
      </c>
      <c r="G88" s="18">
        <v>0</v>
      </c>
      <c r="H88" s="36">
        <v>0</v>
      </c>
      <c r="I88" s="17">
        <v>0</v>
      </c>
      <c r="J88" s="17">
        <f t="shared" si="0"/>
        <v>1</v>
      </c>
      <c r="K88" s="37">
        <v>0</v>
      </c>
      <c r="L88" s="17">
        <v>3</v>
      </c>
      <c r="M88" s="17">
        <v>0</v>
      </c>
      <c r="N88" s="17">
        <f t="shared" si="1"/>
        <v>3</v>
      </c>
      <c r="O88" s="17">
        <f t="shared" si="2"/>
        <v>2</v>
      </c>
      <c r="P88" s="3"/>
      <c r="Q88" s="19">
        <f t="shared" si="3"/>
        <v>1750</v>
      </c>
      <c r="R88" s="19">
        <v>0</v>
      </c>
      <c r="S88" s="19">
        <f t="shared" si="4"/>
        <v>0</v>
      </c>
      <c r="T88" s="19">
        <f t="shared" si="5"/>
        <v>0</v>
      </c>
      <c r="U88" s="19">
        <f t="shared" si="6"/>
        <v>0</v>
      </c>
      <c r="V88" s="19">
        <f t="shared" si="7"/>
        <v>0</v>
      </c>
      <c r="W88" s="19">
        <f t="shared" si="8"/>
        <v>1750</v>
      </c>
      <c r="X88" s="20">
        <f t="shared" si="9"/>
        <v>1750</v>
      </c>
      <c r="Y88" s="20">
        <f t="shared" si="10"/>
        <v>0</v>
      </c>
    </row>
    <row r="89" spans="1:25" ht="15.75" hidden="1" customHeight="1">
      <c r="A89" s="14" t="s">
        <v>188</v>
      </c>
      <c r="B89" s="15" t="s">
        <v>189</v>
      </c>
      <c r="C89" s="16">
        <v>1750</v>
      </c>
      <c r="D89" s="16">
        <v>1750</v>
      </c>
      <c r="E89" s="17">
        <v>0</v>
      </c>
      <c r="F89" s="18">
        <v>0</v>
      </c>
      <c r="G89" s="18">
        <v>0</v>
      </c>
      <c r="H89" s="36">
        <v>0</v>
      </c>
      <c r="I89" s="17">
        <v>0</v>
      </c>
      <c r="J89" s="17">
        <f t="shared" si="0"/>
        <v>0</v>
      </c>
      <c r="K89" s="37">
        <v>0</v>
      </c>
      <c r="L89" s="17">
        <v>0</v>
      </c>
      <c r="M89" s="17">
        <v>0</v>
      </c>
      <c r="N89" s="17">
        <f t="shared" si="1"/>
        <v>0</v>
      </c>
      <c r="O89" s="17">
        <f t="shared" si="2"/>
        <v>0</v>
      </c>
      <c r="P89" s="3"/>
      <c r="Q89" s="19">
        <f t="shared" si="3"/>
        <v>0</v>
      </c>
      <c r="R89" s="19">
        <v>0</v>
      </c>
      <c r="S89" s="19">
        <f t="shared" si="4"/>
        <v>0</v>
      </c>
      <c r="T89" s="19">
        <f t="shared" si="5"/>
        <v>0</v>
      </c>
      <c r="U89" s="19">
        <f t="shared" si="6"/>
        <v>0</v>
      </c>
      <c r="V89" s="19">
        <f t="shared" si="7"/>
        <v>0</v>
      </c>
      <c r="W89" s="19">
        <f t="shared" si="8"/>
        <v>0</v>
      </c>
      <c r="X89" s="20">
        <f t="shared" si="9"/>
        <v>0</v>
      </c>
      <c r="Y89" s="20">
        <f t="shared" si="10"/>
        <v>0</v>
      </c>
    </row>
    <row r="90" spans="1:25" ht="15.75" hidden="1" customHeight="1">
      <c r="A90" s="14" t="s">
        <v>190</v>
      </c>
      <c r="B90" s="15" t="s">
        <v>191</v>
      </c>
      <c r="C90" s="16">
        <v>1850</v>
      </c>
      <c r="D90" s="16">
        <v>1850</v>
      </c>
      <c r="E90" s="17">
        <v>2</v>
      </c>
      <c r="F90" s="18">
        <v>0</v>
      </c>
      <c r="G90" s="18">
        <v>0</v>
      </c>
      <c r="H90" s="36">
        <v>0</v>
      </c>
      <c r="I90" s="17">
        <v>0</v>
      </c>
      <c r="J90" s="17">
        <f t="shared" si="0"/>
        <v>2</v>
      </c>
      <c r="K90" s="37">
        <v>2</v>
      </c>
      <c r="L90" s="17">
        <v>0</v>
      </c>
      <c r="M90" s="17">
        <v>0</v>
      </c>
      <c r="N90" s="17">
        <f t="shared" si="1"/>
        <v>2</v>
      </c>
      <c r="O90" s="17">
        <f t="shared" si="2"/>
        <v>0</v>
      </c>
      <c r="P90" s="3"/>
      <c r="Q90" s="19">
        <f t="shared" si="3"/>
        <v>3700</v>
      </c>
      <c r="R90" s="19">
        <v>0</v>
      </c>
      <c r="S90" s="19">
        <f t="shared" si="4"/>
        <v>0</v>
      </c>
      <c r="T90" s="19">
        <f t="shared" si="5"/>
        <v>0</v>
      </c>
      <c r="U90" s="19">
        <f t="shared" si="6"/>
        <v>0</v>
      </c>
      <c r="V90" s="19">
        <f t="shared" si="7"/>
        <v>0</v>
      </c>
      <c r="W90" s="19">
        <f t="shared" si="8"/>
        <v>3700</v>
      </c>
      <c r="X90" s="20">
        <f t="shared" si="9"/>
        <v>3700</v>
      </c>
      <c r="Y90" s="20">
        <f t="shared" si="10"/>
        <v>0</v>
      </c>
    </row>
    <row r="91" spans="1:25" ht="15.75" hidden="1" customHeight="1">
      <c r="A91" s="14" t="s">
        <v>192</v>
      </c>
      <c r="B91" s="15" t="s">
        <v>193</v>
      </c>
      <c r="C91" s="16">
        <v>432</v>
      </c>
      <c r="D91" s="16">
        <v>432</v>
      </c>
      <c r="E91" s="17">
        <v>0</v>
      </c>
      <c r="F91" s="18">
        <v>0</v>
      </c>
      <c r="G91" s="18">
        <v>0</v>
      </c>
      <c r="H91" s="36">
        <v>0</v>
      </c>
      <c r="I91" s="17">
        <v>0</v>
      </c>
      <c r="J91" s="17">
        <f t="shared" si="0"/>
        <v>0</v>
      </c>
      <c r="K91" s="37">
        <v>0</v>
      </c>
      <c r="L91" s="17">
        <v>0</v>
      </c>
      <c r="M91" s="17">
        <v>0</v>
      </c>
      <c r="N91" s="17">
        <f t="shared" si="1"/>
        <v>0</v>
      </c>
      <c r="O91" s="17">
        <f t="shared" si="2"/>
        <v>0</v>
      </c>
      <c r="P91" s="3"/>
      <c r="Q91" s="19">
        <f t="shared" si="3"/>
        <v>0</v>
      </c>
      <c r="R91" s="19">
        <v>0</v>
      </c>
      <c r="S91" s="19">
        <f t="shared" si="4"/>
        <v>0</v>
      </c>
      <c r="T91" s="19">
        <f t="shared" si="5"/>
        <v>0</v>
      </c>
      <c r="U91" s="19">
        <f t="shared" si="6"/>
        <v>0</v>
      </c>
      <c r="V91" s="19">
        <f t="shared" si="7"/>
        <v>0</v>
      </c>
      <c r="W91" s="19">
        <f t="shared" si="8"/>
        <v>0</v>
      </c>
      <c r="X91" s="20">
        <f t="shared" si="9"/>
        <v>0</v>
      </c>
      <c r="Y91" s="20">
        <f t="shared" si="10"/>
        <v>0</v>
      </c>
    </row>
    <row r="92" spans="1:25" ht="15.75" hidden="1" customHeight="1">
      <c r="A92" s="14" t="s">
        <v>194</v>
      </c>
      <c r="B92" s="15" t="s">
        <v>195</v>
      </c>
      <c r="C92" s="16">
        <v>2300</v>
      </c>
      <c r="D92" s="16">
        <v>2300</v>
      </c>
      <c r="E92" s="17">
        <v>2</v>
      </c>
      <c r="F92" s="18">
        <v>0</v>
      </c>
      <c r="G92" s="18">
        <v>0</v>
      </c>
      <c r="H92" s="36">
        <v>0</v>
      </c>
      <c r="I92" s="17">
        <v>0</v>
      </c>
      <c r="J92" s="17">
        <f t="shared" si="0"/>
        <v>2</v>
      </c>
      <c r="K92" s="37">
        <v>2</v>
      </c>
      <c r="L92" s="17">
        <v>0</v>
      </c>
      <c r="M92" s="17">
        <v>0</v>
      </c>
      <c r="N92" s="17">
        <f t="shared" si="1"/>
        <v>2</v>
      </c>
      <c r="O92" s="17">
        <f t="shared" si="2"/>
        <v>0</v>
      </c>
      <c r="P92" s="3"/>
      <c r="Q92" s="19">
        <f t="shared" si="3"/>
        <v>4600</v>
      </c>
      <c r="R92" s="19">
        <v>0</v>
      </c>
      <c r="S92" s="19">
        <f t="shared" si="4"/>
        <v>0</v>
      </c>
      <c r="T92" s="19">
        <f t="shared" si="5"/>
        <v>0</v>
      </c>
      <c r="U92" s="19">
        <f t="shared" si="6"/>
        <v>0</v>
      </c>
      <c r="V92" s="19">
        <f t="shared" si="7"/>
        <v>0</v>
      </c>
      <c r="W92" s="19">
        <f t="shared" si="8"/>
        <v>4600</v>
      </c>
      <c r="X92" s="20">
        <f t="shared" si="9"/>
        <v>4600</v>
      </c>
      <c r="Y92" s="20">
        <f t="shared" si="10"/>
        <v>0</v>
      </c>
    </row>
    <row r="93" spans="1:25" ht="15.75" hidden="1" customHeight="1">
      <c r="A93" s="14" t="s">
        <v>196</v>
      </c>
      <c r="B93" s="15" t="s">
        <v>197</v>
      </c>
      <c r="C93" s="16">
        <v>1200</v>
      </c>
      <c r="D93" s="16">
        <v>1200</v>
      </c>
      <c r="E93" s="17">
        <v>1</v>
      </c>
      <c r="F93" s="18">
        <v>0</v>
      </c>
      <c r="G93" s="18">
        <v>0</v>
      </c>
      <c r="H93" s="36">
        <v>0</v>
      </c>
      <c r="I93" s="17">
        <v>0</v>
      </c>
      <c r="J93" s="17">
        <f t="shared" si="0"/>
        <v>1</v>
      </c>
      <c r="K93" s="37">
        <v>1</v>
      </c>
      <c r="L93" s="17">
        <v>0</v>
      </c>
      <c r="M93" s="17">
        <v>0</v>
      </c>
      <c r="N93" s="17">
        <f t="shared" si="1"/>
        <v>1</v>
      </c>
      <c r="O93" s="17">
        <f t="shared" si="2"/>
        <v>0</v>
      </c>
      <c r="P93" s="3"/>
      <c r="Q93" s="19">
        <f t="shared" si="3"/>
        <v>1200</v>
      </c>
      <c r="R93" s="19">
        <v>0</v>
      </c>
      <c r="S93" s="19">
        <f t="shared" si="4"/>
        <v>0</v>
      </c>
      <c r="T93" s="19">
        <f t="shared" si="5"/>
        <v>0</v>
      </c>
      <c r="U93" s="19">
        <f t="shared" si="6"/>
        <v>0</v>
      </c>
      <c r="V93" s="19">
        <f t="shared" si="7"/>
        <v>0</v>
      </c>
      <c r="W93" s="19">
        <f t="shared" si="8"/>
        <v>1200</v>
      </c>
      <c r="X93" s="20">
        <f t="shared" si="9"/>
        <v>1200</v>
      </c>
      <c r="Y93" s="20">
        <f t="shared" si="10"/>
        <v>0</v>
      </c>
    </row>
    <row r="94" spans="1:25" ht="15.75" hidden="1" customHeight="1">
      <c r="A94" s="14" t="s">
        <v>198</v>
      </c>
      <c r="B94" s="15" t="s">
        <v>199</v>
      </c>
      <c r="C94" s="16">
        <v>4600</v>
      </c>
      <c r="D94" s="16">
        <v>4600</v>
      </c>
      <c r="E94" s="17">
        <v>7</v>
      </c>
      <c r="F94" s="18">
        <v>0</v>
      </c>
      <c r="G94" s="18">
        <v>0</v>
      </c>
      <c r="H94" s="36">
        <v>0</v>
      </c>
      <c r="I94" s="17">
        <v>0</v>
      </c>
      <c r="J94" s="17">
        <f t="shared" si="0"/>
        <v>7</v>
      </c>
      <c r="K94" s="37">
        <v>7</v>
      </c>
      <c r="L94" s="17">
        <v>0</v>
      </c>
      <c r="M94" s="17">
        <v>0</v>
      </c>
      <c r="N94" s="17">
        <f t="shared" si="1"/>
        <v>7</v>
      </c>
      <c r="O94" s="17">
        <f t="shared" si="2"/>
        <v>0</v>
      </c>
      <c r="P94" s="3"/>
      <c r="Q94" s="19">
        <f t="shared" si="3"/>
        <v>32200</v>
      </c>
      <c r="R94" s="19">
        <v>0</v>
      </c>
      <c r="S94" s="19">
        <f t="shared" si="4"/>
        <v>0</v>
      </c>
      <c r="T94" s="19">
        <f t="shared" si="5"/>
        <v>0</v>
      </c>
      <c r="U94" s="19">
        <f t="shared" si="6"/>
        <v>0</v>
      </c>
      <c r="V94" s="19">
        <f t="shared" si="7"/>
        <v>0</v>
      </c>
      <c r="W94" s="19">
        <f t="shared" si="8"/>
        <v>32200</v>
      </c>
      <c r="X94" s="20">
        <f t="shared" si="9"/>
        <v>32200</v>
      </c>
      <c r="Y94" s="20">
        <f t="shared" si="10"/>
        <v>0</v>
      </c>
    </row>
    <row r="95" spans="1:25" ht="15.75" hidden="1" customHeight="1">
      <c r="A95" s="14" t="s">
        <v>200</v>
      </c>
      <c r="B95" s="15" t="s">
        <v>201</v>
      </c>
      <c r="C95" s="16">
        <v>820</v>
      </c>
      <c r="D95" s="16">
        <v>820</v>
      </c>
      <c r="E95" s="17">
        <v>2</v>
      </c>
      <c r="F95" s="18">
        <v>0</v>
      </c>
      <c r="G95" s="18">
        <v>0</v>
      </c>
      <c r="H95" s="36">
        <v>0</v>
      </c>
      <c r="I95" s="17">
        <v>0</v>
      </c>
      <c r="J95" s="17">
        <f t="shared" si="0"/>
        <v>2</v>
      </c>
      <c r="K95" s="37">
        <v>2</v>
      </c>
      <c r="L95" s="17">
        <v>0</v>
      </c>
      <c r="M95" s="17">
        <v>0</v>
      </c>
      <c r="N95" s="17">
        <f t="shared" si="1"/>
        <v>2</v>
      </c>
      <c r="O95" s="17">
        <f t="shared" si="2"/>
        <v>0</v>
      </c>
      <c r="P95" s="3"/>
      <c r="Q95" s="19">
        <f t="shared" si="3"/>
        <v>1640</v>
      </c>
      <c r="R95" s="19">
        <v>0</v>
      </c>
      <c r="S95" s="19">
        <f t="shared" si="4"/>
        <v>0</v>
      </c>
      <c r="T95" s="19">
        <f t="shared" si="5"/>
        <v>0</v>
      </c>
      <c r="U95" s="19">
        <f t="shared" si="6"/>
        <v>0</v>
      </c>
      <c r="V95" s="19">
        <f t="shared" si="7"/>
        <v>0</v>
      </c>
      <c r="W95" s="19">
        <f t="shared" si="8"/>
        <v>1640</v>
      </c>
      <c r="X95" s="20">
        <f t="shared" si="9"/>
        <v>1640</v>
      </c>
      <c r="Y95" s="20">
        <f t="shared" si="10"/>
        <v>0</v>
      </c>
    </row>
    <row r="96" spans="1:25" ht="15.75" hidden="1" customHeight="1">
      <c r="A96" s="14" t="s">
        <v>202</v>
      </c>
      <c r="B96" s="15" t="s">
        <v>203</v>
      </c>
      <c r="C96" s="16">
        <v>5735</v>
      </c>
      <c r="D96" s="16">
        <v>5735</v>
      </c>
      <c r="E96" s="17">
        <v>1</v>
      </c>
      <c r="F96" s="18">
        <v>0</v>
      </c>
      <c r="G96" s="18">
        <v>0</v>
      </c>
      <c r="H96" s="36">
        <v>0</v>
      </c>
      <c r="I96" s="17">
        <v>0</v>
      </c>
      <c r="J96" s="17">
        <f t="shared" si="0"/>
        <v>1</v>
      </c>
      <c r="K96" s="37">
        <v>1</v>
      </c>
      <c r="L96" s="17">
        <v>0</v>
      </c>
      <c r="M96" s="17">
        <v>0</v>
      </c>
      <c r="N96" s="17">
        <f t="shared" si="1"/>
        <v>1</v>
      </c>
      <c r="O96" s="17">
        <f t="shared" si="2"/>
        <v>0</v>
      </c>
      <c r="P96" s="3"/>
      <c r="Q96" s="19">
        <f t="shared" si="3"/>
        <v>5735</v>
      </c>
      <c r="R96" s="19">
        <v>0</v>
      </c>
      <c r="S96" s="19">
        <f t="shared" si="4"/>
        <v>0</v>
      </c>
      <c r="T96" s="19">
        <f t="shared" si="5"/>
        <v>0</v>
      </c>
      <c r="U96" s="19">
        <f t="shared" si="6"/>
        <v>0</v>
      </c>
      <c r="V96" s="19">
        <f t="shared" si="7"/>
        <v>0</v>
      </c>
      <c r="W96" s="19">
        <f t="shared" si="8"/>
        <v>5735</v>
      </c>
      <c r="X96" s="20">
        <f t="shared" si="9"/>
        <v>5735</v>
      </c>
      <c r="Y96" s="20">
        <f t="shared" si="10"/>
        <v>0</v>
      </c>
    </row>
    <row r="97" spans="1:25" ht="15.75" hidden="1" customHeight="1">
      <c r="A97" s="14" t="s">
        <v>204</v>
      </c>
      <c r="B97" s="15" t="s">
        <v>205</v>
      </c>
      <c r="C97" s="16">
        <v>150.36000000000001</v>
      </c>
      <c r="D97" s="16">
        <v>150.36000000000001</v>
      </c>
      <c r="E97" s="17">
        <v>2</v>
      </c>
      <c r="F97" s="18">
        <v>0</v>
      </c>
      <c r="G97" s="18">
        <v>0</v>
      </c>
      <c r="H97" s="36">
        <v>0</v>
      </c>
      <c r="I97" s="17">
        <v>0</v>
      </c>
      <c r="J97" s="17">
        <f t="shared" si="0"/>
        <v>2</v>
      </c>
      <c r="K97" s="37">
        <v>2</v>
      </c>
      <c r="L97" s="17">
        <v>0</v>
      </c>
      <c r="M97" s="17">
        <v>0</v>
      </c>
      <c r="N97" s="17">
        <f t="shared" si="1"/>
        <v>2</v>
      </c>
      <c r="O97" s="17">
        <f t="shared" si="2"/>
        <v>0</v>
      </c>
      <c r="P97" s="3"/>
      <c r="Q97" s="19">
        <f t="shared" si="3"/>
        <v>300.72000000000003</v>
      </c>
      <c r="R97" s="19">
        <v>0</v>
      </c>
      <c r="S97" s="19">
        <f t="shared" si="4"/>
        <v>0</v>
      </c>
      <c r="T97" s="19">
        <f t="shared" si="5"/>
        <v>0</v>
      </c>
      <c r="U97" s="19">
        <f t="shared" si="6"/>
        <v>0</v>
      </c>
      <c r="V97" s="19">
        <f t="shared" si="7"/>
        <v>0</v>
      </c>
      <c r="W97" s="19">
        <f t="shared" si="8"/>
        <v>300.72000000000003</v>
      </c>
      <c r="X97" s="20">
        <f t="shared" si="9"/>
        <v>300.72000000000003</v>
      </c>
      <c r="Y97" s="20">
        <f t="shared" si="10"/>
        <v>0</v>
      </c>
    </row>
    <row r="98" spans="1:25" ht="15.75" hidden="1" customHeight="1">
      <c r="A98" s="14" t="s">
        <v>206</v>
      </c>
      <c r="B98" s="15" t="s">
        <v>207</v>
      </c>
      <c r="C98" s="16">
        <v>680</v>
      </c>
      <c r="D98" s="16">
        <v>680</v>
      </c>
      <c r="E98" s="17">
        <v>2</v>
      </c>
      <c r="F98" s="18">
        <v>0</v>
      </c>
      <c r="G98" s="18">
        <v>0</v>
      </c>
      <c r="H98" s="36">
        <v>0</v>
      </c>
      <c r="I98" s="17">
        <v>0</v>
      </c>
      <c r="J98" s="17">
        <f t="shared" si="0"/>
        <v>2</v>
      </c>
      <c r="K98" s="37">
        <v>2</v>
      </c>
      <c r="L98" s="17">
        <v>0</v>
      </c>
      <c r="M98" s="17">
        <v>0</v>
      </c>
      <c r="N98" s="17">
        <f t="shared" si="1"/>
        <v>2</v>
      </c>
      <c r="O98" s="17">
        <f t="shared" si="2"/>
        <v>0</v>
      </c>
      <c r="P98" s="3"/>
      <c r="Q98" s="19">
        <f t="shared" si="3"/>
        <v>1360</v>
      </c>
      <c r="R98" s="19">
        <v>0</v>
      </c>
      <c r="S98" s="19">
        <f t="shared" si="4"/>
        <v>0</v>
      </c>
      <c r="T98" s="19">
        <f t="shared" si="5"/>
        <v>0</v>
      </c>
      <c r="U98" s="19">
        <f t="shared" si="6"/>
        <v>0</v>
      </c>
      <c r="V98" s="19">
        <f t="shared" si="7"/>
        <v>0</v>
      </c>
      <c r="W98" s="19">
        <f t="shared" si="8"/>
        <v>1360</v>
      </c>
      <c r="X98" s="20">
        <f t="shared" si="9"/>
        <v>1360</v>
      </c>
      <c r="Y98" s="20">
        <f t="shared" si="10"/>
        <v>0</v>
      </c>
    </row>
    <row r="99" spans="1:25" ht="15.75" hidden="1" customHeight="1">
      <c r="A99" s="14" t="s">
        <v>208</v>
      </c>
      <c r="B99" s="15" t="s">
        <v>209</v>
      </c>
      <c r="C99" s="16">
        <v>374.22</v>
      </c>
      <c r="D99" s="16">
        <v>374.22</v>
      </c>
      <c r="E99" s="17">
        <v>3</v>
      </c>
      <c r="F99" s="18">
        <v>0</v>
      </c>
      <c r="G99" s="18">
        <v>0</v>
      </c>
      <c r="H99" s="36">
        <v>0</v>
      </c>
      <c r="I99" s="17">
        <v>0</v>
      </c>
      <c r="J99" s="17">
        <f t="shared" si="0"/>
        <v>3</v>
      </c>
      <c r="K99" s="37">
        <v>3</v>
      </c>
      <c r="L99" s="17">
        <v>0</v>
      </c>
      <c r="M99" s="17">
        <v>0</v>
      </c>
      <c r="N99" s="17">
        <f t="shared" si="1"/>
        <v>3</v>
      </c>
      <c r="O99" s="17">
        <f t="shared" si="2"/>
        <v>0</v>
      </c>
      <c r="P99" s="3"/>
      <c r="Q99" s="19">
        <f t="shared" si="3"/>
        <v>1122.6600000000001</v>
      </c>
      <c r="R99" s="19">
        <v>0</v>
      </c>
      <c r="S99" s="19">
        <f t="shared" si="4"/>
        <v>0</v>
      </c>
      <c r="T99" s="19">
        <f t="shared" si="5"/>
        <v>0</v>
      </c>
      <c r="U99" s="19">
        <f t="shared" si="6"/>
        <v>0</v>
      </c>
      <c r="V99" s="19">
        <f t="shared" si="7"/>
        <v>0</v>
      </c>
      <c r="W99" s="19">
        <f t="shared" si="8"/>
        <v>1122.6600000000001</v>
      </c>
      <c r="X99" s="20">
        <f t="shared" si="9"/>
        <v>1122.6600000000001</v>
      </c>
      <c r="Y99" s="20">
        <f t="shared" si="10"/>
        <v>0</v>
      </c>
    </row>
    <row r="100" spans="1:25" ht="15.75" hidden="1" customHeight="1">
      <c r="A100" s="14" t="s">
        <v>210</v>
      </c>
      <c r="B100" s="15" t="s">
        <v>211</v>
      </c>
      <c r="C100" s="16">
        <v>1020</v>
      </c>
      <c r="D100" s="16">
        <v>1020</v>
      </c>
      <c r="E100" s="17">
        <v>1</v>
      </c>
      <c r="F100" s="18">
        <v>0</v>
      </c>
      <c r="G100" s="18">
        <v>0</v>
      </c>
      <c r="H100" s="36">
        <v>0</v>
      </c>
      <c r="I100" s="17">
        <v>0</v>
      </c>
      <c r="J100" s="17">
        <f t="shared" si="0"/>
        <v>1</v>
      </c>
      <c r="K100" s="37">
        <v>1</v>
      </c>
      <c r="L100" s="17">
        <v>0</v>
      </c>
      <c r="M100" s="17">
        <v>0</v>
      </c>
      <c r="N100" s="17">
        <f t="shared" si="1"/>
        <v>1</v>
      </c>
      <c r="O100" s="17">
        <f t="shared" si="2"/>
        <v>0</v>
      </c>
      <c r="P100" s="3"/>
      <c r="Q100" s="19">
        <f t="shared" si="3"/>
        <v>1020</v>
      </c>
      <c r="R100" s="19">
        <v>0</v>
      </c>
      <c r="S100" s="19">
        <f t="shared" si="4"/>
        <v>0</v>
      </c>
      <c r="T100" s="19">
        <f t="shared" si="5"/>
        <v>0</v>
      </c>
      <c r="U100" s="19">
        <f t="shared" si="6"/>
        <v>0</v>
      </c>
      <c r="V100" s="19">
        <f t="shared" si="7"/>
        <v>0</v>
      </c>
      <c r="W100" s="19">
        <f t="shared" si="8"/>
        <v>1020</v>
      </c>
      <c r="X100" s="20">
        <f t="shared" si="9"/>
        <v>1020</v>
      </c>
      <c r="Y100" s="20">
        <f t="shared" si="10"/>
        <v>0</v>
      </c>
    </row>
    <row r="101" spans="1:25" ht="15.75" hidden="1" customHeight="1">
      <c r="A101" s="14" t="s">
        <v>212</v>
      </c>
      <c r="B101" s="15" t="s">
        <v>213</v>
      </c>
      <c r="C101" s="16">
        <v>360</v>
      </c>
      <c r="D101" s="16">
        <v>360</v>
      </c>
      <c r="E101" s="17">
        <v>3</v>
      </c>
      <c r="F101" s="18">
        <v>0</v>
      </c>
      <c r="G101" s="18">
        <v>0</v>
      </c>
      <c r="H101" s="36">
        <v>0</v>
      </c>
      <c r="I101" s="17">
        <v>0</v>
      </c>
      <c r="J101" s="17">
        <f t="shared" si="0"/>
        <v>3</v>
      </c>
      <c r="K101" s="37">
        <v>3</v>
      </c>
      <c r="L101" s="17">
        <v>0</v>
      </c>
      <c r="M101" s="17">
        <v>0</v>
      </c>
      <c r="N101" s="17">
        <f t="shared" si="1"/>
        <v>3</v>
      </c>
      <c r="O101" s="17">
        <f t="shared" si="2"/>
        <v>0</v>
      </c>
      <c r="P101" s="3"/>
      <c r="Q101" s="19">
        <f t="shared" si="3"/>
        <v>1080</v>
      </c>
      <c r="R101" s="19">
        <v>0</v>
      </c>
      <c r="S101" s="19">
        <f t="shared" si="4"/>
        <v>0</v>
      </c>
      <c r="T101" s="19">
        <f t="shared" si="5"/>
        <v>0</v>
      </c>
      <c r="U101" s="19">
        <f t="shared" si="6"/>
        <v>0</v>
      </c>
      <c r="V101" s="19">
        <f t="shared" si="7"/>
        <v>0</v>
      </c>
      <c r="W101" s="19">
        <f t="shared" si="8"/>
        <v>1080</v>
      </c>
      <c r="X101" s="20">
        <f t="shared" si="9"/>
        <v>1080</v>
      </c>
      <c r="Y101" s="20">
        <f t="shared" si="10"/>
        <v>0</v>
      </c>
    </row>
    <row r="102" spans="1:25" ht="15.75" hidden="1" customHeight="1">
      <c r="A102" s="14" t="s">
        <v>214</v>
      </c>
      <c r="B102" s="15" t="s">
        <v>215</v>
      </c>
      <c r="C102" s="16">
        <v>1100</v>
      </c>
      <c r="D102" s="16">
        <v>1100</v>
      </c>
      <c r="E102" s="17">
        <v>1</v>
      </c>
      <c r="F102" s="18">
        <v>0</v>
      </c>
      <c r="G102" s="18">
        <v>0</v>
      </c>
      <c r="H102" s="36">
        <v>0</v>
      </c>
      <c r="I102" s="17">
        <v>0</v>
      </c>
      <c r="J102" s="17">
        <f t="shared" si="0"/>
        <v>1</v>
      </c>
      <c r="K102" s="37">
        <v>1</v>
      </c>
      <c r="L102" s="17">
        <v>0</v>
      </c>
      <c r="M102" s="17">
        <v>0</v>
      </c>
      <c r="N102" s="17">
        <f t="shared" si="1"/>
        <v>1</v>
      </c>
      <c r="O102" s="17">
        <f t="shared" si="2"/>
        <v>0</v>
      </c>
      <c r="P102" s="3"/>
      <c r="Q102" s="19">
        <f t="shared" si="3"/>
        <v>1100</v>
      </c>
      <c r="R102" s="19">
        <v>0</v>
      </c>
      <c r="S102" s="19">
        <f t="shared" si="4"/>
        <v>0</v>
      </c>
      <c r="T102" s="19">
        <f t="shared" si="5"/>
        <v>0</v>
      </c>
      <c r="U102" s="19">
        <f t="shared" si="6"/>
        <v>0</v>
      </c>
      <c r="V102" s="19">
        <f t="shared" si="7"/>
        <v>0</v>
      </c>
      <c r="W102" s="19">
        <f t="shared" si="8"/>
        <v>1100</v>
      </c>
      <c r="X102" s="20">
        <f t="shared" si="9"/>
        <v>1100</v>
      </c>
      <c r="Y102" s="20">
        <f t="shared" si="10"/>
        <v>0</v>
      </c>
    </row>
    <row r="103" spans="1:25" ht="15.75" hidden="1" customHeight="1">
      <c r="A103" s="14" t="s">
        <v>216</v>
      </c>
      <c r="B103" s="15" t="s">
        <v>217</v>
      </c>
      <c r="C103" s="16">
        <v>498.85</v>
      </c>
      <c r="D103" s="16">
        <v>498.85</v>
      </c>
      <c r="E103" s="17">
        <v>0</v>
      </c>
      <c r="F103" s="18">
        <v>0</v>
      </c>
      <c r="G103" s="18">
        <v>0</v>
      </c>
      <c r="H103" s="36">
        <v>0</v>
      </c>
      <c r="I103" s="17">
        <v>0</v>
      </c>
      <c r="J103" s="17">
        <f t="shared" si="0"/>
        <v>0</v>
      </c>
      <c r="K103" s="37">
        <v>0</v>
      </c>
      <c r="L103" s="17">
        <v>0</v>
      </c>
      <c r="M103" s="17">
        <v>0</v>
      </c>
      <c r="N103" s="17">
        <f t="shared" si="1"/>
        <v>0</v>
      </c>
      <c r="O103" s="17">
        <f t="shared" si="2"/>
        <v>0</v>
      </c>
      <c r="P103" s="3"/>
      <c r="Q103" s="19">
        <f t="shared" si="3"/>
        <v>0</v>
      </c>
      <c r="R103" s="19">
        <v>0</v>
      </c>
      <c r="S103" s="19">
        <f t="shared" si="4"/>
        <v>0</v>
      </c>
      <c r="T103" s="19">
        <f t="shared" si="5"/>
        <v>0</v>
      </c>
      <c r="U103" s="19">
        <f t="shared" si="6"/>
        <v>0</v>
      </c>
      <c r="V103" s="19">
        <f t="shared" si="7"/>
        <v>0</v>
      </c>
      <c r="W103" s="19">
        <f t="shared" si="8"/>
        <v>0</v>
      </c>
      <c r="X103" s="20">
        <f t="shared" si="9"/>
        <v>0</v>
      </c>
      <c r="Y103" s="20">
        <f t="shared" si="10"/>
        <v>0</v>
      </c>
    </row>
    <row r="104" spans="1:25" ht="15.75" hidden="1" customHeight="1">
      <c r="A104" s="14" t="s">
        <v>218</v>
      </c>
      <c r="B104" s="15" t="s">
        <v>219</v>
      </c>
      <c r="C104" s="16">
        <v>480.5</v>
      </c>
      <c r="D104" s="16">
        <v>480.5</v>
      </c>
      <c r="E104" s="17">
        <v>1</v>
      </c>
      <c r="F104" s="18">
        <v>0</v>
      </c>
      <c r="G104" s="18">
        <v>0</v>
      </c>
      <c r="H104" s="36">
        <v>0</v>
      </c>
      <c r="I104" s="17">
        <v>0</v>
      </c>
      <c r="J104" s="17">
        <f t="shared" si="0"/>
        <v>1</v>
      </c>
      <c r="K104" s="37">
        <v>1</v>
      </c>
      <c r="L104" s="17">
        <v>0</v>
      </c>
      <c r="M104" s="17">
        <v>0</v>
      </c>
      <c r="N104" s="17">
        <f t="shared" si="1"/>
        <v>1</v>
      </c>
      <c r="O104" s="17">
        <f t="shared" si="2"/>
        <v>0</v>
      </c>
      <c r="P104" s="3"/>
      <c r="Q104" s="19">
        <f t="shared" si="3"/>
        <v>480.5</v>
      </c>
      <c r="R104" s="19">
        <v>0</v>
      </c>
      <c r="S104" s="19">
        <f t="shared" si="4"/>
        <v>0</v>
      </c>
      <c r="T104" s="19">
        <f t="shared" si="5"/>
        <v>0</v>
      </c>
      <c r="U104" s="19">
        <f t="shared" si="6"/>
        <v>0</v>
      </c>
      <c r="V104" s="19">
        <f t="shared" si="7"/>
        <v>0</v>
      </c>
      <c r="W104" s="19">
        <f t="shared" si="8"/>
        <v>480.5</v>
      </c>
      <c r="X104" s="20">
        <f t="shared" si="9"/>
        <v>480.5</v>
      </c>
      <c r="Y104" s="20">
        <f t="shared" si="10"/>
        <v>0</v>
      </c>
    </row>
    <row r="105" spans="1:25" ht="15.75" hidden="1" customHeight="1">
      <c r="A105" s="14" t="s">
        <v>220</v>
      </c>
      <c r="B105" s="15" t="s">
        <v>221</v>
      </c>
      <c r="C105" s="16">
        <v>670</v>
      </c>
      <c r="D105" s="16">
        <v>670</v>
      </c>
      <c r="E105" s="17">
        <v>1</v>
      </c>
      <c r="F105" s="18">
        <v>0</v>
      </c>
      <c r="G105" s="18">
        <v>0</v>
      </c>
      <c r="H105" s="36">
        <v>0</v>
      </c>
      <c r="I105" s="17">
        <v>0</v>
      </c>
      <c r="J105" s="17">
        <f t="shared" si="0"/>
        <v>1</v>
      </c>
      <c r="K105" s="37">
        <v>0</v>
      </c>
      <c r="L105" s="17">
        <v>0</v>
      </c>
      <c r="M105" s="17">
        <v>1</v>
      </c>
      <c r="N105" s="17">
        <f t="shared" si="1"/>
        <v>1</v>
      </c>
      <c r="O105" s="17">
        <f t="shared" si="2"/>
        <v>0</v>
      </c>
      <c r="P105" s="3"/>
      <c r="Q105" s="19">
        <f t="shared" si="3"/>
        <v>670</v>
      </c>
      <c r="R105" s="19">
        <v>0</v>
      </c>
      <c r="S105" s="19">
        <f t="shared" si="4"/>
        <v>0</v>
      </c>
      <c r="T105" s="19">
        <f t="shared" si="5"/>
        <v>0</v>
      </c>
      <c r="U105" s="19">
        <f t="shared" si="6"/>
        <v>0</v>
      </c>
      <c r="V105" s="19">
        <f t="shared" si="7"/>
        <v>0</v>
      </c>
      <c r="W105" s="19">
        <f t="shared" si="8"/>
        <v>670</v>
      </c>
      <c r="X105" s="20">
        <f t="shared" si="9"/>
        <v>670</v>
      </c>
      <c r="Y105" s="20">
        <f t="shared" si="10"/>
        <v>0</v>
      </c>
    </row>
    <row r="106" spans="1:25" ht="15.75" hidden="1" customHeight="1">
      <c r="A106" s="14" t="s">
        <v>222</v>
      </c>
      <c r="B106" s="15" t="s">
        <v>223</v>
      </c>
      <c r="C106" s="16">
        <v>775</v>
      </c>
      <c r="D106" s="16">
        <v>775</v>
      </c>
      <c r="E106" s="17">
        <v>2</v>
      </c>
      <c r="F106" s="18">
        <v>0</v>
      </c>
      <c r="G106" s="18">
        <v>0</v>
      </c>
      <c r="H106" s="36">
        <v>0</v>
      </c>
      <c r="I106" s="17">
        <v>0</v>
      </c>
      <c r="J106" s="17">
        <f t="shared" si="0"/>
        <v>2</v>
      </c>
      <c r="K106" s="37">
        <v>2</v>
      </c>
      <c r="L106" s="17">
        <v>0</v>
      </c>
      <c r="M106" s="17">
        <v>0</v>
      </c>
      <c r="N106" s="17">
        <f t="shared" si="1"/>
        <v>2</v>
      </c>
      <c r="O106" s="17">
        <f t="shared" si="2"/>
        <v>0</v>
      </c>
      <c r="P106" s="3"/>
      <c r="Q106" s="19">
        <f t="shared" si="3"/>
        <v>1550</v>
      </c>
      <c r="R106" s="19">
        <v>0</v>
      </c>
      <c r="S106" s="19">
        <f t="shared" si="4"/>
        <v>0</v>
      </c>
      <c r="T106" s="19">
        <f t="shared" si="5"/>
        <v>0</v>
      </c>
      <c r="U106" s="19">
        <f t="shared" si="6"/>
        <v>0</v>
      </c>
      <c r="V106" s="19">
        <f t="shared" si="7"/>
        <v>0</v>
      </c>
      <c r="W106" s="19">
        <f t="shared" si="8"/>
        <v>1550</v>
      </c>
      <c r="X106" s="20">
        <f t="shared" si="9"/>
        <v>1550</v>
      </c>
      <c r="Y106" s="20">
        <f t="shared" si="10"/>
        <v>0</v>
      </c>
    </row>
    <row r="107" spans="1:25" ht="15.75" hidden="1" customHeight="1">
      <c r="A107" s="14" t="s">
        <v>224</v>
      </c>
      <c r="B107" s="15" t="s">
        <v>225</v>
      </c>
      <c r="C107" s="16">
        <v>1320</v>
      </c>
      <c r="D107" s="16">
        <v>1320</v>
      </c>
      <c r="E107" s="17">
        <v>1</v>
      </c>
      <c r="F107" s="18">
        <v>0</v>
      </c>
      <c r="G107" s="18">
        <v>0</v>
      </c>
      <c r="H107" s="36">
        <v>0</v>
      </c>
      <c r="I107" s="17">
        <v>0</v>
      </c>
      <c r="J107" s="17">
        <f t="shared" si="0"/>
        <v>1</v>
      </c>
      <c r="K107" s="37">
        <v>1</v>
      </c>
      <c r="L107" s="17">
        <v>0</v>
      </c>
      <c r="M107" s="17">
        <v>0</v>
      </c>
      <c r="N107" s="17">
        <f t="shared" si="1"/>
        <v>1</v>
      </c>
      <c r="O107" s="17">
        <f t="shared" si="2"/>
        <v>0</v>
      </c>
      <c r="P107" s="3"/>
      <c r="Q107" s="19">
        <f t="shared" si="3"/>
        <v>1320</v>
      </c>
      <c r="R107" s="19">
        <v>0</v>
      </c>
      <c r="S107" s="19">
        <f t="shared" si="4"/>
        <v>0</v>
      </c>
      <c r="T107" s="19">
        <f t="shared" si="5"/>
        <v>0</v>
      </c>
      <c r="U107" s="19">
        <f t="shared" si="6"/>
        <v>0</v>
      </c>
      <c r="V107" s="19">
        <f t="shared" si="7"/>
        <v>0</v>
      </c>
      <c r="W107" s="19">
        <f t="shared" si="8"/>
        <v>1320</v>
      </c>
      <c r="X107" s="20">
        <f t="shared" si="9"/>
        <v>1320</v>
      </c>
      <c r="Y107" s="20">
        <f t="shared" si="10"/>
        <v>0</v>
      </c>
    </row>
    <row r="108" spans="1:25" ht="15.75" hidden="1" customHeight="1">
      <c r="A108" s="14" t="s">
        <v>226</v>
      </c>
      <c r="B108" s="15" t="s">
        <v>227</v>
      </c>
      <c r="C108" s="16">
        <v>2400</v>
      </c>
      <c r="D108" s="16">
        <v>2400</v>
      </c>
      <c r="E108" s="17">
        <v>3</v>
      </c>
      <c r="F108" s="18">
        <v>0</v>
      </c>
      <c r="G108" s="18">
        <v>0</v>
      </c>
      <c r="H108" s="36">
        <v>0</v>
      </c>
      <c r="I108" s="17">
        <v>0</v>
      </c>
      <c r="J108" s="17">
        <f t="shared" si="0"/>
        <v>3</v>
      </c>
      <c r="K108" s="37">
        <v>3</v>
      </c>
      <c r="L108" s="17">
        <v>0</v>
      </c>
      <c r="M108" s="17">
        <v>0</v>
      </c>
      <c r="N108" s="17">
        <f t="shared" si="1"/>
        <v>3</v>
      </c>
      <c r="O108" s="17">
        <f t="shared" si="2"/>
        <v>0</v>
      </c>
      <c r="P108" s="3"/>
      <c r="Q108" s="19">
        <f t="shared" si="3"/>
        <v>7200</v>
      </c>
      <c r="R108" s="19">
        <v>0</v>
      </c>
      <c r="S108" s="19">
        <f t="shared" si="4"/>
        <v>0</v>
      </c>
      <c r="T108" s="19">
        <f t="shared" si="5"/>
        <v>0</v>
      </c>
      <c r="U108" s="19">
        <f t="shared" si="6"/>
        <v>0</v>
      </c>
      <c r="V108" s="19">
        <f t="shared" si="7"/>
        <v>0</v>
      </c>
      <c r="W108" s="19">
        <f t="shared" si="8"/>
        <v>7200</v>
      </c>
      <c r="X108" s="20">
        <f t="shared" si="9"/>
        <v>7200</v>
      </c>
      <c r="Y108" s="20">
        <f t="shared" si="10"/>
        <v>0</v>
      </c>
    </row>
    <row r="109" spans="1:25" ht="15.75" hidden="1" customHeight="1">
      <c r="A109" s="14" t="s">
        <v>228</v>
      </c>
      <c r="B109" s="15" t="s">
        <v>229</v>
      </c>
      <c r="C109" s="16">
        <v>5200</v>
      </c>
      <c r="D109" s="16">
        <v>5200</v>
      </c>
      <c r="E109" s="17">
        <v>1</v>
      </c>
      <c r="F109" s="18">
        <v>0</v>
      </c>
      <c r="G109" s="18">
        <v>0</v>
      </c>
      <c r="H109" s="36">
        <v>0</v>
      </c>
      <c r="I109" s="17">
        <v>0</v>
      </c>
      <c r="J109" s="17">
        <f t="shared" si="0"/>
        <v>1</v>
      </c>
      <c r="K109" s="37">
        <v>1</v>
      </c>
      <c r="L109" s="17">
        <v>0</v>
      </c>
      <c r="M109" s="17">
        <v>0</v>
      </c>
      <c r="N109" s="17">
        <f t="shared" si="1"/>
        <v>1</v>
      </c>
      <c r="O109" s="17">
        <f t="shared" si="2"/>
        <v>0</v>
      </c>
      <c r="P109" s="3"/>
      <c r="Q109" s="19">
        <f t="shared" si="3"/>
        <v>5200</v>
      </c>
      <c r="R109" s="19">
        <v>0</v>
      </c>
      <c r="S109" s="19">
        <f t="shared" si="4"/>
        <v>0</v>
      </c>
      <c r="T109" s="19">
        <f t="shared" si="5"/>
        <v>0</v>
      </c>
      <c r="U109" s="19">
        <f t="shared" si="6"/>
        <v>0</v>
      </c>
      <c r="V109" s="19">
        <f t="shared" si="7"/>
        <v>0</v>
      </c>
      <c r="W109" s="19">
        <f t="shared" si="8"/>
        <v>5200</v>
      </c>
      <c r="X109" s="20">
        <f t="shared" si="9"/>
        <v>5200</v>
      </c>
      <c r="Y109" s="20">
        <f t="shared" si="10"/>
        <v>0</v>
      </c>
    </row>
    <row r="110" spans="1:25" ht="15.75" hidden="1" customHeight="1">
      <c r="A110" s="14" t="s">
        <v>230</v>
      </c>
      <c r="B110" s="15" t="s">
        <v>231</v>
      </c>
      <c r="C110" s="16">
        <v>290</v>
      </c>
      <c r="D110" s="16">
        <v>290</v>
      </c>
      <c r="E110" s="17">
        <v>1</v>
      </c>
      <c r="F110" s="18">
        <v>0</v>
      </c>
      <c r="G110" s="18">
        <v>0</v>
      </c>
      <c r="H110" s="36">
        <v>0</v>
      </c>
      <c r="I110" s="17">
        <v>0</v>
      </c>
      <c r="J110" s="17">
        <f t="shared" si="0"/>
        <v>1</v>
      </c>
      <c r="K110" s="37">
        <v>1</v>
      </c>
      <c r="L110" s="17">
        <v>0</v>
      </c>
      <c r="M110" s="17">
        <v>0</v>
      </c>
      <c r="N110" s="17">
        <f t="shared" si="1"/>
        <v>1</v>
      </c>
      <c r="O110" s="17">
        <f t="shared" si="2"/>
        <v>0</v>
      </c>
      <c r="P110" s="3"/>
      <c r="Q110" s="19">
        <f t="shared" si="3"/>
        <v>290</v>
      </c>
      <c r="R110" s="19">
        <v>0</v>
      </c>
      <c r="S110" s="19">
        <f t="shared" si="4"/>
        <v>0</v>
      </c>
      <c r="T110" s="19">
        <f t="shared" si="5"/>
        <v>0</v>
      </c>
      <c r="U110" s="19">
        <f t="shared" si="6"/>
        <v>0</v>
      </c>
      <c r="V110" s="19">
        <f t="shared" si="7"/>
        <v>0</v>
      </c>
      <c r="W110" s="19">
        <f t="shared" si="8"/>
        <v>290</v>
      </c>
      <c r="X110" s="20">
        <f t="shared" si="9"/>
        <v>290</v>
      </c>
      <c r="Y110" s="20">
        <f t="shared" si="10"/>
        <v>0</v>
      </c>
    </row>
    <row r="111" spans="1:25" ht="15.75" hidden="1" customHeight="1">
      <c r="A111" s="14" t="s">
        <v>232</v>
      </c>
      <c r="B111" s="15" t="s">
        <v>233</v>
      </c>
      <c r="C111" s="16">
        <v>420</v>
      </c>
      <c r="D111" s="16">
        <v>420</v>
      </c>
      <c r="E111" s="17">
        <v>0</v>
      </c>
      <c r="F111" s="18">
        <v>0</v>
      </c>
      <c r="G111" s="18">
        <v>0</v>
      </c>
      <c r="H111" s="36">
        <v>0</v>
      </c>
      <c r="I111" s="17">
        <v>0</v>
      </c>
      <c r="J111" s="17">
        <f t="shared" si="0"/>
        <v>0</v>
      </c>
      <c r="K111" s="37">
        <v>0</v>
      </c>
      <c r="L111" s="17">
        <v>0</v>
      </c>
      <c r="M111" s="17">
        <v>0</v>
      </c>
      <c r="N111" s="17">
        <f t="shared" si="1"/>
        <v>0</v>
      </c>
      <c r="O111" s="17">
        <f t="shared" si="2"/>
        <v>0</v>
      </c>
      <c r="P111" s="3"/>
      <c r="Q111" s="19">
        <f t="shared" si="3"/>
        <v>0</v>
      </c>
      <c r="R111" s="19">
        <v>0</v>
      </c>
      <c r="S111" s="19">
        <f t="shared" si="4"/>
        <v>0</v>
      </c>
      <c r="T111" s="19">
        <f t="shared" si="5"/>
        <v>0</v>
      </c>
      <c r="U111" s="19">
        <f t="shared" si="6"/>
        <v>0</v>
      </c>
      <c r="V111" s="19">
        <f t="shared" si="7"/>
        <v>0</v>
      </c>
      <c r="W111" s="19">
        <f t="shared" si="8"/>
        <v>0</v>
      </c>
      <c r="X111" s="20">
        <f t="shared" si="9"/>
        <v>0</v>
      </c>
      <c r="Y111" s="20">
        <f t="shared" si="10"/>
        <v>0</v>
      </c>
    </row>
    <row r="112" spans="1:25" ht="15.75" hidden="1" customHeight="1">
      <c r="A112" s="14" t="s">
        <v>234</v>
      </c>
      <c r="B112" s="15" t="s">
        <v>235</v>
      </c>
      <c r="C112" s="16">
        <v>31</v>
      </c>
      <c r="D112" s="16">
        <v>31</v>
      </c>
      <c r="E112" s="17">
        <v>116</v>
      </c>
      <c r="F112" s="18">
        <v>0</v>
      </c>
      <c r="G112" s="18">
        <v>0</v>
      </c>
      <c r="H112" s="36">
        <v>0</v>
      </c>
      <c r="I112" s="22">
        <v>0</v>
      </c>
      <c r="J112" s="17">
        <f t="shared" si="0"/>
        <v>116</v>
      </c>
      <c r="K112" s="38">
        <v>116</v>
      </c>
      <c r="L112" s="22">
        <v>0</v>
      </c>
      <c r="M112" s="17">
        <v>0</v>
      </c>
      <c r="N112" s="22">
        <f t="shared" si="1"/>
        <v>116</v>
      </c>
      <c r="O112" s="17">
        <f t="shared" si="2"/>
        <v>0</v>
      </c>
      <c r="P112" s="3"/>
      <c r="Q112" s="19">
        <f t="shared" si="3"/>
        <v>3596</v>
      </c>
      <c r="R112" s="19">
        <v>0</v>
      </c>
      <c r="S112" s="19">
        <f t="shared" si="4"/>
        <v>0</v>
      </c>
      <c r="T112" s="19">
        <f t="shared" si="5"/>
        <v>0</v>
      </c>
      <c r="U112" s="19">
        <f t="shared" si="6"/>
        <v>0</v>
      </c>
      <c r="V112" s="19">
        <f t="shared" si="7"/>
        <v>0</v>
      </c>
      <c r="W112" s="19">
        <f t="shared" si="8"/>
        <v>3596</v>
      </c>
      <c r="X112" s="20">
        <f t="shared" si="9"/>
        <v>3596</v>
      </c>
      <c r="Y112" s="20">
        <f t="shared" si="10"/>
        <v>0</v>
      </c>
    </row>
    <row r="113" spans="1:25" ht="15.75" hidden="1" customHeight="1">
      <c r="A113" s="14" t="s">
        <v>236</v>
      </c>
      <c r="B113" s="15" t="s">
        <v>237</v>
      </c>
      <c r="C113" s="16">
        <v>163.80000000000001</v>
      </c>
      <c r="D113" s="16">
        <v>163.80000000000001</v>
      </c>
      <c r="E113" s="17">
        <v>0</v>
      </c>
      <c r="F113" s="18">
        <v>0</v>
      </c>
      <c r="G113" s="18">
        <v>0</v>
      </c>
      <c r="H113" s="36">
        <v>0</v>
      </c>
      <c r="I113" s="17">
        <v>0</v>
      </c>
      <c r="J113" s="17">
        <f t="shared" si="0"/>
        <v>0</v>
      </c>
      <c r="K113" s="37">
        <v>0</v>
      </c>
      <c r="L113" s="17">
        <v>0</v>
      </c>
      <c r="M113" s="17">
        <v>0</v>
      </c>
      <c r="N113" s="17">
        <f t="shared" si="1"/>
        <v>0</v>
      </c>
      <c r="O113" s="17">
        <f t="shared" si="2"/>
        <v>0</v>
      </c>
      <c r="P113" s="3"/>
      <c r="Q113" s="19">
        <f t="shared" si="3"/>
        <v>0</v>
      </c>
      <c r="R113" s="19">
        <v>0</v>
      </c>
      <c r="S113" s="19">
        <f t="shared" si="4"/>
        <v>0</v>
      </c>
      <c r="T113" s="19">
        <f t="shared" si="5"/>
        <v>0</v>
      </c>
      <c r="U113" s="19">
        <f t="shared" si="6"/>
        <v>0</v>
      </c>
      <c r="V113" s="19">
        <f t="shared" si="7"/>
        <v>0</v>
      </c>
      <c r="W113" s="19">
        <f t="shared" si="8"/>
        <v>0</v>
      </c>
      <c r="X113" s="20">
        <f t="shared" si="9"/>
        <v>0</v>
      </c>
      <c r="Y113" s="20">
        <f t="shared" si="10"/>
        <v>0</v>
      </c>
    </row>
    <row r="114" spans="1:25" ht="15.75" hidden="1" customHeight="1">
      <c r="A114" s="14" t="s">
        <v>238</v>
      </c>
      <c r="B114" s="15" t="s">
        <v>239</v>
      </c>
      <c r="C114" s="16">
        <v>0</v>
      </c>
      <c r="D114" s="16">
        <v>0</v>
      </c>
      <c r="E114" s="17">
        <v>0</v>
      </c>
      <c r="F114" s="18">
        <v>0</v>
      </c>
      <c r="G114" s="18">
        <v>0</v>
      </c>
      <c r="H114" s="36">
        <v>0</v>
      </c>
      <c r="I114" s="17">
        <v>0</v>
      </c>
      <c r="J114" s="17">
        <f t="shared" si="0"/>
        <v>0</v>
      </c>
      <c r="K114" s="37">
        <v>0</v>
      </c>
      <c r="L114" s="17">
        <v>0</v>
      </c>
      <c r="M114" s="17">
        <v>0</v>
      </c>
      <c r="N114" s="17">
        <f t="shared" si="1"/>
        <v>0</v>
      </c>
      <c r="O114" s="17">
        <f t="shared" si="2"/>
        <v>0</v>
      </c>
      <c r="P114" s="3"/>
      <c r="Q114" s="19">
        <f t="shared" si="3"/>
        <v>0</v>
      </c>
      <c r="R114" s="19">
        <v>0</v>
      </c>
      <c r="S114" s="19">
        <f t="shared" si="4"/>
        <v>0</v>
      </c>
      <c r="T114" s="19">
        <f t="shared" si="5"/>
        <v>0</v>
      </c>
      <c r="U114" s="19">
        <f t="shared" si="6"/>
        <v>0</v>
      </c>
      <c r="V114" s="19">
        <f t="shared" si="7"/>
        <v>0</v>
      </c>
      <c r="W114" s="19">
        <f t="shared" si="8"/>
        <v>0</v>
      </c>
      <c r="X114" s="20">
        <f t="shared" si="9"/>
        <v>0</v>
      </c>
      <c r="Y114" s="20">
        <f t="shared" si="10"/>
        <v>0</v>
      </c>
    </row>
    <row r="115" spans="1:25" ht="15.75" hidden="1" customHeight="1">
      <c r="A115" s="23" t="s">
        <v>240</v>
      </c>
      <c r="B115" s="15" t="s">
        <v>241</v>
      </c>
      <c r="C115" s="16">
        <v>149.47</v>
      </c>
      <c r="D115" s="16">
        <v>149.47</v>
      </c>
      <c r="E115" s="17">
        <v>50</v>
      </c>
      <c r="F115" s="18">
        <v>0</v>
      </c>
      <c r="G115" s="18">
        <v>0</v>
      </c>
      <c r="H115" s="36">
        <v>0</v>
      </c>
      <c r="I115" s="17">
        <v>0</v>
      </c>
      <c r="J115" s="17">
        <f t="shared" si="0"/>
        <v>50</v>
      </c>
      <c r="K115" s="37">
        <v>50</v>
      </c>
      <c r="L115" s="17">
        <v>0</v>
      </c>
      <c r="M115" s="17">
        <v>0</v>
      </c>
      <c r="N115" s="17">
        <f t="shared" si="1"/>
        <v>50</v>
      </c>
      <c r="O115" s="17">
        <f t="shared" si="2"/>
        <v>0</v>
      </c>
      <c r="P115" s="3"/>
      <c r="Q115" s="19">
        <f t="shared" si="3"/>
        <v>7473.5</v>
      </c>
      <c r="R115" s="19">
        <v>0</v>
      </c>
      <c r="S115" s="19">
        <f t="shared" si="4"/>
        <v>0</v>
      </c>
      <c r="T115" s="19">
        <f t="shared" si="5"/>
        <v>0</v>
      </c>
      <c r="U115" s="19">
        <f t="shared" si="6"/>
        <v>0</v>
      </c>
      <c r="V115" s="19">
        <f t="shared" si="7"/>
        <v>0</v>
      </c>
      <c r="W115" s="19">
        <f t="shared" si="8"/>
        <v>7473.5</v>
      </c>
      <c r="X115" s="20">
        <f t="shared" si="9"/>
        <v>7473.5</v>
      </c>
      <c r="Y115" s="20">
        <f t="shared" si="10"/>
        <v>0</v>
      </c>
    </row>
    <row r="116" spans="1:25" ht="15.75" hidden="1" customHeight="1">
      <c r="A116" s="14" t="s">
        <v>242</v>
      </c>
      <c r="B116" s="15" t="s">
        <v>243</v>
      </c>
      <c r="C116" s="16">
        <v>66</v>
      </c>
      <c r="D116" s="16">
        <v>66</v>
      </c>
      <c r="E116" s="17">
        <v>50</v>
      </c>
      <c r="F116" s="18">
        <v>0</v>
      </c>
      <c r="G116" s="18">
        <v>0</v>
      </c>
      <c r="H116" s="36">
        <v>0</v>
      </c>
      <c r="I116" s="17">
        <v>0</v>
      </c>
      <c r="J116" s="17">
        <f t="shared" si="0"/>
        <v>50</v>
      </c>
      <c r="K116" s="37">
        <v>50</v>
      </c>
      <c r="L116" s="17">
        <v>0</v>
      </c>
      <c r="M116" s="17">
        <v>0</v>
      </c>
      <c r="N116" s="17">
        <f t="shared" si="1"/>
        <v>50</v>
      </c>
      <c r="O116" s="17">
        <f t="shared" si="2"/>
        <v>0</v>
      </c>
      <c r="P116" s="3"/>
      <c r="Q116" s="19">
        <f t="shared" si="3"/>
        <v>3300</v>
      </c>
      <c r="R116" s="19">
        <v>0</v>
      </c>
      <c r="S116" s="19">
        <f t="shared" si="4"/>
        <v>0</v>
      </c>
      <c r="T116" s="19">
        <f t="shared" si="5"/>
        <v>0</v>
      </c>
      <c r="U116" s="19">
        <f t="shared" si="6"/>
        <v>0</v>
      </c>
      <c r="V116" s="19">
        <f t="shared" si="7"/>
        <v>0</v>
      </c>
      <c r="W116" s="19">
        <f t="shared" si="8"/>
        <v>3300</v>
      </c>
      <c r="X116" s="20">
        <f t="shared" si="9"/>
        <v>3300</v>
      </c>
      <c r="Y116" s="20">
        <f t="shared" si="10"/>
        <v>0</v>
      </c>
    </row>
    <row r="117" spans="1:25" ht="15.75" hidden="1" customHeight="1">
      <c r="A117" s="14" t="s">
        <v>244</v>
      </c>
      <c r="B117" s="15" t="s">
        <v>245</v>
      </c>
      <c r="C117" s="16">
        <v>0</v>
      </c>
      <c r="D117" s="16">
        <v>0</v>
      </c>
      <c r="E117" s="17">
        <v>0</v>
      </c>
      <c r="F117" s="18">
        <v>0</v>
      </c>
      <c r="G117" s="18">
        <v>0</v>
      </c>
      <c r="H117" s="36">
        <v>0</v>
      </c>
      <c r="I117" s="17">
        <v>0</v>
      </c>
      <c r="J117" s="17">
        <f t="shared" si="0"/>
        <v>0</v>
      </c>
      <c r="K117" s="37">
        <v>0</v>
      </c>
      <c r="L117" s="17">
        <v>0</v>
      </c>
      <c r="M117" s="17">
        <v>0</v>
      </c>
      <c r="N117" s="17">
        <f t="shared" si="1"/>
        <v>0</v>
      </c>
      <c r="O117" s="17">
        <f t="shared" si="2"/>
        <v>0</v>
      </c>
      <c r="P117" s="3"/>
      <c r="Q117" s="19">
        <f t="shared" si="3"/>
        <v>0</v>
      </c>
      <c r="R117" s="19">
        <v>0</v>
      </c>
      <c r="S117" s="19">
        <f t="shared" si="4"/>
        <v>0</v>
      </c>
      <c r="T117" s="19">
        <f t="shared" si="5"/>
        <v>0</v>
      </c>
      <c r="U117" s="19">
        <f t="shared" si="6"/>
        <v>0</v>
      </c>
      <c r="V117" s="19">
        <f t="shared" si="7"/>
        <v>0</v>
      </c>
      <c r="W117" s="19">
        <f t="shared" si="8"/>
        <v>0</v>
      </c>
      <c r="X117" s="20">
        <f t="shared" si="9"/>
        <v>0</v>
      </c>
      <c r="Y117" s="20">
        <f t="shared" si="10"/>
        <v>0</v>
      </c>
    </row>
    <row r="118" spans="1:25" ht="15.75" hidden="1" customHeight="1">
      <c r="A118" s="14" t="s">
        <v>246</v>
      </c>
      <c r="B118" s="15" t="s">
        <v>247</v>
      </c>
      <c r="C118" s="16">
        <v>19.5</v>
      </c>
      <c r="D118" s="16">
        <v>19.5</v>
      </c>
      <c r="E118" s="17">
        <v>0</v>
      </c>
      <c r="F118" s="18">
        <v>0</v>
      </c>
      <c r="G118" s="18">
        <v>0</v>
      </c>
      <c r="H118" s="36">
        <v>0</v>
      </c>
      <c r="I118" s="17">
        <v>0</v>
      </c>
      <c r="J118" s="17">
        <f t="shared" si="0"/>
        <v>0</v>
      </c>
      <c r="K118" s="37">
        <v>0</v>
      </c>
      <c r="L118" s="17">
        <v>0</v>
      </c>
      <c r="M118" s="17">
        <v>0</v>
      </c>
      <c r="N118" s="17">
        <f t="shared" si="1"/>
        <v>0</v>
      </c>
      <c r="O118" s="17">
        <f t="shared" si="2"/>
        <v>0</v>
      </c>
      <c r="P118" s="3"/>
      <c r="Q118" s="19">
        <f t="shared" si="3"/>
        <v>0</v>
      </c>
      <c r="R118" s="19">
        <v>0</v>
      </c>
      <c r="S118" s="19">
        <f t="shared" si="4"/>
        <v>0</v>
      </c>
      <c r="T118" s="19">
        <f t="shared" si="5"/>
        <v>0</v>
      </c>
      <c r="U118" s="19">
        <f t="shared" si="6"/>
        <v>0</v>
      </c>
      <c r="V118" s="19">
        <f t="shared" si="7"/>
        <v>0</v>
      </c>
      <c r="W118" s="19">
        <f t="shared" si="8"/>
        <v>0</v>
      </c>
      <c r="X118" s="20">
        <f t="shared" si="9"/>
        <v>0</v>
      </c>
      <c r="Y118" s="20">
        <f t="shared" si="10"/>
        <v>0</v>
      </c>
    </row>
    <row r="119" spans="1:25" ht="15.75" hidden="1" customHeight="1">
      <c r="A119" s="14" t="s">
        <v>248</v>
      </c>
      <c r="B119" s="15" t="s">
        <v>249</v>
      </c>
      <c r="C119" s="16">
        <v>0</v>
      </c>
      <c r="D119" s="16">
        <v>0</v>
      </c>
      <c r="E119" s="17">
        <v>0</v>
      </c>
      <c r="F119" s="18">
        <v>0</v>
      </c>
      <c r="G119" s="18">
        <v>0</v>
      </c>
      <c r="H119" s="36">
        <v>0</v>
      </c>
      <c r="I119" s="17">
        <v>0</v>
      </c>
      <c r="J119" s="17">
        <f t="shared" si="0"/>
        <v>0</v>
      </c>
      <c r="K119" s="37">
        <v>0</v>
      </c>
      <c r="L119" s="17">
        <v>0</v>
      </c>
      <c r="M119" s="17">
        <v>0</v>
      </c>
      <c r="N119" s="17">
        <f t="shared" si="1"/>
        <v>0</v>
      </c>
      <c r="O119" s="17">
        <f t="shared" si="2"/>
        <v>0</v>
      </c>
      <c r="P119" s="3"/>
      <c r="Q119" s="19">
        <f t="shared" si="3"/>
        <v>0</v>
      </c>
      <c r="R119" s="19">
        <v>0</v>
      </c>
      <c r="S119" s="19">
        <f t="shared" si="4"/>
        <v>0</v>
      </c>
      <c r="T119" s="19">
        <f t="shared" si="5"/>
        <v>0</v>
      </c>
      <c r="U119" s="19">
        <f t="shared" si="6"/>
        <v>0</v>
      </c>
      <c r="V119" s="19">
        <f t="shared" si="7"/>
        <v>0</v>
      </c>
      <c r="W119" s="19">
        <f t="shared" si="8"/>
        <v>0</v>
      </c>
      <c r="X119" s="20">
        <f t="shared" si="9"/>
        <v>0</v>
      </c>
      <c r="Y119" s="20">
        <f t="shared" si="10"/>
        <v>0</v>
      </c>
    </row>
    <row r="120" spans="1:25" ht="15.75" hidden="1" customHeight="1">
      <c r="A120" s="14" t="s">
        <v>250</v>
      </c>
      <c r="B120" s="15" t="s">
        <v>251</v>
      </c>
      <c r="C120" s="16">
        <v>3875</v>
      </c>
      <c r="D120" s="16">
        <v>3875</v>
      </c>
      <c r="E120" s="17">
        <v>1</v>
      </c>
      <c r="F120" s="18">
        <v>0</v>
      </c>
      <c r="G120" s="18">
        <v>0</v>
      </c>
      <c r="H120" s="36">
        <v>0</v>
      </c>
      <c r="I120" s="17">
        <v>0</v>
      </c>
      <c r="J120" s="17">
        <f t="shared" si="0"/>
        <v>1</v>
      </c>
      <c r="K120" s="37">
        <v>1</v>
      </c>
      <c r="L120" s="17">
        <v>0</v>
      </c>
      <c r="M120" s="17">
        <v>0</v>
      </c>
      <c r="N120" s="17">
        <f t="shared" si="1"/>
        <v>1</v>
      </c>
      <c r="O120" s="17">
        <f t="shared" si="2"/>
        <v>0</v>
      </c>
      <c r="P120" s="3"/>
      <c r="Q120" s="19">
        <f t="shared" si="3"/>
        <v>3875</v>
      </c>
      <c r="R120" s="19">
        <v>0</v>
      </c>
      <c r="S120" s="19">
        <f t="shared" si="4"/>
        <v>0</v>
      </c>
      <c r="T120" s="19">
        <f t="shared" si="5"/>
        <v>0</v>
      </c>
      <c r="U120" s="19">
        <f t="shared" si="6"/>
        <v>0</v>
      </c>
      <c r="V120" s="19">
        <f t="shared" si="7"/>
        <v>0</v>
      </c>
      <c r="W120" s="19">
        <f t="shared" si="8"/>
        <v>3875</v>
      </c>
      <c r="X120" s="20">
        <f t="shared" si="9"/>
        <v>3875</v>
      </c>
      <c r="Y120" s="20">
        <f t="shared" si="10"/>
        <v>0</v>
      </c>
    </row>
    <row r="121" spans="1:25" ht="15.75" hidden="1" customHeight="1">
      <c r="A121" s="14" t="s">
        <v>252</v>
      </c>
      <c r="B121" s="15" t="s">
        <v>253</v>
      </c>
      <c r="C121" s="16">
        <v>600</v>
      </c>
      <c r="D121" s="16">
        <v>600</v>
      </c>
      <c r="E121" s="17">
        <v>3</v>
      </c>
      <c r="F121" s="18">
        <v>0</v>
      </c>
      <c r="G121" s="18">
        <v>0</v>
      </c>
      <c r="H121" s="36">
        <v>0</v>
      </c>
      <c r="I121" s="17">
        <v>0</v>
      </c>
      <c r="J121" s="17">
        <f t="shared" si="0"/>
        <v>3</v>
      </c>
      <c r="K121" s="37">
        <v>3</v>
      </c>
      <c r="L121" s="17">
        <v>0</v>
      </c>
      <c r="M121" s="17">
        <v>0</v>
      </c>
      <c r="N121" s="17">
        <f t="shared" si="1"/>
        <v>3</v>
      </c>
      <c r="O121" s="17">
        <f t="shared" si="2"/>
        <v>0</v>
      </c>
      <c r="P121" s="3"/>
      <c r="Q121" s="19">
        <f t="shared" si="3"/>
        <v>1800</v>
      </c>
      <c r="R121" s="19">
        <v>0</v>
      </c>
      <c r="S121" s="19">
        <f t="shared" si="4"/>
        <v>0</v>
      </c>
      <c r="T121" s="19">
        <f t="shared" si="5"/>
        <v>0</v>
      </c>
      <c r="U121" s="19">
        <f t="shared" si="6"/>
        <v>0</v>
      </c>
      <c r="V121" s="19">
        <f t="shared" si="7"/>
        <v>0</v>
      </c>
      <c r="W121" s="19">
        <f t="shared" si="8"/>
        <v>1800</v>
      </c>
      <c r="X121" s="20">
        <f t="shared" si="9"/>
        <v>1800</v>
      </c>
      <c r="Y121" s="20">
        <f t="shared" si="10"/>
        <v>0</v>
      </c>
    </row>
    <row r="122" spans="1:25" ht="15.75" hidden="1" customHeight="1">
      <c r="A122" s="14" t="s">
        <v>254</v>
      </c>
      <c r="B122" s="15" t="s">
        <v>255</v>
      </c>
      <c r="C122" s="16">
        <v>92.4</v>
      </c>
      <c r="D122" s="16">
        <v>92.4</v>
      </c>
      <c r="E122" s="17">
        <v>3</v>
      </c>
      <c r="F122" s="18">
        <v>0</v>
      </c>
      <c r="G122" s="18">
        <v>0</v>
      </c>
      <c r="H122" s="36">
        <v>0</v>
      </c>
      <c r="I122" s="17">
        <v>0</v>
      </c>
      <c r="J122" s="17">
        <f t="shared" si="0"/>
        <v>3</v>
      </c>
      <c r="K122" s="37">
        <v>3</v>
      </c>
      <c r="L122" s="17">
        <v>0</v>
      </c>
      <c r="M122" s="17">
        <v>0</v>
      </c>
      <c r="N122" s="17">
        <f t="shared" si="1"/>
        <v>3</v>
      </c>
      <c r="O122" s="17">
        <f t="shared" si="2"/>
        <v>0</v>
      </c>
      <c r="P122" s="3"/>
      <c r="Q122" s="19">
        <f t="shared" si="3"/>
        <v>277.20000000000005</v>
      </c>
      <c r="R122" s="19">
        <v>0</v>
      </c>
      <c r="S122" s="19">
        <f t="shared" si="4"/>
        <v>0</v>
      </c>
      <c r="T122" s="19">
        <f t="shared" si="5"/>
        <v>0</v>
      </c>
      <c r="U122" s="19">
        <f t="shared" si="6"/>
        <v>0</v>
      </c>
      <c r="V122" s="19">
        <f t="shared" si="7"/>
        <v>0</v>
      </c>
      <c r="W122" s="19">
        <f t="shared" si="8"/>
        <v>277.20000000000005</v>
      </c>
      <c r="X122" s="20">
        <f t="shared" si="9"/>
        <v>277.20000000000005</v>
      </c>
      <c r="Y122" s="20">
        <f t="shared" si="10"/>
        <v>0</v>
      </c>
    </row>
    <row r="123" spans="1:25" ht="15.75" hidden="1" customHeight="1">
      <c r="A123" s="14" t="s">
        <v>256</v>
      </c>
      <c r="B123" s="15" t="s">
        <v>257</v>
      </c>
      <c r="C123" s="16">
        <v>260</v>
      </c>
      <c r="D123" s="16">
        <v>260</v>
      </c>
      <c r="E123" s="17">
        <v>5</v>
      </c>
      <c r="F123" s="18">
        <v>0</v>
      </c>
      <c r="G123" s="18">
        <v>0</v>
      </c>
      <c r="H123" s="36">
        <v>0</v>
      </c>
      <c r="I123" s="17">
        <v>0</v>
      </c>
      <c r="J123" s="17">
        <f t="shared" si="0"/>
        <v>5</v>
      </c>
      <c r="K123" s="37">
        <v>5</v>
      </c>
      <c r="L123" s="17">
        <v>0</v>
      </c>
      <c r="M123" s="17">
        <v>0</v>
      </c>
      <c r="N123" s="17">
        <f t="shared" si="1"/>
        <v>5</v>
      </c>
      <c r="O123" s="17">
        <f t="shared" si="2"/>
        <v>0</v>
      </c>
      <c r="P123" s="3"/>
      <c r="Q123" s="19">
        <f t="shared" si="3"/>
        <v>1300</v>
      </c>
      <c r="R123" s="19">
        <v>0</v>
      </c>
      <c r="S123" s="19">
        <f t="shared" si="4"/>
        <v>0</v>
      </c>
      <c r="T123" s="19">
        <f t="shared" si="5"/>
        <v>0</v>
      </c>
      <c r="U123" s="19">
        <f t="shared" si="6"/>
        <v>0</v>
      </c>
      <c r="V123" s="19">
        <f t="shared" si="7"/>
        <v>0</v>
      </c>
      <c r="W123" s="19">
        <f t="shared" si="8"/>
        <v>1300</v>
      </c>
      <c r="X123" s="20">
        <f t="shared" si="9"/>
        <v>1300</v>
      </c>
      <c r="Y123" s="20">
        <f t="shared" si="10"/>
        <v>0</v>
      </c>
    </row>
    <row r="124" spans="1:25" ht="15.75" hidden="1" customHeight="1">
      <c r="A124" s="14" t="s">
        <v>258</v>
      </c>
      <c r="B124" s="15" t="s">
        <v>259</v>
      </c>
      <c r="C124" s="16">
        <v>830</v>
      </c>
      <c r="D124" s="16">
        <v>830</v>
      </c>
      <c r="E124" s="17">
        <v>0</v>
      </c>
      <c r="F124" s="18">
        <v>0</v>
      </c>
      <c r="G124" s="18">
        <v>0</v>
      </c>
      <c r="H124" s="39">
        <v>0</v>
      </c>
      <c r="I124" s="17">
        <v>0</v>
      </c>
      <c r="J124" s="17">
        <f t="shared" si="0"/>
        <v>0</v>
      </c>
      <c r="K124" s="37">
        <v>0</v>
      </c>
      <c r="L124" s="17">
        <v>0</v>
      </c>
      <c r="M124" s="17">
        <v>0</v>
      </c>
      <c r="N124" s="17">
        <f t="shared" si="1"/>
        <v>0</v>
      </c>
      <c r="O124" s="17">
        <f t="shared" si="2"/>
        <v>0</v>
      </c>
      <c r="P124" s="3"/>
      <c r="Q124" s="19">
        <f t="shared" si="3"/>
        <v>0</v>
      </c>
      <c r="R124" s="19">
        <v>0</v>
      </c>
      <c r="S124" s="19">
        <f t="shared" si="4"/>
        <v>0</v>
      </c>
      <c r="T124" s="19">
        <f t="shared" si="5"/>
        <v>0</v>
      </c>
      <c r="U124" s="19">
        <f t="shared" si="6"/>
        <v>0</v>
      </c>
      <c r="V124" s="19">
        <f t="shared" si="7"/>
        <v>0</v>
      </c>
      <c r="W124" s="19">
        <f t="shared" si="8"/>
        <v>0</v>
      </c>
      <c r="X124" s="20">
        <f t="shared" si="9"/>
        <v>0</v>
      </c>
      <c r="Y124" s="20">
        <f t="shared" si="10"/>
        <v>0</v>
      </c>
    </row>
    <row r="125" spans="1:25" ht="15.75" hidden="1" customHeight="1">
      <c r="A125" s="14" t="s">
        <v>260</v>
      </c>
      <c r="B125" s="15" t="s">
        <v>261</v>
      </c>
      <c r="C125" s="16">
        <v>0</v>
      </c>
      <c r="D125" s="16">
        <v>0</v>
      </c>
      <c r="E125" s="17">
        <v>0</v>
      </c>
      <c r="F125" s="18">
        <v>0</v>
      </c>
      <c r="G125" s="18">
        <v>0</v>
      </c>
      <c r="H125" s="36">
        <v>0</v>
      </c>
      <c r="I125" s="17">
        <v>0</v>
      </c>
      <c r="J125" s="17">
        <f t="shared" si="0"/>
        <v>0</v>
      </c>
      <c r="K125" s="37">
        <v>0</v>
      </c>
      <c r="L125" s="17">
        <v>0</v>
      </c>
      <c r="M125" s="17">
        <v>0</v>
      </c>
      <c r="N125" s="17">
        <f t="shared" si="1"/>
        <v>0</v>
      </c>
      <c r="O125" s="17">
        <f t="shared" si="2"/>
        <v>0</v>
      </c>
      <c r="P125" s="3"/>
      <c r="Q125" s="19">
        <f t="shared" si="3"/>
        <v>0</v>
      </c>
      <c r="R125" s="19">
        <v>0</v>
      </c>
      <c r="S125" s="19">
        <f t="shared" si="4"/>
        <v>0</v>
      </c>
      <c r="T125" s="19">
        <f t="shared" si="5"/>
        <v>0</v>
      </c>
      <c r="U125" s="19">
        <f t="shared" si="6"/>
        <v>0</v>
      </c>
      <c r="V125" s="19">
        <f t="shared" si="7"/>
        <v>0</v>
      </c>
      <c r="W125" s="19">
        <f t="shared" si="8"/>
        <v>0</v>
      </c>
      <c r="X125" s="20">
        <f t="shared" si="9"/>
        <v>0</v>
      </c>
      <c r="Y125" s="20">
        <f t="shared" si="10"/>
        <v>0</v>
      </c>
    </row>
    <row r="126" spans="1:25" ht="15.75" hidden="1" customHeight="1">
      <c r="A126" s="14" t="s">
        <v>262</v>
      </c>
      <c r="B126" s="15" t="s">
        <v>263</v>
      </c>
      <c r="C126" s="16">
        <v>252.37</v>
      </c>
      <c r="D126" s="16">
        <v>252.37</v>
      </c>
      <c r="E126" s="17">
        <v>0</v>
      </c>
      <c r="F126" s="18">
        <v>0</v>
      </c>
      <c r="G126" s="18">
        <v>0</v>
      </c>
      <c r="H126" s="36">
        <v>0</v>
      </c>
      <c r="I126" s="17">
        <v>0</v>
      </c>
      <c r="J126" s="17">
        <f t="shared" si="0"/>
        <v>0</v>
      </c>
      <c r="K126" s="37">
        <v>0</v>
      </c>
      <c r="L126" s="17">
        <v>0</v>
      </c>
      <c r="M126" s="17">
        <v>0</v>
      </c>
      <c r="N126" s="17">
        <f t="shared" si="1"/>
        <v>0</v>
      </c>
      <c r="O126" s="17">
        <f t="shared" si="2"/>
        <v>0</v>
      </c>
      <c r="P126" s="3"/>
      <c r="Q126" s="19">
        <f t="shared" si="3"/>
        <v>0</v>
      </c>
      <c r="R126" s="19">
        <v>0</v>
      </c>
      <c r="S126" s="19">
        <f t="shared" si="4"/>
        <v>0</v>
      </c>
      <c r="T126" s="19">
        <f t="shared" si="5"/>
        <v>0</v>
      </c>
      <c r="U126" s="19">
        <f t="shared" si="6"/>
        <v>0</v>
      </c>
      <c r="V126" s="19">
        <f t="shared" si="7"/>
        <v>0</v>
      </c>
      <c r="W126" s="19">
        <f t="shared" si="8"/>
        <v>0</v>
      </c>
      <c r="X126" s="20">
        <f t="shared" si="9"/>
        <v>0</v>
      </c>
      <c r="Y126" s="20">
        <f t="shared" si="10"/>
        <v>0</v>
      </c>
    </row>
    <row r="127" spans="1:25" ht="15.75" hidden="1" customHeight="1">
      <c r="A127" s="14" t="s">
        <v>264</v>
      </c>
      <c r="B127" s="15" t="s">
        <v>265</v>
      </c>
      <c r="C127" s="16">
        <v>480</v>
      </c>
      <c r="D127" s="16">
        <v>480</v>
      </c>
      <c r="E127" s="17">
        <v>1</v>
      </c>
      <c r="F127" s="18">
        <v>0</v>
      </c>
      <c r="G127" s="18">
        <v>0</v>
      </c>
      <c r="H127" s="36">
        <v>0</v>
      </c>
      <c r="I127" s="17">
        <v>0</v>
      </c>
      <c r="J127" s="17">
        <f t="shared" si="0"/>
        <v>1</v>
      </c>
      <c r="K127" s="37">
        <v>1</v>
      </c>
      <c r="L127" s="17">
        <v>0</v>
      </c>
      <c r="M127" s="17">
        <v>0</v>
      </c>
      <c r="N127" s="17">
        <f t="shared" si="1"/>
        <v>1</v>
      </c>
      <c r="O127" s="17">
        <f t="shared" si="2"/>
        <v>0</v>
      </c>
      <c r="P127" s="3"/>
      <c r="Q127" s="19">
        <f t="shared" si="3"/>
        <v>480</v>
      </c>
      <c r="R127" s="19">
        <v>0</v>
      </c>
      <c r="S127" s="19">
        <f t="shared" si="4"/>
        <v>0</v>
      </c>
      <c r="T127" s="19">
        <f t="shared" si="5"/>
        <v>0</v>
      </c>
      <c r="U127" s="19">
        <f t="shared" si="6"/>
        <v>0</v>
      </c>
      <c r="V127" s="19">
        <f t="shared" si="7"/>
        <v>0</v>
      </c>
      <c r="W127" s="19">
        <f t="shared" si="8"/>
        <v>480</v>
      </c>
      <c r="X127" s="20">
        <f t="shared" si="9"/>
        <v>480</v>
      </c>
      <c r="Y127" s="20">
        <f t="shared" si="10"/>
        <v>0</v>
      </c>
    </row>
    <row r="128" spans="1:25" ht="15.75" hidden="1" customHeight="1">
      <c r="A128" s="14" t="s">
        <v>266</v>
      </c>
      <c r="B128" s="15" t="s">
        <v>267</v>
      </c>
      <c r="C128" s="16">
        <v>1040.52</v>
      </c>
      <c r="D128" s="16">
        <v>1040.52</v>
      </c>
      <c r="E128" s="17">
        <v>0</v>
      </c>
      <c r="F128" s="18">
        <v>0</v>
      </c>
      <c r="G128" s="18">
        <v>0</v>
      </c>
      <c r="H128" s="36">
        <v>0</v>
      </c>
      <c r="I128" s="17">
        <v>0</v>
      </c>
      <c r="J128" s="17">
        <f t="shared" si="0"/>
        <v>0</v>
      </c>
      <c r="K128" s="37">
        <v>0</v>
      </c>
      <c r="L128" s="17">
        <v>0</v>
      </c>
      <c r="M128" s="17">
        <v>0</v>
      </c>
      <c r="N128" s="17">
        <f t="shared" si="1"/>
        <v>0</v>
      </c>
      <c r="O128" s="17">
        <f t="shared" si="2"/>
        <v>0</v>
      </c>
      <c r="P128" s="3"/>
      <c r="Q128" s="19">
        <f t="shared" si="3"/>
        <v>0</v>
      </c>
      <c r="R128" s="19">
        <v>0</v>
      </c>
      <c r="S128" s="19">
        <f t="shared" si="4"/>
        <v>0</v>
      </c>
      <c r="T128" s="19">
        <f t="shared" si="5"/>
        <v>0</v>
      </c>
      <c r="U128" s="19">
        <f t="shared" si="6"/>
        <v>0</v>
      </c>
      <c r="V128" s="19">
        <f t="shared" si="7"/>
        <v>0</v>
      </c>
      <c r="W128" s="19">
        <f t="shared" si="8"/>
        <v>0</v>
      </c>
      <c r="X128" s="20">
        <f t="shared" si="9"/>
        <v>0</v>
      </c>
      <c r="Y128" s="20">
        <f t="shared" si="10"/>
        <v>0</v>
      </c>
    </row>
    <row r="129" spans="1:25" ht="15.75" hidden="1" customHeight="1">
      <c r="A129" s="14" t="s">
        <v>268</v>
      </c>
      <c r="B129" s="15" t="s">
        <v>269</v>
      </c>
      <c r="C129" s="16">
        <v>246.5</v>
      </c>
      <c r="D129" s="16">
        <v>246.5</v>
      </c>
      <c r="E129" s="17">
        <v>3</v>
      </c>
      <c r="F129" s="18">
        <v>0</v>
      </c>
      <c r="G129" s="18">
        <v>0</v>
      </c>
      <c r="H129" s="36">
        <v>0</v>
      </c>
      <c r="I129" s="17">
        <v>0</v>
      </c>
      <c r="J129" s="17">
        <f t="shared" si="0"/>
        <v>3</v>
      </c>
      <c r="K129" s="37">
        <v>3</v>
      </c>
      <c r="L129" s="17">
        <v>0</v>
      </c>
      <c r="M129" s="17">
        <v>0</v>
      </c>
      <c r="N129" s="17">
        <f t="shared" si="1"/>
        <v>3</v>
      </c>
      <c r="O129" s="17">
        <f t="shared" si="2"/>
        <v>0</v>
      </c>
      <c r="P129" s="3"/>
      <c r="Q129" s="19">
        <f t="shared" si="3"/>
        <v>739.5</v>
      </c>
      <c r="R129" s="19">
        <v>0</v>
      </c>
      <c r="S129" s="19">
        <f t="shared" si="4"/>
        <v>0</v>
      </c>
      <c r="T129" s="19">
        <f t="shared" si="5"/>
        <v>0</v>
      </c>
      <c r="U129" s="19">
        <f t="shared" si="6"/>
        <v>0</v>
      </c>
      <c r="V129" s="19">
        <f t="shared" si="7"/>
        <v>0</v>
      </c>
      <c r="W129" s="19">
        <f t="shared" si="8"/>
        <v>739.5</v>
      </c>
      <c r="X129" s="20">
        <f t="shared" si="9"/>
        <v>739.5</v>
      </c>
      <c r="Y129" s="20">
        <f t="shared" si="10"/>
        <v>0</v>
      </c>
    </row>
    <row r="130" spans="1:25" ht="15.75" hidden="1" customHeight="1">
      <c r="A130" s="14" t="s">
        <v>270</v>
      </c>
      <c r="B130" s="15" t="s">
        <v>271</v>
      </c>
      <c r="C130" s="16">
        <v>797.5</v>
      </c>
      <c r="D130" s="16">
        <v>797.5</v>
      </c>
      <c r="E130" s="17">
        <v>1</v>
      </c>
      <c r="F130" s="18">
        <v>0</v>
      </c>
      <c r="G130" s="18">
        <v>0</v>
      </c>
      <c r="H130" s="36">
        <v>0</v>
      </c>
      <c r="I130" s="17">
        <v>0</v>
      </c>
      <c r="J130" s="17">
        <f t="shared" si="0"/>
        <v>1</v>
      </c>
      <c r="K130" s="37">
        <v>1</v>
      </c>
      <c r="L130" s="17">
        <v>0</v>
      </c>
      <c r="M130" s="17">
        <v>0</v>
      </c>
      <c r="N130" s="17">
        <f t="shared" si="1"/>
        <v>1</v>
      </c>
      <c r="O130" s="17">
        <f t="shared" si="2"/>
        <v>0</v>
      </c>
      <c r="P130" s="3"/>
      <c r="Q130" s="19">
        <f t="shared" si="3"/>
        <v>797.5</v>
      </c>
      <c r="R130" s="19">
        <v>0</v>
      </c>
      <c r="S130" s="19">
        <f t="shared" si="4"/>
        <v>0</v>
      </c>
      <c r="T130" s="19">
        <f t="shared" si="5"/>
        <v>0</v>
      </c>
      <c r="U130" s="19">
        <f t="shared" si="6"/>
        <v>0</v>
      </c>
      <c r="V130" s="19">
        <f t="shared" si="7"/>
        <v>0</v>
      </c>
      <c r="W130" s="19">
        <f t="shared" si="8"/>
        <v>797.5</v>
      </c>
      <c r="X130" s="20">
        <f t="shared" si="9"/>
        <v>797.5</v>
      </c>
      <c r="Y130" s="20">
        <f t="shared" si="10"/>
        <v>0</v>
      </c>
    </row>
    <row r="131" spans="1:25" ht="15.75" hidden="1" customHeight="1">
      <c r="A131" s="14" t="s">
        <v>272</v>
      </c>
      <c r="B131" s="15" t="s">
        <v>273</v>
      </c>
      <c r="C131" s="16">
        <v>165.33</v>
      </c>
      <c r="D131" s="16">
        <v>165.33</v>
      </c>
      <c r="E131" s="17">
        <v>1</v>
      </c>
      <c r="F131" s="18">
        <v>0</v>
      </c>
      <c r="G131" s="18">
        <v>0</v>
      </c>
      <c r="H131" s="36">
        <v>0</v>
      </c>
      <c r="I131" s="17">
        <v>0</v>
      </c>
      <c r="J131" s="17">
        <f t="shared" si="0"/>
        <v>1</v>
      </c>
      <c r="K131" s="37">
        <v>1</v>
      </c>
      <c r="L131" s="17">
        <v>0</v>
      </c>
      <c r="M131" s="17">
        <v>0</v>
      </c>
      <c r="N131" s="17">
        <f t="shared" si="1"/>
        <v>1</v>
      </c>
      <c r="O131" s="17">
        <f t="shared" si="2"/>
        <v>0</v>
      </c>
      <c r="P131" s="3"/>
      <c r="Q131" s="19">
        <f t="shared" si="3"/>
        <v>165.33</v>
      </c>
      <c r="R131" s="19">
        <v>0</v>
      </c>
      <c r="S131" s="19">
        <f t="shared" si="4"/>
        <v>0</v>
      </c>
      <c r="T131" s="19">
        <f t="shared" si="5"/>
        <v>0</v>
      </c>
      <c r="U131" s="19">
        <f t="shared" si="6"/>
        <v>0</v>
      </c>
      <c r="V131" s="19">
        <f t="shared" si="7"/>
        <v>0</v>
      </c>
      <c r="W131" s="19">
        <f t="shared" si="8"/>
        <v>165.33</v>
      </c>
      <c r="X131" s="20">
        <f t="shared" si="9"/>
        <v>165.33</v>
      </c>
      <c r="Y131" s="20">
        <f t="shared" si="10"/>
        <v>0</v>
      </c>
    </row>
    <row r="132" spans="1:25" ht="15.75" hidden="1" customHeight="1">
      <c r="A132" s="14" t="s">
        <v>274</v>
      </c>
      <c r="B132" s="15" t="s">
        <v>275</v>
      </c>
      <c r="C132" s="16">
        <v>350</v>
      </c>
      <c r="D132" s="16">
        <v>350</v>
      </c>
      <c r="E132" s="17">
        <v>0</v>
      </c>
      <c r="F132" s="18">
        <v>0</v>
      </c>
      <c r="G132" s="18">
        <v>0</v>
      </c>
      <c r="H132" s="36">
        <v>0</v>
      </c>
      <c r="I132" s="17">
        <v>0</v>
      </c>
      <c r="J132" s="17">
        <f t="shared" si="0"/>
        <v>0</v>
      </c>
      <c r="K132" s="37">
        <v>0</v>
      </c>
      <c r="L132" s="17">
        <v>0</v>
      </c>
      <c r="M132" s="17">
        <v>0</v>
      </c>
      <c r="N132" s="17">
        <f t="shared" si="1"/>
        <v>0</v>
      </c>
      <c r="O132" s="17">
        <f t="shared" si="2"/>
        <v>0</v>
      </c>
      <c r="P132" s="3"/>
      <c r="Q132" s="19">
        <f t="shared" si="3"/>
        <v>0</v>
      </c>
      <c r="R132" s="19">
        <v>0</v>
      </c>
      <c r="S132" s="19">
        <f t="shared" si="4"/>
        <v>0</v>
      </c>
      <c r="T132" s="19">
        <f t="shared" si="5"/>
        <v>0</v>
      </c>
      <c r="U132" s="19">
        <f t="shared" si="6"/>
        <v>0</v>
      </c>
      <c r="V132" s="19">
        <f t="shared" si="7"/>
        <v>0</v>
      </c>
      <c r="W132" s="19">
        <f t="shared" si="8"/>
        <v>0</v>
      </c>
      <c r="X132" s="20">
        <f t="shared" si="9"/>
        <v>0</v>
      </c>
      <c r="Y132" s="20">
        <f t="shared" si="10"/>
        <v>0</v>
      </c>
    </row>
    <row r="133" spans="1:25" ht="15.75" hidden="1" customHeight="1">
      <c r="A133" s="14" t="s">
        <v>276</v>
      </c>
      <c r="B133" s="15" t="s">
        <v>277</v>
      </c>
      <c r="C133" s="16">
        <v>820</v>
      </c>
      <c r="D133" s="16">
        <v>820</v>
      </c>
      <c r="E133" s="17">
        <v>0</v>
      </c>
      <c r="F133" s="18">
        <v>0</v>
      </c>
      <c r="G133" s="18">
        <v>0</v>
      </c>
      <c r="H133" s="36">
        <v>0</v>
      </c>
      <c r="I133" s="17">
        <v>0</v>
      </c>
      <c r="J133" s="17">
        <f t="shared" si="0"/>
        <v>0</v>
      </c>
      <c r="K133" s="37">
        <v>0</v>
      </c>
      <c r="L133" s="17">
        <v>0</v>
      </c>
      <c r="M133" s="17">
        <v>0</v>
      </c>
      <c r="N133" s="17">
        <f t="shared" si="1"/>
        <v>0</v>
      </c>
      <c r="O133" s="17">
        <f t="shared" si="2"/>
        <v>0</v>
      </c>
      <c r="P133" s="3"/>
      <c r="Q133" s="19">
        <f t="shared" si="3"/>
        <v>0</v>
      </c>
      <c r="R133" s="19">
        <v>0</v>
      </c>
      <c r="S133" s="19">
        <f t="shared" si="4"/>
        <v>0</v>
      </c>
      <c r="T133" s="19">
        <f t="shared" si="5"/>
        <v>0</v>
      </c>
      <c r="U133" s="19">
        <f t="shared" si="6"/>
        <v>0</v>
      </c>
      <c r="V133" s="19">
        <f t="shared" si="7"/>
        <v>0</v>
      </c>
      <c r="W133" s="19">
        <f t="shared" si="8"/>
        <v>0</v>
      </c>
      <c r="X133" s="20">
        <f t="shared" si="9"/>
        <v>0</v>
      </c>
      <c r="Y133" s="20">
        <f t="shared" si="10"/>
        <v>0</v>
      </c>
    </row>
    <row r="134" spans="1:25" ht="15.75" hidden="1" customHeight="1">
      <c r="A134" s="14" t="s">
        <v>278</v>
      </c>
      <c r="B134" s="15" t="s">
        <v>279</v>
      </c>
      <c r="C134" s="16">
        <v>176.29</v>
      </c>
      <c r="D134" s="16">
        <v>176.29</v>
      </c>
      <c r="E134" s="17">
        <v>0</v>
      </c>
      <c r="F134" s="18">
        <v>0</v>
      </c>
      <c r="G134" s="18">
        <v>0</v>
      </c>
      <c r="H134" s="36">
        <v>0</v>
      </c>
      <c r="I134" s="17">
        <v>0</v>
      </c>
      <c r="J134" s="17">
        <f t="shared" si="0"/>
        <v>0</v>
      </c>
      <c r="K134" s="37">
        <v>0</v>
      </c>
      <c r="L134" s="17">
        <v>0</v>
      </c>
      <c r="M134" s="17">
        <v>0</v>
      </c>
      <c r="N134" s="17">
        <f t="shared" si="1"/>
        <v>0</v>
      </c>
      <c r="O134" s="17">
        <f t="shared" si="2"/>
        <v>0</v>
      </c>
      <c r="P134" s="3"/>
      <c r="Q134" s="19">
        <f t="shared" si="3"/>
        <v>0</v>
      </c>
      <c r="R134" s="19">
        <v>0</v>
      </c>
      <c r="S134" s="19">
        <f t="shared" si="4"/>
        <v>0</v>
      </c>
      <c r="T134" s="19">
        <f t="shared" si="5"/>
        <v>0</v>
      </c>
      <c r="U134" s="19">
        <f t="shared" si="6"/>
        <v>0</v>
      </c>
      <c r="V134" s="19">
        <f t="shared" si="7"/>
        <v>0</v>
      </c>
      <c r="W134" s="19">
        <f t="shared" si="8"/>
        <v>0</v>
      </c>
      <c r="X134" s="20">
        <f t="shared" si="9"/>
        <v>0</v>
      </c>
      <c r="Y134" s="20">
        <f t="shared" si="10"/>
        <v>0</v>
      </c>
    </row>
    <row r="135" spans="1:25" ht="15.75" hidden="1" customHeight="1">
      <c r="A135" s="14" t="s">
        <v>280</v>
      </c>
      <c r="B135" s="15" t="s">
        <v>281</v>
      </c>
      <c r="C135" s="16">
        <v>159.5</v>
      </c>
      <c r="D135" s="16">
        <v>159.5</v>
      </c>
      <c r="E135" s="17">
        <v>6</v>
      </c>
      <c r="F135" s="18">
        <v>0</v>
      </c>
      <c r="G135" s="18">
        <v>0</v>
      </c>
      <c r="H135" s="36">
        <v>0</v>
      </c>
      <c r="I135" s="17">
        <v>0</v>
      </c>
      <c r="J135" s="17">
        <f t="shared" si="0"/>
        <v>6</v>
      </c>
      <c r="K135" s="37">
        <v>6</v>
      </c>
      <c r="L135" s="17">
        <v>0</v>
      </c>
      <c r="M135" s="17">
        <v>0</v>
      </c>
      <c r="N135" s="17">
        <f t="shared" si="1"/>
        <v>6</v>
      </c>
      <c r="O135" s="17">
        <f t="shared" si="2"/>
        <v>0</v>
      </c>
      <c r="P135" s="3"/>
      <c r="Q135" s="19">
        <f t="shared" si="3"/>
        <v>957</v>
      </c>
      <c r="R135" s="19">
        <v>0</v>
      </c>
      <c r="S135" s="19">
        <f t="shared" si="4"/>
        <v>0</v>
      </c>
      <c r="T135" s="19">
        <f t="shared" si="5"/>
        <v>0</v>
      </c>
      <c r="U135" s="19">
        <f t="shared" si="6"/>
        <v>0</v>
      </c>
      <c r="V135" s="19">
        <f t="shared" si="7"/>
        <v>0</v>
      </c>
      <c r="W135" s="19">
        <f t="shared" si="8"/>
        <v>957</v>
      </c>
      <c r="X135" s="20">
        <f t="shared" si="9"/>
        <v>957</v>
      </c>
      <c r="Y135" s="20">
        <f t="shared" si="10"/>
        <v>0</v>
      </c>
    </row>
    <row r="136" spans="1:25" ht="15.75" hidden="1" customHeight="1">
      <c r="A136" s="14" t="s">
        <v>282</v>
      </c>
      <c r="B136" s="15" t="s">
        <v>283</v>
      </c>
      <c r="C136" s="16">
        <v>179.8</v>
      </c>
      <c r="D136" s="16">
        <v>179.8</v>
      </c>
      <c r="E136" s="17">
        <v>0</v>
      </c>
      <c r="F136" s="18">
        <v>0</v>
      </c>
      <c r="G136" s="18">
        <v>0</v>
      </c>
      <c r="H136" s="36">
        <v>0</v>
      </c>
      <c r="I136" s="17">
        <v>0</v>
      </c>
      <c r="J136" s="17">
        <f t="shared" si="0"/>
        <v>0</v>
      </c>
      <c r="K136" s="37">
        <v>0</v>
      </c>
      <c r="L136" s="17">
        <v>0</v>
      </c>
      <c r="M136" s="17">
        <v>0</v>
      </c>
      <c r="N136" s="17">
        <f t="shared" si="1"/>
        <v>0</v>
      </c>
      <c r="O136" s="17">
        <f t="shared" si="2"/>
        <v>0</v>
      </c>
      <c r="P136" s="3"/>
      <c r="Q136" s="19">
        <f t="shared" si="3"/>
        <v>0</v>
      </c>
      <c r="R136" s="19">
        <v>0</v>
      </c>
      <c r="S136" s="19">
        <f t="shared" si="4"/>
        <v>0</v>
      </c>
      <c r="T136" s="19">
        <f t="shared" si="5"/>
        <v>0</v>
      </c>
      <c r="U136" s="19">
        <f t="shared" si="6"/>
        <v>0</v>
      </c>
      <c r="V136" s="19">
        <f t="shared" si="7"/>
        <v>0</v>
      </c>
      <c r="W136" s="19">
        <f t="shared" si="8"/>
        <v>0</v>
      </c>
      <c r="X136" s="20">
        <f t="shared" si="9"/>
        <v>0</v>
      </c>
      <c r="Y136" s="20">
        <f t="shared" si="10"/>
        <v>0</v>
      </c>
    </row>
    <row r="137" spans="1:25" ht="15.75" hidden="1" customHeight="1">
      <c r="A137" s="14" t="s">
        <v>284</v>
      </c>
      <c r="B137" s="15" t="s">
        <v>285</v>
      </c>
      <c r="C137" s="16">
        <v>279.04000000000002</v>
      </c>
      <c r="D137" s="16">
        <v>279.04000000000002</v>
      </c>
      <c r="E137" s="17">
        <v>0</v>
      </c>
      <c r="F137" s="18">
        <v>0</v>
      </c>
      <c r="G137" s="18">
        <v>0</v>
      </c>
      <c r="H137" s="36">
        <v>0</v>
      </c>
      <c r="I137" s="17">
        <v>0</v>
      </c>
      <c r="J137" s="17">
        <f t="shared" si="0"/>
        <v>0</v>
      </c>
      <c r="K137" s="37">
        <v>0</v>
      </c>
      <c r="L137" s="17">
        <v>0</v>
      </c>
      <c r="M137" s="17">
        <v>0</v>
      </c>
      <c r="N137" s="17">
        <f t="shared" si="1"/>
        <v>0</v>
      </c>
      <c r="O137" s="17">
        <f t="shared" si="2"/>
        <v>0</v>
      </c>
      <c r="P137" s="3"/>
      <c r="Q137" s="19">
        <f t="shared" si="3"/>
        <v>0</v>
      </c>
      <c r="R137" s="19">
        <v>0</v>
      </c>
      <c r="S137" s="19">
        <f t="shared" si="4"/>
        <v>0</v>
      </c>
      <c r="T137" s="19">
        <f t="shared" si="5"/>
        <v>0</v>
      </c>
      <c r="U137" s="19">
        <f t="shared" si="6"/>
        <v>0</v>
      </c>
      <c r="V137" s="19">
        <f t="shared" si="7"/>
        <v>0</v>
      </c>
      <c r="W137" s="19">
        <f t="shared" si="8"/>
        <v>0</v>
      </c>
      <c r="X137" s="20">
        <f t="shared" si="9"/>
        <v>0</v>
      </c>
      <c r="Y137" s="20">
        <f t="shared" si="10"/>
        <v>0</v>
      </c>
    </row>
    <row r="138" spans="1:25" ht="15.75" hidden="1" customHeight="1">
      <c r="A138" s="14" t="s">
        <v>286</v>
      </c>
      <c r="B138" s="15" t="s">
        <v>287</v>
      </c>
      <c r="C138" s="16">
        <v>152.25</v>
      </c>
      <c r="D138" s="16">
        <v>152.25</v>
      </c>
      <c r="E138" s="17">
        <v>7</v>
      </c>
      <c r="F138" s="18">
        <v>0</v>
      </c>
      <c r="G138" s="18">
        <v>0</v>
      </c>
      <c r="H138" s="36">
        <v>0</v>
      </c>
      <c r="I138" s="17">
        <v>0</v>
      </c>
      <c r="J138" s="17">
        <f t="shared" si="0"/>
        <v>7</v>
      </c>
      <c r="K138" s="37">
        <v>7</v>
      </c>
      <c r="L138" s="17">
        <v>0</v>
      </c>
      <c r="M138" s="17">
        <v>0</v>
      </c>
      <c r="N138" s="17">
        <f t="shared" si="1"/>
        <v>7</v>
      </c>
      <c r="O138" s="17">
        <f t="shared" si="2"/>
        <v>0</v>
      </c>
      <c r="P138" s="3"/>
      <c r="Q138" s="19">
        <f t="shared" si="3"/>
        <v>1065.75</v>
      </c>
      <c r="R138" s="19">
        <v>0</v>
      </c>
      <c r="S138" s="19">
        <f t="shared" si="4"/>
        <v>0</v>
      </c>
      <c r="T138" s="19">
        <f t="shared" si="5"/>
        <v>0</v>
      </c>
      <c r="U138" s="19">
        <f t="shared" si="6"/>
        <v>0</v>
      </c>
      <c r="V138" s="19">
        <f t="shared" si="7"/>
        <v>0</v>
      </c>
      <c r="W138" s="19">
        <f t="shared" si="8"/>
        <v>1065.75</v>
      </c>
      <c r="X138" s="20">
        <f t="shared" si="9"/>
        <v>1065.75</v>
      </c>
      <c r="Y138" s="20">
        <f t="shared" si="10"/>
        <v>0</v>
      </c>
    </row>
    <row r="139" spans="1:25" ht="15.75" hidden="1" customHeight="1">
      <c r="A139" s="14" t="s">
        <v>288</v>
      </c>
      <c r="B139" s="15" t="s">
        <v>289</v>
      </c>
      <c r="C139" s="16">
        <v>690</v>
      </c>
      <c r="D139" s="16">
        <v>690</v>
      </c>
      <c r="E139" s="17">
        <v>1</v>
      </c>
      <c r="F139" s="18">
        <v>0</v>
      </c>
      <c r="G139" s="18">
        <v>0</v>
      </c>
      <c r="H139" s="36">
        <v>0</v>
      </c>
      <c r="I139" s="17">
        <v>0</v>
      </c>
      <c r="J139" s="17">
        <f t="shared" si="0"/>
        <v>1</v>
      </c>
      <c r="K139" s="37">
        <v>0</v>
      </c>
      <c r="L139" s="17">
        <v>0</v>
      </c>
      <c r="M139" s="17">
        <v>1</v>
      </c>
      <c r="N139" s="17">
        <f t="shared" si="1"/>
        <v>1</v>
      </c>
      <c r="O139" s="17">
        <f t="shared" si="2"/>
        <v>0</v>
      </c>
      <c r="P139" s="3"/>
      <c r="Q139" s="19">
        <f t="shared" si="3"/>
        <v>690</v>
      </c>
      <c r="R139" s="19">
        <v>0</v>
      </c>
      <c r="S139" s="19">
        <f t="shared" si="4"/>
        <v>0</v>
      </c>
      <c r="T139" s="19">
        <f t="shared" si="5"/>
        <v>0</v>
      </c>
      <c r="U139" s="19">
        <f t="shared" si="6"/>
        <v>0</v>
      </c>
      <c r="V139" s="19">
        <f t="shared" si="7"/>
        <v>0</v>
      </c>
      <c r="W139" s="19">
        <f t="shared" si="8"/>
        <v>690</v>
      </c>
      <c r="X139" s="20">
        <f t="shared" si="9"/>
        <v>690</v>
      </c>
      <c r="Y139" s="20">
        <f t="shared" si="10"/>
        <v>0</v>
      </c>
    </row>
    <row r="140" spans="1:25" ht="15.75" hidden="1" customHeight="1">
      <c r="A140" s="14" t="s">
        <v>290</v>
      </c>
      <c r="B140" s="15" t="s">
        <v>291</v>
      </c>
      <c r="C140" s="16">
        <v>650</v>
      </c>
      <c r="D140" s="16">
        <v>650</v>
      </c>
      <c r="E140" s="17">
        <v>2</v>
      </c>
      <c r="F140" s="18">
        <v>0</v>
      </c>
      <c r="G140" s="18">
        <v>0</v>
      </c>
      <c r="H140" s="36">
        <v>0</v>
      </c>
      <c r="I140" s="17">
        <v>0</v>
      </c>
      <c r="J140" s="17">
        <f t="shared" si="0"/>
        <v>2</v>
      </c>
      <c r="K140" s="37">
        <v>0</v>
      </c>
      <c r="L140" s="17">
        <v>0</v>
      </c>
      <c r="M140" s="17">
        <v>2</v>
      </c>
      <c r="N140" s="17">
        <f t="shared" si="1"/>
        <v>2</v>
      </c>
      <c r="O140" s="17">
        <f t="shared" si="2"/>
        <v>0</v>
      </c>
      <c r="P140" s="3"/>
      <c r="Q140" s="19">
        <f t="shared" si="3"/>
        <v>1300</v>
      </c>
      <c r="R140" s="19">
        <v>0</v>
      </c>
      <c r="S140" s="19">
        <f t="shared" si="4"/>
        <v>0</v>
      </c>
      <c r="T140" s="19">
        <f t="shared" si="5"/>
        <v>0</v>
      </c>
      <c r="U140" s="19">
        <f t="shared" si="6"/>
        <v>0</v>
      </c>
      <c r="V140" s="19">
        <f t="shared" si="7"/>
        <v>0</v>
      </c>
      <c r="W140" s="19">
        <f t="shared" si="8"/>
        <v>1300</v>
      </c>
      <c r="X140" s="20">
        <f t="shared" si="9"/>
        <v>1300</v>
      </c>
      <c r="Y140" s="20">
        <f t="shared" si="10"/>
        <v>0</v>
      </c>
    </row>
    <row r="141" spans="1:25" ht="15.75" hidden="1" customHeight="1">
      <c r="A141" s="14" t="s">
        <v>292</v>
      </c>
      <c r="B141" s="15" t="s">
        <v>293</v>
      </c>
      <c r="C141" s="16">
        <v>590</v>
      </c>
      <c r="D141" s="16">
        <v>590</v>
      </c>
      <c r="E141" s="17">
        <v>1</v>
      </c>
      <c r="F141" s="18">
        <v>0</v>
      </c>
      <c r="G141" s="18">
        <v>0</v>
      </c>
      <c r="H141" s="36">
        <v>0</v>
      </c>
      <c r="I141" s="17">
        <v>0</v>
      </c>
      <c r="J141" s="17">
        <f t="shared" si="0"/>
        <v>1</v>
      </c>
      <c r="K141" s="37">
        <v>0</v>
      </c>
      <c r="L141" s="17">
        <v>0</v>
      </c>
      <c r="M141" s="17">
        <v>1</v>
      </c>
      <c r="N141" s="17">
        <f t="shared" si="1"/>
        <v>1</v>
      </c>
      <c r="O141" s="17">
        <f t="shared" si="2"/>
        <v>0</v>
      </c>
      <c r="P141" s="3"/>
      <c r="Q141" s="19">
        <f t="shared" si="3"/>
        <v>590</v>
      </c>
      <c r="R141" s="19">
        <v>0</v>
      </c>
      <c r="S141" s="19">
        <f t="shared" si="4"/>
        <v>0</v>
      </c>
      <c r="T141" s="19">
        <f t="shared" si="5"/>
        <v>0</v>
      </c>
      <c r="U141" s="19">
        <f t="shared" si="6"/>
        <v>0</v>
      </c>
      <c r="V141" s="19">
        <f t="shared" si="7"/>
        <v>0</v>
      </c>
      <c r="W141" s="19">
        <f t="shared" si="8"/>
        <v>590</v>
      </c>
      <c r="X141" s="20">
        <f t="shared" si="9"/>
        <v>590</v>
      </c>
      <c r="Y141" s="20">
        <f t="shared" si="10"/>
        <v>0</v>
      </c>
    </row>
    <row r="142" spans="1:25" ht="15.75" hidden="1" customHeight="1">
      <c r="A142" s="14" t="s">
        <v>294</v>
      </c>
      <c r="B142" s="15" t="s">
        <v>295</v>
      </c>
      <c r="C142" s="16">
        <v>0</v>
      </c>
      <c r="D142" s="16">
        <v>0</v>
      </c>
      <c r="E142" s="17">
        <v>0</v>
      </c>
      <c r="F142" s="18">
        <v>0</v>
      </c>
      <c r="G142" s="18">
        <v>0</v>
      </c>
      <c r="H142" s="36">
        <v>0</v>
      </c>
      <c r="I142" s="17">
        <v>0</v>
      </c>
      <c r="J142" s="17">
        <f t="shared" si="0"/>
        <v>0</v>
      </c>
      <c r="K142" s="37">
        <v>0</v>
      </c>
      <c r="L142" s="17">
        <v>0</v>
      </c>
      <c r="M142" s="17">
        <v>0</v>
      </c>
      <c r="N142" s="17">
        <f t="shared" si="1"/>
        <v>0</v>
      </c>
      <c r="O142" s="17">
        <f t="shared" si="2"/>
        <v>0</v>
      </c>
      <c r="P142" s="3"/>
      <c r="Q142" s="19">
        <f t="shared" si="3"/>
        <v>0</v>
      </c>
      <c r="R142" s="19">
        <v>0</v>
      </c>
      <c r="S142" s="19">
        <f t="shared" si="4"/>
        <v>0</v>
      </c>
      <c r="T142" s="19">
        <f t="shared" si="5"/>
        <v>0</v>
      </c>
      <c r="U142" s="19">
        <f t="shared" si="6"/>
        <v>0</v>
      </c>
      <c r="V142" s="19">
        <f t="shared" si="7"/>
        <v>0</v>
      </c>
      <c r="W142" s="19">
        <f t="shared" si="8"/>
        <v>0</v>
      </c>
      <c r="X142" s="20">
        <f t="shared" si="9"/>
        <v>0</v>
      </c>
      <c r="Y142" s="20">
        <f t="shared" si="10"/>
        <v>0</v>
      </c>
    </row>
    <row r="143" spans="1:25" ht="15.75" hidden="1" customHeight="1">
      <c r="A143" s="14" t="s">
        <v>296</v>
      </c>
      <c r="B143" s="15" t="s">
        <v>297</v>
      </c>
      <c r="C143" s="16">
        <v>220.17</v>
      </c>
      <c r="D143" s="16">
        <v>220.17</v>
      </c>
      <c r="E143" s="17">
        <v>3</v>
      </c>
      <c r="F143" s="18">
        <v>0</v>
      </c>
      <c r="G143" s="18">
        <v>0</v>
      </c>
      <c r="H143" s="36">
        <v>0</v>
      </c>
      <c r="I143" s="17">
        <v>0</v>
      </c>
      <c r="J143" s="17">
        <f t="shared" si="0"/>
        <v>3</v>
      </c>
      <c r="K143" s="37">
        <v>3</v>
      </c>
      <c r="L143" s="17">
        <v>0</v>
      </c>
      <c r="M143" s="17">
        <v>0</v>
      </c>
      <c r="N143" s="17">
        <f t="shared" si="1"/>
        <v>3</v>
      </c>
      <c r="O143" s="17">
        <f t="shared" si="2"/>
        <v>0</v>
      </c>
      <c r="P143" s="3"/>
      <c r="Q143" s="19">
        <f t="shared" si="3"/>
        <v>660.51</v>
      </c>
      <c r="R143" s="19">
        <v>0</v>
      </c>
      <c r="S143" s="19">
        <f t="shared" si="4"/>
        <v>0</v>
      </c>
      <c r="T143" s="19">
        <f t="shared" si="5"/>
        <v>0</v>
      </c>
      <c r="U143" s="19">
        <f t="shared" si="6"/>
        <v>0</v>
      </c>
      <c r="V143" s="19">
        <f t="shared" si="7"/>
        <v>0</v>
      </c>
      <c r="W143" s="19">
        <f t="shared" si="8"/>
        <v>660.51</v>
      </c>
      <c r="X143" s="20">
        <f t="shared" si="9"/>
        <v>660.51</v>
      </c>
      <c r="Y143" s="20">
        <f t="shared" si="10"/>
        <v>0</v>
      </c>
    </row>
    <row r="144" spans="1:25" ht="15.75" hidden="1" customHeight="1">
      <c r="A144" s="14" t="s">
        <v>298</v>
      </c>
      <c r="B144" s="15" t="s">
        <v>299</v>
      </c>
      <c r="C144" s="16">
        <v>50</v>
      </c>
      <c r="D144" s="16">
        <v>50</v>
      </c>
      <c r="E144" s="17">
        <v>0</v>
      </c>
      <c r="F144" s="18">
        <v>0</v>
      </c>
      <c r="G144" s="18">
        <v>0</v>
      </c>
      <c r="H144" s="36">
        <v>0</v>
      </c>
      <c r="I144" s="17">
        <v>0</v>
      </c>
      <c r="J144" s="17">
        <f t="shared" si="0"/>
        <v>0</v>
      </c>
      <c r="K144" s="37">
        <v>0</v>
      </c>
      <c r="L144" s="17">
        <v>0</v>
      </c>
      <c r="M144" s="17">
        <v>0</v>
      </c>
      <c r="N144" s="17">
        <f t="shared" si="1"/>
        <v>0</v>
      </c>
      <c r="O144" s="17">
        <f t="shared" si="2"/>
        <v>0</v>
      </c>
      <c r="P144" s="3"/>
      <c r="Q144" s="19">
        <f t="shared" si="3"/>
        <v>0</v>
      </c>
      <c r="R144" s="19">
        <v>0</v>
      </c>
      <c r="S144" s="19">
        <f t="shared" si="4"/>
        <v>0</v>
      </c>
      <c r="T144" s="19">
        <f t="shared" si="5"/>
        <v>0</v>
      </c>
      <c r="U144" s="19">
        <f t="shared" si="6"/>
        <v>0</v>
      </c>
      <c r="V144" s="19">
        <f t="shared" si="7"/>
        <v>0</v>
      </c>
      <c r="W144" s="19">
        <f t="shared" si="8"/>
        <v>0</v>
      </c>
      <c r="X144" s="20">
        <f t="shared" si="9"/>
        <v>0</v>
      </c>
      <c r="Y144" s="20">
        <f t="shared" si="10"/>
        <v>0</v>
      </c>
    </row>
    <row r="145" spans="1:25" ht="15.75" hidden="1" customHeight="1">
      <c r="A145" s="14" t="s">
        <v>300</v>
      </c>
      <c r="B145" s="15" t="s">
        <v>301</v>
      </c>
      <c r="C145" s="16">
        <v>467.15</v>
      </c>
      <c r="D145" s="16">
        <v>467.15</v>
      </c>
      <c r="E145" s="17">
        <v>0</v>
      </c>
      <c r="F145" s="18">
        <v>0</v>
      </c>
      <c r="G145" s="18">
        <v>0</v>
      </c>
      <c r="H145" s="36">
        <v>0</v>
      </c>
      <c r="I145" s="17">
        <v>0</v>
      </c>
      <c r="J145" s="17">
        <f t="shared" si="0"/>
        <v>0</v>
      </c>
      <c r="K145" s="37">
        <v>0</v>
      </c>
      <c r="L145" s="17">
        <v>0</v>
      </c>
      <c r="M145" s="17">
        <v>0</v>
      </c>
      <c r="N145" s="17">
        <f t="shared" si="1"/>
        <v>0</v>
      </c>
      <c r="O145" s="17">
        <f t="shared" si="2"/>
        <v>0</v>
      </c>
      <c r="P145" s="3"/>
      <c r="Q145" s="19">
        <f t="shared" si="3"/>
        <v>0</v>
      </c>
      <c r="R145" s="19">
        <v>0</v>
      </c>
      <c r="S145" s="19">
        <f t="shared" si="4"/>
        <v>0</v>
      </c>
      <c r="T145" s="19">
        <f t="shared" si="5"/>
        <v>0</v>
      </c>
      <c r="U145" s="19">
        <f t="shared" si="6"/>
        <v>0</v>
      </c>
      <c r="V145" s="19">
        <f t="shared" si="7"/>
        <v>0</v>
      </c>
      <c r="W145" s="19">
        <f t="shared" si="8"/>
        <v>0</v>
      </c>
      <c r="X145" s="20">
        <f t="shared" si="9"/>
        <v>0</v>
      </c>
      <c r="Y145" s="20">
        <f t="shared" si="10"/>
        <v>0</v>
      </c>
    </row>
    <row r="146" spans="1:25" ht="15.75" hidden="1" customHeight="1">
      <c r="A146" s="14" t="s">
        <v>302</v>
      </c>
      <c r="B146" s="15" t="s">
        <v>303</v>
      </c>
      <c r="C146" s="16">
        <v>680</v>
      </c>
      <c r="D146" s="16">
        <v>680</v>
      </c>
      <c r="E146" s="17">
        <v>1</v>
      </c>
      <c r="F146" s="18">
        <v>0</v>
      </c>
      <c r="G146" s="18">
        <v>0</v>
      </c>
      <c r="H146" s="36">
        <v>0</v>
      </c>
      <c r="I146" s="17">
        <v>0</v>
      </c>
      <c r="J146" s="17">
        <f t="shared" si="0"/>
        <v>1</v>
      </c>
      <c r="K146" s="37">
        <v>1</v>
      </c>
      <c r="L146" s="17">
        <v>0</v>
      </c>
      <c r="M146" s="17">
        <v>0</v>
      </c>
      <c r="N146" s="17">
        <f t="shared" si="1"/>
        <v>1</v>
      </c>
      <c r="O146" s="17">
        <f t="shared" si="2"/>
        <v>0</v>
      </c>
      <c r="P146" s="3"/>
      <c r="Q146" s="19">
        <f t="shared" si="3"/>
        <v>680</v>
      </c>
      <c r="R146" s="19">
        <v>0</v>
      </c>
      <c r="S146" s="19">
        <f t="shared" si="4"/>
        <v>0</v>
      </c>
      <c r="T146" s="19">
        <f t="shared" si="5"/>
        <v>0</v>
      </c>
      <c r="U146" s="19">
        <f t="shared" si="6"/>
        <v>0</v>
      </c>
      <c r="V146" s="19">
        <f t="shared" si="7"/>
        <v>0</v>
      </c>
      <c r="W146" s="19">
        <f t="shared" si="8"/>
        <v>680</v>
      </c>
      <c r="X146" s="20">
        <f t="shared" si="9"/>
        <v>680</v>
      </c>
      <c r="Y146" s="20">
        <f t="shared" si="10"/>
        <v>0</v>
      </c>
    </row>
    <row r="147" spans="1:25" ht="15.75" hidden="1" customHeight="1">
      <c r="A147" s="14" t="s">
        <v>304</v>
      </c>
      <c r="B147" s="15" t="s">
        <v>305</v>
      </c>
      <c r="C147" s="16">
        <v>0</v>
      </c>
      <c r="D147" s="16">
        <v>0</v>
      </c>
      <c r="E147" s="17">
        <v>0</v>
      </c>
      <c r="F147" s="18">
        <v>0</v>
      </c>
      <c r="G147" s="18">
        <v>0</v>
      </c>
      <c r="H147" s="36">
        <v>0</v>
      </c>
      <c r="I147" s="17">
        <v>0</v>
      </c>
      <c r="J147" s="17">
        <f t="shared" si="0"/>
        <v>0</v>
      </c>
      <c r="K147" s="37">
        <v>0</v>
      </c>
      <c r="L147" s="17">
        <v>0</v>
      </c>
      <c r="M147" s="17">
        <v>0</v>
      </c>
      <c r="N147" s="17">
        <f t="shared" si="1"/>
        <v>0</v>
      </c>
      <c r="O147" s="17">
        <f t="shared" si="2"/>
        <v>0</v>
      </c>
      <c r="P147" s="3"/>
      <c r="Q147" s="19">
        <f t="shared" si="3"/>
        <v>0</v>
      </c>
      <c r="R147" s="19">
        <v>0</v>
      </c>
      <c r="S147" s="19">
        <f t="shared" si="4"/>
        <v>0</v>
      </c>
      <c r="T147" s="19">
        <f t="shared" si="5"/>
        <v>0</v>
      </c>
      <c r="U147" s="19">
        <f t="shared" si="6"/>
        <v>0</v>
      </c>
      <c r="V147" s="19">
        <f t="shared" si="7"/>
        <v>0</v>
      </c>
      <c r="W147" s="19">
        <f t="shared" si="8"/>
        <v>0</v>
      </c>
      <c r="X147" s="20">
        <f t="shared" si="9"/>
        <v>0</v>
      </c>
      <c r="Y147" s="20">
        <f t="shared" si="10"/>
        <v>0</v>
      </c>
    </row>
    <row r="148" spans="1:25" ht="15.75" hidden="1" customHeight="1">
      <c r="A148" s="14" t="s">
        <v>306</v>
      </c>
      <c r="B148" s="15" t="s">
        <v>307</v>
      </c>
      <c r="C148" s="16">
        <v>1850</v>
      </c>
      <c r="D148" s="16">
        <v>1850</v>
      </c>
      <c r="E148" s="17">
        <v>0</v>
      </c>
      <c r="F148" s="18">
        <v>0</v>
      </c>
      <c r="G148" s="18">
        <v>0</v>
      </c>
      <c r="H148" s="36">
        <v>0</v>
      </c>
      <c r="I148" s="17">
        <v>0</v>
      </c>
      <c r="J148" s="17">
        <f t="shared" si="0"/>
        <v>0</v>
      </c>
      <c r="K148" s="37">
        <v>0</v>
      </c>
      <c r="L148" s="17">
        <v>0</v>
      </c>
      <c r="M148" s="17">
        <v>0</v>
      </c>
      <c r="N148" s="17">
        <f t="shared" si="1"/>
        <v>0</v>
      </c>
      <c r="O148" s="17">
        <f t="shared" si="2"/>
        <v>0</v>
      </c>
      <c r="P148" s="3"/>
      <c r="Q148" s="19">
        <f t="shared" si="3"/>
        <v>0</v>
      </c>
      <c r="R148" s="19">
        <v>0</v>
      </c>
      <c r="S148" s="19">
        <f t="shared" si="4"/>
        <v>0</v>
      </c>
      <c r="T148" s="19">
        <f t="shared" si="5"/>
        <v>0</v>
      </c>
      <c r="U148" s="19">
        <f t="shared" si="6"/>
        <v>0</v>
      </c>
      <c r="V148" s="19">
        <f t="shared" si="7"/>
        <v>0</v>
      </c>
      <c r="W148" s="19">
        <f t="shared" si="8"/>
        <v>0</v>
      </c>
      <c r="X148" s="20">
        <f t="shared" si="9"/>
        <v>0</v>
      </c>
      <c r="Y148" s="20">
        <f t="shared" si="10"/>
        <v>0</v>
      </c>
    </row>
    <row r="149" spans="1:25" ht="15.75" hidden="1" customHeight="1">
      <c r="A149" s="14" t="s">
        <v>308</v>
      </c>
      <c r="B149" s="15" t="s">
        <v>309</v>
      </c>
      <c r="C149" s="16">
        <v>450</v>
      </c>
      <c r="D149" s="16">
        <v>450</v>
      </c>
      <c r="E149" s="17">
        <v>1</v>
      </c>
      <c r="F149" s="18">
        <v>0</v>
      </c>
      <c r="G149" s="18">
        <v>0</v>
      </c>
      <c r="H149" s="36">
        <v>0</v>
      </c>
      <c r="I149" s="17">
        <v>0</v>
      </c>
      <c r="J149" s="17">
        <f t="shared" si="0"/>
        <v>1</v>
      </c>
      <c r="K149" s="37">
        <v>1</v>
      </c>
      <c r="L149" s="17">
        <v>0</v>
      </c>
      <c r="M149" s="17">
        <v>0</v>
      </c>
      <c r="N149" s="17">
        <f t="shared" si="1"/>
        <v>1</v>
      </c>
      <c r="O149" s="17">
        <f t="shared" si="2"/>
        <v>0</v>
      </c>
      <c r="P149" s="3"/>
      <c r="Q149" s="19">
        <f t="shared" si="3"/>
        <v>450</v>
      </c>
      <c r="R149" s="19">
        <v>0</v>
      </c>
      <c r="S149" s="19">
        <f t="shared" si="4"/>
        <v>0</v>
      </c>
      <c r="T149" s="19">
        <f t="shared" si="5"/>
        <v>0</v>
      </c>
      <c r="U149" s="19">
        <f t="shared" si="6"/>
        <v>0</v>
      </c>
      <c r="V149" s="19">
        <f t="shared" si="7"/>
        <v>0</v>
      </c>
      <c r="W149" s="19">
        <f t="shared" si="8"/>
        <v>450</v>
      </c>
      <c r="X149" s="20">
        <f t="shared" si="9"/>
        <v>450</v>
      </c>
      <c r="Y149" s="20">
        <f t="shared" si="10"/>
        <v>0</v>
      </c>
    </row>
    <row r="150" spans="1:25" ht="15.75" hidden="1" customHeight="1">
      <c r="A150" s="14" t="s">
        <v>310</v>
      </c>
      <c r="B150" s="15" t="s">
        <v>311</v>
      </c>
      <c r="C150" s="16">
        <v>62.64</v>
      </c>
      <c r="D150" s="16">
        <v>62.64</v>
      </c>
      <c r="E150" s="17">
        <v>0</v>
      </c>
      <c r="F150" s="18">
        <v>0</v>
      </c>
      <c r="G150" s="18">
        <v>0</v>
      </c>
      <c r="H150" s="36">
        <v>0</v>
      </c>
      <c r="I150" s="17">
        <v>0</v>
      </c>
      <c r="J150" s="17">
        <f t="shared" si="0"/>
        <v>0</v>
      </c>
      <c r="K150" s="37">
        <v>0</v>
      </c>
      <c r="L150" s="17">
        <v>0</v>
      </c>
      <c r="M150" s="17">
        <v>0</v>
      </c>
      <c r="N150" s="17">
        <f t="shared" si="1"/>
        <v>0</v>
      </c>
      <c r="O150" s="17">
        <f t="shared" si="2"/>
        <v>0</v>
      </c>
      <c r="P150" s="3"/>
      <c r="Q150" s="19">
        <f t="shared" si="3"/>
        <v>0</v>
      </c>
      <c r="R150" s="19">
        <v>0</v>
      </c>
      <c r="S150" s="19">
        <f t="shared" si="4"/>
        <v>0</v>
      </c>
      <c r="T150" s="19">
        <f t="shared" si="5"/>
        <v>0</v>
      </c>
      <c r="U150" s="19">
        <f t="shared" si="6"/>
        <v>0</v>
      </c>
      <c r="V150" s="19">
        <f t="shared" si="7"/>
        <v>0</v>
      </c>
      <c r="W150" s="19">
        <f t="shared" si="8"/>
        <v>0</v>
      </c>
      <c r="X150" s="20">
        <f t="shared" si="9"/>
        <v>0</v>
      </c>
      <c r="Y150" s="20">
        <f t="shared" si="10"/>
        <v>0</v>
      </c>
    </row>
    <row r="151" spans="1:25" ht="15.75" hidden="1" customHeight="1">
      <c r="A151" s="14" t="s">
        <v>312</v>
      </c>
      <c r="B151" s="15" t="s">
        <v>313</v>
      </c>
      <c r="C151" s="16">
        <v>420.5</v>
      </c>
      <c r="D151" s="16">
        <v>420.5</v>
      </c>
      <c r="E151" s="17">
        <v>5</v>
      </c>
      <c r="F151" s="18">
        <v>0</v>
      </c>
      <c r="G151" s="18">
        <v>0</v>
      </c>
      <c r="H151" s="36">
        <v>0</v>
      </c>
      <c r="I151" s="17">
        <v>0</v>
      </c>
      <c r="J151" s="17">
        <f t="shared" si="0"/>
        <v>5</v>
      </c>
      <c r="K151" s="37">
        <v>5</v>
      </c>
      <c r="L151" s="17">
        <v>0</v>
      </c>
      <c r="M151" s="17">
        <v>0</v>
      </c>
      <c r="N151" s="17">
        <f t="shared" si="1"/>
        <v>5</v>
      </c>
      <c r="O151" s="17">
        <f t="shared" si="2"/>
        <v>0</v>
      </c>
      <c r="P151" s="3"/>
      <c r="Q151" s="19">
        <f t="shared" si="3"/>
        <v>2102.5</v>
      </c>
      <c r="R151" s="19">
        <v>0</v>
      </c>
      <c r="S151" s="19">
        <f t="shared" si="4"/>
        <v>0</v>
      </c>
      <c r="T151" s="19">
        <f t="shared" si="5"/>
        <v>0</v>
      </c>
      <c r="U151" s="19">
        <f t="shared" si="6"/>
        <v>0</v>
      </c>
      <c r="V151" s="19">
        <f t="shared" si="7"/>
        <v>0</v>
      </c>
      <c r="W151" s="19">
        <f t="shared" si="8"/>
        <v>2102.5</v>
      </c>
      <c r="X151" s="20">
        <f t="shared" si="9"/>
        <v>2102.5</v>
      </c>
      <c r="Y151" s="20">
        <f t="shared" si="10"/>
        <v>0</v>
      </c>
    </row>
    <row r="152" spans="1:25" ht="15.75" hidden="1" customHeight="1">
      <c r="A152" s="14" t="s">
        <v>314</v>
      </c>
      <c r="B152" s="15" t="s">
        <v>315</v>
      </c>
      <c r="C152" s="16">
        <v>290</v>
      </c>
      <c r="D152" s="16">
        <v>290</v>
      </c>
      <c r="E152" s="17">
        <v>2</v>
      </c>
      <c r="F152" s="18">
        <v>0</v>
      </c>
      <c r="G152" s="18">
        <v>0</v>
      </c>
      <c r="H152" s="36">
        <v>0</v>
      </c>
      <c r="I152" s="17">
        <v>0</v>
      </c>
      <c r="J152" s="17">
        <f t="shared" si="0"/>
        <v>2</v>
      </c>
      <c r="K152" s="37">
        <v>2</v>
      </c>
      <c r="L152" s="17">
        <v>0</v>
      </c>
      <c r="M152" s="17">
        <v>0</v>
      </c>
      <c r="N152" s="17">
        <f t="shared" si="1"/>
        <v>2</v>
      </c>
      <c r="O152" s="17">
        <f t="shared" si="2"/>
        <v>0</v>
      </c>
      <c r="P152" s="3"/>
      <c r="Q152" s="19">
        <f t="shared" si="3"/>
        <v>580</v>
      </c>
      <c r="R152" s="19">
        <v>0</v>
      </c>
      <c r="S152" s="19">
        <f t="shared" si="4"/>
        <v>0</v>
      </c>
      <c r="T152" s="19">
        <f t="shared" si="5"/>
        <v>0</v>
      </c>
      <c r="U152" s="19">
        <f t="shared" si="6"/>
        <v>0</v>
      </c>
      <c r="V152" s="19">
        <f t="shared" si="7"/>
        <v>0</v>
      </c>
      <c r="W152" s="19">
        <f t="shared" si="8"/>
        <v>580</v>
      </c>
      <c r="X152" s="20">
        <f t="shared" si="9"/>
        <v>580</v>
      </c>
      <c r="Y152" s="20">
        <f t="shared" si="10"/>
        <v>0</v>
      </c>
    </row>
    <row r="153" spans="1:25" ht="15.75" hidden="1" customHeight="1">
      <c r="A153" s="14" t="s">
        <v>316</v>
      </c>
      <c r="B153" s="15" t="s">
        <v>317</v>
      </c>
      <c r="C153" s="16">
        <v>443</v>
      </c>
      <c r="D153" s="16">
        <v>443</v>
      </c>
      <c r="E153" s="17">
        <v>4</v>
      </c>
      <c r="F153" s="18">
        <v>0</v>
      </c>
      <c r="G153" s="18">
        <v>0</v>
      </c>
      <c r="H153" s="36">
        <v>0</v>
      </c>
      <c r="I153" s="17">
        <v>0</v>
      </c>
      <c r="J153" s="17">
        <f t="shared" si="0"/>
        <v>4</v>
      </c>
      <c r="K153" s="37">
        <v>4</v>
      </c>
      <c r="L153" s="17">
        <v>0</v>
      </c>
      <c r="M153" s="17">
        <v>0</v>
      </c>
      <c r="N153" s="17">
        <f t="shared" si="1"/>
        <v>4</v>
      </c>
      <c r="O153" s="17">
        <f t="shared" si="2"/>
        <v>0</v>
      </c>
      <c r="P153" s="3"/>
      <c r="Q153" s="19">
        <f t="shared" si="3"/>
        <v>1772</v>
      </c>
      <c r="R153" s="19">
        <v>0</v>
      </c>
      <c r="S153" s="19">
        <f t="shared" si="4"/>
        <v>0</v>
      </c>
      <c r="T153" s="19">
        <f t="shared" si="5"/>
        <v>0</v>
      </c>
      <c r="U153" s="19">
        <f t="shared" si="6"/>
        <v>0</v>
      </c>
      <c r="V153" s="19">
        <f t="shared" si="7"/>
        <v>0</v>
      </c>
      <c r="W153" s="19">
        <f t="shared" si="8"/>
        <v>1772</v>
      </c>
      <c r="X153" s="20">
        <f t="shared" si="9"/>
        <v>1772</v>
      </c>
      <c r="Y153" s="20">
        <f t="shared" si="10"/>
        <v>0</v>
      </c>
    </row>
    <row r="154" spans="1:25" ht="15.75" hidden="1" customHeight="1">
      <c r="A154" s="14" t="s">
        <v>318</v>
      </c>
      <c r="B154" s="15" t="s">
        <v>319</v>
      </c>
      <c r="C154" s="16">
        <v>319</v>
      </c>
      <c r="D154" s="16">
        <v>319</v>
      </c>
      <c r="E154" s="17">
        <v>3</v>
      </c>
      <c r="F154" s="18">
        <v>0</v>
      </c>
      <c r="G154" s="18">
        <v>0</v>
      </c>
      <c r="H154" s="36">
        <v>0</v>
      </c>
      <c r="I154" s="17">
        <v>0</v>
      </c>
      <c r="J154" s="17">
        <f t="shared" si="0"/>
        <v>3</v>
      </c>
      <c r="K154" s="37">
        <v>3</v>
      </c>
      <c r="L154" s="17">
        <v>0</v>
      </c>
      <c r="M154" s="17">
        <v>0</v>
      </c>
      <c r="N154" s="17">
        <f t="shared" si="1"/>
        <v>3</v>
      </c>
      <c r="O154" s="17">
        <f t="shared" si="2"/>
        <v>0</v>
      </c>
      <c r="P154" s="3"/>
      <c r="Q154" s="19">
        <f t="shared" si="3"/>
        <v>957</v>
      </c>
      <c r="R154" s="19">
        <v>0</v>
      </c>
      <c r="S154" s="19">
        <f t="shared" si="4"/>
        <v>0</v>
      </c>
      <c r="T154" s="19">
        <f t="shared" si="5"/>
        <v>0</v>
      </c>
      <c r="U154" s="19">
        <f t="shared" si="6"/>
        <v>0</v>
      </c>
      <c r="V154" s="19">
        <f t="shared" si="7"/>
        <v>0</v>
      </c>
      <c r="W154" s="19">
        <f t="shared" si="8"/>
        <v>957</v>
      </c>
      <c r="X154" s="20">
        <f t="shared" si="9"/>
        <v>957</v>
      </c>
      <c r="Y154" s="20">
        <f t="shared" si="10"/>
        <v>0</v>
      </c>
    </row>
    <row r="155" spans="1:25" ht="15.75" hidden="1" customHeight="1">
      <c r="A155" s="14" t="s">
        <v>320</v>
      </c>
      <c r="B155" s="15" t="s">
        <v>321</v>
      </c>
      <c r="C155" s="16">
        <v>2.35</v>
      </c>
      <c r="D155" s="16">
        <v>2.35</v>
      </c>
      <c r="E155" s="17">
        <v>0</v>
      </c>
      <c r="F155" s="18">
        <v>0</v>
      </c>
      <c r="G155" s="18">
        <v>0</v>
      </c>
      <c r="H155" s="36">
        <v>0</v>
      </c>
      <c r="I155" s="17">
        <v>0</v>
      </c>
      <c r="J155" s="17">
        <f t="shared" si="0"/>
        <v>0</v>
      </c>
      <c r="K155" s="37">
        <v>0</v>
      </c>
      <c r="L155" s="17">
        <v>0</v>
      </c>
      <c r="M155" s="17">
        <v>0</v>
      </c>
      <c r="N155" s="17">
        <f t="shared" si="1"/>
        <v>0</v>
      </c>
      <c r="O155" s="17">
        <f t="shared" si="2"/>
        <v>0</v>
      </c>
      <c r="P155" s="3"/>
      <c r="Q155" s="19">
        <f t="shared" si="3"/>
        <v>0</v>
      </c>
      <c r="R155" s="19">
        <v>0</v>
      </c>
      <c r="S155" s="19">
        <f t="shared" si="4"/>
        <v>0</v>
      </c>
      <c r="T155" s="19">
        <f t="shared" si="5"/>
        <v>0</v>
      </c>
      <c r="U155" s="19">
        <f t="shared" si="6"/>
        <v>0</v>
      </c>
      <c r="V155" s="19">
        <f t="shared" si="7"/>
        <v>0</v>
      </c>
      <c r="W155" s="19">
        <f t="shared" si="8"/>
        <v>0</v>
      </c>
      <c r="X155" s="20">
        <f t="shared" si="9"/>
        <v>0</v>
      </c>
      <c r="Y155" s="20">
        <f t="shared" si="10"/>
        <v>0</v>
      </c>
    </row>
    <row r="156" spans="1:25" ht="15.75" hidden="1" customHeight="1">
      <c r="A156" s="14" t="s">
        <v>322</v>
      </c>
      <c r="B156" s="15" t="s">
        <v>323</v>
      </c>
      <c r="C156" s="16">
        <v>275.5</v>
      </c>
      <c r="D156" s="16">
        <v>275.5</v>
      </c>
      <c r="E156" s="17">
        <v>2</v>
      </c>
      <c r="F156" s="18">
        <v>0</v>
      </c>
      <c r="G156" s="18">
        <v>0</v>
      </c>
      <c r="H156" s="36">
        <v>0</v>
      </c>
      <c r="I156" s="17">
        <v>0</v>
      </c>
      <c r="J156" s="17">
        <f t="shared" si="0"/>
        <v>2</v>
      </c>
      <c r="K156" s="37">
        <v>2</v>
      </c>
      <c r="L156" s="17">
        <v>0</v>
      </c>
      <c r="M156" s="17">
        <v>0</v>
      </c>
      <c r="N156" s="17">
        <f t="shared" si="1"/>
        <v>2</v>
      </c>
      <c r="O156" s="17">
        <f t="shared" si="2"/>
        <v>0</v>
      </c>
      <c r="P156" s="3"/>
      <c r="Q156" s="19">
        <f t="shared" si="3"/>
        <v>551</v>
      </c>
      <c r="R156" s="19">
        <v>0</v>
      </c>
      <c r="S156" s="19">
        <f t="shared" si="4"/>
        <v>0</v>
      </c>
      <c r="T156" s="19">
        <f t="shared" si="5"/>
        <v>0</v>
      </c>
      <c r="U156" s="19">
        <f t="shared" si="6"/>
        <v>0</v>
      </c>
      <c r="V156" s="19">
        <f t="shared" si="7"/>
        <v>0</v>
      </c>
      <c r="W156" s="19">
        <f t="shared" si="8"/>
        <v>551</v>
      </c>
      <c r="X156" s="20">
        <f t="shared" si="9"/>
        <v>551</v>
      </c>
      <c r="Y156" s="20">
        <f t="shared" si="10"/>
        <v>0</v>
      </c>
    </row>
    <row r="157" spans="1:25" ht="15.75" hidden="1" customHeight="1">
      <c r="A157" s="14" t="s">
        <v>324</v>
      </c>
      <c r="B157" s="15" t="s">
        <v>325</v>
      </c>
      <c r="C157" s="16">
        <v>418.76</v>
      </c>
      <c r="D157" s="16">
        <v>418.76</v>
      </c>
      <c r="E157" s="17">
        <v>5</v>
      </c>
      <c r="F157" s="18">
        <v>0</v>
      </c>
      <c r="G157" s="18">
        <v>0</v>
      </c>
      <c r="H157" s="36">
        <v>0</v>
      </c>
      <c r="I157" s="17">
        <v>0</v>
      </c>
      <c r="J157" s="17">
        <f t="shared" si="0"/>
        <v>5</v>
      </c>
      <c r="K157" s="37">
        <v>5</v>
      </c>
      <c r="L157" s="17">
        <v>0</v>
      </c>
      <c r="M157" s="17">
        <v>0</v>
      </c>
      <c r="N157" s="17">
        <f t="shared" si="1"/>
        <v>5</v>
      </c>
      <c r="O157" s="17">
        <f t="shared" si="2"/>
        <v>0</v>
      </c>
      <c r="P157" s="3"/>
      <c r="Q157" s="19">
        <f t="shared" si="3"/>
        <v>2093.8000000000002</v>
      </c>
      <c r="R157" s="19">
        <v>0</v>
      </c>
      <c r="S157" s="19">
        <f t="shared" si="4"/>
        <v>0</v>
      </c>
      <c r="T157" s="19">
        <f t="shared" si="5"/>
        <v>0</v>
      </c>
      <c r="U157" s="19">
        <f t="shared" si="6"/>
        <v>0</v>
      </c>
      <c r="V157" s="19">
        <f t="shared" si="7"/>
        <v>0</v>
      </c>
      <c r="W157" s="19">
        <f t="shared" si="8"/>
        <v>2093.8000000000002</v>
      </c>
      <c r="X157" s="20">
        <f t="shared" si="9"/>
        <v>2093.8000000000002</v>
      </c>
      <c r="Y157" s="20">
        <f t="shared" si="10"/>
        <v>0</v>
      </c>
    </row>
    <row r="158" spans="1:25" ht="15.75" hidden="1" customHeight="1">
      <c r="A158" s="14" t="s">
        <v>326</v>
      </c>
      <c r="B158" s="15" t="s">
        <v>327</v>
      </c>
      <c r="C158" s="16">
        <v>1082</v>
      </c>
      <c r="D158" s="16">
        <v>1082</v>
      </c>
      <c r="E158" s="17">
        <v>3</v>
      </c>
      <c r="F158" s="18">
        <v>0</v>
      </c>
      <c r="G158" s="18">
        <v>0</v>
      </c>
      <c r="H158" s="36">
        <v>0</v>
      </c>
      <c r="I158" s="17">
        <v>0</v>
      </c>
      <c r="J158" s="17">
        <f t="shared" si="0"/>
        <v>3</v>
      </c>
      <c r="K158" s="37">
        <v>3</v>
      </c>
      <c r="L158" s="17">
        <v>0</v>
      </c>
      <c r="M158" s="17">
        <v>0</v>
      </c>
      <c r="N158" s="17">
        <f t="shared" si="1"/>
        <v>3</v>
      </c>
      <c r="O158" s="17">
        <f t="shared" si="2"/>
        <v>0</v>
      </c>
      <c r="P158" s="3"/>
      <c r="Q158" s="19">
        <f t="shared" si="3"/>
        <v>3246</v>
      </c>
      <c r="R158" s="19">
        <v>0</v>
      </c>
      <c r="S158" s="19">
        <f t="shared" si="4"/>
        <v>0</v>
      </c>
      <c r="T158" s="19">
        <f t="shared" si="5"/>
        <v>0</v>
      </c>
      <c r="U158" s="19">
        <f t="shared" si="6"/>
        <v>0</v>
      </c>
      <c r="V158" s="19">
        <f t="shared" si="7"/>
        <v>0</v>
      </c>
      <c r="W158" s="19">
        <f t="shared" si="8"/>
        <v>3246</v>
      </c>
      <c r="X158" s="20">
        <f t="shared" si="9"/>
        <v>3246</v>
      </c>
      <c r="Y158" s="20">
        <f t="shared" si="10"/>
        <v>0</v>
      </c>
    </row>
    <row r="159" spans="1:25" ht="15.75" hidden="1" customHeight="1">
      <c r="A159" s="14" t="s">
        <v>328</v>
      </c>
      <c r="B159" s="15" t="s">
        <v>329</v>
      </c>
      <c r="C159" s="16">
        <v>311.75</v>
      </c>
      <c r="D159" s="16">
        <v>311.75</v>
      </c>
      <c r="E159" s="17">
        <v>3</v>
      </c>
      <c r="F159" s="18">
        <v>0</v>
      </c>
      <c r="G159" s="18">
        <v>0</v>
      </c>
      <c r="H159" s="36">
        <v>0</v>
      </c>
      <c r="I159" s="17">
        <v>0</v>
      </c>
      <c r="J159" s="17">
        <f t="shared" si="0"/>
        <v>3</v>
      </c>
      <c r="K159" s="37">
        <v>3</v>
      </c>
      <c r="L159" s="17">
        <v>0</v>
      </c>
      <c r="M159" s="17">
        <v>0</v>
      </c>
      <c r="N159" s="17">
        <f t="shared" si="1"/>
        <v>3</v>
      </c>
      <c r="O159" s="17">
        <f t="shared" si="2"/>
        <v>0</v>
      </c>
      <c r="P159" s="3"/>
      <c r="Q159" s="19">
        <f t="shared" si="3"/>
        <v>935.25</v>
      </c>
      <c r="R159" s="19">
        <v>0</v>
      </c>
      <c r="S159" s="19">
        <f t="shared" si="4"/>
        <v>0</v>
      </c>
      <c r="T159" s="19">
        <f t="shared" si="5"/>
        <v>0</v>
      </c>
      <c r="U159" s="19">
        <f t="shared" si="6"/>
        <v>0</v>
      </c>
      <c r="V159" s="19">
        <f t="shared" si="7"/>
        <v>0</v>
      </c>
      <c r="W159" s="19">
        <f t="shared" si="8"/>
        <v>935.25</v>
      </c>
      <c r="X159" s="20">
        <f t="shared" si="9"/>
        <v>935.25</v>
      </c>
      <c r="Y159" s="20">
        <f t="shared" si="10"/>
        <v>0</v>
      </c>
    </row>
    <row r="160" spans="1:25" ht="15.75" hidden="1" customHeight="1">
      <c r="A160" s="14" t="s">
        <v>330</v>
      </c>
      <c r="B160" s="15" t="s">
        <v>331</v>
      </c>
      <c r="C160" s="16">
        <v>662.01</v>
      </c>
      <c r="D160" s="16">
        <v>662.01</v>
      </c>
      <c r="E160" s="17">
        <v>3</v>
      </c>
      <c r="F160" s="18">
        <v>0</v>
      </c>
      <c r="G160" s="18">
        <v>0</v>
      </c>
      <c r="H160" s="36">
        <v>0</v>
      </c>
      <c r="I160" s="17">
        <v>0</v>
      </c>
      <c r="J160" s="17">
        <f t="shared" si="0"/>
        <v>3</v>
      </c>
      <c r="K160" s="37">
        <v>3</v>
      </c>
      <c r="L160" s="17">
        <v>0</v>
      </c>
      <c r="M160" s="17">
        <v>0</v>
      </c>
      <c r="N160" s="17">
        <f t="shared" si="1"/>
        <v>3</v>
      </c>
      <c r="O160" s="17">
        <f t="shared" si="2"/>
        <v>0</v>
      </c>
      <c r="P160" s="3"/>
      <c r="Q160" s="19">
        <f t="shared" si="3"/>
        <v>1986.03</v>
      </c>
      <c r="R160" s="19">
        <v>0</v>
      </c>
      <c r="S160" s="19">
        <f t="shared" si="4"/>
        <v>0</v>
      </c>
      <c r="T160" s="19">
        <f t="shared" si="5"/>
        <v>0</v>
      </c>
      <c r="U160" s="19">
        <f t="shared" si="6"/>
        <v>0</v>
      </c>
      <c r="V160" s="19">
        <f t="shared" si="7"/>
        <v>0</v>
      </c>
      <c r="W160" s="19">
        <f t="shared" si="8"/>
        <v>1986.03</v>
      </c>
      <c r="X160" s="20">
        <f t="shared" si="9"/>
        <v>1986.03</v>
      </c>
      <c r="Y160" s="20">
        <f t="shared" si="10"/>
        <v>0</v>
      </c>
    </row>
    <row r="161" spans="1:25" ht="15.75" hidden="1" customHeight="1">
      <c r="A161" s="14" t="s">
        <v>332</v>
      </c>
      <c r="B161" s="15" t="s">
        <v>333</v>
      </c>
      <c r="C161" s="16">
        <v>383.5</v>
      </c>
      <c r="D161" s="16">
        <v>383.5</v>
      </c>
      <c r="E161" s="17">
        <v>0</v>
      </c>
      <c r="F161" s="18">
        <v>0</v>
      </c>
      <c r="G161" s="18">
        <v>0</v>
      </c>
      <c r="H161" s="36">
        <v>0</v>
      </c>
      <c r="I161" s="17">
        <v>0</v>
      </c>
      <c r="J161" s="17">
        <f t="shared" si="0"/>
        <v>0</v>
      </c>
      <c r="K161" s="37">
        <v>0</v>
      </c>
      <c r="L161" s="17">
        <v>0</v>
      </c>
      <c r="M161" s="17">
        <v>0</v>
      </c>
      <c r="N161" s="17">
        <f t="shared" si="1"/>
        <v>0</v>
      </c>
      <c r="O161" s="17">
        <f t="shared" si="2"/>
        <v>0</v>
      </c>
      <c r="P161" s="3"/>
      <c r="Q161" s="19">
        <f t="shared" si="3"/>
        <v>0</v>
      </c>
      <c r="R161" s="19">
        <v>0</v>
      </c>
      <c r="S161" s="19">
        <f t="shared" si="4"/>
        <v>0</v>
      </c>
      <c r="T161" s="19">
        <f t="shared" si="5"/>
        <v>0</v>
      </c>
      <c r="U161" s="19">
        <f t="shared" si="6"/>
        <v>0</v>
      </c>
      <c r="V161" s="19">
        <f t="shared" si="7"/>
        <v>0</v>
      </c>
      <c r="W161" s="19">
        <f t="shared" si="8"/>
        <v>0</v>
      </c>
      <c r="X161" s="20">
        <f t="shared" si="9"/>
        <v>0</v>
      </c>
      <c r="Y161" s="20">
        <f t="shared" si="10"/>
        <v>0</v>
      </c>
    </row>
    <row r="162" spans="1:25" ht="15.75" hidden="1" customHeight="1">
      <c r="A162" s="14" t="s">
        <v>334</v>
      </c>
      <c r="B162" s="15" t="s">
        <v>335</v>
      </c>
      <c r="C162" s="16">
        <v>43.1</v>
      </c>
      <c r="D162" s="16">
        <v>43.1</v>
      </c>
      <c r="E162" s="17">
        <v>1</v>
      </c>
      <c r="F162" s="18">
        <v>0</v>
      </c>
      <c r="G162" s="18">
        <v>0</v>
      </c>
      <c r="H162" s="36">
        <v>0</v>
      </c>
      <c r="I162" s="17">
        <v>0</v>
      </c>
      <c r="J162" s="17">
        <f t="shared" si="0"/>
        <v>1</v>
      </c>
      <c r="K162" s="37">
        <v>1</v>
      </c>
      <c r="L162" s="17">
        <v>0</v>
      </c>
      <c r="M162" s="17">
        <v>0</v>
      </c>
      <c r="N162" s="17">
        <f t="shared" si="1"/>
        <v>1</v>
      </c>
      <c r="O162" s="17">
        <f t="shared" si="2"/>
        <v>0</v>
      </c>
      <c r="P162" s="3"/>
      <c r="Q162" s="19">
        <f t="shared" si="3"/>
        <v>43.1</v>
      </c>
      <c r="R162" s="19">
        <v>0</v>
      </c>
      <c r="S162" s="19">
        <f t="shared" si="4"/>
        <v>0</v>
      </c>
      <c r="T162" s="19">
        <f t="shared" si="5"/>
        <v>0</v>
      </c>
      <c r="U162" s="19">
        <f t="shared" si="6"/>
        <v>0</v>
      </c>
      <c r="V162" s="19">
        <f t="shared" si="7"/>
        <v>0</v>
      </c>
      <c r="W162" s="19">
        <f t="shared" si="8"/>
        <v>43.1</v>
      </c>
      <c r="X162" s="20">
        <f t="shared" si="9"/>
        <v>43.1</v>
      </c>
      <c r="Y162" s="20">
        <f t="shared" si="10"/>
        <v>0</v>
      </c>
    </row>
    <row r="163" spans="1:25" ht="15.75" hidden="1" customHeight="1">
      <c r="A163" s="14" t="s">
        <v>336</v>
      </c>
      <c r="B163" s="15" t="s">
        <v>337</v>
      </c>
      <c r="C163" s="16">
        <v>41.38</v>
      </c>
      <c r="D163" s="16">
        <v>41.38</v>
      </c>
      <c r="E163" s="17">
        <v>1</v>
      </c>
      <c r="F163" s="18">
        <v>0</v>
      </c>
      <c r="G163" s="18">
        <v>0</v>
      </c>
      <c r="H163" s="36">
        <v>0</v>
      </c>
      <c r="I163" s="17">
        <v>0</v>
      </c>
      <c r="J163" s="17">
        <f t="shared" si="0"/>
        <v>1</v>
      </c>
      <c r="K163" s="37">
        <v>1</v>
      </c>
      <c r="L163" s="17">
        <v>0</v>
      </c>
      <c r="M163" s="17">
        <v>0</v>
      </c>
      <c r="N163" s="17">
        <f t="shared" si="1"/>
        <v>1</v>
      </c>
      <c r="O163" s="17">
        <f t="shared" si="2"/>
        <v>0</v>
      </c>
      <c r="P163" s="3"/>
      <c r="Q163" s="19">
        <f t="shared" si="3"/>
        <v>41.38</v>
      </c>
      <c r="R163" s="19">
        <v>0</v>
      </c>
      <c r="S163" s="19">
        <f t="shared" si="4"/>
        <v>0</v>
      </c>
      <c r="T163" s="19">
        <f t="shared" si="5"/>
        <v>0</v>
      </c>
      <c r="U163" s="19">
        <f t="shared" si="6"/>
        <v>0</v>
      </c>
      <c r="V163" s="19">
        <f t="shared" si="7"/>
        <v>0</v>
      </c>
      <c r="W163" s="19">
        <f t="shared" si="8"/>
        <v>41.38</v>
      </c>
      <c r="X163" s="20">
        <f t="shared" si="9"/>
        <v>41.38</v>
      </c>
      <c r="Y163" s="20">
        <f t="shared" si="10"/>
        <v>0</v>
      </c>
    </row>
    <row r="164" spans="1:25" ht="15.75" hidden="1" customHeight="1">
      <c r="A164" s="14" t="s">
        <v>338</v>
      </c>
      <c r="B164" s="15" t="s">
        <v>339</v>
      </c>
      <c r="C164" s="16">
        <v>344.52</v>
      </c>
      <c r="D164" s="16">
        <v>344.52</v>
      </c>
      <c r="E164" s="17">
        <v>0</v>
      </c>
      <c r="F164" s="18">
        <v>0</v>
      </c>
      <c r="G164" s="18">
        <v>0</v>
      </c>
      <c r="H164" s="36">
        <v>0</v>
      </c>
      <c r="I164" s="17">
        <v>0</v>
      </c>
      <c r="J164" s="17">
        <f t="shared" si="0"/>
        <v>0</v>
      </c>
      <c r="K164" s="37">
        <v>0</v>
      </c>
      <c r="L164" s="17">
        <v>0</v>
      </c>
      <c r="M164" s="17">
        <v>0</v>
      </c>
      <c r="N164" s="17">
        <f t="shared" si="1"/>
        <v>0</v>
      </c>
      <c r="O164" s="17">
        <f t="shared" si="2"/>
        <v>0</v>
      </c>
      <c r="P164" s="3"/>
      <c r="Q164" s="19">
        <f t="shared" si="3"/>
        <v>0</v>
      </c>
      <c r="R164" s="19">
        <v>0</v>
      </c>
      <c r="S164" s="19">
        <f t="shared" si="4"/>
        <v>0</v>
      </c>
      <c r="T164" s="19">
        <f t="shared" si="5"/>
        <v>0</v>
      </c>
      <c r="U164" s="19">
        <f t="shared" si="6"/>
        <v>0</v>
      </c>
      <c r="V164" s="19">
        <f t="shared" si="7"/>
        <v>0</v>
      </c>
      <c r="W164" s="19">
        <f t="shared" si="8"/>
        <v>0</v>
      </c>
      <c r="X164" s="20">
        <f t="shared" si="9"/>
        <v>0</v>
      </c>
      <c r="Y164" s="20">
        <f t="shared" si="10"/>
        <v>0</v>
      </c>
    </row>
    <row r="165" spans="1:25" ht="15.75" hidden="1" customHeight="1">
      <c r="A165" s="14" t="s">
        <v>340</v>
      </c>
      <c r="B165" s="15" t="s">
        <v>341</v>
      </c>
      <c r="C165" s="16">
        <v>1350</v>
      </c>
      <c r="D165" s="16">
        <v>1350</v>
      </c>
      <c r="E165" s="17">
        <v>0</v>
      </c>
      <c r="F165" s="18">
        <v>0</v>
      </c>
      <c r="G165" s="18">
        <v>0</v>
      </c>
      <c r="H165" s="36">
        <v>0</v>
      </c>
      <c r="I165" s="17">
        <v>0</v>
      </c>
      <c r="J165" s="17">
        <f t="shared" si="0"/>
        <v>0</v>
      </c>
      <c r="K165" s="37">
        <v>0</v>
      </c>
      <c r="L165" s="17">
        <v>0</v>
      </c>
      <c r="M165" s="17">
        <v>0</v>
      </c>
      <c r="N165" s="17">
        <f t="shared" si="1"/>
        <v>0</v>
      </c>
      <c r="O165" s="17">
        <f t="shared" si="2"/>
        <v>0</v>
      </c>
      <c r="P165" s="3"/>
      <c r="Q165" s="19">
        <f t="shared" si="3"/>
        <v>0</v>
      </c>
      <c r="R165" s="19">
        <v>0</v>
      </c>
      <c r="S165" s="19">
        <f t="shared" si="4"/>
        <v>0</v>
      </c>
      <c r="T165" s="19">
        <f t="shared" si="5"/>
        <v>0</v>
      </c>
      <c r="U165" s="19">
        <f t="shared" si="6"/>
        <v>0</v>
      </c>
      <c r="V165" s="19">
        <f t="shared" si="7"/>
        <v>0</v>
      </c>
      <c r="W165" s="19">
        <f t="shared" si="8"/>
        <v>0</v>
      </c>
      <c r="X165" s="20">
        <f t="shared" si="9"/>
        <v>0</v>
      </c>
      <c r="Y165" s="20">
        <f t="shared" si="10"/>
        <v>0</v>
      </c>
    </row>
    <row r="166" spans="1:25" ht="15.75" hidden="1" customHeight="1">
      <c r="A166" s="14" t="s">
        <v>342</v>
      </c>
      <c r="B166" s="15" t="s">
        <v>343</v>
      </c>
      <c r="C166" s="16">
        <v>1083.3399999999999</v>
      </c>
      <c r="D166" s="16">
        <v>1083.3399999999999</v>
      </c>
      <c r="E166" s="17">
        <v>0</v>
      </c>
      <c r="F166" s="18">
        <v>0</v>
      </c>
      <c r="G166" s="18">
        <v>0</v>
      </c>
      <c r="H166" s="36">
        <v>0</v>
      </c>
      <c r="I166" s="17">
        <v>0</v>
      </c>
      <c r="J166" s="17">
        <f t="shared" si="0"/>
        <v>0</v>
      </c>
      <c r="K166" s="37">
        <v>0</v>
      </c>
      <c r="L166" s="17">
        <v>0</v>
      </c>
      <c r="M166" s="17">
        <v>0</v>
      </c>
      <c r="N166" s="17">
        <f t="shared" si="1"/>
        <v>0</v>
      </c>
      <c r="O166" s="17">
        <f t="shared" si="2"/>
        <v>0</v>
      </c>
      <c r="P166" s="3"/>
      <c r="Q166" s="19">
        <f t="shared" si="3"/>
        <v>0</v>
      </c>
      <c r="R166" s="19">
        <v>0</v>
      </c>
      <c r="S166" s="19">
        <f t="shared" si="4"/>
        <v>0</v>
      </c>
      <c r="T166" s="19">
        <f t="shared" si="5"/>
        <v>0</v>
      </c>
      <c r="U166" s="19">
        <f t="shared" si="6"/>
        <v>0</v>
      </c>
      <c r="V166" s="19">
        <f t="shared" si="7"/>
        <v>0</v>
      </c>
      <c r="W166" s="19">
        <f t="shared" si="8"/>
        <v>0</v>
      </c>
      <c r="X166" s="20">
        <f t="shared" si="9"/>
        <v>0</v>
      </c>
      <c r="Y166" s="20">
        <f t="shared" si="10"/>
        <v>0</v>
      </c>
    </row>
    <row r="167" spans="1:25" ht="15.75" hidden="1" customHeight="1">
      <c r="A167" s="14" t="s">
        <v>344</v>
      </c>
      <c r="B167" s="15" t="s">
        <v>345</v>
      </c>
      <c r="C167" s="16">
        <v>400</v>
      </c>
      <c r="D167" s="16">
        <v>400</v>
      </c>
      <c r="E167" s="17">
        <v>4</v>
      </c>
      <c r="F167" s="18">
        <v>0</v>
      </c>
      <c r="G167" s="18">
        <v>0</v>
      </c>
      <c r="H167" s="36">
        <v>0</v>
      </c>
      <c r="I167" s="17">
        <v>0</v>
      </c>
      <c r="J167" s="17">
        <f t="shared" si="0"/>
        <v>4</v>
      </c>
      <c r="K167" s="37">
        <v>4</v>
      </c>
      <c r="L167" s="17">
        <v>0</v>
      </c>
      <c r="M167" s="17">
        <v>0</v>
      </c>
      <c r="N167" s="17">
        <f t="shared" si="1"/>
        <v>4</v>
      </c>
      <c r="O167" s="17">
        <f t="shared" si="2"/>
        <v>0</v>
      </c>
      <c r="P167" s="3"/>
      <c r="Q167" s="19">
        <f t="shared" si="3"/>
        <v>1600</v>
      </c>
      <c r="R167" s="19">
        <v>0</v>
      </c>
      <c r="S167" s="19">
        <f t="shared" si="4"/>
        <v>0</v>
      </c>
      <c r="T167" s="19">
        <f t="shared" si="5"/>
        <v>0</v>
      </c>
      <c r="U167" s="19">
        <f t="shared" si="6"/>
        <v>0</v>
      </c>
      <c r="V167" s="19">
        <f t="shared" si="7"/>
        <v>0</v>
      </c>
      <c r="W167" s="19">
        <f t="shared" si="8"/>
        <v>1600</v>
      </c>
      <c r="X167" s="20">
        <f t="shared" si="9"/>
        <v>1600</v>
      </c>
      <c r="Y167" s="20">
        <f t="shared" si="10"/>
        <v>0</v>
      </c>
    </row>
    <row r="168" spans="1:25" ht="15.75" hidden="1" customHeight="1">
      <c r="A168" s="14" t="s">
        <v>346</v>
      </c>
      <c r="B168" s="15" t="s">
        <v>347</v>
      </c>
      <c r="C168" s="16">
        <v>697.5</v>
      </c>
      <c r="D168" s="16">
        <v>697.5</v>
      </c>
      <c r="E168" s="17">
        <v>2</v>
      </c>
      <c r="F168" s="18">
        <v>0</v>
      </c>
      <c r="G168" s="18">
        <v>0</v>
      </c>
      <c r="H168" s="36">
        <v>0</v>
      </c>
      <c r="I168" s="17">
        <v>0</v>
      </c>
      <c r="J168" s="17">
        <f t="shared" si="0"/>
        <v>2</v>
      </c>
      <c r="K168" s="37">
        <v>2</v>
      </c>
      <c r="L168" s="17">
        <v>0</v>
      </c>
      <c r="M168" s="17">
        <v>0</v>
      </c>
      <c r="N168" s="17">
        <f t="shared" si="1"/>
        <v>2</v>
      </c>
      <c r="O168" s="17">
        <f t="shared" si="2"/>
        <v>0</v>
      </c>
      <c r="P168" s="3"/>
      <c r="Q168" s="19">
        <f t="shared" si="3"/>
        <v>1395</v>
      </c>
      <c r="R168" s="19">
        <v>0</v>
      </c>
      <c r="S168" s="19">
        <f t="shared" si="4"/>
        <v>0</v>
      </c>
      <c r="T168" s="19">
        <f t="shared" si="5"/>
        <v>0</v>
      </c>
      <c r="U168" s="19">
        <f t="shared" si="6"/>
        <v>0</v>
      </c>
      <c r="V168" s="19">
        <f t="shared" si="7"/>
        <v>0</v>
      </c>
      <c r="W168" s="19">
        <f t="shared" si="8"/>
        <v>1395</v>
      </c>
      <c r="X168" s="20">
        <f t="shared" si="9"/>
        <v>1395</v>
      </c>
      <c r="Y168" s="20">
        <f t="shared" si="10"/>
        <v>0</v>
      </c>
    </row>
    <row r="169" spans="1:25" ht="15.75" hidden="1" customHeight="1">
      <c r="A169" s="14" t="s">
        <v>348</v>
      </c>
      <c r="B169" s="15" t="s">
        <v>349</v>
      </c>
      <c r="C169" s="16">
        <v>0</v>
      </c>
      <c r="D169" s="16">
        <v>0</v>
      </c>
      <c r="E169" s="17">
        <v>0</v>
      </c>
      <c r="F169" s="18">
        <v>0</v>
      </c>
      <c r="G169" s="18">
        <v>0</v>
      </c>
      <c r="H169" s="36">
        <v>0</v>
      </c>
      <c r="I169" s="17">
        <v>0</v>
      </c>
      <c r="J169" s="17">
        <f t="shared" si="0"/>
        <v>0</v>
      </c>
      <c r="K169" s="37">
        <v>0</v>
      </c>
      <c r="L169" s="17">
        <v>0</v>
      </c>
      <c r="M169" s="17">
        <v>0</v>
      </c>
      <c r="N169" s="17">
        <f t="shared" si="1"/>
        <v>0</v>
      </c>
      <c r="O169" s="17">
        <f t="shared" si="2"/>
        <v>0</v>
      </c>
      <c r="P169" s="3"/>
      <c r="Q169" s="19">
        <f t="shared" si="3"/>
        <v>0</v>
      </c>
      <c r="R169" s="19">
        <v>0</v>
      </c>
      <c r="S169" s="19">
        <f t="shared" si="4"/>
        <v>0</v>
      </c>
      <c r="T169" s="19">
        <f t="shared" si="5"/>
        <v>0</v>
      </c>
      <c r="U169" s="19">
        <f t="shared" si="6"/>
        <v>0</v>
      </c>
      <c r="V169" s="19">
        <f t="shared" si="7"/>
        <v>0</v>
      </c>
      <c r="W169" s="19">
        <f t="shared" si="8"/>
        <v>0</v>
      </c>
      <c r="X169" s="20">
        <f t="shared" si="9"/>
        <v>0</v>
      </c>
      <c r="Y169" s="20">
        <f t="shared" si="10"/>
        <v>0</v>
      </c>
    </row>
    <row r="170" spans="1:25" ht="15.75" hidden="1" customHeight="1">
      <c r="A170" s="14" t="s">
        <v>350</v>
      </c>
      <c r="B170" s="15" t="s">
        <v>351</v>
      </c>
      <c r="C170" s="16">
        <v>380</v>
      </c>
      <c r="D170" s="16">
        <v>380</v>
      </c>
      <c r="E170" s="17">
        <v>1</v>
      </c>
      <c r="F170" s="18">
        <v>0</v>
      </c>
      <c r="G170" s="18">
        <v>0</v>
      </c>
      <c r="H170" s="36">
        <v>0</v>
      </c>
      <c r="I170" s="17">
        <v>0</v>
      </c>
      <c r="J170" s="17">
        <f t="shared" si="0"/>
        <v>1</v>
      </c>
      <c r="K170" s="37">
        <v>1</v>
      </c>
      <c r="L170" s="17">
        <v>0</v>
      </c>
      <c r="M170" s="17">
        <v>0</v>
      </c>
      <c r="N170" s="17">
        <f t="shared" si="1"/>
        <v>1</v>
      </c>
      <c r="O170" s="17">
        <f t="shared" si="2"/>
        <v>0</v>
      </c>
      <c r="P170" s="3"/>
      <c r="Q170" s="19">
        <f t="shared" si="3"/>
        <v>380</v>
      </c>
      <c r="R170" s="19">
        <v>0</v>
      </c>
      <c r="S170" s="19">
        <f t="shared" si="4"/>
        <v>0</v>
      </c>
      <c r="T170" s="19">
        <f t="shared" si="5"/>
        <v>0</v>
      </c>
      <c r="U170" s="19">
        <f t="shared" si="6"/>
        <v>0</v>
      </c>
      <c r="V170" s="19">
        <f t="shared" si="7"/>
        <v>0</v>
      </c>
      <c r="W170" s="19">
        <f t="shared" si="8"/>
        <v>380</v>
      </c>
      <c r="X170" s="20">
        <f t="shared" si="9"/>
        <v>380</v>
      </c>
      <c r="Y170" s="20">
        <f t="shared" si="10"/>
        <v>0</v>
      </c>
    </row>
    <row r="171" spans="1:25" ht="15.75" hidden="1" customHeight="1">
      <c r="A171" s="14" t="s">
        <v>352</v>
      </c>
      <c r="B171" s="15" t="s">
        <v>353</v>
      </c>
      <c r="C171" s="16">
        <v>670</v>
      </c>
      <c r="D171" s="16">
        <v>670</v>
      </c>
      <c r="E171" s="17">
        <v>1</v>
      </c>
      <c r="F171" s="18">
        <v>0</v>
      </c>
      <c r="G171" s="18">
        <v>0</v>
      </c>
      <c r="H171" s="36">
        <v>0</v>
      </c>
      <c r="I171" s="17">
        <v>0</v>
      </c>
      <c r="J171" s="17">
        <f t="shared" si="0"/>
        <v>1</v>
      </c>
      <c r="K171" s="37">
        <v>1</v>
      </c>
      <c r="L171" s="17">
        <v>0</v>
      </c>
      <c r="M171" s="17">
        <v>0</v>
      </c>
      <c r="N171" s="17">
        <f t="shared" si="1"/>
        <v>1</v>
      </c>
      <c r="O171" s="17">
        <f t="shared" si="2"/>
        <v>0</v>
      </c>
      <c r="P171" s="3"/>
      <c r="Q171" s="19">
        <f t="shared" si="3"/>
        <v>670</v>
      </c>
      <c r="R171" s="19">
        <v>0</v>
      </c>
      <c r="S171" s="19">
        <f t="shared" si="4"/>
        <v>0</v>
      </c>
      <c r="T171" s="19">
        <f t="shared" si="5"/>
        <v>0</v>
      </c>
      <c r="U171" s="19">
        <f t="shared" si="6"/>
        <v>0</v>
      </c>
      <c r="V171" s="19">
        <f t="shared" si="7"/>
        <v>0</v>
      </c>
      <c r="W171" s="19">
        <f t="shared" si="8"/>
        <v>670</v>
      </c>
      <c r="X171" s="20">
        <f t="shared" si="9"/>
        <v>670</v>
      </c>
      <c r="Y171" s="20">
        <f t="shared" si="10"/>
        <v>0</v>
      </c>
    </row>
    <row r="172" spans="1:25" ht="15.75" hidden="1" customHeight="1">
      <c r="A172" s="14" t="s">
        <v>354</v>
      </c>
      <c r="B172" s="15" t="s">
        <v>355</v>
      </c>
      <c r="C172" s="16">
        <v>990</v>
      </c>
      <c r="D172" s="16">
        <v>990</v>
      </c>
      <c r="E172" s="17">
        <v>0</v>
      </c>
      <c r="F172" s="18">
        <v>0</v>
      </c>
      <c r="G172" s="18">
        <v>0</v>
      </c>
      <c r="H172" s="36">
        <v>0</v>
      </c>
      <c r="I172" s="17">
        <v>0</v>
      </c>
      <c r="J172" s="17">
        <f t="shared" si="0"/>
        <v>0</v>
      </c>
      <c r="K172" s="37">
        <v>0</v>
      </c>
      <c r="L172" s="17">
        <v>0</v>
      </c>
      <c r="M172" s="17">
        <v>0</v>
      </c>
      <c r="N172" s="17">
        <f t="shared" si="1"/>
        <v>0</v>
      </c>
      <c r="O172" s="17">
        <f t="shared" si="2"/>
        <v>0</v>
      </c>
      <c r="P172" s="3"/>
      <c r="Q172" s="19">
        <f t="shared" si="3"/>
        <v>0</v>
      </c>
      <c r="R172" s="19">
        <v>0</v>
      </c>
      <c r="S172" s="19">
        <f t="shared" si="4"/>
        <v>0</v>
      </c>
      <c r="T172" s="19">
        <f t="shared" si="5"/>
        <v>0</v>
      </c>
      <c r="U172" s="19">
        <f t="shared" si="6"/>
        <v>0</v>
      </c>
      <c r="V172" s="19">
        <f t="shared" si="7"/>
        <v>0</v>
      </c>
      <c r="W172" s="19">
        <f t="shared" si="8"/>
        <v>0</v>
      </c>
      <c r="X172" s="20">
        <f t="shared" si="9"/>
        <v>0</v>
      </c>
      <c r="Y172" s="20">
        <f t="shared" si="10"/>
        <v>0</v>
      </c>
    </row>
    <row r="173" spans="1:25" ht="15.75" hidden="1" customHeight="1">
      <c r="A173" s="14" t="s">
        <v>356</v>
      </c>
      <c r="B173" s="15" t="s">
        <v>357</v>
      </c>
      <c r="C173" s="16">
        <v>400</v>
      </c>
      <c r="D173" s="16">
        <v>400</v>
      </c>
      <c r="E173" s="17">
        <v>0</v>
      </c>
      <c r="F173" s="18">
        <v>0</v>
      </c>
      <c r="G173" s="18">
        <v>0</v>
      </c>
      <c r="H173" s="36">
        <v>0</v>
      </c>
      <c r="I173" s="17">
        <v>0</v>
      </c>
      <c r="J173" s="17">
        <f t="shared" si="0"/>
        <v>0</v>
      </c>
      <c r="K173" s="37">
        <v>0</v>
      </c>
      <c r="L173" s="17">
        <v>0</v>
      </c>
      <c r="M173" s="17">
        <v>0</v>
      </c>
      <c r="N173" s="17">
        <f t="shared" si="1"/>
        <v>0</v>
      </c>
      <c r="O173" s="17">
        <f t="shared" si="2"/>
        <v>0</v>
      </c>
      <c r="P173" s="3"/>
      <c r="Q173" s="19">
        <f t="shared" si="3"/>
        <v>0</v>
      </c>
      <c r="R173" s="19">
        <v>0</v>
      </c>
      <c r="S173" s="19">
        <f t="shared" si="4"/>
        <v>0</v>
      </c>
      <c r="T173" s="19">
        <f t="shared" si="5"/>
        <v>0</v>
      </c>
      <c r="U173" s="19">
        <f t="shared" si="6"/>
        <v>0</v>
      </c>
      <c r="V173" s="19">
        <f t="shared" si="7"/>
        <v>0</v>
      </c>
      <c r="W173" s="19">
        <f t="shared" si="8"/>
        <v>0</v>
      </c>
      <c r="X173" s="20">
        <f t="shared" si="9"/>
        <v>0</v>
      </c>
      <c r="Y173" s="20">
        <f t="shared" si="10"/>
        <v>0</v>
      </c>
    </row>
    <row r="174" spans="1:25" ht="15.75" hidden="1" customHeight="1">
      <c r="A174" s="14" t="s">
        <v>358</v>
      </c>
      <c r="B174" s="15" t="s">
        <v>359</v>
      </c>
      <c r="C174" s="16">
        <v>0</v>
      </c>
      <c r="D174" s="16">
        <v>0</v>
      </c>
      <c r="E174" s="17">
        <v>0</v>
      </c>
      <c r="F174" s="18">
        <v>0</v>
      </c>
      <c r="G174" s="18">
        <v>0</v>
      </c>
      <c r="H174" s="36">
        <v>0</v>
      </c>
      <c r="I174" s="17">
        <v>0</v>
      </c>
      <c r="J174" s="17">
        <f t="shared" si="0"/>
        <v>0</v>
      </c>
      <c r="K174" s="37">
        <v>0</v>
      </c>
      <c r="L174" s="17">
        <v>0</v>
      </c>
      <c r="M174" s="17">
        <v>0</v>
      </c>
      <c r="N174" s="17">
        <f t="shared" si="1"/>
        <v>0</v>
      </c>
      <c r="O174" s="17">
        <f t="shared" si="2"/>
        <v>0</v>
      </c>
      <c r="P174" s="3"/>
      <c r="Q174" s="19">
        <f t="shared" si="3"/>
        <v>0</v>
      </c>
      <c r="R174" s="19">
        <v>0</v>
      </c>
      <c r="S174" s="19">
        <f t="shared" si="4"/>
        <v>0</v>
      </c>
      <c r="T174" s="19">
        <f t="shared" si="5"/>
        <v>0</v>
      </c>
      <c r="U174" s="19">
        <f t="shared" si="6"/>
        <v>0</v>
      </c>
      <c r="V174" s="19">
        <f t="shared" si="7"/>
        <v>0</v>
      </c>
      <c r="W174" s="19">
        <f t="shared" si="8"/>
        <v>0</v>
      </c>
      <c r="X174" s="20">
        <f t="shared" si="9"/>
        <v>0</v>
      </c>
      <c r="Y174" s="20">
        <f t="shared" si="10"/>
        <v>0</v>
      </c>
    </row>
    <row r="175" spans="1:25" ht="15.75" hidden="1" customHeight="1">
      <c r="A175" s="14" t="s">
        <v>360</v>
      </c>
      <c r="B175" s="15" t="s">
        <v>361</v>
      </c>
      <c r="C175" s="16">
        <v>10.35</v>
      </c>
      <c r="D175" s="16">
        <v>10.35</v>
      </c>
      <c r="E175" s="17">
        <v>1</v>
      </c>
      <c r="F175" s="18">
        <v>0</v>
      </c>
      <c r="G175" s="18">
        <v>0</v>
      </c>
      <c r="H175" s="36">
        <v>0</v>
      </c>
      <c r="I175" s="17">
        <v>0</v>
      </c>
      <c r="J175" s="17">
        <f t="shared" si="0"/>
        <v>1</v>
      </c>
      <c r="K175" s="37">
        <v>1</v>
      </c>
      <c r="L175" s="17">
        <v>0</v>
      </c>
      <c r="M175" s="17">
        <v>0</v>
      </c>
      <c r="N175" s="17">
        <f t="shared" si="1"/>
        <v>1</v>
      </c>
      <c r="O175" s="17">
        <f t="shared" si="2"/>
        <v>0</v>
      </c>
      <c r="P175" s="3"/>
      <c r="Q175" s="19">
        <f t="shared" si="3"/>
        <v>10.35</v>
      </c>
      <c r="R175" s="19">
        <v>0</v>
      </c>
      <c r="S175" s="19">
        <f t="shared" si="4"/>
        <v>0</v>
      </c>
      <c r="T175" s="19">
        <f t="shared" si="5"/>
        <v>0</v>
      </c>
      <c r="U175" s="19">
        <f t="shared" si="6"/>
        <v>0</v>
      </c>
      <c r="V175" s="19">
        <f t="shared" si="7"/>
        <v>0</v>
      </c>
      <c r="W175" s="19">
        <f t="shared" si="8"/>
        <v>10.35</v>
      </c>
      <c r="X175" s="20">
        <f t="shared" si="9"/>
        <v>10.35</v>
      </c>
      <c r="Y175" s="20">
        <f t="shared" si="10"/>
        <v>0</v>
      </c>
    </row>
    <row r="176" spans="1:25" ht="15.75" hidden="1" customHeight="1">
      <c r="A176" s="14" t="s">
        <v>362</v>
      </c>
      <c r="B176" s="15" t="s">
        <v>363</v>
      </c>
      <c r="C176" s="16">
        <v>34</v>
      </c>
      <c r="D176" s="16">
        <v>34</v>
      </c>
      <c r="E176" s="17">
        <v>0</v>
      </c>
      <c r="F176" s="18">
        <v>0</v>
      </c>
      <c r="G176" s="18">
        <v>0</v>
      </c>
      <c r="H176" s="36">
        <v>0</v>
      </c>
      <c r="I176" s="17">
        <v>0</v>
      </c>
      <c r="J176" s="17">
        <f t="shared" si="0"/>
        <v>0</v>
      </c>
      <c r="K176" s="37">
        <v>0</v>
      </c>
      <c r="L176" s="17">
        <v>0</v>
      </c>
      <c r="M176" s="17">
        <v>0</v>
      </c>
      <c r="N176" s="17">
        <f t="shared" si="1"/>
        <v>0</v>
      </c>
      <c r="O176" s="17">
        <f t="shared" si="2"/>
        <v>0</v>
      </c>
      <c r="P176" s="3"/>
      <c r="Q176" s="19">
        <f t="shared" si="3"/>
        <v>0</v>
      </c>
      <c r="R176" s="19">
        <v>0</v>
      </c>
      <c r="S176" s="19">
        <f t="shared" si="4"/>
        <v>0</v>
      </c>
      <c r="T176" s="19">
        <f t="shared" si="5"/>
        <v>0</v>
      </c>
      <c r="U176" s="19">
        <f t="shared" si="6"/>
        <v>0</v>
      </c>
      <c r="V176" s="19">
        <f t="shared" si="7"/>
        <v>0</v>
      </c>
      <c r="W176" s="19">
        <f t="shared" si="8"/>
        <v>0</v>
      </c>
      <c r="X176" s="20">
        <f t="shared" si="9"/>
        <v>0</v>
      </c>
      <c r="Y176" s="20">
        <f t="shared" si="10"/>
        <v>0</v>
      </c>
    </row>
    <row r="177" spans="1:25" ht="15.75" hidden="1" customHeight="1">
      <c r="A177" s="14" t="s">
        <v>364</v>
      </c>
      <c r="B177" s="15" t="s">
        <v>365</v>
      </c>
      <c r="C177" s="16">
        <v>12.11</v>
      </c>
      <c r="D177" s="16">
        <v>12.11</v>
      </c>
      <c r="E177" s="17">
        <v>0</v>
      </c>
      <c r="F177" s="18">
        <v>0</v>
      </c>
      <c r="G177" s="18">
        <v>0</v>
      </c>
      <c r="H177" s="36">
        <v>0</v>
      </c>
      <c r="I177" s="17">
        <v>0</v>
      </c>
      <c r="J177" s="17">
        <f t="shared" si="0"/>
        <v>0</v>
      </c>
      <c r="K177" s="37">
        <v>0</v>
      </c>
      <c r="L177" s="17">
        <v>0</v>
      </c>
      <c r="M177" s="17">
        <v>0</v>
      </c>
      <c r="N177" s="17">
        <f t="shared" si="1"/>
        <v>0</v>
      </c>
      <c r="O177" s="17">
        <f t="shared" si="2"/>
        <v>0</v>
      </c>
      <c r="P177" s="3"/>
      <c r="Q177" s="19">
        <f t="shared" si="3"/>
        <v>0</v>
      </c>
      <c r="R177" s="19">
        <v>0</v>
      </c>
      <c r="S177" s="19">
        <f t="shared" si="4"/>
        <v>0</v>
      </c>
      <c r="T177" s="19">
        <f t="shared" si="5"/>
        <v>0</v>
      </c>
      <c r="U177" s="19">
        <f t="shared" si="6"/>
        <v>0</v>
      </c>
      <c r="V177" s="19">
        <f t="shared" si="7"/>
        <v>0</v>
      </c>
      <c r="W177" s="19">
        <f t="shared" si="8"/>
        <v>0</v>
      </c>
      <c r="X177" s="20">
        <f t="shared" si="9"/>
        <v>0</v>
      </c>
      <c r="Y177" s="20">
        <f t="shared" si="10"/>
        <v>0</v>
      </c>
    </row>
    <row r="178" spans="1:25" ht="15.75" hidden="1" customHeight="1">
      <c r="A178" s="14" t="s">
        <v>366</v>
      </c>
      <c r="B178" s="15" t="s">
        <v>367</v>
      </c>
      <c r="C178" s="16">
        <v>75</v>
      </c>
      <c r="D178" s="16">
        <v>75</v>
      </c>
      <c r="E178" s="17">
        <v>10</v>
      </c>
      <c r="F178" s="18">
        <v>0</v>
      </c>
      <c r="G178" s="18">
        <v>0</v>
      </c>
      <c r="H178" s="36">
        <v>0</v>
      </c>
      <c r="I178" s="17">
        <v>0</v>
      </c>
      <c r="J178" s="17">
        <f t="shared" si="0"/>
        <v>10</v>
      </c>
      <c r="K178" s="37">
        <v>0</v>
      </c>
      <c r="L178" s="17">
        <v>0</v>
      </c>
      <c r="M178" s="17">
        <v>10</v>
      </c>
      <c r="N178" s="17">
        <f t="shared" si="1"/>
        <v>10</v>
      </c>
      <c r="O178" s="17">
        <f t="shared" si="2"/>
        <v>0</v>
      </c>
      <c r="P178" s="3"/>
      <c r="Q178" s="19">
        <f t="shared" si="3"/>
        <v>750</v>
      </c>
      <c r="R178" s="19">
        <v>0</v>
      </c>
      <c r="S178" s="19">
        <f t="shared" si="4"/>
        <v>0</v>
      </c>
      <c r="T178" s="19">
        <f t="shared" si="5"/>
        <v>0</v>
      </c>
      <c r="U178" s="19">
        <f t="shared" si="6"/>
        <v>0</v>
      </c>
      <c r="V178" s="19">
        <f t="shared" si="7"/>
        <v>0</v>
      </c>
      <c r="W178" s="19">
        <f t="shared" si="8"/>
        <v>750</v>
      </c>
      <c r="X178" s="20">
        <f t="shared" si="9"/>
        <v>750</v>
      </c>
      <c r="Y178" s="20">
        <f t="shared" si="10"/>
        <v>0</v>
      </c>
    </row>
    <row r="179" spans="1:25" ht="15.75" hidden="1" customHeight="1">
      <c r="A179" s="14" t="s">
        <v>368</v>
      </c>
      <c r="B179" s="15" t="s">
        <v>369</v>
      </c>
      <c r="C179" s="16">
        <v>110</v>
      </c>
      <c r="D179" s="16">
        <v>110</v>
      </c>
      <c r="E179" s="17">
        <v>10</v>
      </c>
      <c r="F179" s="18">
        <v>0</v>
      </c>
      <c r="G179" s="18">
        <v>0</v>
      </c>
      <c r="H179" s="36">
        <v>0</v>
      </c>
      <c r="I179" s="17">
        <v>0</v>
      </c>
      <c r="J179" s="17">
        <f t="shared" si="0"/>
        <v>10</v>
      </c>
      <c r="K179" s="37">
        <v>0</v>
      </c>
      <c r="L179" s="17">
        <v>0</v>
      </c>
      <c r="M179" s="17">
        <v>10</v>
      </c>
      <c r="N179" s="17">
        <f t="shared" si="1"/>
        <v>10</v>
      </c>
      <c r="O179" s="17">
        <f t="shared" si="2"/>
        <v>0</v>
      </c>
      <c r="P179" s="3"/>
      <c r="Q179" s="19">
        <f t="shared" si="3"/>
        <v>1100</v>
      </c>
      <c r="R179" s="19">
        <v>0</v>
      </c>
      <c r="S179" s="19">
        <f t="shared" si="4"/>
        <v>0</v>
      </c>
      <c r="T179" s="19">
        <f t="shared" si="5"/>
        <v>0</v>
      </c>
      <c r="U179" s="19">
        <f t="shared" si="6"/>
        <v>0</v>
      </c>
      <c r="V179" s="19">
        <f t="shared" si="7"/>
        <v>0</v>
      </c>
      <c r="W179" s="19">
        <f t="shared" si="8"/>
        <v>1100</v>
      </c>
      <c r="X179" s="20">
        <f t="shared" si="9"/>
        <v>1100</v>
      </c>
      <c r="Y179" s="20">
        <f t="shared" si="10"/>
        <v>0</v>
      </c>
    </row>
    <row r="180" spans="1:25" ht="15.75" hidden="1" customHeight="1">
      <c r="A180" s="14" t="s">
        <v>370</v>
      </c>
      <c r="B180" s="15" t="s">
        <v>371</v>
      </c>
      <c r="C180" s="16">
        <v>110</v>
      </c>
      <c r="D180" s="16">
        <v>110</v>
      </c>
      <c r="E180" s="17">
        <v>10</v>
      </c>
      <c r="F180" s="18">
        <v>0</v>
      </c>
      <c r="G180" s="18">
        <v>0</v>
      </c>
      <c r="H180" s="36">
        <v>0</v>
      </c>
      <c r="I180" s="17">
        <v>0</v>
      </c>
      <c r="J180" s="17">
        <f t="shared" si="0"/>
        <v>10</v>
      </c>
      <c r="K180" s="37">
        <v>0</v>
      </c>
      <c r="L180" s="17">
        <v>0</v>
      </c>
      <c r="M180" s="17">
        <v>10</v>
      </c>
      <c r="N180" s="17">
        <f t="shared" si="1"/>
        <v>10</v>
      </c>
      <c r="O180" s="17">
        <f t="shared" si="2"/>
        <v>0</v>
      </c>
      <c r="P180" s="3"/>
      <c r="Q180" s="19">
        <f t="shared" si="3"/>
        <v>1100</v>
      </c>
      <c r="R180" s="19">
        <v>0</v>
      </c>
      <c r="S180" s="19">
        <f t="shared" si="4"/>
        <v>0</v>
      </c>
      <c r="T180" s="19">
        <f t="shared" si="5"/>
        <v>0</v>
      </c>
      <c r="U180" s="19">
        <f t="shared" si="6"/>
        <v>0</v>
      </c>
      <c r="V180" s="19">
        <f t="shared" si="7"/>
        <v>0</v>
      </c>
      <c r="W180" s="19">
        <f t="shared" si="8"/>
        <v>1100</v>
      </c>
      <c r="X180" s="20">
        <f t="shared" si="9"/>
        <v>1100</v>
      </c>
      <c r="Y180" s="20">
        <f t="shared" si="10"/>
        <v>0</v>
      </c>
    </row>
    <row r="181" spans="1:25" ht="15.75" hidden="1" customHeight="1">
      <c r="A181" s="14" t="s">
        <v>372</v>
      </c>
      <c r="B181" s="15" t="s">
        <v>373</v>
      </c>
      <c r="C181" s="16">
        <v>272.31</v>
      </c>
      <c r="D181" s="16">
        <v>272.31</v>
      </c>
      <c r="E181" s="17">
        <v>0</v>
      </c>
      <c r="F181" s="18">
        <v>0</v>
      </c>
      <c r="G181" s="18">
        <v>0</v>
      </c>
      <c r="H181" s="36">
        <v>0</v>
      </c>
      <c r="I181" s="17">
        <v>0</v>
      </c>
      <c r="J181" s="17">
        <f t="shared" si="0"/>
        <v>0</v>
      </c>
      <c r="K181" s="37">
        <v>0</v>
      </c>
      <c r="L181" s="17">
        <v>0</v>
      </c>
      <c r="M181" s="17">
        <v>0</v>
      </c>
      <c r="N181" s="17">
        <f t="shared" si="1"/>
        <v>0</v>
      </c>
      <c r="O181" s="17">
        <f t="shared" si="2"/>
        <v>0</v>
      </c>
      <c r="P181" s="3"/>
      <c r="Q181" s="19">
        <f t="shared" si="3"/>
        <v>0</v>
      </c>
      <c r="R181" s="19">
        <v>0</v>
      </c>
      <c r="S181" s="19">
        <f t="shared" si="4"/>
        <v>0</v>
      </c>
      <c r="T181" s="19">
        <f t="shared" si="5"/>
        <v>0</v>
      </c>
      <c r="U181" s="19">
        <f t="shared" si="6"/>
        <v>0</v>
      </c>
      <c r="V181" s="19">
        <f t="shared" si="7"/>
        <v>0</v>
      </c>
      <c r="W181" s="19">
        <f t="shared" si="8"/>
        <v>0</v>
      </c>
      <c r="X181" s="20">
        <f t="shared" si="9"/>
        <v>0</v>
      </c>
      <c r="Y181" s="20">
        <f t="shared" si="10"/>
        <v>0</v>
      </c>
    </row>
    <row r="182" spans="1:25" ht="15.75" hidden="1" customHeight="1">
      <c r="A182" s="14" t="s">
        <v>374</v>
      </c>
      <c r="B182" s="15" t="s">
        <v>375</v>
      </c>
      <c r="C182" s="16">
        <v>0</v>
      </c>
      <c r="D182" s="16">
        <v>0</v>
      </c>
      <c r="E182" s="17">
        <v>0</v>
      </c>
      <c r="F182" s="18">
        <v>0</v>
      </c>
      <c r="G182" s="18">
        <v>0</v>
      </c>
      <c r="H182" s="36">
        <v>0</v>
      </c>
      <c r="I182" s="17">
        <v>0</v>
      </c>
      <c r="J182" s="17">
        <f t="shared" si="0"/>
        <v>0</v>
      </c>
      <c r="K182" s="37">
        <v>0</v>
      </c>
      <c r="L182" s="17">
        <v>0</v>
      </c>
      <c r="M182" s="17">
        <v>0</v>
      </c>
      <c r="N182" s="17">
        <f t="shared" si="1"/>
        <v>0</v>
      </c>
      <c r="O182" s="17">
        <f t="shared" si="2"/>
        <v>0</v>
      </c>
      <c r="P182" s="3"/>
      <c r="Q182" s="19">
        <f t="shared" si="3"/>
        <v>0</v>
      </c>
      <c r="R182" s="19">
        <v>0</v>
      </c>
      <c r="S182" s="19">
        <f t="shared" si="4"/>
        <v>0</v>
      </c>
      <c r="T182" s="19">
        <f t="shared" si="5"/>
        <v>0</v>
      </c>
      <c r="U182" s="19">
        <f t="shared" si="6"/>
        <v>0</v>
      </c>
      <c r="V182" s="19">
        <f t="shared" si="7"/>
        <v>0</v>
      </c>
      <c r="W182" s="19">
        <f t="shared" si="8"/>
        <v>0</v>
      </c>
      <c r="X182" s="20">
        <f t="shared" si="9"/>
        <v>0</v>
      </c>
      <c r="Y182" s="20">
        <f t="shared" si="10"/>
        <v>0</v>
      </c>
    </row>
    <row r="183" spans="1:25" ht="15.75" hidden="1" customHeight="1">
      <c r="A183" s="14" t="s">
        <v>376</v>
      </c>
      <c r="B183" s="15" t="s">
        <v>377</v>
      </c>
      <c r="C183" s="16">
        <v>4500</v>
      </c>
      <c r="D183" s="16">
        <v>4500</v>
      </c>
      <c r="E183" s="17">
        <v>1</v>
      </c>
      <c r="F183" s="18">
        <v>0</v>
      </c>
      <c r="G183" s="18">
        <v>0</v>
      </c>
      <c r="H183" s="36">
        <v>0</v>
      </c>
      <c r="I183" s="17">
        <v>0</v>
      </c>
      <c r="J183" s="17">
        <f t="shared" si="0"/>
        <v>1</v>
      </c>
      <c r="K183" s="37">
        <v>1</v>
      </c>
      <c r="L183" s="17">
        <v>0</v>
      </c>
      <c r="M183" s="17">
        <v>0</v>
      </c>
      <c r="N183" s="17">
        <f t="shared" si="1"/>
        <v>1</v>
      </c>
      <c r="O183" s="17">
        <f t="shared" si="2"/>
        <v>0</v>
      </c>
      <c r="P183" s="3"/>
      <c r="Q183" s="19">
        <f t="shared" si="3"/>
        <v>4500</v>
      </c>
      <c r="R183" s="19">
        <v>0</v>
      </c>
      <c r="S183" s="19">
        <f t="shared" si="4"/>
        <v>0</v>
      </c>
      <c r="T183" s="19">
        <f t="shared" si="5"/>
        <v>0</v>
      </c>
      <c r="U183" s="19">
        <f t="shared" si="6"/>
        <v>0</v>
      </c>
      <c r="V183" s="19">
        <f t="shared" si="7"/>
        <v>0</v>
      </c>
      <c r="W183" s="19">
        <f t="shared" si="8"/>
        <v>4500</v>
      </c>
      <c r="X183" s="20">
        <f t="shared" si="9"/>
        <v>4500</v>
      </c>
      <c r="Y183" s="20">
        <f t="shared" si="10"/>
        <v>0</v>
      </c>
    </row>
    <row r="184" spans="1:25" ht="15.75" hidden="1" customHeight="1">
      <c r="A184" s="14" t="s">
        <v>378</v>
      </c>
      <c r="B184" s="15" t="s">
        <v>379</v>
      </c>
      <c r="C184" s="16">
        <v>1860</v>
      </c>
      <c r="D184" s="16">
        <v>1860</v>
      </c>
      <c r="E184" s="17">
        <v>0</v>
      </c>
      <c r="F184" s="18">
        <v>0</v>
      </c>
      <c r="G184" s="18">
        <v>0</v>
      </c>
      <c r="H184" s="39">
        <v>0</v>
      </c>
      <c r="I184" s="17">
        <v>0</v>
      </c>
      <c r="J184" s="17">
        <f t="shared" si="0"/>
        <v>0</v>
      </c>
      <c r="K184" s="37">
        <v>0</v>
      </c>
      <c r="L184" s="17">
        <v>0</v>
      </c>
      <c r="M184" s="17">
        <v>0</v>
      </c>
      <c r="N184" s="17">
        <f t="shared" si="1"/>
        <v>0</v>
      </c>
      <c r="O184" s="17">
        <f t="shared" si="2"/>
        <v>0</v>
      </c>
      <c r="P184" s="3"/>
      <c r="Q184" s="19">
        <f t="shared" si="3"/>
        <v>0</v>
      </c>
      <c r="R184" s="19">
        <v>0</v>
      </c>
      <c r="S184" s="19">
        <f t="shared" si="4"/>
        <v>0</v>
      </c>
      <c r="T184" s="19">
        <f t="shared" si="5"/>
        <v>0</v>
      </c>
      <c r="U184" s="19">
        <f t="shared" si="6"/>
        <v>0</v>
      </c>
      <c r="V184" s="19">
        <f t="shared" si="7"/>
        <v>0</v>
      </c>
      <c r="W184" s="19">
        <f t="shared" si="8"/>
        <v>0</v>
      </c>
      <c r="X184" s="20">
        <f t="shared" si="9"/>
        <v>0</v>
      </c>
      <c r="Y184" s="20">
        <f t="shared" si="10"/>
        <v>0</v>
      </c>
    </row>
    <row r="185" spans="1:25" ht="15.75" hidden="1" customHeight="1">
      <c r="A185" s="14" t="s">
        <v>380</v>
      </c>
      <c r="B185" s="15" t="s">
        <v>381</v>
      </c>
      <c r="C185" s="16">
        <v>1780</v>
      </c>
      <c r="D185" s="16">
        <v>1780</v>
      </c>
      <c r="E185" s="17">
        <v>1</v>
      </c>
      <c r="F185" s="18">
        <v>0</v>
      </c>
      <c r="G185" s="18">
        <v>0</v>
      </c>
      <c r="H185" s="36">
        <v>0</v>
      </c>
      <c r="I185" s="17">
        <v>0</v>
      </c>
      <c r="J185" s="17">
        <f t="shared" si="0"/>
        <v>1</v>
      </c>
      <c r="K185" s="37">
        <v>1</v>
      </c>
      <c r="L185" s="17">
        <v>0</v>
      </c>
      <c r="M185" s="17">
        <v>0</v>
      </c>
      <c r="N185" s="17">
        <f t="shared" si="1"/>
        <v>1</v>
      </c>
      <c r="O185" s="17">
        <f t="shared" si="2"/>
        <v>0</v>
      </c>
      <c r="P185" s="3"/>
      <c r="Q185" s="19">
        <f t="shared" si="3"/>
        <v>1780</v>
      </c>
      <c r="R185" s="19">
        <v>0</v>
      </c>
      <c r="S185" s="19">
        <f t="shared" si="4"/>
        <v>0</v>
      </c>
      <c r="T185" s="19">
        <f t="shared" si="5"/>
        <v>0</v>
      </c>
      <c r="U185" s="19">
        <f t="shared" si="6"/>
        <v>0</v>
      </c>
      <c r="V185" s="19">
        <f t="shared" si="7"/>
        <v>0</v>
      </c>
      <c r="W185" s="19">
        <f t="shared" si="8"/>
        <v>1780</v>
      </c>
      <c r="X185" s="20">
        <f t="shared" si="9"/>
        <v>1780</v>
      </c>
      <c r="Y185" s="20">
        <f t="shared" si="10"/>
        <v>0</v>
      </c>
    </row>
    <row r="186" spans="1:25" ht="15.75" hidden="1" customHeight="1">
      <c r="A186" s="14" t="s">
        <v>382</v>
      </c>
      <c r="B186" s="15" t="s">
        <v>383</v>
      </c>
      <c r="C186" s="16">
        <v>530</v>
      </c>
      <c r="D186" s="16">
        <v>530</v>
      </c>
      <c r="E186" s="17">
        <v>4</v>
      </c>
      <c r="F186" s="18">
        <v>0</v>
      </c>
      <c r="G186" s="18">
        <v>0</v>
      </c>
      <c r="H186" s="36">
        <v>0</v>
      </c>
      <c r="I186" s="17">
        <v>0</v>
      </c>
      <c r="J186" s="17">
        <f t="shared" si="0"/>
        <v>4</v>
      </c>
      <c r="K186" s="37">
        <v>4</v>
      </c>
      <c r="L186" s="17">
        <v>0</v>
      </c>
      <c r="M186" s="17">
        <v>0</v>
      </c>
      <c r="N186" s="17">
        <f t="shared" si="1"/>
        <v>4</v>
      </c>
      <c r="O186" s="17">
        <f t="shared" si="2"/>
        <v>0</v>
      </c>
      <c r="P186" s="3"/>
      <c r="Q186" s="19">
        <f t="shared" si="3"/>
        <v>2120</v>
      </c>
      <c r="R186" s="19">
        <v>0</v>
      </c>
      <c r="S186" s="19">
        <f t="shared" si="4"/>
        <v>0</v>
      </c>
      <c r="T186" s="19">
        <f t="shared" si="5"/>
        <v>0</v>
      </c>
      <c r="U186" s="19">
        <f t="shared" si="6"/>
        <v>0</v>
      </c>
      <c r="V186" s="19">
        <f t="shared" si="7"/>
        <v>0</v>
      </c>
      <c r="W186" s="19">
        <f t="shared" si="8"/>
        <v>2120</v>
      </c>
      <c r="X186" s="20">
        <f t="shared" si="9"/>
        <v>2120</v>
      </c>
      <c r="Y186" s="20">
        <f t="shared" si="10"/>
        <v>0</v>
      </c>
    </row>
    <row r="187" spans="1:25" ht="15.75" hidden="1" customHeight="1">
      <c r="A187" s="14" t="s">
        <v>384</v>
      </c>
      <c r="B187" s="15" t="s">
        <v>385</v>
      </c>
      <c r="C187" s="16">
        <v>250</v>
      </c>
      <c r="D187" s="16">
        <v>250</v>
      </c>
      <c r="E187" s="17">
        <v>2</v>
      </c>
      <c r="F187" s="18">
        <v>0</v>
      </c>
      <c r="G187" s="18">
        <v>0</v>
      </c>
      <c r="H187" s="36">
        <v>0</v>
      </c>
      <c r="I187" s="17">
        <v>0</v>
      </c>
      <c r="J187" s="17">
        <f t="shared" si="0"/>
        <v>2</v>
      </c>
      <c r="K187" s="37">
        <v>2</v>
      </c>
      <c r="L187" s="17">
        <v>0</v>
      </c>
      <c r="M187" s="17">
        <v>0</v>
      </c>
      <c r="N187" s="17">
        <f t="shared" si="1"/>
        <v>2</v>
      </c>
      <c r="O187" s="17">
        <f t="shared" si="2"/>
        <v>0</v>
      </c>
      <c r="P187" s="3"/>
      <c r="Q187" s="19">
        <f t="shared" si="3"/>
        <v>500</v>
      </c>
      <c r="R187" s="19">
        <v>0</v>
      </c>
      <c r="S187" s="19">
        <f t="shared" si="4"/>
        <v>0</v>
      </c>
      <c r="T187" s="19">
        <f t="shared" si="5"/>
        <v>0</v>
      </c>
      <c r="U187" s="19">
        <f t="shared" si="6"/>
        <v>0</v>
      </c>
      <c r="V187" s="19">
        <f t="shared" si="7"/>
        <v>0</v>
      </c>
      <c r="W187" s="19">
        <f t="shared" si="8"/>
        <v>500</v>
      </c>
      <c r="X187" s="20">
        <f t="shared" si="9"/>
        <v>500</v>
      </c>
      <c r="Y187" s="20">
        <f t="shared" si="10"/>
        <v>0</v>
      </c>
    </row>
    <row r="188" spans="1:25" ht="15.75" hidden="1" customHeight="1">
      <c r="A188" s="14" t="s">
        <v>386</v>
      </c>
      <c r="B188" s="15" t="s">
        <v>387</v>
      </c>
      <c r="C188" s="16">
        <v>517.89</v>
      </c>
      <c r="D188" s="16">
        <v>517.89</v>
      </c>
      <c r="E188" s="17">
        <v>50</v>
      </c>
      <c r="F188" s="18">
        <v>0</v>
      </c>
      <c r="G188" s="18">
        <v>0</v>
      </c>
      <c r="H188" s="36">
        <v>0</v>
      </c>
      <c r="I188" s="17">
        <v>0</v>
      </c>
      <c r="J188" s="17">
        <f t="shared" si="0"/>
        <v>50</v>
      </c>
      <c r="K188" s="37">
        <v>50</v>
      </c>
      <c r="L188" s="17">
        <v>0</v>
      </c>
      <c r="M188" s="17">
        <v>0</v>
      </c>
      <c r="N188" s="17">
        <f t="shared" si="1"/>
        <v>50</v>
      </c>
      <c r="O188" s="17">
        <f t="shared" si="2"/>
        <v>0</v>
      </c>
      <c r="P188" s="3"/>
      <c r="Q188" s="19">
        <f t="shared" si="3"/>
        <v>25894.5</v>
      </c>
      <c r="R188" s="19">
        <v>0</v>
      </c>
      <c r="S188" s="19">
        <f t="shared" si="4"/>
        <v>0</v>
      </c>
      <c r="T188" s="19">
        <f t="shared" si="5"/>
        <v>0</v>
      </c>
      <c r="U188" s="19">
        <f t="shared" si="6"/>
        <v>0</v>
      </c>
      <c r="V188" s="19">
        <f t="shared" si="7"/>
        <v>0</v>
      </c>
      <c r="W188" s="19">
        <f t="shared" si="8"/>
        <v>25894.5</v>
      </c>
      <c r="X188" s="20">
        <f t="shared" si="9"/>
        <v>25894.5</v>
      </c>
      <c r="Y188" s="20">
        <f t="shared" si="10"/>
        <v>0</v>
      </c>
    </row>
    <row r="189" spans="1:25" ht="15.75" hidden="1" customHeight="1">
      <c r="A189" s="14" t="s">
        <v>388</v>
      </c>
      <c r="B189" s="15" t="s">
        <v>389</v>
      </c>
      <c r="C189" s="16">
        <v>70</v>
      </c>
      <c r="D189" s="16">
        <v>70</v>
      </c>
      <c r="E189" s="17">
        <v>4</v>
      </c>
      <c r="F189" s="18">
        <v>0</v>
      </c>
      <c r="G189" s="18">
        <v>0</v>
      </c>
      <c r="H189" s="36">
        <v>0</v>
      </c>
      <c r="I189" s="17">
        <v>0</v>
      </c>
      <c r="J189" s="17">
        <f t="shared" si="0"/>
        <v>4</v>
      </c>
      <c r="K189" s="37">
        <v>4</v>
      </c>
      <c r="L189" s="17">
        <v>0</v>
      </c>
      <c r="M189" s="17">
        <v>0</v>
      </c>
      <c r="N189" s="17">
        <f t="shared" si="1"/>
        <v>4</v>
      </c>
      <c r="O189" s="17">
        <f t="shared" si="2"/>
        <v>0</v>
      </c>
      <c r="P189" s="3"/>
      <c r="Q189" s="19">
        <f t="shared" si="3"/>
        <v>280</v>
      </c>
      <c r="R189" s="19">
        <v>0</v>
      </c>
      <c r="S189" s="19">
        <f t="shared" si="4"/>
        <v>0</v>
      </c>
      <c r="T189" s="19">
        <f t="shared" si="5"/>
        <v>0</v>
      </c>
      <c r="U189" s="19">
        <f t="shared" si="6"/>
        <v>0</v>
      </c>
      <c r="V189" s="19">
        <f t="shared" si="7"/>
        <v>0</v>
      </c>
      <c r="W189" s="19">
        <f t="shared" si="8"/>
        <v>280</v>
      </c>
      <c r="X189" s="20">
        <f t="shared" si="9"/>
        <v>280</v>
      </c>
      <c r="Y189" s="20">
        <f t="shared" si="10"/>
        <v>0</v>
      </c>
    </row>
    <row r="190" spans="1:25" ht="15.75" hidden="1" customHeight="1">
      <c r="A190" s="14" t="s">
        <v>390</v>
      </c>
      <c r="B190" s="15" t="s">
        <v>391</v>
      </c>
      <c r="C190" s="16">
        <v>0</v>
      </c>
      <c r="D190" s="16">
        <v>0</v>
      </c>
      <c r="E190" s="17">
        <v>0</v>
      </c>
      <c r="F190" s="18">
        <v>0</v>
      </c>
      <c r="G190" s="18">
        <v>0</v>
      </c>
      <c r="H190" s="36">
        <v>0</v>
      </c>
      <c r="I190" s="17">
        <v>0</v>
      </c>
      <c r="J190" s="17">
        <f t="shared" si="0"/>
        <v>0</v>
      </c>
      <c r="K190" s="37">
        <v>0</v>
      </c>
      <c r="L190" s="17">
        <v>0</v>
      </c>
      <c r="M190" s="17">
        <v>0</v>
      </c>
      <c r="N190" s="17">
        <f t="shared" si="1"/>
        <v>0</v>
      </c>
      <c r="O190" s="17">
        <f t="shared" si="2"/>
        <v>0</v>
      </c>
      <c r="P190" s="3"/>
      <c r="Q190" s="19">
        <f t="shared" si="3"/>
        <v>0</v>
      </c>
      <c r="R190" s="19">
        <v>0</v>
      </c>
      <c r="S190" s="19">
        <f t="shared" si="4"/>
        <v>0</v>
      </c>
      <c r="T190" s="19">
        <f t="shared" si="5"/>
        <v>0</v>
      </c>
      <c r="U190" s="19">
        <f t="shared" si="6"/>
        <v>0</v>
      </c>
      <c r="V190" s="19">
        <f t="shared" si="7"/>
        <v>0</v>
      </c>
      <c r="W190" s="19">
        <f t="shared" si="8"/>
        <v>0</v>
      </c>
      <c r="X190" s="20">
        <f t="shared" si="9"/>
        <v>0</v>
      </c>
      <c r="Y190" s="20">
        <f t="shared" si="10"/>
        <v>0</v>
      </c>
    </row>
    <row r="191" spans="1:25" ht="15.75" hidden="1" customHeight="1">
      <c r="A191" s="14" t="s">
        <v>392</v>
      </c>
      <c r="B191" s="15" t="s">
        <v>393</v>
      </c>
      <c r="C191" s="16">
        <v>690</v>
      </c>
      <c r="D191" s="16">
        <v>690</v>
      </c>
      <c r="E191" s="17">
        <v>1</v>
      </c>
      <c r="F191" s="18">
        <v>0</v>
      </c>
      <c r="G191" s="18">
        <v>0</v>
      </c>
      <c r="H191" s="36">
        <v>0</v>
      </c>
      <c r="I191" s="17">
        <v>0</v>
      </c>
      <c r="J191" s="17">
        <f t="shared" si="0"/>
        <v>1</v>
      </c>
      <c r="K191" s="37">
        <v>1</v>
      </c>
      <c r="L191" s="17">
        <v>0</v>
      </c>
      <c r="M191" s="17">
        <v>0</v>
      </c>
      <c r="N191" s="17">
        <f t="shared" si="1"/>
        <v>1</v>
      </c>
      <c r="O191" s="17">
        <f t="shared" si="2"/>
        <v>0</v>
      </c>
      <c r="P191" s="3"/>
      <c r="Q191" s="19">
        <f t="shared" si="3"/>
        <v>690</v>
      </c>
      <c r="R191" s="19">
        <v>0</v>
      </c>
      <c r="S191" s="19">
        <f t="shared" si="4"/>
        <v>0</v>
      </c>
      <c r="T191" s="19">
        <f t="shared" si="5"/>
        <v>0</v>
      </c>
      <c r="U191" s="19">
        <f t="shared" si="6"/>
        <v>0</v>
      </c>
      <c r="V191" s="19">
        <f t="shared" si="7"/>
        <v>0</v>
      </c>
      <c r="W191" s="19">
        <f t="shared" si="8"/>
        <v>690</v>
      </c>
      <c r="X191" s="20">
        <f t="shared" si="9"/>
        <v>690</v>
      </c>
      <c r="Y191" s="20">
        <f t="shared" si="10"/>
        <v>0</v>
      </c>
    </row>
    <row r="192" spans="1:25" ht="15.75" hidden="1" customHeight="1">
      <c r="A192" s="14" t="s">
        <v>394</v>
      </c>
      <c r="B192" s="15" t="s">
        <v>395</v>
      </c>
      <c r="C192" s="16">
        <v>0</v>
      </c>
      <c r="D192" s="16">
        <v>0</v>
      </c>
      <c r="E192" s="17">
        <v>0</v>
      </c>
      <c r="F192" s="18">
        <v>0</v>
      </c>
      <c r="G192" s="18">
        <v>0</v>
      </c>
      <c r="H192" s="36">
        <v>0</v>
      </c>
      <c r="I192" s="17">
        <v>0</v>
      </c>
      <c r="J192" s="17">
        <f t="shared" si="0"/>
        <v>0</v>
      </c>
      <c r="K192" s="37">
        <v>0</v>
      </c>
      <c r="L192" s="17">
        <v>0</v>
      </c>
      <c r="M192" s="17">
        <v>0</v>
      </c>
      <c r="N192" s="17">
        <f t="shared" si="1"/>
        <v>0</v>
      </c>
      <c r="O192" s="17">
        <f t="shared" si="2"/>
        <v>0</v>
      </c>
      <c r="P192" s="3"/>
      <c r="Q192" s="19">
        <f t="shared" si="3"/>
        <v>0</v>
      </c>
      <c r="R192" s="19">
        <v>0</v>
      </c>
      <c r="S192" s="19">
        <f t="shared" si="4"/>
        <v>0</v>
      </c>
      <c r="T192" s="19">
        <f t="shared" si="5"/>
        <v>0</v>
      </c>
      <c r="U192" s="19">
        <f t="shared" si="6"/>
        <v>0</v>
      </c>
      <c r="V192" s="19">
        <f t="shared" si="7"/>
        <v>0</v>
      </c>
      <c r="W192" s="19">
        <f t="shared" si="8"/>
        <v>0</v>
      </c>
      <c r="X192" s="20">
        <f t="shared" si="9"/>
        <v>0</v>
      </c>
      <c r="Y192" s="20">
        <f t="shared" si="10"/>
        <v>0</v>
      </c>
    </row>
    <row r="193" spans="1:25" ht="15.75" customHeight="1">
      <c r="A193" s="14" t="s">
        <v>396</v>
      </c>
      <c r="B193" s="15" t="s">
        <v>397</v>
      </c>
      <c r="C193" s="16">
        <v>60</v>
      </c>
      <c r="D193" s="16">
        <v>60</v>
      </c>
      <c r="E193" s="17">
        <v>9</v>
      </c>
      <c r="F193" s="18">
        <v>0</v>
      </c>
      <c r="G193" s="18">
        <v>0</v>
      </c>
      <c r="H193" s="36">
        <v>5</v>
      </c>
      <c r="I193" s="17">
        <v>0</v>
      </c>
      <c r="J193" s="17">
        <f t="shared" si="0"/>
        <v>4</v>
      </c>
      <c r="K193" s="37">
        <v>9</v>
      </c>
      <c r="L193" s="17">
        <v>0</v>
      </c>
      <c r="M193" s="17">
        <v>0</v>
      </c>
      <c r="N193" s="17">
        <f t="shared" si="1"/>
        <v>9</v>
      </c>
      <c r="O193" s="17">
        <f t="shared" si="2"/>
        <v>5</v>
      </c>
      <c r="P193" s="3"/>
      <c r="Q193" s="19">
        <f t="shared" si="3"/>
        <v>540</v>
      </c>
      <c r="R193" s="19">
        <v>0</v>
      </c>
      <c r="S193" s="19">
        <f t="shared" si="4"/>
        <v>0</v>
      </c>
      <c r="T193" s="19">
        <f t="shared" si="5"/>
        <v>0</v>
      </c>
      <c r="U193" s="19">
        <f t="shared" si="6"/>
        <v>300</v>
      </c>
      <c r="V193" s="19">
        <f t="shared" si="7"/>
        <v>0</v>
      </c>
      <c r="W193" s="19">
        <f t="shared" si="8"/>
        <v>240</v>
      </c>
      <c r="X193" s="20">
        <f t="shared" si="9"/>
        <v>240</v>
      </c>
      <c r="Y193" s="20">
        <f t="shared" si="10"/>
        <v>0</v>
      </c>
    </row>
    <row r="194" spans="1:25" ht="15.75" hidden="1" customHeight="1">
      <c r="A194" s="14" t="s">
        <v>398</v>
      </c>
      <c r="B194" s="15" t="s">
        <v>399</v>
      </c>
      <c r="C194" s="16">
        <v>620</v>
      </c>
      <c r="D194" s="16">
        <v>620</v>
      </c>
      <c r="E194" s="17">
        <v>0</v>
      </c>
      <c r="F194" s="18">
        <v>0</v>
      </c>
      <c r="G194" s="18">
        <v>0</v>
      </c>
      <c r="H194" s="36">
        <v>0</v>
      </c>
      <c r="I194" s="17">
        <v>0</v>
      </c>
      <c r="J194" s="17">
        <f t="shared" si="0"/>
        <v>0</v>
      </c>
      <c r="K194" s="37">
        <v>0</v>
      </c>
      <c r="L194" s="17">
        <v>0</v>
      </c>
      <c r="M194" s="17">
        <v>0</v>
      </c>
      <c r="N194" s="17">
        <f t="shared" si="1"/>
        <v>0</v>
      </c>
      <c r="O194" s="17">
        <f t="shared" si="2"/>
        <v>0</v>
      </c>
      <c r="P194" s="3"/>
      <c r="Q194" s="19">
        <f t="shared" si="3"/>
        <v>0</v>
      </c>
      <c r="R194" s="19">
        <v>0</v>
      </c>
      <c r="S194" s="19">
        <f t="shared" si="4"/>
        <v>0</v>
      </c>
      <c r="T194" s="19">
        <f t="shared" si="5"/>
        <v>0</v>
      </c>
      <c r="U194" s="19">
        <f t="shared" si="6"/>
        <v>0</v>
      </c>
      <c r="V194" s="19">
        <f t="shared" si="7"/>
        <v>0</v>
      </c>
      <c r="W194" s="19">
        <f t="shared" si="8"/>
        <v>0</v>
      </c>
      <c r="X194" s="20">
        <f t="shared" si="9"/>
        <v>0</v>
      </c>
      <c r="Y194" s="20">
        <f t="shared" si="10"/>
        <v>0</v>
      </c>
    </row>
    <row r="195" spans="1:25" ht="15.75" hidden="1" customHeight="1">
      <c r="A195" s="14" t="s">
        <v>400</v>
      </c>
      <c r="B195" s="15" t="s">
        <v>401</v>
      </c>
      <c r="C195" s="16">
        <v>390</v>
      </c>
      <c r="D195" s="16">
        <v>390</v>
      </c>
      <c r="E195" s="17">
        <v>3</v>
      </c>
      <c r="F195" s="18">
        <v>0</v>
      </c>
      <c r="G195" s="18">
        <v>0</v>
      </c>
      <c r="H195" s="36">
        <v>0</v>
      </c>
      <c r="I195" s="17">
        <v>0</v>
      </c>
      <c r="J195" s="17">
        <f t="shared" si="0"/>
        <v>3</v>
      </c>
      <c r="K195" s="37">
        <v>3</v>
      </c>
      <c r="L195" s="17">
        <v>0</v>
      </c>
      <c r="M195" s="17">
        <v>0</v>
      </c>
      <c r="N195" s="17">
        <f t="shared" si="1"/>
        <v>3</v>
      </c>
      <c r="O195" s="17">
        <f t="shared" si="2"/>
        <v>0</v>
      </c>
      <c r="P195" s="3"/>
      <c r="Q195" s="19">
        <f t="shared" si="3"/>
        <v>1170</v>
      </c>
      <c r="R195" s="19">
        <v>0</v>
      </c>
      <c r="S195" s="19">
        <f t="shared" si="4"/>
        <v>0</v>
      </c>
      <c r="T195" s="19">
        <f t="shared" si="5"/>
        <v>0</v>
      </c>
      <c r="U195" s="19">
        <f t="shared" si="6"/>
        <v>0</v>
      </c>
      <c r="V195" s="19">
        <f t="shared" si="7"/>
        <v>0</v>
      </c>
      <c r="W195" s="19">
        <f t="shared" si="8"/>
        <v>1170</v>
      </c>
      <c r="X195" s="20">
        <f t="shared" si="9"/>
        <v>1170</v>
      </c>
      <c r="Y195" s="20">
        <f t="shared" si="10"/>
        <v>0</v>
      </c>
    </row>
    <row r="196" spans="1:25" ht="15.75" hidden="1" customHeight="1">
      <c r="A196" s="14" t="s">
        <v>402</v>
      </c>
      <c r="B196" s="15" t="s">
        <v>403</v>
      </c>
      <c r="C196" s="16">
        <v>320</v>
      </c>
      <c r="D196" s="16">
        <v>320</v>
      </c>
      <c r="E196" s="17">
        <v>0</v>
      </c>
      <c r="F196" s="18">
        <v>0</v>
      </c>
      <c r="G196" s="18">
        <v>0</v>
      </c>
      <c r="H196" s="36">
        <v>0</v>
      </c>
      <c r="I196" s="17">
        <v>0</v>
      </c>
      <c r="J196" s="17">
        <f t="shared" si="0"/>
        <v>0</v>
      </c>
      <c r="K196" s="37">
        <v>0</v>
      </c>
      <c r="L196" s="17">
        <v>0</v>
      </c>
      <c r="M196" s="17">
        <v>0</v>
      </c>
      <c r="N196" s="17">
        <f t="shared" si="1"/>
        <v>0</v>
      </c>
      <c r="O196" s="17">
        <f t="shared" si="2"/>
        <v>0</v>
      </c>
      <c r="P196" s="3"/>
      <c r="Q196" s="19">
        <f t="shared" si="3"/>
        <v>0</v>
      </c>
      <c r="R196" s="19">
        <v>0</v>
      </c>
      <c r="S196" s="19">
        <f t="shared" si="4"/>
        <v>0</v>
      </c>
      <c r="T196" s="19">
        <f t="shared" si="5"/>
        <v>0</v>
      </c>
      <c r="U196" s="19">
        <f t="shared" si="6"/>
        <v>0</v>
      </c>
      <c r="V196" s="19">
        <f t="shared" si="7"/>
        <v>0</v>
      </c>
      <c r="W196" s="19">
        <f t="shared" si="8"/>
        <v>0</v>
      </c>
      <c r="X196" s="20">
        <f t="shared" si="9"/>
        <v>0</v>
      </c>
      <c r="Y196" s="20">
        <f t="shared" si="10"/>
        <v>0</v>
      </c>
    </row>
    <row r="197" spans="1:25" ht="15.75" hidden="1" customHeight="1">
      <c r="A197" s="14" t="s">
        <v>404</v>
      </c>
      <c r="B197" s="15" t="s">
        <v>405</v>
      </c>
      <c r="C197" s="16">
        <v>80</v>
      </c>
      <c r="D197" s="16">
        <v>80</v>
      </c>
      <c r="E197" s="17">
        <v>1</v>
      </c>
      <c r="F197" s="18">
        <v>0</v>
      </c>
      <c r="G197" s="18">
        <v>0</v>
      </c>
      <c r="H197" s="36">
        <v>0</v>
      </c>
      <c r="I197" s="17">
        <v>0</v>
      </c>
      <c r="J197" s="17">
        <f t="shared" si="0"/>
        <v>1</v>
      </c>
      <c r="K197" s="37">
        <v>1</v>
      </c>
      <c r="L197" s="17">
        <v>0</v>
      </c>
      <c r="M197" s="17">
        <v>0</v>
      </c>
      <c r="N197" s="17">
        <f t="shared" si="1"/>
        <v>1</v>
      </c>
      <c r="O197" s="17">
        <f t="shared" si="2"/>
        <v>0</v>
      </c>
      <c r="P197" s="3"/>
      <c r="Q197" s="19">
        <f t="shared" si="3"/>
        <v>80</v>
      </c>
      <c r="R197" s="19">
        <v>0</v>
      </c>
      <c r="S197" s="19">
        <f t="shared" si="4"/>
        <v>0</v>
      </c>
      <c r="T197" s="19">
        <f t="shared" si="5"/>
        <v>0</v>
      </c>
      <c r="U197" s="19">
        <f t="shared" si="6"/>
        <v>0</v>
      </c>
      <c r="V197" s="19">
        <f t="shared" si="7"/>
        <v>0</v>
      </c>
      <c r="W197" s="19">
        <f t="shared" si="8"/>
        <v>80</v>
      </c>
      <c r="X197" s="20">
        <f t="shared" si="9"/>
        <v>80</v>
      </c>
      <c r="Y197" s="20">
        <f t="shared" si="10"/>
        <v>0</v>
      </c>
    </row>
    <row r="198" spans="1:25" ht="15.75" hidden="1" customHeight="1">
      <c r="A198" s="14" t="s">
        <v>406</v>
      </c>
      <c r="B198" s="15" t="s">
        <v>407</v>
      </c>
      <c r="C198" s="16">
        <v>251.92</v>
      </c>
      <c r="D198" s="16">
        <v>251.92</v>
      </c>
      <c r="E198" s="17">
        <v>2</v>
      </c>
      <c r="F198" s="18">
        <v>0</v>
      </c>
      <c r="G198" s="18">
        <v>0</v>
      </c>
      <c r="H198" s="36">
        <v>0</v>
      </c>
      <c r="I198" s="17">
        <v>0</v>
      </c>
      <c r="J198" s="17">
        <f t="shared" si="0"/>
        <v>2</v>
      </c>
      <c r="K198" s="37">
        <v>2</v>
      </c>
      <c r="L198" s="17">
        <v>0</v>
      </c>
      <c r="M198" s="17">
        <v>0</v>
      </c>
      <c r="N198" s="17">
        <f t="shared" si="1"/>
        <v>2</v>
      </c>
      <c r="O198" s="17">
        <f t="shared" si="2"/>
        <v>0</v>
      </c>
      <c r="P198" s="3"/>
      <c r="Q198" s="19">
        <f t="shared" si="3"/>
        <v>503.84</v>
      </c>
      <c r="R198" s="19">
        <v>0</v>
      </c>
      <c r="S198" s="19">
        <f t="shared" si="4"/>
        <v>0</v>
      </c>
      <c r="T198" s="19">
        <f t="shared" si="5"/>
        <v>0</v>
      </c>
      <c r="U198" s="19">
        <f t="shared" si="6"/>
        <v>0</v>
      </c>
      <c r="V198" s="19">
        <f t="shared" si="7"/>
        <v>0</v>
      </c>
      <c r="W198" s="19">
        <f t="shared" si="8"/>
        <v>503.84</v>
      </c>
      <c r="X198" s="20">
        <f t="shared" si="9"/>
        <v>503.84</v>
      </c>
      <c r="Y198" s="20">
        <f t="shared" si="10"/>
        <v>0</v>
      </c>
    </row>
    <row r="199" spans="1:25" ht="15.75" hidden="1" customHeight="1">
      <c r="A199" s="14" t="s">
        <v>408</v>
      </c>
      <c r="B199" s="15" t="s">
        <v>409</v>
      </c>
      <c r="C199" s="16">
        <v>3400</v>
      </c>
      <c r="D199" s="16">
        <v>3400</v>
      </c>
      <c r="E199" s="17">
        <v>1</v>
      </c>
      <c r="F199" s="18">
        <v>0</v>
      </c>
      <c r="G199" s="18">
        <v>0</v>
      </c>
      <c r="H199" s="36">
        <v>0</v>
      </c>
      <c r="I199" s="17">
        <v>0</v>
      </c>
      <c r="J199" s="17">
        <f t="shared" si="0"/>
        <v>1</v>
      </c>
      <c r="K199" s="37">
        <v>1</v>
      </c>
      <c r="L199" s="17">
        <v>0</v>
      </c>
      <c r="M199" s="17">
        <v>0</v>
      </c>
      <c r="N199" s="17">
        <f t="shared" si="1"/>
        <v>1</v>
      </c>
      <c r="O199" s="17">
        <f t="shared" si="2"/>
        <v>0</v>
      </c>
      <c r="P199" s="3"/>
      <c r="Q199" s="19">
        <f t="shared" si="3"/>
        <v>3400</v>
      </c>
      <c r="R199" s="19">
        <v>0</v>
      </c>
      <c r="S199" s="19">
        <f t="shared" si="4"/>
        <v>0</v>
      </c>
      <c r="T199" s="19">
        <f t="shared" si="5"/>
        <v>0</v>
      </c>
      <c r="U199" s="19">
        <f t="shared" si="6"/>
        <v>0</v>
      </c>
      <c r="V199" s="19">
        <f t="shared" si="7"/>
        <v>0</v>
      </c>
      <c r="W199" s="19">
        <f t="shared" si="8"/>
        <v>3400</v>
      </c>
      <c r="X199" s="20">
        <f t="shared" si="9"/>
        <v>3400</v>
      </c>
      <c r="Y199" s="20">
        <f t="shared" si="10"/>
        <v>0</v>
      </c>
    </row>
    <row r="200" spans="1:25" ht="15.75" hidden="1" customHeight="1">
      <c r="A200" s="14" t="s">
        <v>410</v>
      </c>
      <c r="B200" s="15" t="s">
        <v>411</v>
      </c>
      <c r="C200" s="16">
        <v>6665.36</v>
      </c>
      <c r="D200" s="16">
        <v>6665.36</v>
      </c>
      <c r="E200" s="17">
        <v>0</v>
      </c>
      <c r="F200" s="18">
        <v>0</v>
      </c>
      <c r="G200" s="18">
        <v>0</v>
      </c>
      <c r="H200" s="36">
        <v>0</v>
      </c>
      <c r="I200" s="17">
        <v>0</v>
      </c>
      <c r="J200" s="17">
        <f t="shared" si="0"/>
        <v>0</v>
      </c>
      <c r="K200" s="37">
        <v>0</v>
      </c>
      <c r="L200" s="17">
        <v>0</v>
      </c>
      <c r="M200" s="17">
        <v>0</v>
      </c>
      <c r="N200" s="17">
        <f t="shared" si="1"/>
        <v>0</v>
      </c>
      <c r="O200" s="17">
        <f t="shared" si="2"/>
        <v>0</v>
      </c>
      <c r="P200" s="3"/>
      <c r="Q200" s="19">
        <f t="shared" si="3"/>
        <v>0</v>
      </c>
      <c r="R200" s="19">
        <v>0</v>
      </c>
      <c r="S200" s="19">
        <f t="shared" si="4"/>
        <v>0</v>
      </c>
      <c r="T200" s="19">
        <f t="shared" si="5"/>
        <v>0</v>
      </c>
      <c r="U200" s="19">
        <f t="shared" si="6"/>
        <v>0</v>
      </c>
      <c r="V200" s="19">
        <f t="shared" si="7"/>
        <v>0</v>
      </c>
      <c r="W200" s="19">
        <f t="shared" si="8"/>
        <v>0</v>
      </c>
      <c r="X200" s="20">
        <f t="shared" si="9"/>
        <v>0</v>
      </c>
      <c r="Y200" s="20">
        <f t="shared" si="10"/>
        <v>0</v>
      </c>
    </row>
    <row r="201" spans="1:25" ht="15.75" hidden="1" customHeight="1">
      <c r="A201" s="14" t="s">
        <v>412</v>
      </c>
      <c r="B201" s="15" t="s">
        <v>413</v>
      </c>
      <c r="C201" s="16">
        <v>0</v>
      </c>
      <c r="D201" s="16">
        <v>0</v>
      </c>
      <c r="E201" s="17">
        <v>0</v>
      </c>
      <c r="F201" s="18">
        <v>0</v>
      </c>
      <c r="G201" s="18">
        <v>0</v>
      </c>
      <c r="H201" s="36">
        <v>0</v>
      </c>
      <c r="I201" s="17">
        <v>0</v>
      </c>
      <c r="J201" s="17">
        <f t="shared" si="0"/>
        <v>0</v>
      </c>
      <c r="K201" s="37">
        <v>0</v>
      </c>
      <c r="L201" s="17">
        <v>0</v>
      </c>
      <c r="M201" s="17">
        <v>0</v>
      </c>
      <c r="N201" s="17">
        <f t="shared" si="1"/>
        <v>0</v>
      </c>
      <c r="O201" s="17">
        <f t="shared" si="2"/>
        <v>0</v>
      </c>
      <c r="P201" s="3"/>
      <c r="Q201" s="19">
        <f t="shared" si="3"/>
        <v>0</v>
      </c>
      <c r="R201" s="19">
        <v>0</v>
      </c>
      <c r="S201" s="19">
        <f t="shared" si="4"/>
        <v>0</v>
      </c>
      <c r="T201" s="19">
        <f t="shared" si="5"/>
        <v>0</v>
      </c>
      <c r="U201" s="19">
        <f t="shared" si="6"/>
        <v>0</v>
      </c>
      <c r="V201" s="19">
        <f t="shared" si="7"/>
        <v>0</v>
      </c>
      <c r="W201" s="19">
        <f t="shared" si="8"/>
        <v>0</v>
      </c>
      <c r="X201" s="20">
        <f t="shared" si="9"/>
        <v>0</v>
      </c>
      <c r="Y201" s="20">
        <f t="shared" si="10"/>
        <v>0</v>
      </c>
    </row>
    <row r="202" spans="1:25" ht="15.75" hidden="1" customHeight="1">
      <c r="A202" s="14" t="s">
        <v>414</v>
      </c>
      <c r="B202" s="15" t="s">
        <v>415</v>
      </c>
      <c r="C202" s="16">
        <v>68</v>
      </c>
      <c r="D202" s="16">
        <v>68</v>
      </c>
      <c r="E202" s="17">
        <v>50</v>
      </c>
      <c r="F202" s="18">
        <v>0</v>
      </c>
      <c r="G202" s="18">
        <v>0</v>
      </c>
      <c r="H202" s="36">
        <v>0</v>
      </c>
      <c r="I202" s="17">
        <v>0</v>
      </c>
      <c r="J202" s="17">
        <f t="shared" si="0"/>
        <v>50</v>
      </c>
      <c r="K202" s="37">
        <v>50</v>
      </c>
      <c r="L202" s="17">
        <v>0</v>
      </c>
      <c r="M202" s="17">
        <v>0</v>
      </c>
      <c r="N202" s="17">
        <f t="shared" si="1"/>
        <v>50</v>
      </c>
      <c r="O202" s="17">
        <f t="shared" si="2"/>
        <v>0</v>
      </c>
      <c r="P202" s="3"/>
      <c r="Q202" s="19">
        <f t="shared" si="3"/>
        <v>3400</v>
      </c>
      <c r="R202" s="19">
        <v>0</v>
      </c>
      <c r="S202" s="19">
        <f t="shared" si="4"/>
        <v>0</v>
      </c>
      <c r="T202" s="19">
        <f t="shared" si="5"/>
        <v>0</v>
      </c>
      <c r="U202" s="19">
        <f t="shared" si="6"/>
        <v>0</v>
      </c>
      <c r="V202" s="19">
        <f t="shared" si="7"/>
        <v>0</v>
      </c>
      <c r="W202" s="19">
        <f t="shared" si="8"/>
        <v>3400</v>
      </c>
      <c r="X202" s="20">
        <f t="shared" si="9"/>
        <v>3400</v>
      </c>
      <c r="Y202" s="20">
        <f t="shared" si="10"/>
        <v>0</v>
      </c>
    </row>
    <row r="203" spans="1:25" ht="15.75" hidden="1" customHeight="1">
      <c r="A203" s="14" t="s">
        <v>416</v>
      </c>
      <c r="B203" s="15" t="s">
        <v>417</v>
      </c>
      <c r="C203" s="16">
        <v>60</v>
      </c>
      <c r="D203" s="16">
        <v>60</v>
      </c>
      <c r="E203" s="17">
        <v>25</v>
      </c>
      <c r="F203" s="18">
        <v>0</v>
      </c>
      <c r="G203" s="18">
        <v>0</v>
      </c>
      <c r="H203" s="36">
        <v>0</v>
      </c>
      <c r="I203" s="17">
        <v>0</v>
      </c>
      <c r="J203" s="17">
        <f t="shared" si="0"/>
        <v>25</v>
      </c>
      <c r="K203" s="37">
        <v>25</v>
      </c>
      <c r="L203" s="17">
        <v>0</v>
      </c>
      <c r="M203" s="17">
        <v>0</v>
      </c>
      <c r="N203" s="17">
        <f t="shared" si="1"/>
        <v>25</v>
      </c>
      <c r="O203" s="17">
        <f t="shared" si="2"/>
        <v>0</v>
      </c>
      <c r="P203" s="3"/>
      <c r="Q203" s="19">
        <f t="shared" si="3"/>
        <v>1500</v>
      </c>
      <c r="R203" s="19">
        <v>0</v>
      </c>
      <c r="S203" s="19">
        <f t="shared" si="4"/>
        <v>0</v>
      </c>
      <c r="T203" s="19">
        <f t="shared" si="5"/>
        <v>0</v>
      </c>
      <c r="U203" s="19">
        <f t="shared" si="6"/>
        <v>0</v>
      </c>
      <c r="V203" s="19">
        <f t="shared" si="7"/>
        <v>0</v>
      </c>
      <c r="W203" s="19">
        <f t="shared" si="8"/>
        <v>1500</v>
      </c>
      <c r="X203" s="20">
        <f t="shared" si="9"/>
        <v>1500</v>
      </c>
      <c r="Y203" s="20">
        <f t="shared" si="10"/>
        <v>0</v>
      </c>
    </row>
    <row r="204" spans="1:25" ht="15.75" hidden="1" customHeight="1">
      <c r="A204" s="14" t="s">
        <v>418</v>
      </c>
      <c r="B204" s="15" t="s">
        <v>419</v>
      </c>
      <c r="C204" s="16">
        <v>3900</v>
      </c>
      <c r="D204" s="16">
        <v>3900</v>
      </c>
      <c r="E204" s="17">
        <v>1</v>
      </c>
      <c r="F204" s="18">
        <v>0</v>
      </c>
      <c r="G204" s="18">
        <v>0</v>
      </c>
      <c r="H204" s="36">
        <v>0</v>
      </c>
      <c r="I204" s="17">
        <v>0</v>
      </c>
      <c r="J204" s="17">
        <f t="shared" si="0"/>
        <v>1</v>
      </c>
      <c r="K204" s="37">
        <v>1</v>
      </c>
      <c r="L204" s="17">
        <v>0</v>
      </c>
      <c r="M204" s="17">
        <v>0</v>
      </c>
      <c r="N204" s="17">
        <f t="shared" si="1"/>
        <v>1</v>
      </c>
      <c r="O204" s="17">
        <f t="shared" si="2"/>
        <v>0</v>
      </c>
      <c r="P204" s="3"/>
      <c r="Q204" s="19">
        <f t="shared" si="3"/>
        <v>3900</v>
      </c>
      <c r="R204" s="19">
        <v>0</v>
      </c>
      <c r="S204" s="19">
        <f t="shared" si="4"/>
        <v>0</v>
      </c>
      <c r="T204" s="19">
        <f t="shared" si="5"/>
        <v>0</v>
      </c>
      <c r="U204" s="19">
        <f t="shared" si="6"/>
        <v>0</v>
      </c>
      <c r="V204" s="19">
        <f t="shared" si="7"/>
        <v>0</v>
      </c>
      <c r="W204" s="19">
        <f t="shared" si="8"/>
        <v>3900</v>
      </c>
      <c r="X204" s="20">
        <f t="shared" si="9"/>
        <v>3900</v>
      </c>
      <c r="Y204" s="20">
        <f t="shared" si="10"/>
        <v>0</v>
      </c>
    </row>
    <row r="205" spans="1:25" ht="15.75" hidden="1" customHeight="1">
      <c r="A205" s="14" t="s">
        <v>420</v>
      </c>
      <c r="B205" s="15" t="s">
        <v>421</v>
      </c>
      <c r="C205" s="16">
        <v>0</v>
      </c>
      <c r="D205" s="16">
        <v>0</v>
      </c>
      <c r="E205" s="17">
        <v>0</v>
      </c>
      <c r="F205" s="18">
        <v>0</v>
      </c>
      <c r="G205" s="18">
        <v>0</v>
      </c>
      <c r="H205" s="36">
        <v>0</v>
      </c>
      <c r="I205" s="17">
        <v>0</v>
      </c>
      <c r="J205" s="17">
        <f t="shared" si="0"/>
        <v>0</v>
      </c>
      <c r="K205" s="37">
        <v>0</v>
      </c>
      <c r="L205" s="17">
        <v>0</v>
      </c>
      <c r="M205" s="17">
        <v>0</v>
      </c>
      <c r="N205" s="17">
        <f t="shared" si="1"/>
        <v>0</v>
      </c>
      <c r="O205" s="17">
        <f t="shared" si="2"/>
        <v>0</v>
      </c>
      <c r="P205" s="3"/>
      <c r="Q205" s="19">
        <f t="shared" si="3"/>
        <v>0</v>
      </c>
      <c r="R205" s="19">
        <v>0</v>
      </c>
      <c r="S205" s="19">
        <f t="shared" si="4"/>
        <v>0</v>
      </c>
      <c r="T205" s="19">
        <f t="shared" si="5"/>
        <v>0</v>
      </c>
      <c r="U205" s="19">
        <f t="shared" si="6"/>
        <v>0</v>
      </c>
      <c r="V205" s="19">
        <f t="shared" si="7"/>
        <v>0</v>
      </c>
      <c r="W205" s="19">
        <f t="shared" si="8"/>
        <v>0</v>
      </c>
      <c r="X205" s="20">
        <f t="shared" si="9"/>
        <v>0</v>
      </c>
      <c r="Y205" s="20">
        <f t="shared" si="10"/>
        <v>0</v>
      </c>
    </row>
    <row r="206" spans="1:25" ht="15.75" hidden="1" customHeight="1">
      <c r="A206" s="14" t="s">
        <v>422</v>
      </c>
      <c r="B206" s="15" t="s">
        <v>423</v>
      </c>
      <c r="C206" s="16">
        <v>0</v>
      </c>
      <c r="D206" s="16">
        <v>0</v>
      </c>
      <c r="E206" s="17">
        <v>0</v>
      </c>
      <c r="F206" s="18">
        <v>0</v>
      </c>
      <c r="G206" s="18">
        <v>0</v>
      </c>
      <c r="H206" s="36">
        <v>0</v>
      </c>
      <c r="I206" s="17">
        <v>0</v>
      </c>
      <c r="J206" s="17">
        <f t="shared" si="0"/>
        <v>0</v>
      </c>
      <c r="K206" s="37">
        <v>0</v>
      </c>
      <c r="L206" s="17">
        <v>0</v>
      </c>
      <c r="M206" s="17">
        <v>0</v>
      </c>
      <c r="N206" s="17">
        <f t="shared" si="1"/>
        <v>0</v>
      </c>
      <c r="O206" s="17">
        <f t="shared" si="2"/>
        <v>0</v>
      </c>
      <c r="P206" s="3"/>
      <c r="Q206" s="19">
        <f t="shared" si="3"/>
        <v>0</v>
      </c>
      <c r="R206" s="19">
        <v>0</v>
      </c>
      <c r="S206" s="19">
        <f t="shared" si="4"/>
        <v>0</v>
      </c>
      <c r="T206" s="19">
        <f t="shared" si="5"/>
        <v>0</v>
      </c>
      <c r="U206" s="19">
        <f t="shared" si="6"/>
        <v>0</v>
      </c>
      <c r="V206" s="19">
        <f t="shared" si="7"/>
        <v>0</v>
      </c>
      <c r="W206" s="19">
        <f t="shared" si="8"/>
        <v>0</v>
      </c>
      <c r="X206" s="20">
        <f t="shared" si="9"/>
        <v>0</v>
      </c>
      <c r="Y206" s="20">
        <f t="shared" si="10"/>
        <v>0</v>
      </c>
    </row>
    <row r="207" spans="1:25" ht="15.75" hidden="1" customHeight="1">
      <c r="A207" s="14" t="s">
        <v>424</v>
      </c>
      <c r="B207" s="15" t="s">
        <v>425</v>
      </c>
      <c r="C207" s="16">
        <v>0</v>
      </c>
      <c r="D207" s="16">
        <v>0</v>
      </c>
      <c r="E207" s="17">
        <v>0</v>
      </c>
      <c r="F207" s="18">
        <v>0</v>
      </c>
      <c r="G207" s="18">
        <v>0</v>
      </c>
      <c r="H207" s="36">
        <v>0</v>
      </c>
      <c r="I207" s="17">
        <v>0</v>
      </c>
      <c r="J207" s="17">
        <f t="shared" si="0"/>
        <v>0</v>
      </c>
      <c r="K207" s="37">
        <v>0</v>
      </c>
      <c r="L207" s="17">
        <v>0</v>
      </c>
      <c r="M207" s="17">
        <v>0</v>
      </c>
      <c r="N207" s="17">
        <f t="shared" si="1"/>
        <v>0</v>
      </c>
      <c r="O207" s="17">
        <f t="shared" si="2"/>
        <v>0</v>
      </c>
      <c r="P207" s="3"/>
      <c r="Q207" s="19">
        <f t="shared" si="3"/>
        <v>0</v>
      </c>
      <c r="R207" s="19">
        <v>0</v>
      </c>
      <c r="S207" s="19">
        <f t="shared" si="4"/>
        <v>0</v>
      </c>
      <c r="T207" s="19">
        <f t="shared" si="5"/>
        <v>0</v>
      </c>
      <c r="U207" s="19">
        <f t="shared" si="6"/>
        <v>0</v>
      </c>
      <c r="V207" s="19">
        <f t="shared" si="7"/>
        <v>0</v>
      </c>
      <c r="W207" s="19">
        <f t="shared" si="8"/>
        <v>0</v>
      </c>
      <c r="X207" s="20">
        <f t="shared" si="9"/>
        <v>0</v>
      </c>
      <c r="Y207" s="20">
        <f t="shared" si="10"/>
        <v>0</v>
      </c>
    </row>
    <row r="208" spans="1:25" ht="15.75" hidden="1" customHeight="1">
      <c r="A208" s="14" t="s">
        <v>426</v>
      </c>
      <c r="B208" s="15" t="s">
        <v>427</v>
      </c>
      <c r="C208" s="16">
        <v>0</v>
      </c>
      <c r="D208" s="16">
        <v>0</v>
      </c>
      <c r="E208" s="17">
        <v>0</v>
      </c>
      <c r="F208" s="18">
        <v>0</v>
      </c>
      <c r="G208" s="18">
        <v>0</v>
      </c>
      <c r="H208" s="36">
        <v>0</v>
      </c>
      <c r="I208" s="17">
        <v>0</v>
      </c>
      <c r="J208" s="17">
        <f t="shared" si="0"/>
        <v>0</v>
      </c>
      <c r="K208" s="37">
        <v>0</v>
      </c>
      <c r="L208" s="17">
        <v>0</v>
      </c>
      <c r="M208" s="17">
        <v>0</v>
      </c>
      <c r="N208" s="17">
        <f t="shared" si="1"/>
        <v>0</v>
      </c>
      <c r="O208" s="17">
        <f t="shared" si="2"/>
        <v>0</v>
      </c>
      <c r="P208" s="3"/>
      <c r="Q208" s="19">
        <f t="shared" si="3"/>
        <v>0</v>
      </c>
      <c r="R208" s="19">
        <v>0</v>
      </c>
      <c r="S208" s="19">
        <f t="shared" si="4"/>
        <v>0</v>
      </c>
      <c r="T208" s="19">
        <f t="shared" si="5"/>
        <v>0</v>
      </c>
      <c r="U208" s="19">
        <f t="shared" si="6"/>
        <v>0</v>
      </c>
      <c r="V208" s="19">
        <f t="shared" si="7"/>
        <v>0</v>
      </c>
      <c r="W208" s="19">
        <f t="shared" si="8"/>
        <v>0</v>
      </c>
      <c r="X208" s="20">
        <f t="shared" si="9"/>
        <v>0</v>
      </c>
      <c r="Y208" s="20">
        <f t="shared" si="10"/>
        <v>0</v>
      </c>
    </row>
    <row r="209" spans="1:25" ht="15.75" hidden="1" customHeight="1">
      <c r="A209" s="14" t="s">
        <v>428</v>
      </c>
      <c r="B209" s="15" t="s">
        <v>429</v>
      </c>
      <c r="C209" s="16">
        <v>0</v>
      </c>
      <c r="D209" s="16">
        <v>0</v>
      </c>
      <c r="E209" s="17">
        <v>0</v>
      </c>
      <c r="F209" s="18">
        <v>0</v>
      </c>
      <c r="G209" s="18">
        <v>0</v>
      </c>
      <c r="H209" s="36">
        <v>0</v>
      </c>
      <c r="I209" s="17">
        <v>0</v>
      </c>
      <c r="J209" s="17">
        <f t="shared" si="0"/>
        <v>0</v>
      </c>
      <c r="K209" s="37">
        <v>0</v>
      </c>
      <c r="L209" s="17">
        <v>0</v>
      </c>
      <c r="M209" s="17">
        <v>0</v>
      </c>
      <c r="N209" s="17">
        <f t="shared" si="1"/>
        <v>0</v>
      </c>
      <c r="O209" s="17">
        <f t="shared" si="2"/>
        <v>0</v>
      </c>
      <c r="P209" s="3"/>
      <c r="Q209" s="19">
        <f t="shared" si="3"/>
        <v>0</v>
      </c>
      <c r="R209" s="19">
        <v>0</v>
      </c>
      <c r="S209" s="19">
        <f t="shared" si="4"/>
        <v>0</v>
      </c>
      <c r="T209" s="19">
        <f t="shared" si="5"/>
        <v>0</v>
      </c>
      <c r="U209" s="19">
        <f t="shared" si="6"/>
        <v>0</v>
      </c>
      <c r="V209" s="19">
        <f t="shared" si="7"/>
        <v>0</v>
      </c>
      <c r="W209" s="19">
        <f t="shared" si="8"/>
        <v>0</v>
      </c>
      <c r="X209" s="20">
        <f t="shared" si="9"/>
        <v>0</v>
      </c>
      <c r="Y209" s="20">
        <f t="shared" si="10"/>
        <v>0</v>
      </c>
    </row>
    <row r="210" spans="1:25" ht="15.75" hidden="1" customHeight="1">
      <c r="A210" s="14" t="s">
        <v>430</v>
      </c>
      <c r="B210" s="15" t="s">
        <v>431</v>
      </c>
      <c r="C210" s="16">
        <v>0</v>
      </c>
      <c r="D210" s="16">
        <v>0</v>
      </c>
      <c r="E210" s="17">
        <v>0</v>
      </c>
      <c r="F210" s="18">
        <v>0</v>
      </c>
      <c r="G210" s="18">
        <v>0</v>
      </c>
      <c r="H210" s="36">
        <v>0</v>
      </c>
      <c r="I210" s="17">
        <v>0</v>
      </c>
      <c r="J210" s="17">
        <f t="shared" si="0"/>
        <v>0</v>
      </c>
      <c r="K210" s="37">
        <v>0</v>
      </c>
      <c r="L210" s="17">
        <v>0</v>
      </c>
      <c r="M210" s="17">
        <v>0</v>
      </c>
      <c r="N210" s="17">
        <f t="shared" si="1"/>
        <v>0</v>
      </c>
      <c r="O210" s="17">
        <f t="shared" si="2"/>
        <v>0</v>
      </c>
      <c r="P210" s="3"/>
      <c r="Q210" s="19">
        <f t="shared" si="3"/>
        <v>0</v>
      </c>
      <c r="R210" s="19">
        <v>0</v>
      </c>
      <c r="S210" s="19">
        <f t="shared" si="4"/>
        <v>0</v>
      </c>
      <c r="T210" s="19">
        <f t="shared" si="5"/>
        <v>0</v>
      </c>
      <c r="U210" s="19">
        <f t="shared" si="6"/>
        <v>0</v>
      </c>
      <c r="V210" s="19">
        <f t="shared" si="7"/>
        <v>0</v>
      </c>
      <c r="W210" s="19">
        <f t="shared" si="8"/>
        <v>0</v>
      </c>
      <c r="X210" s="20">
        <f t="shared" si="9"/>
        <v>0</v>
      </c>
      <c r="Y210" s="20">
        <f t="shared" si="10"/>
        <v>0</v>
      </c>
    </row>
    <row r="211" spans="1:25" ht="15.75" hidden="1" customHeight="1">
      <c r="A211" s="14" t="s">
        <v>432</v>
      </c>
      <c r="B211" s="15" t="s">
        <v>433</v>
      </c>
      <c r="C211" s="16">
        <v>0</v>
      </c>
      <c r="D211" s="16">
        <v>0</v>
      </c>
      <c r="E211" s="17">
        <v>0</v>
      </c>
      <c r="F211" s="18">
        <v>0</v>
      </c>
      <c r="G211" s="18">
        <v>0</v>
      </c>
      <c r="H211" s="36">
        <v>0</v>
      </c>
      <c r="I211" s="17">
        <v>0</v>
      </c>
      <c r="J211" s="17">
        <f t="shared" si="0"/>
        <v>0</v>
      </c>
      <c r="K211" s="37">
        <v>0</v>
      </c>
      <c r="L211" s="17">
        <v>0</v>
      </c>
      <c r="M211" s="17">
        <v>0</v>
      </c>
      <c r="N211" s="17">
        <f t="shared" si="1"/>
        <v>0</v>
      </c>
      <c r="O211" s="17">
        <f t="shared" si="2"/>
        <v>0</v>
      </c>
      <c r="P211" s="3"/>
      <c r="Q211" s="19">
        <f t="shared" si="3"/>
        <v>0</v>
      </c>
      <c r="R211" s="19">
        <v>0</v>
      </c>
      <c r="S211" s="19">
        <f t="shared" si="4"/>
        <v>0</v>
      </c>
      <c r="T211" s="19">
        <f t="shared" si="5"/>
        <v>0</v>
      </c>
      <c r="U211" s="19">
        <f t="shared" si="6"/>
        <v>0</v>
      </c>
      <c r="V211" s="19">
        <f t="shared" si="7"/>
        <v>0</v>
      </c>
      <c r="W211" s="19">
        <f t="shared" si="8"/>
        <v>0</v>
      </c>
      <c r="X211" s="20">
        <f t="shared" si="9"/>
        <v>0</v>
      </c>
      <c r="Y211" s="20">
        <f t="shared" si="10"/>
        <v>0</v>
      </c>
    </row>
    <row r="212" spans="1:25" ht="15.75" hidden="1" customHeight="1">
      <c r="A212" s="14" t="s">
        <v>434</v>
      </c>
      <c r="B212" s="15" t="s">
        <v>435</v>
      </c>
      <c r="C212" s="16">
        <v>406</v>
      </c>
      <c r="D212" s="16">
        <v>406</v>
      </c>
      <c r="E212" s="17">
        <v>4</v>
      </c>
      <c r="F212" s="18">
        <v>0</v>
      </c>
      <c r="G212" s="18">
        <v>0</v>
      </c>
      <c r="H212" s="36">
        <v>0</v>
      </c>
      <c r="I212" s="17">
        <v>0</v>
      </c>
      <c r="J212" s="17">
        <f t="shared" si="0"/>
        <v>4</v>
      </c>
      <c r="K212" s="37">
        <v>0</v>
      </c>
      <c r="L212" s="17">
        <v>0</v>
      </c>
      <c r="M212" s="17">
        <v>4</v>
      </c>
      <c r="N212" s="17">
        <f t="shared" si="1"/>
        <v>4</v>
      </c>
      <c r="O212" s="17">
        <f t="shared" si="2"/>
        <v>0</v>
      </c>
      <c r="P212" s="3"/>
      <c r="Q212" s="19">
        <f t="shared" si="3"/>
        <v>1624</v>
      </c>
      <c r="R212" s="19">
        <v>0</v>
      </c>
      <c r="S212" s="19">
        <f t="shared" si="4"/>
        <v>0</v>
      </c>
      <c r="T212" s="19">
        <f t="shared" si="5"/>
        <v>0</v>
      </c>
      <c r="U212" s="19">
        <f t="shared" si="6"/>
        <v>0</v>
      </c>
      <c r="V212" s="19">
        <f t="shared" si="7"/>
        <v>0</v>
      </c>
      <c r="W212" s="19">
        <f t="shared" si="8"/>
        <v>1624</v>
      </c>
      <c r="X212" s="20">
        <f t="shared" si="9"/>
        <v>1624</v>
      </c>
      <c r="Y212" s="20">
        <f t="shared" si="10"/>
        <v>0</v>
      </c>
    </row>
    <row r="213" spans="1:25" ht="15.75" hidden="1" customHeight="1">
      <c r="A213" s="14" t="s">
        <v>436</v>
      </c>
      <c r="B213" s="15" t="s">
        <v>437</v>
      </c>
      <c r="C213" s="16">
        <v>630</v>
      </c>
      <c r="D213" s="16">
        <v>630</v>
      </c>
      <c r="E213" s="17">
        <v>0</v>
      </c>
      <c r="F213" s="18">
        <v>0</v>
      </c>
      <c r="G213" s="18">
        <v>0</v>
      </c>
      <c r="H213" s="36">
        <v>0</v>
      </c>
      <c r="I213" s="17">
        <v>0</v>
      </c>
      <c r="J213" s="17">
        <f t="shared" si="0"/>
        <v>0</v>
      </c>
      <c r="K213" s="37">
        <v>0</v>
      </c>
      <c r="L213" s="17">
        <v>0</v>
      </c>
      <c r="M213" s="17">
        <v>0</v>
      </c>
      <c r="N213" s="17">
        <f t="shared" si="1"/>
        <v>0</v>
      </c>
      <c r="O213" s="17">
        <f t="shared" si="2"/>
        <v>0</v>
      </c>
      <c r="P213" s="3"/>
      <c r="Q213" s="19">
        <f t="shared" si="3"/>
        <v>0</v>
      </c>
      <c r="R213" s="19">
        <v>0</v>
      </c>
      <c r="S213" s="19">
        <f t="shared" si="4"/>
        <v>0</v>
      </c>
      <c r="T213" s="19">
        <f t="shared" si="5"/>
        <v>0</v>
      </c>
      <c r="U213" s="19">
        <f t="shared" si="6"/>
        <v>0</v>
      </c>
      <c r="V213" s="19">
        <f t="shared" si="7"/>
        <v>0</v>
      </c>
      <c r="W213" s="19">
        <f t="shared" si="8"/>
        <v>0</v>
      </c>
      <c r="X213" s="20">
        <f t="shared" si="9"/>
        <v>0</v>
      </c>
      <c r="Y213" s="20">
        <f t="shared" si="10"/>
        <v>0</v>
      </c>
    </row>
    <row r="214" spans="1:25" ht="15.75" hidden="1" customHeight="1">
      <c r="A214" s="14" t="s">
        <v>438</v>
      </c>
      <c r="B214" s="15" t="s">
        <v>439</v>
      </c>
      <c r="C214" s="16">
        <v>520</v>
      </c>
      <c r="D214" s="16">
        <v>520</v>
      </c>
      <c r="E214" s="17">
        <v>2</v>
      </c>
      <c r="F214" s="18">
        <v>0</v>
      </c>
      <c r="G214" s="18">
        <v>0</v>
      </c>
      <c r="H214" s="36">
        <v>0</v>
      </c>
      <c r="I214" s="17">
        <v>0</v>
      </c>
      <c r="J214" s="17">
        <f t="shared" si="0"/>
        <v>2</v>
      </c>
      <c r="K214" s="37">
        <v>0</v>
      </c>
      <c r="L214" s="17">
        <v>0</v>
      </c>
      <c r="M214" s="17">
        <v>2</v>
      </c>
      <c r="N214" s="17">
        <f t="shared" si="1"/>
        <v>2</v>
      </c>
      <c r="O214" s="17">
        <f t="shared" si="2"/>
        <v>0</v>
      </c>
      <c r="P214" s="3"/>
      <c r="Q214" s="19">
        <f t="shared" si="3"/>
        <v>1040</v>
      </c>
      <c r="R214" s="19">
        <v>0</v>
      </c>
      <c r="S214" s="19">
        <f t="shared" si="4"/>
        <v>0</v>
      </c>
      <c r="T214" s="19">
        <f t="shared" si="5"/>
        <v>0</v>
      </c>
      <c r="U214" s="19">
        <f t="shared" si="6"/>
        <v>0</v>
      </c>
      <c r="V214" s="19">
        <f t="shared" si="7"/>
        <v>0</v>
      </c>
      <c r="W214" s="19">
        <f t="shared" si="8"/>
        <v>1040</v>
      </c>
      <c r="X214" s="20">
        <f t="shared" si="9"/>
        <v>1040</v>
      </c>
      <c r="Y214" s="20">
        <f t="shared" si="10"/>
        <v>0</v>
      </c>
    </row>
    <row r="215" spans="1:25" ht="15.75" hidden="1" customHeight="1">
      <c r="A215" s="14" t="s">
        <v>440</v>
      </c>
      <c r="B215" s="15" t="s">
        <v>441</v>
      </c>
      <c r="C215" s="16">
        <v>93</v>
      </c>
      <c r="D215" s="16">
        <v>93</v>
      </c>
      <c r="E215" s="17">
        <v>0</v>
      </c>
      <c r="F215" s="18">
        <v>0</v>
      </c>
      <c r="G215" s="18">
        <v>0</v>
      </c>
      <c r="H215" s="36">
        <v>0</v>
      </c>
      <c r="I215" s="17">
        <v>0</v>
      </c>
      <c r="J215" s="17">
        <f t="shared" si="0"/>
        <v>0</v>
      </c>
      <c r="K215" s="37">
        <v>0</v>
      </c>
      <c r="L215" s="17">
        <v>0</v>
      </c>
      <c r="M215" s="17">
        <v>0</v>
      </c>
      <c r="N215" s="17">
        <f t="shared" si="1"/>
        <v>0</v>
      </c>
      <c r="O215" s="17">
        <f t="shared" si="2"/>
        <v>0</v>
      </c>
      <c r="P215" s="3"/>
      <c r="Q215" s="19">
        <f t="shared" si="3"/>
        <v>0</v>
      </c>
      <c r="R215" s="19">
        <v>0</v>
      </c>
      <c r="S215" s="19">
        <f t="shared" si="4"/>
        <v>0</v>
      </c>
      <c r="T215" s="19">
        <f t="shared" si="5"/>
        <v>0</v>
      </c>
      <c r="U215" s="19">
        <f t="shared" si="6"/>
        <v>0</v>
      </c>
      <c r="V215" s="19">
        <f t="shared" si="7"/>
        <v>0</v>
      </c>
      <c r="W215" s="19">
        <f t="shared" si="8"/>
        <v>0</v>
      </c>
      <c r="X215" s="20">
        <f t="shared" si="9"/>
        <v>0</v>
      </c>
      <c r="Y215" s="20">
        <f t="shared" si="10"/>
        <v>0</v>
      </c>
    </row>
    <row r="216" spans="1:25" ht="15.75" hidden="1" customHeight="1">
      <c r="A216" s="14" t="s">
        <v>442</v>
      </c>
      <c r="B216" s="15" t="s">
        <v>443</v>
      </c>
      <c r="C216" s="16">
        <v>46.34</v>
      </c>
      <c r="D216" s="16">
        <v>46.34</v>
      </c>
      <c r="E216" s="17">
        <v>1</v>
      </c>
      <c r="F216" s="18">
        <v>0</v>
      </c>
      <c r="G216" s="18">
        <v>0</v>
      </c>
      <c r="H216" s="36">
        <v>0</v>
      </c>
      <c r="I216" s="17">
        <v>0</v>
      </c>
      <c r="J216" s="17">
        <f t="shared" si="0"/>
        <v>1</v>
      </c>
      <c r="K216" s="37">
        <v>1</v>
      </c>
      <c r="L216" s="17">
        <v>0</v>
      </c>
      <c r="M216" s="17">
        <v>0</v>
      </c>
      <c r="N216" s="17">
        <f t="shared" si="1"/>
        <v>1</v>
      </c>
      <c r="O216" s="17">
        <f t="shared" si="2"/>
        <v>0</v>
      </c>
      <c r="P216" s="3"/>
      <c r="Q216" s="19">
        <f t="shared" si="3"/>
        <v>46.34</v>
      </c>
      <c r="R216" s="19">
        <v>0</v>
      </c>
      <c r="S216" s="19">
        <f t="shared" si="4"/>
        <v>0</v>
      </c>
      <c r="T216" s="19">
        <f t="shared" si="5"/>
        <v>0</v>
      </c>
      <c r="U216" s="19">
        <f t="shared" si="6"/>
        <v>0</v>
      </c>
      <c r="V216" s="19">
        <f t="shared" si="7"/>
        <v>0</v>
      </c>
      <c r="W216" s="19">
        <f t="shared" si="8"/>
        <v>46.34</v>
      </c>
      <c r="X216" s="20">
        <f t="shared" si="9"/>
        <v>46.34</v>
      </c>
      <c r="Y216" s="20">
        <f t="shared" si="10"/>
        <v>0</v>
      </c>
    </row>
    <row r="217" spans="1:25" ht="15.75" hidden="1" customHeight="1">
      <c r="A217" s="14" t="s">
        <v>444</v>
      </c>
      <c r="B217" s="15" t="s">
        <v>445</v>
      </c>
      <c r="C217" s="16">
        <v>570</v>
      </c>
      <c r="D217" s="16">
        <v>570</v>
      </c>
      <c r="E217" s="17">
        <v>1</v>
      </c>
      <c r="F217" s="18">
        <v>0</v>
      </c>
      <c r="G217" s="18">
        <v>0</v>
      </c>
      <c r="H217" s="36">
        <v>0</v>
      </c>
      <c r="I217" s="17">
        <v>0</v>
      </c>
      <c r="J217" s="17">
        <f t="shared" si="0"/>
        <v>1</v>
      </c>
      <c r="K217" s="37">
        <v>1</v>
      </c>
      <c r="L217" s="17">
        <v>0</v>
      </c>
      <c r="M217" s="17">
        <v>0</v>
      </c>
      <c r="N217" s="17">
        <f t="shared" si="1"/>
        <v>1</v>
      </c>
      <c r="O217" s="17">
        <f t="shared" si="2"/>
        <v>0</v>
      </c>
      <c r="P217" s="3"/>
      <c r="Q217" s="19">
        <f t="shared" si="3"/>
        <v>570</v>
      </c>
      <c r="R217" s="19">
        <v>0</v>
      </c>
      <c r="S217" s="19">
        <f t="shared" si="4"/>
        <v>0</v>
      </c>
      <c r="T217" s="19">
        <f t="shared" si="5"/>
        <v>0</v>
      </c>
      <c r="U217" s="19">
        <f t="shared" si="6"/>
        <v>0</v>
      </c>
      <c r="V217" s="19">
        <f t="shared" si="7"/>
        <v>0</v>
      </c>
      <c r="W217" s="19">
        <f t="shared" si="8"/>
        <v>570</v>
      </c>
      <c r="X217" s="20">
        <f t="shared" si="9"/>
        <v>570</v>
      </c>
      <c r="Y217" s="20">
        <f t="shared" si="10"/>
        <v>0</v>
      </c>
    </row>
    <row r="218" spans="1:25" ht="15.75" hidden="1" customHeight="1">
      <c r="A218" s="14" t="s">
        <v>446</v>
      </c>
      <c r="B218" s="15" t="s">
        <v>447</v>
      </c>
      <c r="C218" s="16">
        <v>2520</v>
      </c>
      <c r="D218" s="16">
        <v>2520</v>
      </c>
      <c r="E218" s="17">
        <v>1</v>
      </c>
      <c r="F218" s="18">
        <v>0</v>
      </c>
      <c r="G218" s="18">
        <v>0</v>
      </c>
      <c r="H218" s="36">
        <v>0</v>
      </c>
      <c r="I218" s="17">
        <v>0</v>
      </c>
      <c r="J218" s="17">
        <f t="shared" si="0"/>
        <v>1</v>
      </c>
      <c r="K218" s="37">
        <v>1</v>
      </c>
      <c r="L218" s="17">
        <v>0</v>
      </c>
      <c r="M218" s="17">
        <v>0</v>
      </c>
      <c r="N218" s="17">
        <f t="shared" si="1"/>
        <v>1</v>
      </c>
      <c r="O218" s="17">
        <f t="shared" si="2"/>
        <v>0</v>
      </c>
      <c r="P218" s="3"/>
      <c r="Q218" s="19">
        <f t="shared" si="3"/>
        <v>2520</v>
      </c>
      <c r="R218" s="19">
        <v>0</v>
      </c>
      <c r="S218" s="19">
        <f t="shared" si="4"/>
        <v>0</v>
      </c>
      <c r="T218" s="19">
        <f t="shared" si="5"/>
        <v>0</v>
      </c>
      <c r="U218" s="19">
        <f t="shared" si="6"/>
        <v>0</v>
      </c>
      <c r="V218" s="19">
        <f t="shared" si="7"/>
        <v>0</v>
      </c>
      <c r="W218" s="19">
        <f t="shared" si="8"/>
        <v>2520</v>
      </c>
      <c r="X218" s="20">
        <f t="shared" si="9"/>
        <v>2520</v>
      </c>
      <c r="Y218" s="20">
        <f t="shared" si="10"/>
        <v>0</v>
      </c>
    </row>
    <row r="219" spans="1:25" ht="15.75" hidden="1" customHeight="1">
      <c r="A219" s="14" t="s">
        <v>448</v>
      </c>
      <c r="B219" s="15" t="s">
        <v>449</v>
      </c>
      <c r="C219" s="16">
        <v>1380</v>
      </c>
      <c r="D219" s="16">
        <v>1380</v>
      </c>
      <c r="E219" s="17">
        <v>4</v>
      </c>
      <c r="F219" s="18">
        <v>0</v>
      </c>
      <c r="G219" s="18">
        <v>0</v>
      </c>
      <c r="H219" s="36">
        <v>0</v>
      </c>
      <c r="I219" s="17">
        <v>0</v>
      </c>
      <c r="J219" s="17">
        <f t="shared" si="0"/>
        <v>4</v>
      </c>
      <c r="K219" s="37">
        <v>4</v>
      </c>
      <c r="L219" s="17">
        <v>0</v>
      </c>
      <c r="M219" s="17">
        <v>0</v>
      </c>
      <c r="N219" s="17">
        <f t="shared" si="1"/>
        <v>4</v>
      </c>
      <c r="O219" s="17">
        <f t="shared" si="2"/>
        <v>0</v>
      </c>
      <c r="P219" s="3"/>
      <c r="Q219" s="19">
        <f t="shared" si="3"/>
        <v>5520</v>
      </c>
      <c r="R219" s="19">
        <v>0</v>
      </c>
      <c r="S219" s="19">
        <f t="shared" si="4"/>
        <v>0</v>
      </c>
      <c r="T219" s="19">
        <f t="shared" si="5"/>
        <v>0</v>
      </c>
      <c r="U219" s="19">
        <f t="shared" si="6"/>
        <v>0</v>
      </c>
      <c r="V219" s="19">
        <f t="shared" si="7"/>
        <v>0</v>
      </c>
      <c r="W219" s="19">
        <f t="shared" si="8"/>
        <v>5520</v>
      </c>
      <c r="X219" s="20">
        <f t="shared" si="9"/>
        <v>5520</v>
      </c>
      <c r="Y219" s="20">
        <f t="shared" si="10"/>
        <v>0</v>
      </c>
    </row>
    <row r="220" spans="1:25" ht="15.75" customHeight="1">
      <c r="A220" s="14" t="s">
        <v>450</v>
      </c>
      <c r="B220" s="15" t="s">
        <v>451</v>
      </c>
      <c r="C220" s="16">
        <v>1380</v>
      </c>
      <c r="D220" s="16">
        <v>1380</v>
      </c>
      <c r="E220" s="17">
        <v>2</v>
      </c>
      <c r="F220" s="18">
        <v>0</v>
      </c>
      <c r="G220" s="18">
        <v>0</v>
      </c>
      <c r="H220" s="36">
        <v>1</v>
      </c>
      <c r="I220" s="17">
        <v>0</v>
      </c>
      <c r="J220" s="17">
        <f t="shared" si="0"/>
        <v>1</v>
      </c>
      <c r="K220" s="37">
        <v>2</v>
      </c>
      <c r="L220" s="17">
        <v>0</v>
      </c>
      <c r="M220" s="17">
        <v>0</v>
      </c>
      <c r="N220" s="17">
        <f t="shared" si="1"/>
        <v>2</v>
      </c>
      <c r="O220" s="17">
        <f t="shared" si="2"/>
        <v>1</v>
      </c>
      <c r="P220" s="3"/>
      <c r="Q220" s="19">
        <f t="shared" si="3"/>
        <v>2760</v>
      </c>
      <c r="R220" s="19">
        <v>0</v>
      </c>
      <c r="S220" s="19">
        <f t="shared" si="4"/>
        <v>0</v>
      </c>
      <c r="T220" s="19">
        <f t="shared" si="5"/>
        <v>0</v>
      </c>
      <c r="U220" s="19">
        <f t="shared" si="6"/>
        <v>1380</v>
      </c>
      <c r="V220" s="19">
        <f t="shared" si="7"/>
        <v>0</v>
      </c>
      <c r="W220" s="19">
        <f t="shared" si="8"/>
        <v>1380</v>
      </c>
      <c r="X220" s="20">
        <f t="shared" si="9"/>
        <v>1380</v>
      </c>
      <c r="Y220" s="20">
        <f t="shared" si="10"/>
        <v>0</v>
      </c>
    </row>
    <row r="221" spans="1:25" ht="15.75" hidden="1" customHeight="1">
      <c r="A221" s="14" t="s">
        <v>452</v>
      </c>
      <c r="B221" s="15" t="s">
        <v>453</v>
      </c>
      <c r="C221" s="16">
        <v>16.82</v>
      </c>
      <c r="D221" s="16">
        <v>16.82</v>
      </c>
      <c r="E221" s="17">
        <v>50</v>
      </c>
      <c r="F221" s="18">
        <v>0</v>
      </c>
      <c r="G221" s="18">
        <v>0</v>
      </c>
      <c r="H221" s="36">
        <v>0</v>
      </c>
      <c r="I221" s="17">
        <v>0</v>
      </c>
      <c r="J221" s="17">
        <f t="shared" si="0"/>
        <v>50</v>
      </c>
      <c r="K221" s="37">
        <v>50</v>
      </c>
      <c r="L221" s="17">
        <v>0</v>
      </c>
      <c r="M221" s="17">
        <v>0</v>
      </c>
      <c r="N221" s="17">
        <f t="shared" si="1"/>
        <v>50</v>
      </c>
      <c r="O221" s="17">
        <f t="shared" si="2"/>
        <v>0</v>
      </c>
      <c r="P221" s="3"/>
      <c r="Q221" s="19">
        <f t="shared" si="3"/>
        <v>841</v>
      </c>
      <c r="R221" s="19">
        <v>0</v>
      </c>
      <c r="S221" s="19">
        <f t="shared" si="4"/>
        <v>0</v>
      </c>
      <c r="T221" s="19">
        <f t="shared" si="5"/>
        <v>0</v>
      </c>
      <c r="U221" s="19">
        <f t="shared" si="6"/>
        <v>0</v>
      </c>
      <c r="V221" s="19">
        <f t="shared" si="7"/>
        <v>0</v>
      </c>
      <c r="W221" s="19">
        <f t="shared" si="8"/>
        <v>841</v>
      </c>
      <c r="X221" s="20">
        <f t="shared" si="9"/>
        <v>841</v>
      </c>
      <c r="Y221" s="20">
        <f t="shared" si="10"/>
        <v>0</v>
      </c>
    </row>
    <row r="222" spans="1:25" ht="15.75" hidden="1" customHeight="1">
      <c r="A222" s="14" t="s">
        <v>454</v>
      </c>
      <c r="B222" s="15" t="s">
        <v>455</v>
      </c>
      <c r="C222" s="16">
        <v>16.82</v>
      </c>
      <c r="D222" s="16">
        <v>16.82</v>
      </c>
      <c r="E222" s="17">
        <v>50</v>
      </c>
      <c r="F222" s="18">
        <v>0</v>
      </c>
      <c r="G222" s="18">
        <v>0</v>
      </c>
      <c r="H222" s="36">
        <v>0</v>
      </c>
      <c r="I222" s="17">
        <v>0</v>
      </c>
      <c r="J222" s="17">
        <f t="shared" si="0"/>
        <v>50</v>
      </c>
      <c r="K222" s="37">
        <v>50</v>
      </c>
      <c r="L222" s="17">
        <v>0</v>
      </c>
      <c r="M222" s="17">
        <v>0</v>
      </c>
      <c r="N222" s="17">
        <f t="shared" si="1"/>
        <v>50</v>
      </c>
      <c r="O222" s="17">
        <f t="shared" si="2"/>
        <v>0</v>
      </c>
      <c r="P222" s="3"/>
      <c r="Q222" s="19">
        <f t="shared" si="3"/>
        <v>841</v>
      </c>
      <c r="R222" s="19">
        <v>0</v>
      </c>
      <c r="S222" s="19">
        <f t="shared" si="4"/>
        <v>0</v>
      </c>
      <c r="T222" s="19">
        <f t="shared" si="5"/>
        <v>0</v>
      </c>
      <c r="U222" s="19">
        <f t="shared" si="6"/>
        <v>0</v>
      </c>
      <c r="V222" s="19">
        <f t="shared" si="7"/>
        <v>0</v>
      </c>
      <c r="W222" s="19">
        <f t="shared" si="8"/>
        <v>841</v>
      </c>
      <c r="X222" s="20">
        <f t="shared" si="9"/>
        <v>841</v>
      </c>
      <c r="Y222" s="20">
        <f t="shared" si="10"/>
        <v>0</v>
      </c>
    </row>
    <row r="223" spans="1:25" ht="15.75" hidden="1" customHeight="1">
      <c r="A223" s="14" t="s">
        <v>456</v>
      </c>
      <c r="B223" s="15" t="s">
        <v>457</v>
      </c>
      <c r="C223" s="16">
        <v>16.82</v>
      </c>
      <c r="D223" s="16">
        <v>16.82</v>
      </c>
      <c r="E223" s="17">
        <v>50</v>
      </c>
      <c r="F223" s="18">
        <v>0</v>
      </c>
      <c r="G223" s="18">
        <v>0</v>
      </c>
      <c r="H223" s="36">
        <v>0</v>
      </c>
      <c r="I223" s="17">
        <v>0</v>
      </c>
      <c r="J223" s="17">
        <f t="shared" si="0"/>
        <v>50</v>
      </c>
      <c r="K223" s="37">
        <v>50</v>
      </c>
      <c r="L223" s="17">
        <v>0</v>
      </c>
      <c r="M223" s="17">
        <v>0</v>
      </c>
      <c r="N223" s="17">
        <f t="shared" si="1"/>
        <v>50</v>
      </c>
      <c r="O223" s="17">
        <f t="shared" si="2"/>
        <v>0</v>
      </c>
      <c r="P223" s="3"/>
      <c r="Q223" s="19">
        <f t="shared" si="3"/>
        <v>841</v>
      </c>
      <c r="R223" s="19">
        <v>0</v>
      </c>
      <c r="S223" s="19">
        <f t="shared" si="4"/>
        <v>0</v>
      </c>
      <c r="T223" s="19">
        <f t="shared" si="5"/>
        <v>0</v>
      </c>
      <c r="U223" s="19">
        <f t="shared" si="6"/>
        <v>0</v>
      </c>
      <c r="V223" s="19">
        <f t="shared" si="7"/>
        <v>0</v>
      </c>
      <c r="W223" s="19">
        <f t="shared" si="8"/>
        <v>841</v>
      </c>
      <c r="X223" s="20">
        <f t="shared" si="9"/>
        <v>841</v>
      </c>
      <c r="Y223" s="20">
        <f t="shared" si="10"/>
        <v>0</v>
      </c>
    </row>
    <row r="224" spans="1:25" ht="15.75" hidden="1" customHeight="1">
      <c r="A224" s="14" t="s">
        <v>458</v>
      </c>
      <c r="B224" s="15" t="s">
        <v>459</v>
      </c>
      <c r="C224" s="16">
        <v>15.6</v>
      </c>
      <c r="D224" s="16">
        <v>15.6</v>
      </c>
      <c r="E224" s="17">
        <v>50</v>
      </c>
      <c r="F224" s="18">
        <v>0</v>
      </c>
      <c r="G224" s="18">
        <v>0</v>
      </c>
      <c r="H224" s="36">
        <v>0</v>
      </c>
      <c r="I224" s="17">
        <v>0</v>
      </c>
      <c r="J224" s="17">
        <f t="shared" si="0"/>
        <v>50</v>
      </c>
      <c r="K224" s="37">
        <v>50</v>
      </c>
      <c r="L224" s="17">
        <v>0</v>
      </c>
      <c r="M224" s="17">
        <v>0</v>
      </c>
      <c r="N224" s="17">
        <f t="shared" si="1"/>
        <v>50</v>
      </c>
      <c r="O224" s="17">
        <f t="shared" si="2"/>
        <v>0</v>
      </c>
      <c r="P224" s="3"/>
      <c r="Q224" s="19">
        <f t="shared" si="3"/>
        <v>780</v>
      </c>
      <c r="R224" s="19">
        <v>0</v>
      </c>
      <c r="S224" s="19">
        <f t="shared" si="4"/>
        <v>0</v>
      </c>
      <c r="T224" s="19">
        <f t="shared" si="5"/>
        <v>0</v>
      </c>
      <c r="U224" s="19">
        <f t="shared" si="6"/>
        <v>0</v>
      </c>
      <c r="V224" s="19">
        <f t="shared" si="7"/>
        <v>0</v>
      </c>
      <c r="W224" s="19">
        <f t="shared" si="8"/>
        <v>780</v>
      </c>
      <c r="X224" s="20">
        <f t="shared" si="9"/>
        <v>780</v>
      </c>
      <c r="Y224" s="20">
        <f t="shared" si="10"/>
        <v>0</v>
      </c>
    </row>
    <row r="225" spans="1:25" ht="15.75" hidden="1" customHeight="1">
      <c r="A225" s="14" t="s">
        <v>460</v>
      </c>
      <c r="B225" s="15" t="s">
        <v>461</v>
      </c>
      <c r="C225" s="16">
        <v>15.6</v>
      </c>
      <c r="D225" s="16">
        <v>15.6</v>
      </c>
      <c r="E225" s="17">
        <v>50</v>
      </c>
      <c r="F225" s="18">
        <v>0</v>
      </c>
      <c r="G225" s="18">
        <v>0</v>
      </c>
      <c r="H225" s="36">
        <v>0</v>
      </c>
      <c r="I225" s="17">
        <v>0</v>
      </c>
      <c r="J225" s="17">
        <f t="shared" si="0"/>
        <v>50</v>
      </c>
      <c r="K225" s="37">
        <v>50</v>
      </c>
      <c r="L225" s="17">
        <v>0</v>
      </c>
      <c r="M225" s="17">
        <v>0</v>
      </c>
      <c r="N225" s="17">
        <f t="shared" si="1"/>
        <v>50</v>
      </c>
      <c r="O225" s="17">
        <f t="shared" si="2"/>
        <v>0</v>
      </c>
      <c r="P225" s="3"/>
      <c r="Q225" s="19">
        <f t="shared" si="3"/>
        <v>780</v>
      </c>
      <c r="R225" s="19">
        <v>0</v>
      </c>
      <c r="S225" s="19">
        <f t="shared" si="4"/>
        <v>0</v>
      </c>
      <c r="T225" s="19">
        <f t="shared" si="5"/>
        <v>0</v>
      </c>
      <c r="U225" s="19">
        <f t="shared" si="6"/>
        <v>0</v>
      </c>
      <c r="V225" s="19">
        <f t="shared" si="7"/>
        <v>0</v>
      </c>
      <c r="W225" s="19">
        <f t="shared" si="8"/>
        <v>780</v>
      </c>
      <c r="X225" s="20">
        <f t="shared" si="9"/>
        <v>780</v>
      </c>
      <c r="Y225" s="20">
        <f t="shared" si="10"/>
        <v>0</v>
      </c>
    </row>
    <row r="226" spans="1:25" ht="15.75" hidden="1" customHeight="1">
      <c r="A226" s="14" t="s">
        <v>462</v>
      </c>
      <c r="B226" s="15" t="s">
        <v>463</v>
      </c>
      <c r="C226" s="16">
        <v>15.6</v>
      </c>
      <c r="D226" s="16">
        <v>15.6</v>
      </c>
      <c r="E226" s="17">
        <v>50</v>
      </c>
      <c r="F226" s="18">
        <v>0</v>
      </c>
      <c r="G226" s="18">
        <v>0</v>
      </c>
      <c r="H226" s="36">
        <v>0</v>
      </c>
      <c r="I226" s="17">
        <v>0</v>
      </c>
      <c r="J226" s="17">
        <f t="shared" si="0"/>
        <v>50</v>
      </c>
      <c r="K226" s="37">
        <v>50</v>
      </c>
      <c r="L226" s="17">
        <v>0</v>
      </c>
      <c r="M226" s="17">
        <v>0</v>
      </c>
      <c r="N226" s="17">
        <f t="shared" si="1"/>
        <v>50</v>
      </c>
      <c r="O226" s="17">
        <f t="shared" si="2"/>
        <v>0</v>
      </c>
      <c r="P226" s="3"/>
      <c r="Q226" s="19">
        <f t="shared" si="3"/>
        <v>780</v>
      </c>
      <c r="R226" s="19">
        <v>0</v>
      </c>
      <c r="S226" s="19">
        <f t="shared" si="4"/>
        <v>0</v>
      </c>
      <c r="T226" s="19">
        <f t="shared" si="5"/>
        <v>0</v>
      </c>
      <c r="U226" s="19">
        <f t="shared" si="6"/>
        <v>0</v>
      </c>
      <c r="V226" s="19">
        <f t="shared" si="7"/>
        <v>0</v>
      </c>
      <c r="W226" s="19">
        <f t="shared" si="8"/>
        <v>780</v>
      </c>
      <c r="X226" s="20">
        <f t="shared" si="9"/>
        <v>780</v>
      </c>
      <c r="Y226" s="20">
        <f t="shared" si="10"/>
        <v>0</v>
      </c>
    </row>
    <row r="227" spans="1:25" ht="15.75" hidden="1" customHeight="1">
      <c r="A227" s="14" t="s">
        <v>464</v>
      </c>
      <c r="B227" s="15" t="s">
        <v>465</v>
      </c>
      <c r="C227" s="16">
        <v>940</v>
      </c>
      <c r="D227" s="16">
        <v>940</v>
      </c>
      <c r="E227" s="17">
        <v>1</v>
      </c>
      <c r="F227" s="18">
        <v>0</v>
      </c>
      <c r="G227" s="18">
        <v>0</v>
      </c>
      <c r="H227" s="36">
        <v>0</v>
      </c>
      <c r="I227" s="17">
        <v>0</v>
      </c>
      <c r="J227" s="17">
        <f t="shared" si="0"/>
        <v>1</v>
      </c>
      <c r="K227" s="37">
        <v>1</v>
      </c>
      <c r="L227" s="17">
        <v>0</v>
      </c>
      <c r="M227" s="17">
        <v>0</v>
      </c>
      <c r="N227" s="17">
        <f t="shared" si="1"/>
        <v>1</v>
      </c>
      <c r="O227" s="17">
        <f t="shared" si="2"/>
        <v>0</v>
      </c>
      <c r="P227" s="3"/>
      <c r="Q227" s="19">
        <f t="shared" si="3"/>
        <v>940</v>
      </c>
      <c r="R227" s="19">
        <v>0</v>
      </c>
      <c r="S227" s="19">
        <f t="shared" si="4"/>
        <v>0</v>
      </c>
      <c r="T227" s="19">
        <f t="shared" si="5"/>
        <v>0</v>
      </c>
      <c r="U227" s="19">
        <f t="shared" si="6"/>
        <v>0</v>
      </c>
      <c r="V227" s="19">
        <f t="shared" si="7"/>
        <v>0</v>
      </c>
      <c r="W227" s="19">
        <f t="shared" si="8"/>
        <v>940</v>
      </c>
      <c r="X227" s="20">
        <f t="shared" si="9"/>
        <v>940</v>
      </c>
      <c r="Y227" s="20">
        <f t="shared" si="10"/>
        <v>0</v>
      </c>
    </row>
    <row r="228" spans="1:25" ht="15.75" hidden="1" customHeight="1">
      <c r="A228" s="14" t="s">
        <v>466</v>
      </c>
      <c r="B228" s="15" t="s">
        <v>467</v>
      </c>
      <c r="C228" s="16">
        <v>290</v>
      </c>
      <c r="D228" s="16">
        <v>290</v>
      </c>
      <c r="E228" s="17">
        <v>0</v>
      </c>
      <c r="F228" s="18">
        <v>0</v>
      </c>
      <c r="G228" s="18">
        <v>0</v>
      </c>
      <c r="H228" s="36">
        <v>0</v>
      </c>
      <c r="I228" s="17">
        <v>0</v>
      </c>
      <c r="J228" s="17">
        <f t="shared" si="0"/>
        <v>0</v>
      </c>
      <c r="K228" s="37">
        <v>0</v>
      </c>
      <c r="L228" s="17">
        <v>0</v>
      </c>
      <c r="M228" s="17">
        <v>0</v>
      </c>
      <c r="N228" s="17">
        <f t="shared" si="1"/>
        <v>0</v>
      </c>
      <c r="O228" s="17">
        <f t="shared" si="2"/>
        <v>0</v>
      </c>
      <c r="P228" s="3"/>
      <c r="Q228" s="19">
        <f t="shared" si="3"/>
        <v>0</v>
      </c>
      <c r="R228" s="19">
        <v>0</v>
      </c>
      <c r="S228" s="19">
        <f t="shared" si="4"/>
        <v>0</v>
      </c>
      <c r="T228" s="19">
        <f t="shared" si="5"/>
        <v>0</v>
      </c>
      <c r="U228" s="19">
        <f t="shared" si="6"/>
        <v>0</v>
      </c>
      <c r="V228" s="19">
        <f t="shared" si="7"/>
        <v>0</v>
      </c>
      <c r="W228" s="19">
        <f t="shared" si="8"/>
        <v>0</v>
      </c>
      <c r="X228" s="20">
        <f t="shared" si="9"/>
        <v>0</v>
      </c>
      <c r="Y228" s="20">
        <f t="shared" si="10"/>
        <v>0</v>
      </c>
    </row>
    <row r="229" spans="1:25" ht="15.75" hidden="1" customHeight="1">
      <c r="A229" s="14" t="s">
        <v>468</v>
      </c>
      <c r="B229" s="15" t="s">
        <v>469</v>
      </c>
      <c r="C229" s="16">
        <v>999</v>
      </c>
      <c r="D229" s="16">
        <v>999</v>
      </c>
      <c r="E229" s="17">
        <v>0</v>
      </c>
      <c r="F229" s="18">
        <v>0</v>
      </c>
      <c r="G229" s="18">
        <v>0</v>
      </c>
      <c r="H229" s="36">
        <v>0</v>
      </c>
      <c r="I229" s="17">
        <v>0</v>
      </c>
      <c r="J229" s="17">
        <f t="shared" si="0"/>
        <v>0</v>
      </c>
      <c r="K229" s="37">
        <v>0</v>
      </c>
      <c r="L229" s="17">
        <v>0</v>
      </c>
      <c r="M229" s="17">
        <v>0</v>
      </c>
      <c r="N229" s="17">
        <f t="shared" si="1"/>
        <v>0</v>
      </c>
      <c r="O229" s="17">
        <f t="shared" si="2"/>
        <v>0</v>
      </c>
      <c r="P229" s="3"/>
      <c r="Q229" s="19">
        <f t="shared" si="3"/>
        <v>0</v>
      </c>
      <c r="R229" s="19">
        <v>0</v>
      </c>
      <c r="S229" s="19">
        <f t="shared" si="4"/>
        <v>0</v>
      </c>
      <c r="T229" s="19">
        <f t="shared" si="5"/>
        <v>0</v>
      </c>
      <c r="U229" s="19">
        <f t="shared" si="6"/>
        <v>0</v>
      </c>
      <c r="V229" s="19">
        <f t="shared" si="7"/>
        <v>0</v>
      </c>
      <c r="W229" s="19">
        <f t="shared" si="8"/>
        <v>0</v>
      </c>
      <c r="X229" s="20">
        <f t="shared" si="9"/>
        <v>0</v>
      </c>
      <c r="Y229" s="20">
        <f t="shared" si="10"/>
        <v>0</v>
      </c>
    </row>
    <row r="230" spans="1:25" ht="15.75" hidden="1" customHeight="1">
      <c r="A230" s="14" t="s">
        <v>470</v>
      </c>
      <c r="B230" s="15" t="s">
        <v>471</v>
      </c>
      <c r="C230" s="16">
        <v>1458.35</v>
      </c>
      <c r="D230" s="16">
        <v>1458.35</v>
      </c>
      <c r="E230" s="17">
        <v>0</v>
      </c>
      <c r="F230" s="18">
        <v>0</v>
      </c>
      <c r="G230" s="18">
        <v>0</v>
      </c>
      <c r="H230" s="36">
        <v>0</v>
      </c>
      <c r="I230" s="17">
        <v>0</v>
      </c>
      <c r="J230" s="17">
        <f t="shared" si="0"/>
        <v>0</v>
      </c>
      <c r="K230" s="37">
        <v>0</v>
      </c>
      <c r="L230" s="17">
        <v>0</v>
      </c>
      <c r="M230" s="17">
        <v>0</v>
      </c>
      <c r="N230" s="17">
        <f t="shared" si="1"/>
        <v>0</v>
      </c>
      <c r="O230" s="17">
        <f t="shared" si="2"/>
        <v>0</v>
      </c>
      <c r="P230" s="3"/>
      <c r="Q230" s="19">
        <f t="shared" si="3"/>
        <v>0</v>
      </c>
      <c r="R230" s="19">
        <v>0</v>
      </c>
      <c r="S230" s="19">
        <f t="shared" si="4"/>
        <v>0</v>
      </c>
      <c r="T230" s="19">
        <f t="shared" si="5"/>
        <v>0</v>
      </c>
      <c r="U230" s="19">
        <f t="shared" si="6"/>
        <v>0</v>
      </c>
      <c r="V230" s="19">
        <f t="shared" si="7"/>
        <v>0</v>
      </c>
      <c r="W230" s="19">
        <f t="shared" si="8"/>
        <v>0</v>
      </c>
      <c r="X230" s="20">
        <f t="shared" si="9"/>
        <v>0</v>
      </c>
      <c r="Y230" s="20">
        <f t="shared" si="10"/>
        <v>0</v>
      </c>
    </row>
    <row r="231" spans="1:25" ht="15.75" hidden="1" customHeight="1">
      <c r="A231" s="14" t="s">
        <v>472</v>
      </c>
      <c r="B231" s="15" t="s">
        <v>473</v>
      </c>
      <c r="C231" s="16">
        <v>0</v>
      </c>
      <c r="D231" s="16">
        <v>0</v>
      </c>
      <c r="E231" s="17">
        <v>0</v>
      </c>
      <c r="F231" s="18">
        <v>0</v>
      </c>
      <c r="G231" s="18">
        <v>0</v>
      </c>
      <c r="H231" s="36">
        <v>0</v>
      </c>
      <c r="I231" s="17">
        <v>0</v>
      </c>
      <c r="J231" s="17">
        <f t="shared" si="0"/>
        <v>0</v>
      </c>
      <c r="K231" s="37">
        <v>0</v>
      </c>
      <c r="L231" s="17">
        <v>0</v>
      </c>
      <c r="M231" s="17">
        <v>0</v>
      </c>
      <c r="N231" s="17">
        <f t="shared" si="1"/>
        <v>0</v>
      </c>
      <c r="O231" s="17">
        <f t="shared" si="2"/>
        <v>0</v>
      </c>
      <c r="P231" s="3"/>
      <c r="Q231" s="19">
        <f t="shared" si="3"/>
        <v>0</v>
      </c>
      <c r="R231" s="19">
        <v>0</v>
      </c>
      <c r="S231" s="19">
        <f t="shared" si="4"/>
        <v>0</v>
      </c>
      <c r="T231" s="19">
        <f t="shared" si="5"/>
        <v>0</v>
      </c>
      <c r="U231" s="19">
        <f t="shared" si="6"/>
        <v>0</v>
      </c>
      <c r="V231" s="19">
        <f t="shared" si="7"/>
        <v>0</v>
      </c>
      <c r="W231" s="19">
        <f t="shared" si="8"/>
        <v>0</v>
      </c>
      <c r="X231" s="20">
        <f t="shared" si="9"/>
        <v>0</v>
      </c>
      <c r="Y231" s="20">
        <f t="shared" si="10"/>
        <v>0</v>
      </c>
    </row>
    <row r="232" spans="1:25" ht="15.75" hidden="1" customHeight="1">
      <c r="A232" s="14" t="s">
        <v>474</v>
      </c>
      <c r="B232" s="15" t="s">
        <v>475</v>
      </c>
      <c r="C232" s="16">
        <v>985</v>
      </c>
      <c r="D232" s="16">
        <v>985</v>
      </c>
      <c r="E232" s="17">
        <v>1</v>
      </c>
      <c r="F232" s="18">
        <v>0</v>
      </c>
      <c r="G232" s="18">
        <v>0</v>
      </c>
      <c r="H232" s="36">
        <v>0</v>
      </c>
      <c r="I232" s="17">
        <v>0</v>
      </c>
      <c r="J232" s="17">
        <f t="shared" si="0"/>
        <v>1</v>
      </c>
      <c r="K232" s="37">
        <v>0</v>
      </c>
      <c r="L232" s="17">
        <v>0</v>
      </c>
      <c r="M232" s="17">
        <v>1</v>
      </c>
      <c r="N232" s="17">
        <f t="shared" si="1"/>
        <v>1</v>
      </c>
      <c r="O232" s="17">
        <f t="shared" si="2"/>
        <v>0</v>
      </c>
      <c r="P232" s="3"/>
      <c r="Q232" s="19">
        <f t="shared" si="3"/>
        <v>985</v>
      </c>
      <c r="R232" s="19">
        <v>0</v>
      </c>
      <c r="S232" s="19">
        <f t="shared" si="4"/>
        <v>0</v>
      </c>
      <c r="T232" s="19">
        <f t="shared" si="5"/>
        <v>0</v>
      </c>
      <c r="U232" s="19">
        <f t="shared" si="6"/>
        <v>0</v>
      </c>
      <c r="V232" s="19">
        <f t="shared" si="7"/>
        <v>0</v>
      </c>
      <c r="W232" s="19">
        <f t="shared" si="8"/>
        <v>985</v>
      </c>
      <c r="X232" s="20">
        <f t="shared" si="9"/>
        <v>985</v>
      </c>
      <c r="Y232" s="20">
        <f t="shared" si="10"/>
        <v>0</v>
      </c>
    </row>
    <row r="233" spans="1:25" ht="15.75" hidden="1" customHeight="1">
      <c r="A233" s="14" t="s">
        <v>476</v>
      </c>
      <c r="B233" s="15" t="s">
        <v>477</v>
      </c>
      <c r="C233" s="16">
        <v>0</v>
      </c>
      <c r="D233" s="16">
        <v>0</v>
      </c>
      <c r="E233" s="17">
        <v>0</v>
      </c>
      <c r="F233" s="18">
        <v>0</v>
      </c>
      <c r="G233" s="18">
        <v>0</v>
      </c>
      <c r="H233" s="36">
        <v>0</v>
      </c>
      <c r="I233" s="17">
        <v>0</v>
      </c>
      <c r="J233" s="17">
        <f t="shared" si="0"/>
        <v>0</v>
      </c>
      <c r="K233" s="37">
        <v>0</v>
      </c>
      <c r="L233" s="17">
        <v>0</v>
      </c>
      <c r="M233" s="17">
        <v>0</v>
      </c>
      <c r="N233" s="17">
        <f t="shared" si="1"/>
        <v>0</v>
      </c>
      <c r="O233" s="17">
        <f t="shared" si="2"/>
        <v>0</v>
      </c>
      <c r="P233" s="3"/>
      <c r="Q233" s="19">
        <f t="shared" si="3"/>
        <v>0</v>
      </c>
      <c r="R233" s="19">
        <v>0</v>
      </c>
      <c r="S233" s="19">
        <f t="shared" si="4"/>
        <v>0</v>
      </c>
      <c r="T233" s="19">
        <f t="shared" si="5"/>
        <v>0</v>
      </c>
      <c r="U233" s="19">
        <f t="shared" si="6"/>
        <v>0</v>
      </c>
      <c r="V233" s="19">
        <f t="shared" si="7"/>
        <v>0</v>
      </c>
      <c r="W233" s="19">
        <f t="shared" si="8"/>
        <v>0</v>
      </c>
      <c r="X233" s="20">
        <f t="shared" si="9"/>
        <v>0</v>
      </c>
      <c r="Y233" s="20">
        <f t="shared" si="10"/>
        <v>0</v>
      </c>
    </row>
    <row r="234" spans="1:25" ht="15.75" hidden="1" customHeight="1">
      <c r="A234" s="14" t="s">
        <v>478</v>
      </c>
      <c r="B234" s="15" t="s">
        <v>479</v>
      </c>
      <c r="C234" s="16">
        <v>0</v>
      </c>
      <c r="D234" s="16">
        <v>0</v>
      </c>
      <c r="E234" s="17">
        <v>0</v>
      </c>
      <c r="F234" s="18">
        <v>0</v>
      </c>
      <c r="G234" s="18">
        <v>0</v>
      </c>
      <c r="H234" s="36">
        <v>0</v>
      </c>
      <c r="I234" s="17">
        <v>0</v>
      </c>
      <c r="J234" s="17">
        <f t="shared" si="0"/>
        <v>0</v>
      </c>
      <c r="K234" s="37">
        <v>0</v>
      </c>
      <c r="L234" s="17">
        <v>0</v>
      </c>
      <c r="M234" s="17">
        <v>0</v>
      </c>
      <c r="N234" s="17">
        <f t="shared" si="1"/>
        <v>0</v>
      </c>
      <c r="O234" s="17">
        <f t="shared" si="2"/>
        <v>0</v>
      </c>
      <c r="P234" s="3"/>
      <c r="Q234" s="19">
        <f t="shared" si="3"/>
        <v>0</v>
      </c>
      <c r="R234" s="19">
        <v>0</v>
      </c>
      <c r="S234" s="19">
        <f t="shared" si="4"/>
        <v>0</v>
      </c>
      <c r="T234" s="19">
        <f t="shared" si="5"/>
        <v>0</v>
      </c>
      <c r="U234" s="19">
        <f t="shared" si="6"/>
        <v>0</v>
      </c>
      <c r="V234" s="19">
        <f t="shared" si="7"/>
        <v>0</v>
      </c>
      <c r="W234" s="19">
        <f t="shared" si="8"/>
        <v>0</v>
      </c>
      <c r="X234" s="20">
        <f t="shared" si="9"/>
        <v>0</v>
      </c>
      <c r="Y234" s="20">
        <f t="shared" si="10"/>
        <v>0</v>
      </c>
    </row>
    <row r="235" spans="1:25" ht="22.5" hidden="1" customHeight="1">
      <c r="A235" s="14" t="s">
        <v>480</v>
      </c>
      <c r="B235" s="15" t="s">
        <v>481</v>
      </c>
      <c r="C235" s="16">
        <v>841</v>
      </c>
      <c r="D235" s="16">
        <v>841</v>
      </c>
      <c r="E235" s="17">
        <v>1</v>
      </c>
      <c r="F235" s="18">
        <v>0</v>
      </c>
      <c r="G235" s="18">
        <v>0</v>
      </c>
      <c r="H235" s="36">
        <v>0</v>
      </c>
      <c r="I235" s="17">
        <v>0</v>
      </c>
      <c r="J235" s="17">
        <f t="shared" si="0"/>
        <v>1</v>
      </c>
      <c r="K235" s="37">
        <v>1</v>
      </c>
      <c r="L235" s="17">
        <v>0</v>
      </c>
      <c r="M235" s="17">
        <v>0</v>
      </c>
      <c r="N235" s="17">
        <f t="shared" si="1"/>
        <v>1</v>
      </c>
      <c r="O235" s="17">
        <f t="shared" si="2"/>
        <v>0</v>
      </c>
      <c r="P235" s="3"/>
      <c r="Q235" s="19">
        <f t="shared" si="3"/>
        <v>841</v>
      </c>
      <c r="R235" s="19">
        <v>0</v>
      </c>
      <c r="S235" s="19">
        <f t="shared" si="4"/>
        <v>0</v>
      </c>
      <c r="T235" s="19">
        <f t="shared" si="5"/>
        <v>0</v>
      </c>
      <c r="U235" s="19">
        <f t="shared" si="6"/>
        <v>0</v>
      </c>
      <c r="V235" s="19">
        <f t="shared" si="7"/>
        <v>0</v>
      </c>
      <c r="W235" s="19">
        <f t="shared" si="8"/>
        <v>841</v>
      </c>
      <c r="X235" s="20">
        <f t="shared" si="9"/>
        <v>841</v>
      </c>
      <c r="Y235" s="20">
        <f t="shared" si="10"/>
        <v>0</v>
      </c>
    </row>
    <row r="236" spans="1:25" ht="15.75" hidden="1" customHeight="1">
      <c r="A236" s="14" t="s">
        <v>482</v>
      </c>
      <c r="B236" s="15" t="s">
        <v>483</v>
      </c>
      <c r="C236" s="16">
        <v>0</v>
      </c>
      <c r="D236" s="16">
        <v>0</v>
      </c>
      <c r="E236" s="17">
        <v>0</v>
      </c>
      <c r="F236" s="18">
        <v>0</v>
      </c>
      <c r="G236" s="18">
        <v>0</v>
      </c>
      <c r="H236" s="36">
        <v>0</v>
      </c>
      <c r="I236" s="17">
        <v>0</v>
      </c>
      <c r="J236" s="17">
        <f t="shared" si="0"/>
        <v>0</v>
      </c>
      <c r="K236" s="37">
        <v>0</v>
      </c>
      <c r="L236" s="17">
        <v>0</v>
      </c>
      <c r="M236" s="17">
        <v>0</v>
      </c>
      <c r="N236" s="17">
        <f t="shared" si="1"/>
        <v>0</v>
      </c>
      <c r="O236" s="17">
        <f t="shared" si="2"/>
        <v>0</v>
      </c>
      <c r="P236" s="3"/>
      <c r="Q236" s="19">
        <f t="shared" si="3"/>
        <v>0</v>
      </c>
      <c r="R236" s="19">
        <v>0</v>
      </c>
      <c r="S236" s="19">
        <f t="shared" si="4"/>
        <v>0</v>
      </c>
      <c r="T236" s="19">
        <f t="shared" si="5"/>
        <v>0</v>
      </c>
      <c r="U236" s="19">
        <f t="shared" si="6"/>
        <v>0</v>
      </c>
      <c r="V236" s="19">
        <f t="shared" si="7"/>
        <v>0</v>
      </c>
      <c r="W236" s="19">
        <f t="shared" si="8"/>
        <v>0</v>
      </c>
      <c r="X236" s="20">
        <f t="shared" si="9"/>
        <v>0</v>
      </c>
      <c r="Y236" s="20">
        <f t="shared" si="10"/>
        <v>0</v>
      </c>
    </row>
    <row r="237" spans="1:25" ht="15.75" hidden="1" customHeight="1">
      <c r="A237" s="14" t="s">
        <v>484</v>
      </c>
      <c r="B237" s="15" t="s">
        <v>485</v>
      </c>
      <c r="C237" s="16">
        <v>3410</v>
      </c>
      <c r="D237" s="16">
        <v>3410</v>
      </c>
      <c r="E237" s="17">
        <v>0</v>
      </c>
      <c r="F237" s="18">
        <v>0</v>
      </c>
      <c r="G237" s="18">
        <v>0</v>
      </c>
      <c r="H237" s="36">
        <v>0</v>
      </c>
      <c r="I237" s="17">
        <v>0</v>
      </c>
      <c r="J237" s="17">
        <f t="shared" si="0"/>
        <v>0</v>
      </c>
      <c r="K237" s="37">
        <v>0</v>
      </c>
      <c r="L237" s="17">
        <v>0</v>
      </c>
      <c r="M237" s="17">
        <v>0</v>
      </c>
      <c r="N237" s="17">
        <f t="shared" si="1"/>
        <v>0</v>
      </c>
      <c r="O237" s="17">
        <f t="shared" si="2"/>
        <v>0</v>
      </c>
      <c r="P237" s="3"/>
      <c r="Q237" s="19">
        <f t="shared" si="3"/>
        <v>0</v>
      </c>
      <c r="R237" s="19">
        <v>0</v>
      </c>
      <c r="S237" s="19">
        <f t="shared" si="4"/>
        <v>0</v>
      </c>
      <c r="T237" s="19">
        <f t="shared" si="5"/>
        <v>0</v>
      </c>
      <c r="U237" s="19">
        <f t="shared" si="6"/>
        <v>0</v>
      </c>
      <c r="V237" s="19">
        <f t="shared" si="7"/>
        <v>0</v>
      </c>
      <c r="W237" s="19">
        <f t="shared" si="8"/>
        <v>0</v>
      </c>
      <c r="X237" s="20">
        <f t="shared" si="9"/>
        <v>0</v>
      </c>
      <c r="Y237" s="20">
        <f t="shared" si="10"/>
        <v>0</v>
      </c>
    </row>
    <row r="238" spans="1:25" ht="15.75" hidden="1" customHeight="1">
      <c r="A238" s="14" t="s">
        <v>486</v>
      </c>
      <c r="B238" s="15" t="s">
        <v>487</v>
      </c>
      <c r="C238" s="16">
        <v>99</v>
      </c>
      <c r="D238" s="16">
        <v>99</v>
      </c>
      <c r="E238" s="17">
        <v>1</v>
      </c>
      <c r="F238" s="18">
        <v>0</v>
      </c>
      <c r="G238" s="18">
        <v>0</v>
      </c>
      <c r="H238" s="36">
        <v>0</v>
      </c>
      <c r="I238" s="17">
        <v>0</v>
      </c>
      <c r="J238" s="17">
        <f t="shared" si="0"/>
        <v>1</v>
      </c>
      <c r="K238" s="37">
        <v>1</v>
      </c>
      <c r="L238" s="17">
        <v>0</v>
      </c>
      <c r="M238" s="17">
        <v>0</v>
      </c>
      <c r="N238" s="17">
        <f t="shared" si="1"/>
        <v>1</v>
      </c>
      <c r="O238" s="17">
        <f t="shared" si="2"/>
        <v>0</v>
      </c>
      <c r="P238" s="3"/>
      <c r="Q238" s="19">
        <f t="shared" si="3"/>
        <v>99</v>
      </c>
      <c r="R238" s="19">
        <v>0</v>
      </c>
      <c r="S238" s="19">
        <f t="shared" si="4"/>
        <v>0</v>
      </c>
      <c r="T238" s="19">
        <f t="shared" si="5"/>
        <v>0</v>
      </c>
      <c r="U238" s="19">
        <f t="shared" si="6"/>
        <v>0</v>
      </c>
      <c r="V238" s="19">
        <f t="shared" si="7"/>
        <v>0</v>
      </c>
      <c r="W238" s="19">
        <f t="shared" si="8"/>
        <v>99</v>
      </c>
      <c r="X238" s="20">
        <f t="shared" si="9"/>
        <v>99</v>
      </c>
      <c r="Y238" s="20">
        <f t="shared" si="10"/>
        <v>0</v>
      </c>
    </row>
    <row r="239" spans="1:25" ht="15.75" hidden="1" customHeight="1">
      <c r="A239" s="14" t="s">
        <v>488</v>
      </c>
      <c r="B239" s="15" t="s">
        <v>489</v>
      </c>
      <c r="C239" s="16">
        <v>113.5</v>
      </c>
      <c r="D239" s="16">
        <v>113.5</v>
      </c>
      <c r="E239" s="17">
        <v>3</v>
      </c>
      <c r="F239" s="18">
        <v>0</v>
      </c>
      <c r="G239" s="18">
        <v>0</v>
      </c>
      <c r="H239" s="36">
        <v>0</v>
      </c>
      <c r="I239" s="17">
        <v>0</v>
      </c>
      <c r="J239" s="17">
        <f t="shared" si="0"/>
        <v>3</v>
      </c>
      <c r="K239" s="37">
        <v>3</v>
      </c>
      <c r="L239" s="17">
        <v>0</v>
      </c>
      <c r="M239" s="17">
        <v>0</v>
      </c>
      <c r="N239" s="17">
        <f t="shared" si="1"/>
        <v>3</v>
      </c>
      <c r="O239" s="17">
        <f t="shared" si="2"/>
        <v>0</v>
      </c>
      <c r="P239" s="3"/>
      <c r="Q239" s="19">
        <f t="shared" si="3"/>
        <v>340.5</v>
      </c>
      <c r="R239" s="19">
        <v>0</v>
      </c>
      <c r="S239" s="19">
        <f t="shared" si="4"/>
        <v>0</v>
      </c>
      <c r="T239" s="19">
        <f t="shared" si="5"/>
        <v>0</v>
      </c>
      <c r="U239" s="19">
        <f t="shared" si="6"/>
        <v>0</v>
      </c>
      <c r="V239" s="19">
        <f t="shared" si="7"/>
        <v>0</v>
      </c>
      <c r="W239" s="19">
        <f t="shared" si="8"/>
        <v>340.5</v>
      </c>
      <c r="X239" s="20">
        <f t="shared" si="9"/>
        <v>340.5</v>
      </c>
      <c r="Y239" s="20">
        <f t="shared" si="10"/>
        <v>0</v>
      </c>
    </row>
    <row r="240" spans="1:25" ht="15.75" hidden="1" customHeight="1">
      <c r="A240" s="14" t="s">
        <v>490</v>
      </c>
      <c r="B240" s="15" t="s">
        <v>491</v>
      </c>
      <c r="C240" s="16">
        <v>1536</v>
      </c>
      <c r="D240" s="16">
        <v>1536</v>
      </c>
      <c r="E240" s="17">
        <v>3</v>
      </c>
      <c r="F240" s="18">
        <v>0</v>
      </c>
      <c r="G240" s="18">
        <v>0</v>
      </c>
      <c r="H240" s="36">
        <v>0</v>
      </c>
      <c r="I240" s="17">
        <v>0</v>
      </c>
      <c r="J240" s="17">
        <f t="shared" si="0"/>
        <v>3</v>
      </c>
      <c r="K240" s="37">
        <v>3</v>
      </c>
      <c r="L240" s="17">
        <v>0</v>
      </c>
      <c r="M240" s="17">
        <v>0</v>
      </c>
      <c r="N240" s="17">
        <f t="shared" si="1"/>
        <v>3</v>
      </c>
      <c r="O240" s="17">
        <f t="shared" si="2"/>
        <v>0</v>
      </c>
      <c r="P240" s="3"/>
      <c r="Q240" s="19">
        <f t="shared" si="3"/>
        <v>4608</v>
      </c>
      <c r="R240" s="19">
        <v>0</v>
      </c>
      <c r="S240" s="19">
        <f t="shared" si="4"/>
        <v>0</v>
      </c>
      <c r="T240" s="19">
        <f t="shared" si="5"/>
        <v>0</v>
      </c>
      <c r="U240" s="19">
        <f t="shared" si="6"/>
        <v>0</v>
      </c>
      <c r="V240" s="19">
        <f t="shared" si="7"/>
        <v>0</v>
      </c>
      <c r="W240" s="19">
        <f t="shared" si="8"/>
        <v>4608</v>
      </c>
      <c r="X240" s="20">
        <f t="shared" si="9"/>
        <v>4608</v>
      </c>
      <c r="Y240" s="20">
        <f t="shared" si="10"/>
        <v>0</v>
      </c>
    </row>
    <row r="241" spans="1:25" ht="15.75" hidden="1" customHeight="1">
      <c r="A241" s="14" t="s">
        <v>492</v>
      </c>
      <c r="B241" s="15" t="s">
        <v>493</v>
      </c>
      <c r="C241" s="16">
        <v>757.98</v>
      </c>
      <c r="D241" s="16">
        <v>757.98</v>
      </c>
      <c r="E241" s="17">
        <v>1</v>
      </c>
      <c r="F241" s="18">
        <v>0</v>
      </c>
      <c r="G241" s="18">
        <v>0</v>
      </c>
      <c r="H241" s="36">
        <v>0</v>
      </c>
      <c r="I241" s="17">
        <v>0</v>
      </c>
      <c r="J241" s="17">
        <f t="shared" si="0"/>
        <v>1</v>
      </c>
      <c r="K241" s="37">
        <v>1</v>
      </c>
      <c r="L241" s="17">
        <v>0</v>
      </c>
      <c r="M241" s="17">
        <v>0</v>
      </c>
      <c r="N241" s="17">
        <f t="shared" si="1"/>
        <v>1</v>
      </c>
      <c r="O241" s="17">
        <f t="shared" si="2"/>
        <v>0</v>
      </c>
      <c r="P241" s="3"/>
      <c r="Q241" s="19">
        <f t="shared" si="3"/>
        <v>757.98</v>
      </c>
      <c r="R241" s="19">
        <v>0</v>
      </c>
      <c r="S241" s="19">
        <f t="shared" si="4"/>
        <v>0</v>
      </c>
      <c r="T241" s="19">
        <f t="shared" si="5"/>
        <v>0</v>
      </c>
      <c r="U241" s="19">
        <f t="shared" si="6"/>
        <v>0</v>
      </c>
      <c r="V241" s="19">
        <f t="shared" si="7"/>
        <v>0</v>
      </c>
      <c r="W241" s="19">
        <f t="shared" si="8"/>
        <v>757.98</v>
      </c>
      <c r="X241" s="20">
        <f t="shared" si="9"/>
        <v>757.98</v>
      </c>
      <c r="Y241" s="20">
        <f t="shared" si="10"/>
        <v>0</v>
      </c>
    </row>
    <row r="242" spans="1:25" ht="15.75" hidden="1" customHeight="1">
      <c r="A242" s="14" t="s">
        <v>494</v>
      </c>
      <c r="B242" s="15" t="s">
        <v>495</v>
      </c>
      <c r="C242" s="16">
        <v>36.5</v>
      </c>
      <c r="D242" s="16">
        <v>36.5</v>
      </c>
      <c r="E242" s="17">
        <v>4</v>
      </c>
      <c r="F242" s="18">
        <v>0</v>
      </c>
      <c r="G242" s="18">
        <v>0</v>
      </c>
      <c r="H242" s="36">
        <v>0</v>
      </c>
      <c r="I242" s="17">
        <v>0</v>
      </c>
      <c r="J242" s="17">
        <f t="shared" si="0"/>
        <v>4</v>
      </c>
      <c r="K242" s="37">
        <v>4</v>
      </c>
      <c r="L242" s="17">
        <v>0</v>
      </c>
      <c r="M242" s="17">
        <v>0</v>
      </c>
      <c r="N242" s="17">
        <f t="shared" si="1"/>
        <v>4</v>
      </c>
      <c r="O242" s="17">
        <f t="shared" si="2"/>
        <v>0</v>
      </c>
      <c r="P242" s="3"/>
      <c r="Q242" s="19">
        <f t="shared" si="3"/>
        <v>146</v>
      </c>
      <c r="R242" s="19">
        <v>0</v>
      </c>
      <c r="S242" s="19">
        <f t="shared" si="4"/>
        <v>0</v>
      </c>
      <c r="T242" s="19">
        <f t="shared" si="5"/>
        <v>0</v>
      </c>
      <c r="U242" s="19">
        <f t="shared" si="6"/>
        <v>0</v>
      </c>
      <c r="V242" s="19">
        <f t="shared" si="7"/>
        <v>0</v>
      </c>
      <c r="W242" s="19">
        <f t="shared" si="8"/>
        <v>146</v>
      </c>
      <c r="X242" s="20">
        <f t="shared" si="9"/>
        <v>146</v>
      </c>
      <c r="Y242" s="20">
        <f t="shared" si="10"/>
        <v>0</v>
      </c>
    </row>
    <row r="243" spans="1:25" ht="15.75" hidden="1" customHeight="1">
      <c r="A243" s="14" t="s">
        <v>496</v>
      </c>
      <c r="B243" s="15" t="s">
        <v>497</v>
      </c>
      <c r="C243" s="16">
        <v>36.5</v>
      </c>
      <c r="D243" s="16">
        <v>36.5</v>
      </c>
      <c r="E243" s="17">
        <v>5</v>
      </c>
      <c r="F243" s="18">
        <v>0</v>
      </c>
      <c r="G243" s="18">
        <v>0</v>
      </c>
      <c r="H243" s="36">
        <v>0</v>
      </c>
      <c r="I243" s="17">
        <v>0</v>
      </c>
      <c r="J243" s="17">
        <f t="shared" si="0"/>
        <v>5</v>
      </c>
      <c r="K243" s="37">
        <v>5</v>
      </c>
      <c r="L243" s="17">
        <v>0</v>
      </c>
      <c r="M243" s="17">
        <v>0</v>
      </c>
      <c r="N243" s="17">
        <f t="shared" si="1"/>
        <v>5</v>
      </c>
      <c r="O243" s="17">
        <f t="shared" si="2"/>
        <v>0</v>
      </c>
      <c r="P243" s="3"/>
      <c r="Q243" s="19">
        <f t="shared" si="3"/>
        <v>182.5</v>
      </c>
      <c r="R243" s="19">
        <v>0</v>
      </c>
      <c r="S243" s="19">
        <f t="shared" si="4"/>
        <v>0</v>
      </c>
      <c r="T243" s="19">
        <f t="shared" si="5"/>
        <v>0</v>
      </c>
      <c r="U243" s="19">
        <f t="shared" si="6"/>
        <v>0</v>
      </c>
      <c r="V243" s="19">
        <f t="shared" si="7"/>
        <v>0</v>
      </c>
      <c r="W243" s="19">
        <f t="shared" si="8"/>
        <v>182.5</v>
      </c>
      <c r="X243" s="20">
        <f t="shared" si="9"/>
        <v>182.5</v>
      </c>
      <c r="Y243" s="20">
        <f t="shared" si="10"/>
        <v>0</v>
      </c>
    </row>
    <row r="244" spans="1:25" ht="15.75" hidden="1" customHeight="1">
      <c r="A244" s="14" t="s">
        <v>498</v>
      </c>
      <c r="B244" s="15" t="s">
        <v>499</v>
      </c>
      <c r="C244" s="16">
        <v>0</v>
      </c>
      <c r="D244" s="16">
        <v>0</v>
      </c>
      <c r="E244" s="17">
        <v>0</v>
      </c>
      <c r="F244" s="18">
        <v>0</v>
      </c>
      <c r="G244" s="18">
        <v>0</v>
      </c>
      <c r="H244" s="36">
        <v>0</v>
      </c>
      <c r="I244" s="17">
        <v>0</v>
      </c>
      <c r="J244" s="17">
        <f t="shared" si="0"/>
        <v>0</v>
      </c>
      <c r="K244" s="37">
        <v>0</v>
      </c>
      <c r="L244" s="17">
        <v>0</v>
      </c>
      <c r="M244" s="17">
        <v>0</v>
      </c>
      <c r="N244" s="17">
        <f t="shared" si="1"/>
        <v>0</v>
      </c>
      <c r="O244" s="17">
        <f t="shared" si="2"/>
        <v>0</v>
      </c>
      <c r="P244" s="3"/>
      <c r="Q244" s="19">
        <f t="shared" si="3"/>
        <v>0</v>
      </c>
      <c r="R244" s="19">
        <v>0</v>
      </c>
      <c r="S244" s="19">
        <f t="shared" si="4"/>
        <v>0</v>
      </c>
      <c r="T244" s="19">
        <f t="shared" si="5"/>
        <v>0</v>
      </c>
      <c r="U244" s="19">
        <f t="shared" si="6"/>
        <v>0</v>
      </c>
      <c r="V244" s="19">
        <f t="shared" si="7"/>
        <v>0</v>
      </c>
      <c r="W244" s="19">
        <f t="shared" si="8"/>
        <v>0</v>
      </c>
      <c r="X244" s="20">
        <f t="shared" si="9"/>
        <v>0</v>
      </c>
      <c r="Y244" s="20">
        <f t="shared" si="10"/>
        <v>0</v>
      </c>
    </row>
    <row r="245" spans="1:25" ht="15.75" hidden="1" customHeight="1">
      <c r="A245" s="14" t="s">
        <v>500</v>
      </c>
      <c r="B245" s="15" t="s">
        <v>501</v>
      </c>
      <c r="C245" s="16">
        <v>46.5</v>
      </c>
      <c r="D245" s="16">
        <v>46.5</v>
      </c>
      <c r="E245" s="17">
        <v>10</v>
      </c>
      <c r="F245" s="18">
        <v>0</v>
      </c>
      <c r="G245" s="18">
        <v>0</v>
      </c>
      <c r="H245" s="36">
        <v>0</v>
      </c>
      <c r="I245" s="17">
        <v>0</v>
      </c>
      <c r="J245" s="17">
        <f t="shared" si="0"/>
        <v>10</v>
      </c>
      <c r="K245" s="37">
        <v>10</v>
      </c>
      <c r="L245" s="17">
        <v>0</v>
      </c>
      <c r="M245" s="17">
        <v>0</v>
      </c>
      <c r="N245" s="17">
        <f t="shared" si="1"/>
        <v>10</v>
      </c>
      <c r="O245" s="17">
        <f t="shared" si="2"/>
        <v>0</v>
      </c>
      <c r="P245" s="3"/>
      <c r="Q245" s="19">
        <f t="shared" si="3"/>
        <v>465</v>
      </c>
      <c r="R245" s="19">
        <v>0</v>
      </c>
      <c r="S245" s="19">
        <f t="shared" si="4"/>
        <v>0</v>
      </c>
      <c r="T245" s="19">
        <f t="shared" si="5"/>
        <v>0</v>
      </c>
      <c r="U245" s="19">
        <f t="shared" si="6"/>
        <v>0</v>
      </c>
      <c r="V245" s="19">
        <f t="shared" si="7"/>
        <v>0</v>
      </c>
      <c r="W245" s="19">
        <f t="shared" si="8"/>
        <v>465</v>
      </c>
      <c r="X245" s="20">
        <f t="shared" si="9"/>
        <v>465</v>
      </c>
      <c r="Y245" s="20">
        <f t="shared" si="10"/>
        <v>0</v>
      </c>
    </row>
    <row r="246" spans="1:25" ht="15.75" hidden="1" customHeight="1">
      <c r="A246" s="14" t="s">
        <v>502</v>
      </c>
      <c r="B246" s="15" t="s">
        <v>503</v>
      </c>
      <c r="C246" s="16">
        <v>120</v>
      </c>
      <c r="D246" s="16">
        <v>120</v>
      </c>
      <c r="E246" s="17">
        <v>8</v>
      </c>
      <c r="F246" s="18">
        <v>0</v>
      </c>
      <c r="G246" s="18">
        <v>0</v>
      </c>
      <c r="H246" s="36">
        <v>0</v>
      </c>
      <c r="I246" s="17">
        <v>0</v>
      </c>
      <c r="J246" s="17">
        <f t="shared" si="0"/>
        <v>8</v>
      </c>
      <c r="K246" s="37">
        <v>8</v>
      </c>
      <c r="L246" s="17">
        <v>0</v>
      </c>
      <c r="M246" s="17">
        <v>0</v>
      </c>
      <c r="N246" s="17">
        <f t="shared" si="1"/>
        <v>8</v>
      </c>
      <c r="O246" s="17">
        <f t="shared" si="2"/>
        <v>0</v>
      </c>
      <c r="P246" s="3"/>
      <c r="Q246" s="19">
        <f t="shared" si="3"/>
        <v>960</v>
      </c>
      <c r="R246" s="19">
        <v>0</v>
      </c>
      <c r="S246" s="19">
        <f t="shared" si="4"/>
        <v>0</v>
      </c>
      <c r="T246" s="19">
        <f t="shared" si="5"/>
        <v>0</v>
      </c>
      <c r="U246" s="19">
        <f t="shared" si="6"/>
        <v>0</v>
      </c>
      <c r="V246" s="19">
        <f t="shared" si="7"/>
        <v>0</v>
      </c>
      <c r="W246" s="19">
        <f t="shared" si="8"/>
        <v>960</v>
      </c>
      <c r="X246" s="20">
        <f t="shared" si="9"/>
        <v>960</v>
      </c>
      <c r="Y246" s="20">
        <f t="shared" si="10"/>
        <v>0</v>
      </c>
    </row>
    <row r="247" spans="1:25" ht="15.75" hidden="1" customHeight="1">
      <c r="A247" s="14" t="s">
        <v>504</v>
      </c>
      <c r="B247" s="15" t="s">
        <v>505</v>
      </c>
      <c r="C247" s="16">
        <v>130</v>
      </c>
      <c r="D247" s="16">
        <v>130</v>
      </c>
      <c r="E247" s="17">
        <v>28</v>
      </c>
      <c r="F247" s="18">
        <v>0</v>
      </c>
      <c r="G247" s="18">
        <v>0</v>
      </c>
      <c r="H247" s="36">
        <v>0</v>
      </c>
      <c r="I247" s="17">
        <v>0</v>
      </c>
      <c r="J247" s="17">
        <f t="shared" si="0"/>
        <v>28</v>
      </c>
      <c r="K247" s="37">
        <v>28</v>
      </c>
      <c r="L247" s="17">
        <v>0</v>
      </c>
      <c r="M247" s="17">
        <v>0</v>
      </c>
      <c r="N247" s="17">
        <f t="shared" si="1"/>
        <v>28</v>
      </c>
      <c r="O247" s="17">
        <f t="shared" si="2"/>
        <v>0</v>
      </c>
      <c r="P247" s="3"/>
      <c r="Q247" s="19">
        <f t="shared" si="3"/>
        <v>3640</v>
      </c>
      <c r="R247" s="19">
        <v>0</v>
      </c>
      <c r="S247" s="19">
        <f t="shared" si="4"/>
        <v>0</v>
      </c>
      <c r="T247" s="19">
        <f t="shared" si="5"/>
        <v>0</v>
      </c>
      <c r="U247" s="19">
        <f t="shared" si="6"/>
        <v>0</v>
      </c>
      <c r="V247" s="19">
        <f t="shared" si="7"/>
        <v>0</v>
      </c>
      <c r="W247" s="19">
        <f t="shared" si="8"/>
        <v>3640</v>
      </c>
      <c r="X247" s="20">
        <f t="shared" si="9"/>
        <v>3640</v>
      </c>
      <c r="Y247" s="20">
        <f t="shared" si="10"/>
        <v>0</v>
      </c>
    </row>
    <row r="248" spans="1:25" ht="15.75" hidden="1" customHeight="1">
      <c r="A248" s="14" t="s">
        <v>506</v>
      </c>
      <c r="B248" s="15" t="s">
        <v>507</v>
      </c>
      <c r="C248" s="16">
        <v>120</v>
      </c>
      <c r="D248" s="16">
        <v>120</v>
      </c>
      <c r="E248" s="17">
        <v>2</v>
      </c>
      <c r="F248" s="18">
        <v>0</v>
      </c>
      <c r="G248" s="18">
        <v>0</v>
      </c>
      <c r="H248" s="36">
        <v>0</v>
      </c>
      <c r="I248" s="17">
        <v>0</v>
      </c>
      <c r="J248" s="17">
        <f t="shared" si="0"/>
        <v>2</v>
      </c>
      <c r="K248" s="37">
        <v>2</v>
      </c>
      <c r="L248" s="17">
        <v>0</v>
      </c>
      <c r="M248" s="17">
        <v>0</v>
      </c>
      <c r="N248" s="17">
        <f t="shared" si="1"/>
        <v>2</v>
      </c>
      <c r="O248" s="17">
        <f t="shared" si="2"/>
        <v>0</v>
      </c>
      <c r="P248" s="3"/>
      <c r="Q248" s="19">
        <f t="shared" si="3"/>
        <v>240</v>
      </c>
      <c r="R248" s="19">
        <v>0</v>
      </c>
      <c r="S248" s="19">
        <f t="shared" si="4"/>
        <v>0</v>
      </c>
      <c r="T248" s="19">
        <f t="shared" si="5"/>
        <v>0</v>
      </c>
      <c r="U248" s="19">
        <f t="shared" si="6"/>
        <v>0</v>
      </c>
      <c r="V248" s="19">
        <f t="shared" si="7"/>
        <v>0</v>
      </c>
      <c r="W248" s="19">
        <f t="shared" si="8"/>
        <v>240</v>
      </c>
      <c r="X248" s="20">
        <f t="shared" si="9"/>
        <v>240</v>
      </c>
      <c r="Y248" s="20">
        <f t="shared" si="10"/>
        <v>0</v>
      </c>
    </row>
    <row r="249" spans="1:25" ht="15.75" hidden="1" customHeight="1">
      <c r="A249" s="14" t="s">
        <v>508</v>
      </c>
      <c r="B249" s="15" t="s">
        <v>509</v>
      </c>
      <c r="C249" s="16">
        <v>720</v>
      </c>
      <c r="D249" s="16">
        <v>720</v>
      </c>
      <c r="E249" s="17">
        <v>2</v>
      </c>
      <c r="F249" s="18">
        <v>0</v>
      </c>
      <c r="G249" s="18">
        <v>0</v>
      </c>
      <c r="H249" s="36">
        <v>0</v>
      </c>
      <c r="I249" s="17">
        <v>0</v>
      </c>
      <c r="J249" s="17">
        <f t="shared" si="0"/>
        <v>2</v>
      </c>
      <c r="K249" s="37">
        <v>2</v>
      </c>
      <c r="L249" s="17">
        <v>0</v>
      </c>
      <c r="M249" s="17">
        <v>0</v>
      </c>
      <c r="N249" s="17">
        <f t="shared" si="1"/>
        <v>2</v>
      </c>
      <c r="O249" s="17">
        <f t="shared" si="2"/>
        <v>0</v>
      </c>
      <c r="P249" s="3"/>
      <c r="Q249" s="19">
        <f t="shared" si="3"/>
        <v>1440</v>
      </c>
      <c r="R249" s="19">
        <v>0</v>
      </c>
      <c r="S249" s="19">
        <f t="shared" si="4"/>
        <v>0</v>
      </c>
      <c r="T249" s="19">
        <f t="shared" si="5"/>
        <v>0</v>
      </c>
      <c r="U249" s="19">
        <f t="shared" si="6"/>
        <v>0</v>
      </c>
      <c r="V249" s="19">
        <f t="shared" si="7"/>
        <v>0</v>
      </c>
      <c r="W249" s="19">
        <f t="shared" si="8"/>
        <v>1440</v>
      </c>
      <c r="X249" s="20">
        <f t="shared" si="9"/>
        <v>1440</v>
      </c>
      <c r="Y249" s="20">
        <f t="shared" si="10"/>
        <v>0</v>
      </c>
    </row>
    <row r="250" spans="1:25" ht="15.75" hidden="1" customHeight="1">
      <c r="A250" s="14" t="s">
        <v>510</v>
      </c>
      <c r="B250" s="15" t="s">
        <v>511</v>
      </c>
      <c r="C250" s="16">
        <v>2151.2199999999998</v>
      </c>
      <c r="D250" s="16">
        <v>2151.2199999999998</v>
      </c>
      <c r="E250" s="17">
        <v>1</v>
      </c>
      <c r="F250" s="18">
        <v>0</v>
      </c>
      <c r="G250" s="18">
        <v>0</v>
      </c>
      <c r="H250" s="36">
        <v>0</v>
      </c>
      <c r="I250" s="17">
        <v>0</v>
      </c>
      <c r="J250" s="17">
        <f t="shared" si="0"/>
        <v>1</v>
      </c>
      <c r="K250" s="37">
        <v>1</v>
      </c>
      <c r="L250" s="17">
        <v>0</v>
      </c>
      <c r="M250" s="17">
        <v>0</v>
      </c>
      <c r="N250" s="17">
        <f t="shared" si="1"/>
        <v>1</v>
      </c>
      <c r="O250" s="17">
        <f t="shared" si="2"/>
        <v>0</v>
      </c>
      <c r="P250" s="3"/>
      <c r="Q250" s="19">
        <f t="shared" si="3"/>
        <v>2151.2199999999998</v>
      </c>
      <c r="R250" s="19">
        <v>0</v>
      </c>
      <c r="S250" s="19">
        <f t="shared" si="4"/>
        <v>0</v>
      </c>
      <c r="T250" s="19">
        <f t="shared" si="5"/>
        <v>0</v>
      </c>
      <c r="U250" s="19">
        <f t="shared" si="6"/>
        <v>0</v>
      </c>
      <c r="V250" s="19">
        <f t="shared" si="7"/>
        <v>0</v>
      </c>
      <c r="W250" s="19">
        <f t="shared" si="8"/>
        <v>2151.2199999999998</v>
      </c>
      <c r="X250" s="20">
        <f t="shared" si="9"/>
        <v>2151.2199999999998</v>
      </c>
      <c r="Y250" s="20">
        <f t="shared" si="10"/>
        <v>0</v>
      </c>
    </row>
    <row r="251" spans="1:25" ht="15.75" hidden="1" customHeight="1">
      <c r="A251" s="14" t="s">
        <v>512</v>
      </c>
      <c r="B251" s="15" t="s">
        <v>513</v>
      </c>
      <c r="C251" s="16">
        <v>215.76</v>
      </c>
      <c r="D251" s="16">
        <v>215.76</v>
      </c>
      <c r="E251" s="17">
        <v>1</v>
      </c>
      <c r="F251" s="18">
        <v>0</v>
      </c>
      <c r="G251" s="18">
        <v>0</v>
      </c>
      <c r="H251" s="36">
        <v>0</v>
      </c>
      <c r="I251" s="17">
        <v>0</v>
      </c>
      <c r="J251" s="17">
        <f t="shared" si="0"/>
        <v>1</v>
      </c>
      <c r="K251" s="40">
        <v>1</v>
      </c>
      <c r="L251" s="18">
        <v>0</v>
      </c>
      <c r="M251" s="17">
        <v>0</v>
      </c>
      <c r="N251" s="18">
        <f t="shared" si="1"/>
        <v>1</v>
      </c>
      <c r="O251" s="17">
        <f t="shared" si="2"/>
        <v>0</v>
      </c>
      <c r="P251" s="3"/>
      <c r="Q251" s="19">
        <f t="shared" si="3"/>
        <v>215.76</v>
      </c>
      <c r="R251" s="19">
        <v>0</v>
      </c>
      <c r="S251" s="19">
        <f t="shared" si="4"/>
        <v>0</v>
      </c>
      <c r="T251" s="19">
        <f t="shared" si="5"/>
        <v>0</v>
      </c>
      <c r="U251" s="19">
        <f t="shared" si="6"/>
        <v>0</v>
      </c>
      <c r="V251" s="19">
        <f t="shared" si="7"/>
        <v>0</v>
      </c>
      <c r="W251" s="19">
        <f t="shared" si="8"/>
        <v>215.76</v>
      </c>
      <c r="X251" s="20">
        <f t="shared" si="9"/>
        <v>215.76</v>
      </c>
      <c r="Y251" s="20">
        <f t="shared" si="10"/>
        <v>0</v>
      </c>
    </row>
    <row r="252" spans="1:25" ht="15.75" hidden="1" customHeight="1">
      <c r="A252" s="14" t="s">
        <v>514</v>
      </c>
      <c r="B252" s="15" t="s">
        <v>515</v>
      </c>
      <c r="C252" s="16">
        <v>182.12</v>
      </c>
      <c r="D252" s="16">
        <v>182.12</v>
      </c>
      <c r="E252" s="17">
        <v>1</v>
      </c>
      <c r="F252" s="18">
        <v>0</v>
      </c>
      <c r="G252" s="18">
        <v>0</v>
      </c>
      <c r="H252" s="36">
        <v>0</v>
      </c>
      <c r="I252" s="17">
        <v>0</v>
      </c>
      <c r="J252" s="17">
        <f t="shared" si="0"/>
        <v>1</v>
      </c>
      <c r="K252" s="40">
        <v>1</v>
      </c>
      <c r="L252" s="18">
        <v>0</v>
      </c>
      <c r="M252" s="17">
        <v>0</v>
      </c>
      <c r="N252" s="18">
        <f t="shared" si="1"/>
        <v>1</v>
      </c>
      <c r="O252" s="17">
        <f t="shared" si="2"/>
        <v>0</v>
      </c>
      <c r="P252" s="3"/>
      <c r="Q252" s="19">
        <f t="shared" si="3"/>
        <v>182.12</v>
      </c>
      <c r="R252" s="19">
        <v>0</v>
      </c>
      <c r="S252" s="19">
        <f t="shared" si="4"/>
        <v>0</v>
      </c>
      <c r="T252" s="19">
        <f t="shared" si="5"/>
        <v>0</v>
      </c>
      <c r="U252" s="19">
        <f t="shared" si="6"/>
        <v>0</v>
      </c>
      <c r="V252" s="19">
        <f t="shared" si="7"/>
        <v>0</v>
      </c>
      <c r="W252" s="19">
        <f t="shared" si="8"/>
        <v>182.12</v>
      </c>
      <c r="X252" s="20">
        <f t="shared" si="9"/>
        <v>182.12</v>
      </c>
      <c r="Y252" s="20">
        <f t="shared" si="10"/>
        <v>0</v>
      </c>
    </row>
    <row r="253" spans="1:25" ht="15.75" hidden="1" customHeight="1">
      <c r="A253" s="14" t="s">
        <v>516</v>
      </c>
      <c r="B253" s="15" t="s">
        <v>517</v>
      </c>
      <c r="C253" s="16">
        <v>192.56</v>
      </c>
      <c r="D253" s="16">
        <v>192.56</v>
      </c>
      <c r="E253" s="17">
        <v>1</v>
      </c>
      <c r="F253" s="18">
        <v>0</v>
      </c>
      <c r="G253" s="18">
        <v>0</v>
      </c>
      <c r="H253" s="36">
        <v>0</v>
      </c>
      <c r="I253" s="17">
        <v>0</v>
      </c>
      <c r="J253" s="17">
        <f t="shared" si="0"/>
        <v>1</v>
      </c>
      <c r="K253" s="40">
        <v>1</v>
      </c>
      <c r="L253" s="18">
        <v>0</v>
      </c>
      <c r="M253" s="17">
        <v>0</v>
      </c>
      <c r="N253" s="18">
        <f t="shared" si="1"/>
        <v>1</v>
      </c>
      <c r="O253" s="17">
        <f t="shared" si="2"/>
        <v>0</v>
      </c>
      <c r="P253" s="3"/>
      <c r="Q253" s="19">
        <f t="shared" si="3"/>
        <v>192.56</v>
      </c>
      <c r="R253" s="19">
        <v>0</v>
      </c>
      <c r="S253" s="19">
        <f t="shared" si="4"/>
        <v>0</v>
      </c>
      <c r="T253" s="19">
        <f t="shared" si="5"/>
        <v>0</v>
      </c>
      <c r="U253" s="19">
        <f t="shared" si="6"/>
        <v>0</v>
      </c>
      <c r="V253" s="19">
        <f t="shared" si="7"/>
        <v>0</v>
      </c>
      <c r="W253" s="19">
        <f t="shared" si="8"/>
        <v>192.56</v>
      </c>
      <c r="X253" s="20">
        <f t="shared" si="9"/>
        <v>192.56</v>
      </c>
      <c r="Y253" s="20">
        <f t="shared" si="10"/>
        <v>0</v>
      </c>
    </row>
    <row r="254" spans="1:25" ht="15.75" hidden="1" customHeight="1">
      <c r="A254" s="14" t="s">
        <v>518</v>
      </c>
      <c r="B254" s="15" t="s">
        <v>519</v>
      </c>
      <c r="C254" s="16">
        <v>1983.6</v>
      </c>
      <c r="D254" s="16">
        <v>1983.6</v>
      </c>
      <c r="E254" s="17">
        <v>1</v>
      </c>
      <c r="F254" s="18">
        <v>0</v>
      </c>
      <c r="G254" s="18">
        <v>0</v>
      </c>
      <c r="H254" s="36">
        <v>0</v>
      </c>
      <c r="I254" s="17">
        <v>0</v>
      </c>
      <c r="J254" s="17">
        <f t="shared" si="0"/>
        <v>1</v>
      </c>
      <c r="K254" s="40">
        <v>1</v>
      </c>
      <c r="L254" s="18">
        <v>0</v>
      </c>
      <c r="M254" s="17">
        <v>0</v>
      </c>
      <c r="N254" s="18">
        <f t="shared" si="1"/>
        <v>1</v>
      </c>
      <c r="O254" s="17">
        <f t="shared" si="2"/>
        <v>0</v>
      </c>
      <c r="P254" s="3"/>
      <c r="Q254" s="19">
        <f t="shared" si="3"/>
        <v>1983.6</v>
      </c>
      <c r="R254" s="19">
        <v>0</v>
      </c>
      <c r="S254" s="19">
        <f t="shared" si="4"/>
        <v>0</v>
      </c>
      <c r="T254" s="19">
        <f t="shared" si="5"/>
        <v>0</v>
      </c>
      <c r="U254" s="19">
        <f t="shared" si="6"/>
        <v>0</v>
      </c>
      <c r="V254" s="19">
        <f t="shared" si="7"/>
        <v>0</v>
      </c>
      <c r="W254" s="19">
        <f t="shared" si="8"/>
        <v>1983.6</v>
      </c>
      <c r="X254" s="20">
        <f t="shared" si="9"/>
        <v>1983.6</v>
      </c>
      <c r="Y254" s="20">
        <f t="shared" si="10"/>
        <v>0</v>
      </c>
    </row>
    <row r="255" spans="1:25" ht="15.75" hidden="1" customHeight="1">
      <c r="A255" s="14" t="s">
        <v>520</v>
      </c>
      <c r="B255" s="15" t="s">
        <v>521</v>
      </c>
      <c r="C255" s="16">
        <v>0</v>
      </c>
      <c r="D255" s="16">
        <v>0</v>
      </c>
      <c r="E255" s="17">
        <v>0</v>
      </c>
      <c r="F255" s="18">
        <v>0</v>
      </c>
      <c r="G255" s="18">
        <v>0</v>
      </c>
      <c r="H255" s="36">
        <v>0</v>
      </c>
      <c r="I255" s="17">
        <v>0</v>
      </c>
      <c r="J255" s="17">
        <f t="shared" si="0"/>
        <v>0</v>
      </c>
      <c r="K255" s="40">
        <v>0</v>
      </c>
      <c r="L255" s="18">
        <v>0</v>
      </c>
      <c r="M255" s="17">
        <v>0</v>
      </c>
      <c r="N255" s="18">
        <f t="shared" si="1"/>
        <v>0</v>
      </c>
      <c r="O255" s="17">
        <f t="shared" si="2"/>
        <v>0</v>
      </c>
      <c r="P255" s="3"/>
      <c r="Q255" s="19">
        <f t="shared" si="3"/>
        <v>0</v>
      </c>
      <c r="R255" s="19">
        <v>0</v>
      </c>
      <c r="S255" s="19">
        <f t="shared" si="4"/>
        <v>0</v>
      </c>
      <c r="T255" s="19">
        <f t="shared" si="5"/>
        <v>0</v>
      </c>
      <c r="U255" s="19">
        <f t="shared" si="6"/>
        <v>0</v>
      </c>
      <c r="V255" s="19">
        <f t="shared" si="7"/>
        <v>0</v>
      </c>
      <c r="W255" s="19">
        <f t="shared" si="8"/>
        <v>0</v>
      </c>
      <c r="X255" s="20">
        <f t="shared" si="9"/>
        <v>0</v>
      </c>
      <c r="Y255" s="20">
        <f t="shared" si="10"/>
        <v>0</v>
      </c>
    </row>
    <row r="256" spans="1:25" ht="15.75" hidden="1" customHeight="1">
      <c r="A256" s="14" t="s">
        <v>522</v>
      </c>
      <c r="B256" s="15" t="s">
        <v>523</v>
      </c>
      <c r="C256" s="16">
        <v>723.8</v>
      </c>
      <c r="D256" s="16">
        <v>723.8</v>
      </c>
      <c r="E256" s="17">
        <v>2</v>
      </c>
      <c r="F256" s="18">
        <v>0</v>
      </c>
      <c r="G256" s="18">
        <v>0</v>
      </c>
      <c r="H256" s="36">
        <v>0</v>
      </c>
      <c r="I256" s="17">
        <v>0</v>
      </c>
      <c r="J256" s="17">
        <f t="shared" si="0"/>
        <v>2</v>
      </c>
      <c r="K256" s="40">
        <v>2</v>
      </c>
      <c r="L256" s="18">
        <v>0</v>
      </c>
      <c r="M256" s="17">
        <v>0</v>
      </c>
      <c r="N256" s="18">
        <f t="shared" si="1"/>
        <v>2</v>
      </c>
      <c r="O256" s="17">
        <f t="shared" si="2"/>
        <v>0</v>
      </c>
      <c r="P256" s="3"/>
      <c r="Q256" s="19">
        <f t="shared" si="3"/>
        <v>1447.6</v>
      </c>
      <c r="R256" s="19">
        <v>0</v>
      </c>
      <c r="S256" s="19">
        <f t="shared" si="4"/>
        <v>0</v>
      </c>
      <c r="T256" s="19">
        <f t="shared" si="5"/>
        <v>0</v>
      </c>
      <c r="U256" s="19">
        <f t="shared" si="6"/>
        <v>0</v>
      </c>
      <c r="V256" s="19">
        <f t="shared" si="7"/>
        <v>0</v>
      </c>
      <c r="W256" s="19">
        <f t="shared" si="8"/>
        <v>1447.6</v>
      </c>
      <c r="X256" s="20">
        <f t="shared" si="9"/>
        <v>1447.6</v>
      </c>
      <c r="Y256" s="20">
        <f t="shared" si="10"/>
        <v>0</v>
      </c>
    </row>
    <row r="257" spans="1:25" ht="15.75" hidden="1" customHeight="1">
      <c r="A257" s="14" t="s">
        <v>524</v>
      </c>
      <c r="B257" s="15" t="s">
        <v>525</v>
      </c>
      <c r="C257" s="16">
        <v>460</v>
      </c>
      <c r="D257" s="16">
        <v>460</v>
      </c>
      <c r="E257" s="17">
        <v>2</v>
      </c>
      <c r="F257" s="18">
        <v>0</v>
      </c>
      <c r="G257" s="18">
        <v>0</v>
      </c>
      <c r="H257" s="36">
        <v>0</v>
      </c>
      <c r="I257" s="17">
        <v>0</v>
      </c>
      <c r="J257" s="17">
        <f t="shared" si="0"/>
        <v>2</v>
      </c>
      <c r="K257" s="40">
        <v>1</v>
      </c>
      <c r="L257" s="18">
        <v>0</v>
      </c>
      <c r="M257" s="17">
        <v>1</v>
      </c>
      <c r="N257" s="18">
        <f t="shared" si="1"/>
        <v>2</v>
      </c>
      <c r="O257" s="17">
        <f t="shared" si="2"/>
        <v>0</v>
      </c>
      <c r="P257" s="3"/>
      <c r="Q257" s="19">
        <f t="shared" si="3"/>
        <v>920</v>
      </c>
      <c r="R257" s="19">
        <v>0</v>
      </c>
      <c r="S257" s="19">
        <f t="shared" si="4"/>
        <v>0</v>
      </c>
      <c r="T257" s="19">
        <f t="shared" si="5"/>
        <v>0</v>
      </c>
      <c r="U257" s="19">
        <f t="shared" si="6"/>
        <v>0</v>
      </c>
      <c r="V257" s="19">
        <f t="shared" si="7"/>
        <v>0</v>
      </c>
      <c r="W257" s="19">
        <f t="shared" si="8"/>
        <v>920</v>
      </c>
      <c r="X257" s="20">
        <f t="shared" si="9"/>
        <v>920</v>
      </c>
      <c r="Y257" s="20">
        <f t="shared" si="10"/>
        <v>0</v>
      </c>
    </row>
    <row r="258" spans="1:25" ht="15.75" hidden="1" customHeight="1">
      <c r="A258" s="14" t="s">
        <v>526</v>
      </c>
      <c r="B258" s="15" t="s">
        <v>527</v>
      </c>
      <c r="C258" s="16">
        <v>0</v>
      </c>
      <c r="D258" s="16">
        <v>0</v>
      </c>
      <c r="E258" s="17">
        <v>0</v>
      </c>
      <c r="F258" s="18">
        <v>0</v>
      </c>
      <c r="G258" s="18">
        <v>0</v>
      </c>
      <c r="H258" s="36">
        <v>0</v>
      </c>
      <c r="I258" s="17">
        <v>0</v>
      </c>
      <c r="J258" s="17">
        <f t="shared" si="0"/>
        <v>0</v>
      </c>
      <c r="K258" s="40">
        <v>0</v>
      </c>
      <c r="L258" s="18">
        <v>0</v>
      </c>
      <c r="M258" s="17">
        <v>0</v>
      </c>
      <c r="N258" s="18">
        <f t="shared" si="1"/>
        <v>0</v>
      </c>
      <c r="O258" s="17">
        <f t="shared" si="2"/>
        <v>0</v>
      </c>
      <c r="P258" s="3"/>
      <c r="Q258" s="19">
        <f t="shared" si="3"/>
        <v>0</v>
      </c>
      <c r="R258" s="19">
        <v>0</v>
      </c>
      <c r="S258" s="19">
        <f t="shared" si="4"/>
        <v>0</v>
      </c>
      <c r="T258" s="19">
        <f t="shared" si="5"/>
        <v>0</v>
      </c>
      <c r="U258" s="19">
        <f t="shared" si="6"/>
        <v>0</v>
      </c>
      <c r="V258" s="19">
        <f t="shared" si="7"/>
        <v>0</v>
      </c>
      <c r="W258" s="19">
        <f t="shared" si="8"/>
        <v>0</v>
      </c>
      <c r="X258" s="20">
        <f t="shared" si="9"/>
        <v>0</v>
      </c>
      <c r="Y258" s="20">
        <f t="shared" si="10"/>
        <v>0</v>
      </c>
    </row>
    <row r="259" spans="1:25" ht="15.75" hidden="1" customHeight="1">
      <c r="A259" s="14" t="s">
        <v>528</v>
      </c>
      <c r="B259" s="15" t="s">
        <v>529</v>
      </c>
      <c r="C259" s="16">
        <v>4700</v>
      </c>
      <c r="D259" s="16">
        <v>4700</v>
      </c>
      <c r="E259" s="17">
        <v>0</v>
      </c>
      <c r="F259" s="18">
        <v>0</v>
      </c>
      <c r="G259" s="18">
        <v>0</v>
      </c>
      <c r="H259" s="36">
        <v>0</v>
      </c>
      <c r="I259" s="17">
        <v>0</v>
      </c>
      <c r="J259" s="17">
        <f t="shared" si="0"/>
        <v>0</v>
      </c>
      <c r="K259" s="40">
        <v>0</v>
      </c>
      <c r="L259" s="18">
        <v>0</v>
      </c>
      <c r="M259" s="17">
        <v>0</v>
      </c>
      <c r="N259" s="18">
        <f t="shared" si="1"/>
        <v>0</v>
      </c>
      <c r="O259" s="17">
        <f t="shared" si="2"/>
        <v>0</v>
      </c>
      <c r="P259" s="3"/>
      <c r="Q259" s="19">
        <f t="shared" si="3"/>
        <v>0</v>
      </c>
      <c r="R259" s="19">
        <v>0</v>
      </c>
      <c r="S259" s="19">
        <f t="shared" si="4"/>
        <v>0</v>
      </c>
      <c r="T259" s="19">
        <f t="shared" si="5"/>
        <v>0</v>
      </c>
      <c r="U259" s="19">
        <f t="shared" si="6"/>
        <v>0</v>
      </c>
      <c r="V259" s="19">
        <f t="shared" si="7"/>
        <v>0</v>
      </c>
      <c r="W259" s="19">
        <f t="shared" si="8"/>
        <v>0</v>
      </c>
      <c r="X259" s="20">
        <f t="shared" si="9"/>
        <v>0</v>
      </c>
      <c r="Y259" s="20">
        <f t="shared" si="10"/>
        <v>0</v>
      </c>
    </row>
    <row r="260" spans="1:25" ht="15.75" hidden="1" customHeight="1">
      <c r="A260" s="14" t="s">
        <v>530</v>
      </c>
      <c r="B260" s="15" t="s">
        <v>531</v>
      </c>
      <c r="C260" s="16">
        <v>9600</v>
      </c>
      <c r="D260" s="16">
        <v>9600</v>
      </c>
      <c r="E260" s="17">
        <v>1</v>
      </c>
      <c r="F260" s="18">
        <v>0</v>
      </c>
      <c r="G260" s="18">
        <v>0</v>
      </c>
      <c r="H260" s="36">
        <v>0</v>
      </c>
      <c r="I260" s="17">
        <v>0</v>
      </c>
      <c r="J260" s="17">
        <f t="shared" si="0"/>
        <v>1</v>
      </c>
      <c r="K260" s="40">
        <v>1</v>
      </c>
      <c r="L260" s="18">
        <v>0</v>
      </c>
      <c r="M260" s="18">
        <v>0</v>
      </c>
      <c r="N260" s="18">
        <f t="shared" si="1"/>
        <v>1</v>
      </c>
      <c r="O260" s="17">
        <f t="shared" si="2"/>
        <v>0</v>
      </c>
      <c r="P260" s="3"/>
      <c r="Q260" s="19">
        <f t="shared" si="3"/>
        <v>9600</v>
      </c>
      <c r="R260" s="19">
        <v>0</v>
      </c>
      <c r="S260" s="19">
        <f t="shared" si="4"/>
        <v>0</v>
      </c>
      <c r="T260" s="19">
        <f t="shared" si="5"/>
        <v>0</v>
      </c>
      <c r="U260" s="19">
        <f t="shared" si="6"/>
        <v>0</v>
      </c>
      <c r="V260" s="19">
        <f t="shared" si="7"/>
        <v>0</v>
      </c>
      <c r="W260" s="19">
        <f t="shared" si="8"/>
        <v>9600</v>
      </c>
      <c r="X260" s="20">
        <f t="shared" si="9"/>
        <v>9600</v>
      </c>
      <c r="Y260" s="20">
        <f t="shared" si="10"/>
        <v>0</v>
      </c>
    </row>
    <row r="261" spans="1:25" ht="15.75" hidden="1" customHeight="1">
      <c r="A261" s="14" t="s">
        <v>532</v>
      </c>
      <c r="B261" s="15" t="s">
        <v>533</v>
      </c>
      <c r="C261" s="16">
        <v>652.5</v>
      </c>
      <c r="D261" s="16">
        <v>652.5</v>
      </c>
      <c r="E261" s="17">
        <v>3</v>
      </c>
      <c r="F261" s="18">
        <v>0</v>
      </c>
      <c r="G261" s="18">
        <v>0</v>
      </c>
      <c r="H261" s="36">
        <v>0</v>
      </c>
      <c r="I261" s="17">
        <v>0</v>
      </c>
      <c r="J261" s="17">
        <f t="shared" si="0"/>
        <v>3</v>
      </c>
      <c r="K261" s="40">
        <v>3</v>
      </c>
      <c r="L261" s="18">
        <v>0</v>
      </c>
      <c r="M261" s="17">
        <v>0</v>
      </c>
      <c r="N261" s="18">
        <f t="shared" si="1"/>
        <v>3</v>
      </c>
      <c r="O261" s="17">
        <f t="shared" si="2"/>
        <v>0</v>
      </c>
      <c r="P261" s="3"/>
      <c r="Q261" s="19">
        <f t="shared" si="3"/>
        <v>1957.5</v>
      </c>
      <c r="R261" s="19">
        <v>0</v>
      </c>
      <c r="S261" s="19">
        <f t="shared" si="4"/>
        <v>0</v>
      </c>
      <c r="T261" s="19">
        <f t="shared" si="5"/>
        <v>0</v>
      </c>
      <c r="U261" s="19">
        <f t="shared" si="6"/>
        <v>0</v>
      </c>
      <c r="V261" s="19">
        <f t="shared" si="7"/>
        <v>0</v>
      </c>
      <c r="W261" s="19">
        <f t="shared" si="8"/>
        <v>1957.5</v>
      </c>
      <c r="X261" s="20">
        <f t="shared" si="9"/>
        <v>1957.5</v>
      </c>
      <c r="Y261" s="20">
        <f t="shared" si="10"/>
        <v>0</v>
      </c>
    </row>
    <row r="262" spans="1:25" ht="15.75" hidden="1" customHeight="1">
      <c r="A262" s="14" t="s">
        <v>534</v>
      </c>
      <c r="B262" s="15" t="s">
        <v>535</v>
      </c>
      <c r="C262" s="16">
        <v>652.5</v>
      </c>
      <c r="D262" s="16">
        <v>652.5</v>
      </c>
      <c r="E262" s="17">
        <v>3</v>
      </c>
      <c r="F262" s="18">
        <v>0</v>
      </c>
      <c r="G262" s="18">
        <v>0</v>
      </c>
      <c r="H262" s="36">
        <v>0</v>
      </c>
      <c r="I262" s="17">
        <v>0</v>
      </c>
      <c r="J262" s="17">
        <f t="shared" ref="J262:J304" si="11">E262+F262+G262-H262-I262</f>
        <v>3</v>
      </c>
      <c r="K262" s="40">
        <v>3</v>
      </c>
      <c r="L262" s="18">
        <v>0</v>
      </c>
      <c r="M262" s="17">
        <v>0</v>
      </c>
      <c r="N262" s="18">
        <f t="shared" ref="N262:N304" si="12">K262+L262+M262</f>
        <v>3</v>
      </c>
      <c r="O262" s="17">
        <f t="shared" ref="O262:O304" si="13">N262-J262</f>
        <v>0</v>
      </c>
      <c r="P262" s="3"/>
      <c r="Q262" s="19">
        <f t="shared" ref="Q262:Q304" si="14">C262*E262</f>
        <v>1957.5</v>
      </c>
      <c r="R262" s="19">
        <v>0</v>
      </c>
      <c r="S262" s="19">
        <f t="shared" ref="S262:S304" si="15">D262*F262</f>
        <v>0</v>
      </c>
      <c r="T262" s="19">
        <f t="shared" ref="T262:T304" si="16">D262*G262</f>
        <v>0</v>
      </c>
      <c r="U262" s="19">
        <f t="shared" ref="U262:U304" si="17">D262*H262</f>
        <v>0</v>
      </c>
      <c r="V262" s="19">
        <f t="shared" ref="V262:V304" si="18">D262*I262</f>
        <v>0</v>
      </c>
      <c r="W262" s="19">
        <f t="shared" ref="W262:W304" si="19">Q262+R262+S262+T262-U262-V262</f>
        <v>1957.5</v>
      </c>
      <c r="X262" s="20">
        <f t="shared" ref="X262:X304" si="20">J262*D262</f>
        <v>1957.5</v>
      </c>
      <c r="Y262" s="20">
        <f t="shared" ref="Y262:Y304" si="21">X262-W262</f>
        <v>0</v>
      </c>
    </row>
    <row r="263" spans="1:25" ht="15.75" hidden="1" customHeight="1">
      <c r="A263" s="14" t="s">
        <v>536</v>
      </c>
      <c r="B263" s="15" t="s">
        <v>537</v>
      </c>
      <c r="C263" s="16">
        <v>652.5</v>
      </c>
      <c r="D263" s="16">
        <v>652.5</v>
      </c>
      <c r="E263" s="17">
        <v>3</v>
      </c>
      <c r="F263" s="18">
        <v>0</v>
      </c>
      <c r="G263" s="18">
        <v>0</v>
      </c>
      <c r="H263" s="36">
        <v>0</v>
      </c>
      <c r="I263" s="17">
        <v>0</v>
      </c>
      <c r="J263" s="17">
        <f t="shared" si="11"/>
        <v>3</v>
      </c>
      <c r="K263" s="40">
        <v>3</v>
      </c>
      <c r="L263" s="18">
        <v>0</v>
      </c>
      <c r="M263" s="17">
        <v>0</v>
      </c>
      <c r="N263" s="18">
        <f t="shared" si="12"/>
        <v>3</v>
      </c>
      <c r="O263" s="17">
        <f t="shared" si="13"/>
        <v>0</v>
      </c>
      <c r="P263" s="3"/>
      <c r="Q263" s="19">
        <f t="shared" si="14"/>
        <v>1957.5</v>
      </c>
      <c r="R263" s="19">
        <v>0</v>
      </c>
      <c r="S263" s="19">
        <f t="shared" si="15"/>
        <v>0</v>
      </c>
      <c r="T263" s="19">
        <f t="shared" si="16"/>
        <v>0</v>
      </c>
      <c r="U263" s="19">
        <f t="shared" si="17"/>
        <v>0</v>
      </c>
      <c r="V263" s="19">
        <f t="shared" si="18"/>
        <v>0</v>
      </c>
      <c r="W263" s="19">
        <f t="shared" si="19"/>
        <v>1957.5</v>
      </c>
      <c r="X263" s="20">
        <f t="shared" si="20"/>
        <v>1957.5</v>
      </c>
      <c r="Y263" s="20">
        <f t="shared" si="21"/>
        <v>0</v>
      </c>
    </row>
    <row r="264" spans="1:25" ht="15.75" hidden="1" customHeight="1">
      <c r="A264" s="14" t="s">
        <v>538</v>
      </c>
      <c r="B264" s="15" t="s">
        <v>539</v>
      </c>
      <c r="C264" s="16">
        <v>652</v>
      </c>
      <c r="D264" s="16">
        <v>652</v>
      </c>
      <c r="E264" s="17">
        <v>3</v>
      </c>
      <c r="F264" s="18">
        <v>0</v>
      </c>
      <c r="G264" s="18">
        <v>0</v>
      </c>
      <c r="H264" s="36">
        <v>0</v>
      </c>
      <c r="I264" s="17">
        <v>0</v>
      </c>
      <c r="J264" s="17">
        <f t="shared" si="11"/>
        <v>3</v>
      </c>
      <c r="K264" s="40">
        <v>3</v>
      </c>
      <c r="L264" s="18">
        <v>0</v>
      </c>
      <c r="M264" s="17">
        <v>0</v>
      </c>
      <c r="N264" s="18">
        <f t="shared" si="12"/>
        <v>3</v>
      </c>
      <c r="O264" s="17">
        <f t="shared" si="13"/>
        <v>0</v>
      </c>
      <c r="P264" s="3"/>
      <c r="Q264" s="19">
        <f t="shared" si="14"/>
        <v>1956</v>
      </c>
      <c r="R264" s="19">
        <v>0</v>
      </c>
      <c r="S264" s="19">
        <f t="shared" si="15"/>
        <v>0</v>
      </c>
      <c r="T264" s="19">
        <f t="shared" si="16"/>
        <v>0</v>
      </c>
      <c r="U264" s="19">
        <f t="shared" si="17"/>
        <v>0</v>
      </c>
      <c r="V264" s="19">
        <f t="shared" si="18"/>
        <v>0</v>
      </c>
      <c r="W264" s="19">
        <f t="shared" si="19"/>
        <v>1956</v>
      </c>
      <c r="X264" s="20">
        <f t="shared" si="20"/>
        <v>1956</v>
      </c>
      <c r="Y264" s="20">
        <f t="shared" si="21"/>
        <v>0</v>
      </c>
    </row>
    <row r="265" spans="1:25" ht="15.75" hidden="1" customHeight="1">
      <c r="A265" s="14" t="s">
        <v>540</v>
      </c>
      <c r="B265" s="15" t="s">
        <v>541</v>
      </c>
      <c r="C265" s="16">
        <v>1320.89</v>
      </c>
      <c r="D265" s="16">
        <v>1320.89</v>
      </c>
      <c r="E265" s="17">
        <v>0</v>
      </c>
      <c r="F265" s="18">
        <v>0</v>
      </c>
      <c r="G265" s="18">
        <v>0</v>
      </c>
      <c r="H265" s="36">
        <v>0</v>
      </c>
      <c r="I265" s="17">
        <v>0</v>
      </c>
      <c r="J265" s="17">
        <f t="shared" si="11"/>
        <v>0</v>
      </c>
      <c r="K265" s="40">
        <v>0</v>
      </c>
      <c r="L265" s="18">
        <v>0</v>
      </c>
      <c r="M265" s="17">
        <v>0</v>
      </c>
      <c r="N265" s="18">
        <f t="shared" si="12"/>
        <v>0</v>
      </c>
      <c r="O265" s="17">
        <f t="shared" si="13"/>
        <v>0</v>
      </c>
      <c r="P265" s="3"/>
      <c r="Q265" s="19">
        <f t="shared" si="14"/>
        <v>0</v>
      </c>
      <c r="R265" s="19">
        <v>0</v>
      </c>
      <c r="S265" s="19">
        <f t="shared" si="15"/>
        <v>0</v>
      </c>
      <c r="T265" s="19">
        <f t="shared" si="16"/>
        <v>0</v>
      </c>
      <c r="U265" s="19">
        <f t="shared" si="17"/>
        <v>0</v>
      </c>
      <c r="V265" s="19">
        <f t="shared" si="18"/>
        <v>0</v>
      </c>
      <c r="W265" s="19">
        <f t="shared" si="19"/>
        <v>0</v>
      </c>
      <c r="X265" s="20">
        <f t="shared" si="20"/>
        <v>0</v>
      </c>
      <c r="Y265" s="20">
        <f t="shared" si="21"/>
        <v>0</v>
      </c>
    </row>
    <row r="266" spans="1:25" ht="15.75" hidden="1" customHeight="1">
      <c r="A266" s="14" t="s">
        <v>542</v>
      </c>
      <c r="B266" s="15" t="s">
        <v>543</v>
      </c>
      <c r="C266" s="16">
        <v>2086.2600000000002</v>
      </c>
      <c r="D266" s="16">
        <v>2086.2600000000002</v>
      </c>
      <c r="E266" s="17">
        <v>3</v>
      </c>
      <c r="F266" s="18">
        <v>0</v>
      </c>
      <c r="G266" s="18">
        <v>0</v>
      </c>
      <c r="H266" s="36">
        <v>0</v>
      </c>
      <c r="I266" s="17">
        <v>0</v>
      </c>
      <c r="J266" s="17">
        <f t="shared" si="11"/>
        <v>3</v>
      </c>
      <c r="K266" s="40">
        <v>3</v>
      </c>
      <c r="L266" s="18">
        <v>0</v>
      </c>
      <c r="M266" s="17">
        <v>0</v>
      </c>
      <c r="N266" s="18">
        <f t="shared" si="12"/>
        <v>3</v>
      </c>
      <c r="O266" s="17">
        <f t="shared" si="13"/>
        <v>0</v>
      </c>
      <c r="P266" s="3"/>
      <c r="Q266" s="19">
        <f t="shared" si="14"/>
        <v>6258.7800000000007</v>
      </c>
      <c r="R266" s="19">
        <v>0</v>
      </c>
      <c r="S266" s="19">
        <f t="shared" si="15"/>
        <v>0</v>
      </c>
      <c r="T266" s="19">
        <f t="shared" si="16"/>
        <v>0</v>
      </c>
      <c r="U266" s="19">
        <f t="shared" si="17"/>
        <v>0</v>
      </c>
      <c r="V266" s="19">
        <f t="shared" si="18"/>
        <v>0</v>
      </c>
      <c r="W266" s="19">
        <f t="shared" si="19"/>
        <v>6258.7800000000007</v>
      </c>
      <c r="X266" s="20">
        <f t="shared" si="20"/>
        <v>6258.7800000000007</v>
      </c>
      <c r="Y266" s="20">
        <f t="shared" si="21"/>
        <v>0</v>
      </c>
    </row>
    <row r="267" spans="1:25" ht="15.75" hidden="1" customHeight="1">
      <c r="A267" s="14" t="s">
        <v>544</v>
      </c>
      <c r="B267" s="15" t="s">
        <v>545</v>
      </c>
      <c r="C267" s="16">
        <v>1462.18</v>
      </c>
      <c r="D267" s="16">
        <v>1462.18</v>
      </c>
      <c r="E267" s="17">
        <v>0</v>
      </c>
      <c r="F267" s="18">
        <v>0</v>
      </c>
      <c r="G267" s="18">
        <v>0</v>
      </c>
      <c r="H267" s="36">
        <v>0</v>
      </c>
      <c r="I267" s="17">
        <v>0</v>
      </c>
      <c r="J267" s="17">
        <f t="shared" si="11"/>
        <v>0</v>
      </c>
      <c r="K267" s="40">
        <v>0</v>
      </c>
      <c r="L267" s="18">
        <v>0</v>
      </c>
      <c r="M267" s="17">
        <v>0</v>
      </c>
      <c r="N267" s="18">
        <f t="shared" si="12"/>
        <v>0</v>
      </c>
      <c r="O267" s="17">
        <f t="shared" si="13"/>
        <v>0</v>
      </c>
      <c r="P267" s="3"/>
      <c r="Q267" s="19">
        <f t="shared" si="14"/>
        <v>0</v>
      </c>
      <c r="R267" s="19">
        <v>0</v>
      </c>
      <c r="S267" s="19">
        <f t="shared" si="15"/>
        <v>0</v>
      </c>
      <c r="T267" s="19">
        <f t="shared" si="16"/>
        <v>0</v>
      </c>
      <c r="U267" s="19">
        <f t="shared" si="17"/>
        <v>0</v>
      </c>
      <c r="V267" s="19">
        <f t="shared" si="18"/>
        <v>0</v>
      </c>
      <c r="W267" s="19">
        <f t="shared" si="19"/>
        <v>0</v>
      </c>
      <c r="X267" s="20">
        <f t="shared" si="20"/>
        <v>0</v>
      </c>
      <c r="Y267" s="20">
        <f t="shared" si="21"/>
        <v>0</v>
      </c>
    </row>
    <row r="268" spans="1:25" ht="15.75" hidden="1" customHeight="1">
      <c r="A268" s="14" t="s">
        <v>546</v>
      </c>
      <c r="B268" s="15" t="s">
        <v>547</v>
      </c>
      <c r="C268" s="16">
        <v>1981.28</v>
      </c>
      <c r="D268" s="16">
        <v>1981.28</v>
      </c>
      <c r="E268" s="17">
        <v>0</v>
      </c>
      <c r="F268" s="18">
        <v>0</v>
      </c>
      <c r="G268" s="18">
        <v>0</v>
      </c>
      <c r="H268" s="36">
        <v>0</v>
      </c>
      <c r="I268" s="17">
        <v>0</v>
      </c>
      <c r="J268" s="17">
        <f t="shared" si="11"/>
        <v>0</v>
      </c>
      <c r="K268" s="40">
        <v>0</v>
      </c>
      <c r="L268" s="18">
        <v>0</v>
      </c>
      <c r="M268" s="17">
        <v>0</v>
      </c>
      <c r="N268" s="18">
        <f t="shared" si="12"/>
        <v>0</v>
      </c>
      <c r="O268" s="17">
        <f t="shared" si="13"/>
        <v>0</v>
      </c>
      <c r="P268" s="3"/>
      <c r="Q268" s="19">
        <f t="shared" si="14"/>
        <v>0</v>
      </c>
      <c r="R268" s="19">
        <v>0</v>
      </c>
      <c r="S268" s="19">
        <f t="shared" si="15"/>
        <v>0</v>
      </c>
      <c r="T268" s="19">
        <f t="shared" si="16"/>
        <v>0</v>
      </c>
      <c r="U268" s="19">
        <f t="shared" si="17"/>
        <v>0</v>
      </c>
      <c r="V268" s="19">
        <f t="shared" si="18"/>
        <v>0</v>
      </c>
      <c r="W268" s="19">
        <f t="shared" si="19"/>
        <v>0</v>
      </c>
      <c r="X268" s="20">
        <f t="shared" si="20"/>
        <v>0</v>
      </c>
      <c r="Y268" s="20">
        <f t="shared" si="21"/>
        <v>0</v>
      </c>
    </row>
    <row r="269" spans="1:25" ht="15.75" hidden="1" customHeight="1">
      <c r="A269" s="14" t="s">
        <v>548</v>
      </c>
      <c r="B269" s="15" t="s">
        <v>549</v>
      </c>
      <c r="C269" s="16">
        <v>630</v>
      </c>
      <c r="D269" s="16">
        <v>630</v>
      </c>
      <c r="E269" s="17">
        <v>3</v>
      </c>
      <c r="F269" s="18">
        <v>0</v>
      </c>
      <c r="G269" s="18">
        <v>0</v>
      </c>
      <c r="H269" s="36">
        <v>0</v>
      </c>
      <c r="I269" s="17">
        <v>0</v>
      </c>
      <c r="J269" s="17">
        <f t="shared" si="11"/>
        <v>3</v>
      </c>
      <c r="K269" s="40">
        <v>3</v>
      </c>
      <c r="L269" s="18">
        <v>0</v>
      </c>
      <c r="M269" s="17">
        <v>0</v>
      </c>
      <c r="N269" s="18">
        <f t="shared" si="12"/>
        <v>3</v>
      </c>
      <c r="O269" s="17">
        <f t="shared" si="13"/>
        <v>0</v>
      </c>
      <c r="P269" s="3"/>
      <c r="Q269" s="19">
        <f t="shared" si="14"/>
        <v>1890</v>
      </c>
      <c r="R269" s="19">
        <v>0</v>
      </c>
      <c r="S269" s="19">
        <f t="shared" si="15"/>
        <v>0</v>
      </c>
      <c r="T269" s="19">
        <f t="shared" si="16"/>
        <v>0</v>
      </c>
      <c r="U269" s="19">
        <f t="shared" si="17"/>
        <v>0</v>
      </c>
      <c r="V269" s="19">
        <f t="shared" si="18"/>
        <v>0</v>
      </c>
      <c r="W269" s="19">
        <f t="shared" si="19"/>
        <v>1890</v>
      </c>
      <c r="X269" s="20">
        <f t="shared" si="20"/>
        <v>1890</v>
      </c>
      <c r="Y269" s="20">
        <f t="shared" si="21"/>
        <v>0</v>
      </c>
    </row>
    <row r="270" spans="1:25" ht="15.75" hidden="1" customHeight="1">
      <c r="A270" s="14" t="s">
        <v>550</v>
      </c>
      <c r="B270" s="15" t="s">
        <v>551</v>
      </c>
      <c r="C270" s="16">
        <v>60</v>
      </c>
      <c r="D270" s="16">
        <v>60</v>
      </c>
      <c r="E270" s="17">
        <v>191</v>
      </c>
      <c r="F270" s="18">
        <v>0</v>
      </c>
      <c r="G270" s="18">
        <v>0</v>
      </c>
      <c r="H270" s="36">
        <v>0</v>
      </c>
      <c r="I270" s="17">
        <v>0</v>
      </c>
      <c r="J270" s="17">
        <f t="shared" si="11"/>
        <v>191</v>
      </c>
      <c r="K270" s="40">
        <v>91</v>
      </c>
      <c r="L270" s="18">
        <v>100</v>
      </c>
      <c r="M270" s="17">
        <v>0</v>
      </c>
      <c r="N270" s="18">
        <f t="shared" si="12"/>
        <v>191</v>
      </c>
      <c r="O270" s="17">
        <f t="shared" si="13"/>
        <v>0</v>
      </c>
      <c r="P270" s="3"/>
      <c r="Q270" s="19">
        <f t="shared" si="14"/>
        <v>11460</v>
      </c>
      <c r="R270" s="19">
        <v>0</v>
      </c>
      <c r="S270" s="19">
        <f t="shared" si="15"/>
        <v>0</v>
      </c>
      <c r="T270" s="19">
        <f t="shared" si="16"/>
        <v>0</v>
      </c>
      <c r="U270" s="19">
        <f t="shared" si="17"/>
        <v>0</v>
      </c>
      <c r="V270" s="19">
        <f t="shared" si="18"/>
        <v>0</v>
      </c>
      <c r="W270" s="19">
        <f t="shared" si="19"/>
        <v>11460</v>
      </c>
      <c r="X270" s="20">
        <f t="shared" si="20"/>
        <v>11460</v>
      </c>
      <c r="Y270" s="20">
        <f t="shared" si="21"/>
        <v>0</v>
      </c>
    </row>
    <row r="271" spans="1:25" ht="15.75" hidden="1" customHeight="1">
      <c r="A271" s="14" t="s">
        <v>552</v>
      </c>
      <c r="B271" s="15" t="s">
        <v>553</v>
      </c>
      <c r="C271" s="16">
        <v>120</v>
      </c>
      <c r="D271" s="16">
        <v>120</v>
      </c>
      <c r="E271" s="17">
        <v>1</v>
      </c>
      <c r="F271" s="18">
        <v>0</v>
      </c>
      <c r="G271" s="18">
        <v>0</v>
      </c>
      <c r="H271" s="36">
        <v>0</v>
      </c>
      <c r="I271" s="17">
        <v>0</v>
      </c>
      <c r="J271" s="17">
        <f t="shared" si="11"/>
        <v>1</v>
      </c>
      <c r="K271" s="40">
        <v>1</v>
      </c>
      <c r="L271" s="18">
        <v>0</v>
      </c>
      <c r="M271" s="17">
        <v>0</v>
      </c>
      <c r="N271" s="18">
        <f t="shared" si="12"/>
        <v>1</v>
      </c>
      <c r="O271" s="17">
        <f t="shared" si="13"/>
        <v>0</v>
      </c>
      <c r="P271" s="3"/>
      <c r="Q271" s="19">
        <f t="shared" si="14"/>
        <v>120</v>
      </c>
      <c r="R271" s="19">
        <v>0</v>
      </c>
      <c r="S271" s="19">
        <f t="shared" si="15"/>
        <v>0</v>
      </c>
      <c r="T271" s="19">
        <f t="shared" si="16"/>
        <v>0</v>
      </c>
      <c r="U271" s="19">
        <f t="shared" si="17"/>
        <v>0</v>
      </c>
      <c r="V271" s="19">
        <f t="shared" si="18"/>
        <v>0</v>
      </c>
      <c r="W271" s="19">
        <f t="shared" si="19"/>
        <v>120</v>
      </c>
      <c r="X271" s="20">
        <f t="shared" si="20"/>
        <v>120</v>
      </c>
      <c r="Y271" s="20">
        <f t="shared" si="21"/>
        <v>0</v>
      </c>
    </row>
    <row r="272" spans="1:25" ht="15.75" hidden="1" customHeight="1">
      <c r="A272" s="14" t="s">
        <v>554</v>
      </c>
      <c r="B272" s="15" t="s">
        <v>555</v>
      </c>
      <c r="C272" s="16">
        <v>0</v>
      </c>
      <c r="D272" s="16">
        <v>0</v>
      </c>
      <c r="E272" s="17">
        <v>0</v>
      </c>
      <c r="F272" s="18">
        <v>0</v>
      </c>
      <c r="G272" s="18">
        <v>0</v>
      </c>
      <c r="H272" s="36">
        <v>0</v>
      </c>
      <c r="I272" s="17">
        <v>0</v>
      </c>
      <c r="J272" s="17">
        <f t="shared" si="11"/>
        <v>0</v>
      </c>
      <c r="K272" s="40">
        <v>0</v>
      </c>
      <c r="L272" s="18">
        <v>0</v>
      </c>
      <c r="M272" s="17">
        <v>0</v>
      </c>
      <c r="N272" s="18">
        <f t="shared" si="12"/>
        <v>0</v>
      </c>
      <c r="O272" s="17">
        <f t="shared" si="13"/>
        <v>0</v>
      </c>
      <c r="P272" s="3"/>
      <c r="Q272" s="19">
        <f t="shared" si="14"/>
        <v>0</v>
      </c>
      <c r="R272" s="19">
        <v>0</v>
      </c>
      <c r="S272" s="19">
        <f t="shared" si="15"/>
        <v>0</v>
      </c>
      <c r="T272" s="19">
        <f t="shared" si="16"/>
        <v>0</v>
      </c>
      <c r="U272" s="19">
        <f t="shared" si="17"/>
        <v>0</v>
      </c>
      <c r="V272" s="19">
        <f t="shared" si="18"/>
        <v>0</v>
      </c>
      <c r="W272" s="19">
        <f t="shared" si="19"/>
        <v>0</v>
      </c>
      <c r="X272" s="20">
        <f t="shared" si="20"/>
        <v>0</v>
      </c>
      <c r="Y272" s="20">
        <f t="shared" si="21"/>
        <v>0</v>
      </c>
    </row>
    <row r="273" spans="1:25" ht="15.75" hidden="1" customHeight="1">
      <c r="A273" s="14" t="s">
        <v>556</v>
      </c>
      <c r="B273" s="15" t="s">
        <v>557</v>
      </c>
      <c r="C273" s="16">
        <v>48.28</v>
      </c>
      <c r="D273" s="16">
        <v>48.28</v>
      </c>
      <c r="E273" s="17">
        <v>0</v>
      </c>
      <c r="F273" s="18">
        <v>0</v>
      </c>
      <c r="G273" s="18">
        <v>0</v>
      </c>
      <c r="H273" s="36">
        <v>0</v>
      </c>
      <c r="I273" s="17">
        <v>0</v>
      </c>
      <c r="J273" s="17">
        <f t="shared" si="11"/>
        <v>0</v>
      </c>
      <c r="K273" s="40">
        <v>0</v>
      </c>
      <c r="L273" s="18">
        <v>0</v>
      </c>
      <c r="M273" s="17">
        <v>0</v>
      </c>
      <c r="N273" s="18">
        <f t="shared" si="12"/>
        <v>0</v>
      </c>
      <c r="O273" s="17">
        <f t="shared" si="13"/>
        <v>0</v>
      </c>
      <c r="P273" s="3"/>
      <c r="Q273" s="19">
        <f t="shared" si="14"/>
        <v>0</v>
      </c>
      <c r="R273" s="19">
        <v>0</v>
      </c>
      <c r="S273" s="19">
        <f t="shared" si="15"/>
        <v>0</v>
      </c>
      <c r="T273" s="19">
        <f t="shared" si="16"/>
        <v>0</v>
      </c>
      <c r="U273" s="19">
        <f t="shared" si="17"/>
        <v>0</v>
      </c>
      <c r="V273" s="19">
        <f t="shared" si="18"/>
        <v>0</v>
      </c>
      <c r="W273" s="19">
        <f t="shared" si="19"/>
        <v>0</v>
      </c>
      <c r="X273" s="20">
        <f t="shared" si="20"/>
        <v>0</v>
      </c>
      <c r="Y273" s="20">
        <f t="shared" si="21"/>
        <v>0</v>
      </c>
    </row>
    <row r="274" spans="1:25" ht="15.75" hidden="1" customHeight="1">
      <c r="A274" s="14" t="s">
        <v>558</v>
      </c>
      <c r="B274" s="15" t="s">
        <v>559</v>
      </c>
      <c r="C274" s="16">
        <v>0</v>
      </c>
      <c r="D274" s="16">
        <v>0</v>
      </c>
      <c r="E274" s="17">
        <v>0</v>
      </c>
      <c r="F274" s="18">
        <v>0</v>
      </c>
      <c r="G274" s="18">
        <v>0</v>
      </c>
      <c r="H274" s="36">
        <v>0</v>
      </c>
      <c r="I274" s="17">
        <v>0</v>
      </c>
      <c r="J274" s="17">
        <f t="shared" si="11"/>
        <v>0</v>
      </c>
      <c r="K274" s="40">
        <v>0</v>
      </c>
      <c r="L274" s="18">
        <v>0</v>
      </c>
      <c r="M274" s="17">
        <v>0</v>
      </c>
      <c r="N274" s="18">
        <f t="shared" si="12"/>
        <v>0</v>
      </c>
      <c r="O274" s="17">
        <f t="shared" si="13"/>
        <v>0</v>
      </c>
      <c r="P274" s="3"/>
      <c r="Q274" s="19">
        <f t="shared" si="14"/>
        <v>0</v>
      </c>
      <c r="R274" s="19">
        <v>0</v>
      </c>
      <c r="S274" s="19">
        <f t="shared" si="15"/>
        <v>0</v>
      </c>
      <c r="T274" s="19">
        <f t="shared" si="16"/>
        <v>0</v>
      </c>
      <c r="U274" s="19">
        <f t="shared" si="17"/>
        <v>0</v>
      </c>
      <c r="V274" s="19">
        <f t="shared" si="18"/>
        <v>0</v>
      </c>
      <c r="W274" s="19">
        <f t="shared" si="19"/>
        <v>0</v>
      </c>
      <c r="X274" s="20">
        <f t="shared" si="20"/>
        <v>0</v>
      </c>
      <c r="Y274" s="20">
        <f t="shared" si="21"/>
        <v>0</v>
      </c>
    </row>
    <row r="275" spans="1:25" ht="15.75" customHeight="1">
      <c r="A275" s="14" t="s">
        <v>560</v>
      </c>
      <c r="B275" s="15" t="s">
        <v>561</v>
      </c>
      <c r="C275" s="16">
        <v>2250</v>
      </c>
      <c r="D275" s="16">
        <v>2250</v>
      </c>
      <c r="E275" s="17">
        <v>1</v>
      </c>
      <c r="F275" s="18">
        <v>0</v>
      </c>
      <c r="G275" s="18">
        <v>0</v>
      </c>
      <c r="H275" s="36">
        <v>1</v>
      </c>
      <c r="I275" s="17">
        <v>0</v>
      </c>
      <c r="J275" s="17">
        <f t="shared" si="11"/>
        <v>0</v>
      </c>
      <c r="K275" s="40">
        <v>1</v>
      </c>
      <c r="L275" s="18">
        <v>0</v>
      </c>
      <c r="M275" s="17">
        <v>0</v>
      </c>
      <c r="N275" s="18">
        <f t="shared" si="12"/>
        <v>1</v>
      </c>
      <c r="O275" s="17">
        <f t="shared" si="13"/>
        <v>1</v>
      </c>
      <c r="P275" s="3"/>
      <c r="Q275" s="19">
        <f t="shared" si="14"/>
        <v>2250</v>
      </c>
      <c r="R275" s="19">
        <v>0</v>
      </c>
      <c r="S275" s="19">
        <f t="shared" si="15"/>
        <v>0</v>
      </c>
      <c r="T275" s="19">
        <f t="shared" si="16"/>
        <v>0</v>
      </c>
      <c r="U275" s="19">
        <f t="shared" si="17"/>
        <v>2250</v>
      </c>
      <c r="V275" s="19">
        <f t="shared" si="18"/>
        <v>0</v>
      </c>
      <c r="W275" s="19">
        <f t="shared" si="19"/>
        <v>0</v>
      </c>
      <c r="X275" s="20">
        <f t="shared" si="20"/>
        <v>0</v>
      </c>
      <c r="Y275" s="20">
        <f t="shared" si="21"/>
        <v>0</v>
      </c>
    </row>
    <row r="276" spans="1:25" ht="15.75" hidden="1" customHeight="1">
      <c r="A276" s="14" t="s">
        <v>562</v>
      </c>
      <c r="B276" s="15" t="s">
        <v>563</v>
      </c>
      <c r="C276" s="16">
        <v>473</v>
      </c>
      <c r="D276" s="16">
        <v>473</v>
      </c>
      <c r="E276" s="17">
        <v>0</v>
      </c>
      <c r="F276" s="18">
        <v>0</v>
      </c>
      <c r="G276" s="18">
        <v>0</v>
      </c>
      <c r="H276" s="36">
        <v>0</v>
      </c>
      <c r="I276" s="17">
        <v>0</v>
      </c>
      <c r="J276" s="17">
        <f t="shared" si="11"/>
        <v>0</v>
      </c>
      <c r="K276" s="40">
        <v>0</v>
      </c>
      <c r="L276" s="18">
        <v>0</v>
      </c>
      <c r="M276" s="17">
        <v>0</v>
      </c>
      <c r="N276" s="18">
        <f t="shared" si="12"/>
        <v>0</v>
      </c>
      <c r="O276" s="17">
        <f t="shared" si="13"/>
        <v>0</v>
      </c>
      <c r="P276" s="3"/>
      <c r="Q276" s="19">
        <f t="shared" si="14"/>
        <v>0</v>
      </c>
      <c r="R276" s="19">
        <v>0</v>
      </c>
      <c r="S276" s="19">
        <f t="shared" si="15"/>
        <v>0</v>
      </c>
      <c r="T276" s="19">
        <f t="shared" si="16"/>
        <v>0</v>
      </c>
      <c r="U276" s="19">
        <f t="shared" si="17"/>
        <v>0</v>
      </c>
      <c r="V276" s="19">
        <f t="shared" si="18"/>
        <v>0</v>
      </c>
      <c r="W276" s="19">
        <f t="shared" si="19"/>
        <v>0</v>
      </c>
      <c r="X276" s="20">
        <f t="shared" si="20"/>
        <v>0</v>
      </c>
      <c r="Y276" s="20">
        <f t="shared" si="21"/>
        <v>0</v>
      </c>
    </row>
    <row r="277" spans="1:25" ht="15.75" hidden="1" customHeight="1">
      <c r="A277" s="14" t="s">
        <v>564</v>
      </c>
      <c r="B277" s="15" t="s">
        <v>565</v>
      </c>
      <c r="C277" s="16">
        <v>0</v>
      </c>
      <c r="D277" s="16">
        <v>0</v>
      </c>
      <c r="E277" s="17">
        <v>0</v>
      </c>
      <c r="F277" s="18">
        <v>0</v>
      </c>
      <c r="G277" s="18">
        <v>0</v>
      </c>
      <c r="H277" s="36">
        <v>0</v>
      </c>
      <c r="I277" s="17">
        <v>0</v>
      </c>
      <c r="J277" s="17">
        <f t="shared" si="11"/>
        <v>0</v>
      </c>
      <c r="K277" s="40">
        <v>0</v>
      </c>
      <c r="L277" s="18">
        <v>0</v>
      </c>
      <c r="M277" s="17">
        <v>0</v>
      </c>
      <c r="N277" s="18">
        <f t="shared" si="12"/>
        <v>0</v>
      </c>
      <c r="O277" s="17">
        <f t="shared" si="13"/>
        <v>0</v>
      </c>
      <c r="P277" s="3"/>
      <c r="Q277" s="19">
        <f t="shared" si="14"/>
        <v>0</v>
      </c>
      <c r="R277" s="19">
        <v>0</v>
      </c>
      <c r="S277" s="19">
        <f t="shared" si="15"/>
        <v>0</v>
      </c>
      <c r="T277" s="19">
        <f t="shared" si="16"/>
        <v>0</v>
      </c>
      <c r="U277" s="19">
        <f t="shared" si="17"/>
        <v>0</v>
      </c>
      <c r="V277" s="19">
        <f t="shared" si="18"/>
        <v>0</v>
      </c>
      <c r="W277" s="19">
        <f t="shared" si="19"/>
        <v>0</v>
      </c>
      <c r="X277" s="20">
        <f t="shared" si="20"/>
        <v>0</v>
      </c>
      <c r="Y277" s="20">
        <f t="shared" si="21"/>
        <v>0</v>
      </c>
    </row>
    <row r="278" spans="1:25" ht="15.75" hidden="1" customHeight="1">
      <c r="A278" s="14" t="s">
        <v>566</v>
      </c>
      <c r="B278" s="15" t="s">
        <v>567</v>
      </c>
      <c r="C278" s="16">
        <v>1850</v>
      </c>
      <c r="D278" s="16">
        <v>1850</v>
      </c>
      <c r="E278" s="17">
        <v>0</v>
      </c>
      <c r="F278" s="18">
        <v>0</v>
      </c>
      <c r="G278" s="18">
        <v>0</v>
      </c>
      <c r="H278" s="36">
        <v>0</v>
      </c>
      <c r="I278" s="17">
        <v>0</v>
      </c>
      <c r="J278" s="17">
        <f t="shared" si="11"/>
        <v>0</v>
      </c>
      <c r="K278" s="40">
        <v>0</v>
      </c>
      <c r="L278" s="18">
        <v>0</v>
      </c>
      <c r="M278" s="17">
        <v>0</v>
      </c>
      <c r="N278" s="18">
        <f t="shared" si="12"/>
        <v>0</v>
      </c>
      <c r="O278" s="17">
        <f t="shared" si="13"/>
        <v>0</v>
      </c>
      <c r="P278" s="3"/>
      <c r="Q278" s="19">
        <f t="shared" si="14"/>
        <v>0</v>
      </c>
      <c r="R278" s="19">
        <v>0</v>
      </c>
      <c r="S278" s="19">
        <f t="shared" si="15"/>
        <v>0</v>
      </c>
      <c r="T278" s="19">
        <f t="shared" si="16"/>
        <v>0</v>
      </c>
      <c r="U278" s="19">
        <f t="shared" si="17"/>
        <v>0</v>
      </c>
      <c r="V278" s="19">
        <f t="shared" si="18"/>
        <v>0</v>
      </c>
      <c r="W278" s="19">
        <f t="shared" si="19"/>
        <v>0</v>
      </c>
      <c r="X278" s="20">
        <f t="shared" si="20"/>
        <v>0</v>
      </c>
      <c r="Y278" s="20">
        <f t="shared" si="21"/>
        <v>0</v>
      </c>
    </row>
    <row r="279" spans="1:25" ht="15.75" hidden="1" customHeight="1">
      <c r="A279" s="14" t="s">
        <v>568</v>
      </c>
      <c r="B279" s="15" t="s">
        <v>569</v>
      </c>
      <c r="C279" s="16">
        <v>108.9</v>
      </c>
      <c r="D279" s="16">
        <v>108.9</v>
      </c>
      <c r="E279" s="17">
        <v>0</v>
      </c>
      <c r="F279" s="18">
        <v>0</v>
      </c>
      <c r="G279" s="18">
        <v>0</v>
      </c>
      <c r="H279" s="36">
        <v>0</v>
      </c>
      <c r="I279" s="17">
        <v>0</v>
      </c>
      <c r="J279" s="17">
        <f t="shared" si="11"/>
        <v>0</v>
      </c>
      <c r="K279" s="40">
        <v>0</v>
      </c>
      <c r="L279" s="18">
        <v>0</v>
      </c>
      <c r="M279" s="17">
        <v>0</v>
      </c>
      <c r="N279" s="18">
        <f t="shared" si="12"/>
        <v>0</v>
      </c>
      <c r="O279" s="17">
        <f t="shared" si="13"/>
        <v>0</v>
      </c>
      <c r="P279" s="3"/>
      <c r="Q279" s="19">
        <f t="shared" si="14"/>
        <v>0</v>
      </c>
      <c r="R279" s="19">
        <v>0</v>
      </c>
      <c r="S279" s="19">
        <f t="shared" si="15"/>
        <v>0</v>
      </c>
      <c r="T279" s="19">
        <f t="shared" si="16"/>
        <v>0</v>
      </c>
      <c r="U279" s="19">
        <f t="shared" si="17"/>
        <v>0</v>
      </c>
      <c r="V279" s="19">
        <f t="shared" si="18"/>
        <v>0</v>
      </c>
      <c r="W279" s="19">
        <f t="shared" si="19"/>
        <v>0</v>
      </c>
      <c r="X279" s="20">
        <f t="shared" si="20"/>
        <v>0</v>
      </c>
      <c r="Y279" s="20">
        <f t="shared" si="21"/>
        <v>0</v>
      </c>
    </row>
    <row r="280" spans="1:25" ht="15.75" hidden="1" customHeight="1">
      <c r="A280" s="14" t="s">
        <v>570</v>
      </c>
      <c r="B280" s="15" t="s">
        <v>571</v>
      </c>
      <c r="C280" s="16">
        <v>0</v>
      </c>
      <c r="D280" s="16">
        <v>0</v>
      </c>
      <c r="E280" s="17">
        <v>0</v>
      </c>
      <c r="F280" s="18">
        <v>0</v>
      </c>
      <c r="G280" s="18">
        <v>0</v>
      </c>
      <c r="H280" s="36">
        <v>0</v>
      </c>
      <c r="I280" s="17">
        <v>0</v>
      </c>
      <c r="J280" s="17">
        <f t="shared" si="11"/>
        <v>0</v>
      </c>
      <c r="K280" s="40">
        <v>0</v>
      </c>
      <c r="L280" s="18">
        <v>0</v>
      </c>
      <c r="M280" s="17">
        <v>0</v>
      </c>
      <c r="N280" s="18">
        <f t="shared" si="12"/>
        <v>0</v>
      </c>
      <c r="O280" s="17">
        <f t="shared" si="13"/>
        <v>0</v>
      </c>
      <c r="P280" s="3"/>
      <c r="Q280" s="19">
        <f t="shared" si="14"/>
        <v>0</v>
      </c>
      <c r="R280" s="19">
        <v>0</v>
      </c>
      <c r="S280" s="19">
        <f t="shared" si="15"/>
        <v>0</v>
      </c>
      <c r="T280" s="19">
        <f t="shared" si="16"/>
        <v>0</v>
      </c>
      <c r="U280" s="19">
        <f t="shared" si="17"/>
        <v>0</v>
      </c>
      <c r="V280" s="19">
        <f t="shared" si="18"/>
        <v>0</v>
      </c>
      <c r="W280" s="19">
        <f t="shared" si="19"/>
        <v>0</v>
      </c>
      <c r="X280" s="20">
        <f t="shared" si="20"/>
        <v>0</v>
      </c>
      <c r="Y280" s="20">
        <f t="shared" si="21"/>
        <v>0</v>
      </c>
    </row>
    <row r="281" spans="1:25" ht="15.75" hidden="1" customHeight="1">
      <c r="A281" s="14" t="s">
        <v>572</v>
      </c>
      <c r="B281" s="15" t="s">
        <v>573</v>
      </c>
      <c r="C281" s="16">
        <v>12.18</v>
      </c>
      <c r="D281" s="16">
        <v>12.18</v>
      </c>
      <c r="E281" s="17">
        <v>50</v>
      </c>
      <c r="F281" s="18">
        <v>0</v>
      </c>
      <c r="G281" s="18">
        <v>0</v>
      </c>
      <c r="H281" s="36">
        <v>0</v>
      </c>
      <c r="I281" s="17">
        <v>0</v>
      </c>
      <c r="J281" s="17">
        <f t="shared" si="11"/>
        <v>50</v>
      </c>
      <c r="K281" s="40">
        <v>50</v>
      </c>
      <c r="L281" s="18">
        <v>0</v>
      </c>
      <c r="M281" s="17">
        <v>0</v>
      </c>
      <c r="N281" s="18">
        <f t="shared" si="12"/>
        <v>50</v>
      </c>
      <c r="O281" s="17">
        <f t="shared" si="13"/>
        <v>0</v>
      </c>
      <c r="P281" s="3"/>
      <c r="Q281" s="19">
        <f t="shared" si="14"/>
        <v>609</v>
      </c>
      <c r="R281" s="19">
        <v>0</v>
      </c>
      <c r="S281" s="19">
        <f t="shared" si="15"/>
        <v>0</v>
      </c>
      <c r="T281" s="19">
        <f t="shared" si="16"/>
        <v>0</v>
      </c>
      <c r="U281" s="19">
        <f t="shared" si="17"/>
        <v>0</v>
      </c>
      <c r="V281" s="19">
        <f t="shared" si="18"/>
        <v>0</v>
      </c>
      <c r="W281" s="19">
        <f t="shared" si="19"/>
        <v>609</v>
      </c>
      <c r="X281" s="20">
        <f t="shared" si="20"/>
        <v>609</v>
      </c>
      <c r="Y281" s="20">
        <f t="shared" si="21"/>
        <v>0</v>
      </c>
    </row>
    <row r="282" spans="1:25" ht="15.75" hidden="1" customHeight="1">
      <c r="A282" s="14" t="s">
        <v>574</v>
      </c>
      <c r="B282" s="15" t="s">
        <v>575</v>
      </c>
      <c r="C282" s="16">
        <v>12.18</v>
      </c>
      <c r="D282" s="16">
        <v>12.18</v>
      </c>
      <c r="E282" s="17">
        <v>50</v>
      </c>
      <c r="F282" s="18">
        <v>0</v>
      </c>
      <c r="G282" s="18">
        <v>0</v>
      </c>
      <c r="H282" s="36">
        <v>0</v>
      </c>
      <c r="I282" s="17">
        <v>0</v>
      </c>
      <c r="J282" s="17">
        <f t="shared" si="11"/>
        <v>50</v>
      </c>
      <c r="K282" s="40">
        <v>50</v>
      </c>
      <c r="L282" s="18">
        <v>0</v>
      </c>
      <c r="M282" s="17">
        <v>0</v>
      </c>
      <c r="N282" s="18">
        <f t="shared" si="12"/>
        <v>50</v>
      </c>
      <c r="O282" s="17">
        <f t="shared" si="13"/>
        <v>0</v>
      </c>
      <c r="P282" s="3"/>
      <c r="Q282" s="19">
        <f t="shared" si="14"/>
        <v>609</v>
      </c>
      <c r="R282" s="19">
        <v>0</v>
      </c>
      <c r="S282" s="19">
        <f t="shared" si="15"/>
        <v>0</v>
      </c>
      <c r="T282" s="19">
        <f t="shared" si="16"/>
        <v>0</v>
      </c>
      <c r="U282" s="19">
        <f t="shared" si="17"/>
        <v>0</v>
      </c>
      <c r="V282" s="19">
        <f t="shared" si="18"/>
        <v>0</v>
      </c>
      <c r="W282" s="19">
        <f t="shared" si="19"/>
        <v>609</v>
      </c>
      <c r="X282" s="20">
        <f t="shared" si="20"/>
        <v>609</v>
      </c>
      <c r="Y282" s="20">
        <f t="shared" si="21"/>
        <v>0</v>
      </c>
    </row>
    <row r="283" spans="1:25" ht="15.75" hidden="1" customHeight="1">
      <c r="A283" s="14" t="s">
        <v>576</v>
      </c>
      <c r="B283" s="15" t="s">
        <v>577</v>
      </c>
      <c r="C283" s="16">
        <v>820</v>
      </c>
      <c r="D283" s="16">
        <v>820</v>
      </c>
      <c r="E283" s="17">
        <v>2</v>
      </c>
      <c r="F283" s="18">
        <v>0</v>
      </c>
      <c r="G283" s="18">
        <v>0</v>
      </c>
      <c r="H283" s="36">
        <v>0</v>
      </c>
      <c r="I283" s="17">
        <v>0</v>
      </c>
      <c r="J283" s="17">
        <f t="shared" si="11"/>
        <v>2</v>
      </c>
      <c r="K283" s="40">
        <v>2</v>
      </c>
      <c r="L283" s="18">
        <v>0</v>
      </c>
      <c r="M283" s="17">
        <v>0</v>
      </c>
      <c r="N283" s="18">
        <f t="shared" si="12"/>
        <v>2</v>
      </c>
      <c r="O283" s="17">
        <f t="shared" si="13"/>
        <v>0</v>
      </c>
      <c r="P283" s="3"/>
      <c r="Q283" s="19">
        <f t="shared" si="14"/>
        <v>1640</v>
      </c>
      <c r="R283" s="19">
        <v>0</v>
      </c>
      <c r="S283" s="19">
        <f t="shared" si="15"/>
        <v>0</v>
      </c>
      <c r="T283" s="19">
        <f t="shared" si="16"/>
        <v>0</v>
      </c>
      <c r="U283" s="19">
        <f t="shared" si="17"/>
        <v>0</v>
      </c>
      <c r="V283" s="19">
        <f t="shared" si="18"/>
        <v>0</v>
      </c>
      <c r="W283" s="19">
        <f t="shared" si="19"/>
        <v>1640</v>
      </c>
      <c r="X283" s="20">
        <f t="shared" si="20"/>
        <v>1640</v>
      </c>
      <c r="Y283" s="20">
        <f t="shared" si="21"/>
        <v>0</v>
      </c>
    </row>
    <row r="284" spans="1:25" ht="15.75" hidden="1" customHeight="1">
      <c r="A284" s="14" t="s">
        <v>578</v>
      </c>
      <c r="B284" s="15" t="s">
        <v>579</v>
      </c>
      <c r="C284" s="16">
        <v>0</v>
      </c>
      <c r="D284" s="16">
        <v>0</v>
      </c>
      <c r="E284" s="17">
        <v>0</v>
      </c>
      <c r="F284" s="18">
        <v>0</v>
      </c>
      <c r="G284" s="18">
        <v>0</v>
      </c>
      <c r="H284" s="36">
        <v>0</v>
      </c>
      <c r="I284" s="17">
        <v>0</v>
      </c>
      <c r="J284" s="17">
        <f t="shared" si="11"/>
        <v>0</v>
      </c>
      <c r="K284" s="40">
        <v>0</v>
      </c>
      <c r="L284" s="18">
        <v>0</v>
      </c>
      <c r="M284" s="17">
        <v>0</v>
      </c>
      <c r="N284" s="18">
        <f t="shared" si="12"/>
        <v>0</v>
      </c>
      <c r="O284" s="17">
        <f t="shared" si="13"/>
        <v>0</v>
      </c>
      <c r="P284" s="3"/>
      <c r="Q284" s="19">
        <f t="shared" si="14"/>
        <v>0</v>
      </c>
      <c r="R284" s="19">
        <v>0</v>
      </c>
      <c r="S284" s="19">
        <f t="shared" si="15"/>
        <v>0</v>
      </c>
      <c r="T284" s="19">
        <f t="shared" si="16"/>
        <v>0</v>
      </c>
      <c r="U284" s="19">
        <f t="shared" si="17"/>
        <v>0</v>
      </c>
      <c r="V284" s="19">
        <f t="shared" si="18"/>
        <v>0</v>
      </c>
      <c r="W284" s="19">
        <f t="shared" si="19"/>
        <v>0</v>
      </c>
      <c r="X284" s="20">
        <f t="shared" si="20"/>
        <v>0</v>
      </c>
      <c r="Y284" s="20">
        <f t="shared" si="21"/>
        <v>0</v>
      </c>
    </row>
    <row r="285" spans="1:25" ht="15.75" hidden="1" customHeight="1">
      <c r="A285" s="23" t="s">
        <v>580</v>
      </c>
      <c r="B285" s="15" t="s">
        <v>581</v>
      </c>
      <c r="C285" s="16">
        <v>276.57</v>
      </c>
      <c r="D285" s="16">
        <v>276.57</v>
      </c>
      <c r="E285" s="17">
        <v>17</v>
      </c>
      <c r="F285" s="18">
        <v>0</v>
      </c>
      <c r="G285" s="18">
        <v>0</v>
      </c>
      <c r="H285" s="36">
        <v>0</v>
      </c>
      <c r="I285" s="17">
        <v>0</v>
      </c>
      <c r="J285" s="17">
        <f t="shared" si="11"/>
        <v>17</v>
      </c>
      <c r="K285" s="40">
        <v>17</v>
      </c>
      <c r="L285" s="18">
        <v>0</v>
      </c>
      <c r="M285" s="17">
        <v>0</v>
      </c>
      <c r="N285" s="18">
        <f t="shared" si="12"/>
        <v>17</v>
      </c>
      <c r="O285" s="17">
        <f t="shared" si="13"/>
        <v>0</v>
      </c>
      <c r="P285" s="3"/>
      <c r="Q285" s="19">
        <f t="shared" si="14"/>
        <v>4701.6899999999996</v>
      </c>
      <c r="R285" s="19">
        <v>0</v>
      </c>
      <c r="S285" s="19">
        <f t="shared" si="15"/>
        <v>0</v>
      </c>
      <c r="T285" s="19">
        <f t="shared" si="16"/>
        <v>0</v>
      </c>
      <c r="U285" s="19">
        <f t="shared" si="17"/>
        <v>0</v>
      </c>
      <c r="V285" s="19">
        <f t="shared" si="18"/>
        <v>0</v>
      </c>
      <c r="W285" s="19">
        <f t="shared" si="19"/>
        <v>4701.6899999999996</v>
      </c>
      <c r="X285" s="20">
        <f t="shared" si="20"/>
        <v>4701.6899999999996</v>
      </c>
      <c r="Y285" s="20">
        <f t="shared" si="21"/>
        <v>0</v>
      </c>
    </row>
    <row r="286" spans="1:25" ht="15.75" hidden="1" customHeight="1">
      <c r="A286" s="14" t="s">
        <v>582</v>
      </c>
      <c r="B286" s="15" t="s">
        <v>583</v>
      </c>
      <c r="C286" s="16">
        <v>34.53</v>
      </c>
      <c r="D286" s="16">
        <v>34.53</v>
      </c>
      <c r="E286" s="17">
        <v>1</v>
      </c>
      <c r="F286" s="18">
        <v>0</v>
      </c>
      <c r="G286" s="18">
        <v>0</v>
      </c>
      <c r="H286" s="36">
        <v>0</v>
      </c>
      <c r="I286" s="17">
        <v>0</v>
      </c>
      <c r="J286" s="17">
        <f t="shared" si="11"/>
        <v>1</v>
      </c>
      <c r="K286" s="40">
        <v>1</v>
      </c>
      <c r="L286" s="18">
        <v>0</v>
      </c>
      <c r="M286" s="17">
        <v>0</v>
      </c>
      <c r="N286" s="18">
        <f t="shared" si="12"/>
        <v>1</v>
      </c>
      <c r="O286" s="17">
        <f t="shared" si="13"/>
        <v>0</v>
      </c>
      <c r="P286" s="3"/>
      <c r="Q286" s="19">
        <f t="shared" si="14"/>
        <v>34.53</v>
      </c>
      <c r="R286" s="19">
        <v>0</v>
      </c>
      <c r="S286" s="19">
        <f t="shared" si="15"/>
        <v>0</v>
      </c>
      <c r="T286" s="19">
        <f t="shared" si="16"/>
        <v>0</v>
      </c>
      <c r="U286" s="19">
        <f t="shared" si="17"/>
        <v>0</v>
      </c>
      <c r="V286" s="19">
        <f t="shared" si="18"/>
        <v>0</v>
      </c>
      <c r="W286" s="19">
        <f t="shared" si="19"/>
        <v>34.53</v>
      </c>
      <c r="X286" s="20">
        <f t="shared" si="20"/>
        <v>34.53</v>
      </c>
      <c r="Y286" s="20">
        <f t="shared" si="21"/>
        <v>0</v>
      </c>
    </row>
    <row r="287" spans="1:25" ht="15.75" hidden="1" customHeight="1">
      <c r="A287" s="14" t="s">
        <v>584</v>
      </c>
      <c r="B287" s="15" t="s">
        <v>585</v>
      </c>
      <c r="C287" s="16">
        <v>94.83</v>
      </c>
      <c r="D287" s="16">
        <v>94.83</v>
      </c>
      <c r="E287" s="17">
        <v>1</v>
      </c>
      <c r="F287" s="18">
        <v>0</v>
      </c>
      <c r="G287" s="18">
        <v>0</v>
      </c>
      <c r="H287" s="36">
        <v>0</v>
      </c>
      <c r="I287" s="17">
        <v>0</v>
      </c>
      <c r="J287" s="17">
        <f t="shared" si="11"/>
        <v>1</v>
      </c>
      <c r="K287" s="40">
        <v>1</v>
      </c>
      <c r="L287" s="18">
        <v>0</v>
      </c>
      <c r="M287" s="17">
        <v>0</v>
      </c>
      <c r="N287" s="18">
        <f t="shared" si="12"/>
        <v>1</v>
      </c>
      <c r="O287" s="17">
        <f t="shared" si="13"/>
        <v>0</v>
      </c>
      <c r="P287" s="3"/>
      <c r="Q287" s="19">
        <f t="shared" si="14"/>
        <v>94.83</v>
      </c>
      <c r="R287" s="19">
        <v>0</v>
      </c>
      <c r="S287" s="19">
        <f t="shared" si="15"/>
        <v>0</v>
      </c>
      <c r="T287" s="19">
        <f t="shared" si="16"/>
        <v>0</v>
      </c>
      <c r="U287" s="19">
        <f t="shared" si="17"/>
        <v>0</v>
      </c>
      <c r="V287" s="19">
        <f t="shared" si="18"/>
        <v>0</v>
      </c>
      <c r="W287" s="19">
        <f t="shared" si="19"/>
        <v>94.83</v>
      </c>
      <c r="X287" s="20">
        <f t="shared" si="20"/>
        <v>94.83</v>
      </c>
      <c r="Y287" s="20">
        <f t="shared" si="21"/>
        <v>0</v>
      </c>
    </row>
    <row r="288" spans="1:25" ht="15.75" hidden="1" customHeight="1">
      <c r="A288" s="14" t="s">
        <v>586</v>
      </c>
      <c r="B288" s="15" t="s">
        <v>587</v>
      </c>
      <c r="C288" s="16">
        <v>168.1</v>
      </c>
      <c r="D288" s="16">
        <v>168.1</v>
      </c>
      <c r="E288" s="17">
        <v>1</v>
      </c>
      <c r="F288" s="18">
        <v>0</v>
      </c>
      <c r="G288" s="18">
        <v>0</v>
      </c>
      <c r="H288" s="36">
        <v>0</v>
      </c>
      <c r="I288" s="17">
        <v>0</v>
      </c>
      <c r="J288" s="17">
        <f t="shared" si="11"/>
        <v>1</v>
      </c>
      <c r="K288" s="40">
        <v>1</v>
      </c>
      <c r="L288" s="18">
        <v>0</v>
      </c>
      <c r="M288" s="17">
        <v>0</v>
      </c>
      <c r="N288" s="18">
        <f t="shared" si="12"/>
        <v>1</v>
      </c>
      <c r="O288" s="17">
        <f t="shared" si="13"/>
        <v>0</v>
      </c>
      <c r="P288" s="3"/>
      <c r="Q288" s="19">
        <f t="shared" si="14"/>
        <v>168.1</v>
      </c>
      <c r="R288" s="19">
        <v>0</v>
      </c>
      <c r="S288" s="19">
        <f t="shared" si="15"/>
        <v>0</v>
      </c>
      <c r="T288" s="19">
        <f t="shared" si="16"/>
        <v>0</v>
      </c>
      <c r="U288" s="19">
        <f t="shared" si="17"/>
        <v>0</v>
      </c>
      <c r="V288" s="19">
        <f t="shared" si="18"/>
        <v>0</v>
      </c>
      <c r="W288" s="19">
        <f t="shared" si="19"/>
        <v>168.1</v>
      </c>
      <c r="X288" s="20">
        <f t="shared" si="20"/>
        <v>168.1</v>
      </c>
      <c r="Y288" s="20">
        <f t="shared" si="21"/>
        <v>0</v>
      </c>
    </row>
    <row r="289" spans="1:25" ht="15.75" customHeight="1">
      <c r="A289" s="14" t="s">
        <v>588</v>
      </c>
      <c r="B289" s="15" t="s">
        <v>589</v>
      </c>
      <c r="C289" s="16">
        <v>652.5</v>
      </c>
      <c r="D289" s="16">
        <v>652.5</v>
      </c>
      <c r="E289" s="17">
        <v>5</v>
      </c>
      <c r="F289" s="18">
        <v>0</v>
      </c>
      <c r="G289" s="18">
        <v>0</v>
      </c>
      <c r="H289" s="36">
        <v>5</v>
      </c>
      <c r="I289" s="17">
        <v>0</v>
      </c>
      <c r="J289" s="17">
        <f t="shared" si="11"/>
        <v>0</v>
      </c>
      <c r="K289" s="40">
        <v>5</v>
      </c>
      <c r="L289" s="18">
        <v>0</v>
      </c>
      <c r="M289" s="17">
        <v>0</v>
      </c>
      <c r="N289" s="18">
        <f t="shared" si="12"/>
        <v>5</v>
      </c>
      <c r="O289" s="17">
        <f t="shared" si="13"/>
        <v>5</v>
      </c>
      <c r="P289" s="3"/>
      <c r="Q289" s="19">
        <f t="shared" si="14"/>
        <v>3262.5</v>
      </c>
      <c r="R289" s="19">
        <v>0</v>
      </c>
      <c r="S289" s="19">
        <f t="shared" si="15"/>
        <v>0</v>
      </c>
      <c r="T289" s="19">
        <f t="shared" si="16"/>
        <v>0</v>
      </c>
      <c r="U289" s="19">
        <f t="shared" si="17"/>
        <v>3262.5</v>
      </c>
      <c r="V289" s="19">
        <f t="shared" si="18"/>
        <v>0</v>
      </c>
      <c r="W289" s="19">
        <f t="shared" si="19"/>
        <v>0</v>
      </c>
      <c r="X289" s="20">
        <f t="shared" si="20"/>
        <v>0</v>
      </c>
      <c r="Y289" s="20">
        <f t="shared" si="21"/>
        <v>0</v>
      </c>
    </row>
    <row r="290" spans="1:25" ht="15.75" customHeight="1">
      <c r="A290" s="14" t="s">
        <v>590</v>
      </c>
      <c r="B290" s="15" t="s">
        <v>591</v>
      </c>
      <c r="C290" s="16">
        <v>507.5</v>
      </c>
      <c r="D290" s="16">
        <v>507.5</v>
      </c>
      <c r="E290" s="17">
        <v>2</v>
      </c>
      <c r="F290" s="18">
        <v>0</v>
      </c>
      <c r="G290" s="18">
        <v>0</v>
      </c>
      <c r="H290" s="36">
        <v>1</v>
      </c>
      <c r="I290" s="17">
        <v>0</v>
      </c>
      <c r="J290" s="17">
        <f t="shared" si="11"/>
        <v>1</v>
      </c>
      <c r="K290" s="40">
        <v>2</v>
      </c>
      <c r="L290" s="18">
        <v>0</v>
      </c>
      <c r="M290" s="17">
        <v>0</v>
      </c>
      <c r="N290" s="18">
        <f t="shared" si="12"/>
        <v>2</v>
      </c>
      <c r="O290" s="17">
        <f t="shared" si="13"/>
        <v>1</v>
      </c>
      <c r="P290" s="3"/>
      <c r="Q290" s="19">
        <f t="shared" si="14"/>
        <v>1015</v>
      </c>
      <c r="R290" s="19">
        <v>0</v>
      </c>
      <c r="S290" s="19">
        <f t="shared" si="15"/>
        <v>0</v>
      </c>
      <c r="T290" s="19">
        <f t="shared" si="16"/>
        <v>0</v>
      </c>
      <c r="U290" s="19">
        <f t="shared" si="17"/>
        <v>507.5</v>
      </c>
      <c r="V290" s="19">
        <f t="shared" si="18"/>
        <v>0</v>
      </c>
      <c r="W290" s="19">
        <f t="shared" si="19"/>
        <v>507.5</v>
      </c>
      <c r="X290" s="20">
        <f t="shared" si="20"/>
        <v>507.5</v>
      </c>
      <c r="Y290" s="20">
        <f t="shared" si="21"/>
        <v>0</v>
      </c>
    </row>
    <row r="291" spans="1:25" ht="15.75" hidden="1" customHeight="1">
      <c r="A291" s="14" t="s">
        <v>592</v>
      </c>
      <c r="B291" s="15" t="s">
        <v>593</v>
      </c>
      <c r="C291" s="16">
        <v>0</v>
      </c>
      <c r="D291" s="16">
        <v>0</v>
      </c>
      <c r="E291" s="17">
        <v>0</v>
      </c>
      <c r="F291" s="18">
        <v>0</v>
      </c>
      <c r="G291" s="18">
        <v>0</v>
      </c>
      <c r="H291" s="36">
        <v>0</v>
      </c>
      <c r="I291" s="17">
        <v>0</v>
      </c>
      <c r="J291" s="17">
        <f t="shared" si="11"/>
        <v>0</v>
      </c>
      <c r="K291" s="40">
        <v>0</v>
      </c>
      <c r="L291" s="18">
        <v>0</v>
      </c>
      <c r="M291" s="17">
        <v>0</v>
      </c>
      <c r="N291" s="18">
        <f t="shared" si="12"/>
        <v>0</v>
      </c>
      <c r="O291" s="17">
        <f t="shared" si="13"/>
        <v>0</v>
      </c>
      <c r="P291" s="3"/>
      <c r="Q291" s="19">
        <f t="shared" si="14"/>
        <v>0</v>
      </c>
      <c r="R291" s="19">
        <v>0</v>
      </c>
      <c r="S291" s="19">
        <f t="shared" si="15"/>
        <v>0</v>
      </c>
      <c r="T291" s="19">
        <f t="shared" si="16"/>
        <v>0</v>
      </c>
      <c r="U291" s="19">
        <f t="shared" si="17"/>
        <v>0</v>
      </c>
      <c r="V291" s="19">
        <f t="shared" si="18"/>
        <v>0</v>
      </c>
      <c r="W291" s="19">
        <f t="shared" si="19"/>
        <v>0</v>
      </c>
      <c r="X291" s="20">
        <f t="shared" si="20"/>
        <v>0</v>
      </c>
      <c r="Y291" s="20">
        <f t="shared" si="21"/>
        <v>0</v>
      </c>
    </row>
    <row r="292" spans="1:25" ht="15.75" hidden="1" customHeight="1">
      <c r="A292" s="14" t="s">
        <v>594</v>
      </c>
      <c r="B292" s="15" t="s">
        <v>595</v>
      </c>
      <c r="C292" s="16">
        <v>19.510000000000002</v>
      </c>
      <c r="D292" s="16">
        <v>19.510000000000002</v>
      </c>
      <c r="E292" s="17">
        <v>0</v>
      </c>
      <c r="F292" s="18">
        <v>0</v>
      </c>
      <c r="G292" s="18">
        <v>0</v>
      </c>
      <c r="H292" s="36">
        <v>0</v>
      </c>
      <c r="I292" s="17">
        <v>0</v>
      </c>
      <c r="J292" s="17">
        <f t="shared" si="11"/>
        <v>0</v>
      </c>
      <c r="K292" s="40">
        <v>0</v>
      </c>
      <c r="L292" s="18">
        <v>0</v>
      </c>
      <c r="M292" s="17">
        <v>0</v>
      </c>
      <c r="N292" s="18">
        <f t="shared" si="12"/>
        <v>0</v>
      </c>
      <c r="O292" s="17">
        <f t="shared" si="13"/>
        <v>0</v>
      </c>
      <c r="P292" s="3"/>
      <c r="Q292" s="19">
        <f t="shared" si="14"/>
        <v>0</v>
      </c>
      <c r="R292" s="19">
        <v>0</v>
      </c>
      <c r="S292" s="19">
        <f t="shared" si="15"/>
        <v>0</v>
      </c>
      <c r="T292" s="19">
        <f t="shared" si="16"/>
        <v>0</v>
      </c>
      <c r="U292" s="19">
        <f t="shared" si="17"/>
        <v>0</v>
      </c>
      <c r="V292" s="19">
        <f t="shared" si="18"/>
        <v>0</v>
      </c>
      <c r="W292" s="19">
        <f t="shared" si="19"/>
        <v>0</v>
      </c>
      <c r="X292" s="20">
        <f t="shared" si="20"/>
        <v>0</v>
      </c>
      <c r="Y292" s="20">
        <f t="shared" si="21"/>
        <v>0</v>
      </c>
    </row>
    <row r="293" spans="1:25" ht="15.75" hidden="1" customHeight="1">
      <c r="A293" s="14" t="s">
        <v>596</v>
      </c>
      <c r="B293" s="15" t="s">
        <v>597</v>
      </c>
      <c r="C293" s="16">
        <v>142.65</v>
      </c>
      <c r="D293" s="16">
        <v>142.65</v>
      </c>
      <c r="E293" s="17">
        <v>2</v>
      </c>
      <c r="F293" s="18">
        <v>0</v>
      </c>
      <c r="G293" s="18">
        <v>0</v>
      </c>
      <c r="H293" s="36">
        <v>0</v>
      </c>
      <c r="I293" s="17">
        <v>0</v>
      </c>
      <c r="J293" s="17">
        <f t="shared" si="11"/>
        <v>2</v>
      </c>
      <c r="K293" s="40">
        <v>2</v>
      </c>
      <c r="L293" s="18">
        <v>0</v>
      </c>
      <c r="M293" s="17">
        <v>0</v>
      </c>
      <c r="N293" s="18">
        <f t="shared" si="12"/>
        <v>2</v>
      </c>
      <c r="O293" s="17">
        <f t="shared" si="13"/>
        <v>0</v>
      </c>
      <c r="P293" s="3"/>
      <c r="Q293" s="19">
        <f t="shared" si="14"/>
        <v>285.3</v>
      </c>
      <c r="R293" s="19">
        <v>0</v>
      </c>
      <c r="S293" s="19">
        <f t="shared" si="15"/>
        <v>0</v>
      </c>
      <c r="T293" s="19">
        <f t="shared" si="16"/>
        <v>0</v>
      </c>
      <c r="U293" s="19">
        <f t="shared" si="17"/>
        <v>0</v>
      </c>
      <c r="V293" s="19">
        <f t="shared" si="18"/>
        <v>0</v>
      </c>
      <c r="W293" s="19">
        <f t="shared" si="19"/>
        <v>285.3</v>
      </c>
      <c r="X293" s="20">
        <f t="shared" si="20"/>
        <v>285.3</v>
      </c>
      <c r="Y293" s="20">
        <f t="shared" si="21"/>
        <v>0</v>
      </c>
    </row>
    <row r="294" spans="1:25" ht="15.75" hidden="1" customHeight="1">
      <c r="A294" s="14" t="s">
        <v>598</v>
      </c>
      <c r="B294" s="15" t="s">
        <v>599</v>
      </c>
      <c r="C294" s="16">
        <v>7.05</v>
      </c>
      <c r="D294" s="16">
        <v>7.05</v>
      </c>
      <c r="E294" s="17">
        <v>0</v>
      </c>
      <c r="F294" s="18">
        <v>0</v>
      </c>
      <c r="G294" s="18">
        <v>0</v>
      </c>
      <c r="H294" s="36">
        <v>0</v>
      </c>
      <c r="I294" s="17">
        <v>0</v>
      </c>
      <c r="J294" s="17">
        <f t="shared" si="11"/>
        <v>0</v>
      </c>
      <c r="K294" s="40">
        <v>0</v>
      </c>
      <c r="L294" s="18">
        <v>0</v>
      </c>
      <c r="M294" s="17">
        <v>0</v>
      </c>
      <c r="N294" s="18">
        <f t="shared" si="12"/>
        <v>0</v>
      </c>
      <c r="O294" s="17">
        <f t="shared" si="13"/>
        <v>0</v>
      </c>
      <c r="P294" s="3"/>
      <c r="Q294" s="19">
        <f t="shared" si="14"/>
        <v>0</v>
      </c>
      <c r="R294" s="19">
        <v>0</v>
      </c>
      <c r="S294" s="19">
        <f t="shared" si="15"/>
        <v>0</v>
      </c>
      <c r="T294" s="19">
        <f t="shared" si="16"/>
        <v>0</v>
      </c>
      <c r="U294" s="19">
        <f t="shared" si="17"/>
        <v>0</v>
      </c>
      <c r="V294" s="19">
        <f t="shared" si="18"/>
        <v>0</v>
      </c>
      <c r="W294" s="19">
        <f t="shared" si="19"/>
        <v>0</v>
      </c>
      <c r="X294" s="20">
        <f t="shared" si="20"/>
        <v>0</v>
      </c>
      <c r="Y294" s="20">
        <f t="shared" si="21"/>
        <v>0</v>
      </c>
    </row>
    <row r="295" spans="1:25" ht="15.75" hidden="1" customHeight="1">
      <c r="A295" s="14" t="s">
        <v>600</v>
      </c>
      <c r="B295" s="15" t="s">
        <v>601</v>
      </c>
      <c r="C295" s="16">
        <v>522</v>
      </c>
      <c r="D295" s="16">
        <v>522</v>
      </c>
      <c r="E295" s="17">
        <v>18</v>
      </c>
      <c r="F295" s="18">
        <v>0</v>
      </c>
      <c r="G295" s="18">
        <v>0</v>
      </c>
      <c r="H295" s="36">
        <v>0</v>
      </c>
      <c r="I295" s="17">
        <v>0</v>
      </c>
      <c r="J295" s="17">
        <f t="shared" si="11"/>
        <v>18</v>
      </c>
      <c r="K295" s="40">
        <v>18</v>
      </c>
      <c r="L295" s="18">
        <v>0</v>
      </c>
      <c r="M295" s="17">
        <v>0</v>
      </c>
      <c r="N295" s="18">
        <f t="shared" si="12"/>
        <v>18</v>
      </c>
      <c r="O295" s="17">
        <f t="shared" si="13"/>
        <v>0</v>
      </c>
      <c r="P295" s="3"/>
      <c r="Q295" s="19">
        <f t="shared" si="14"/>
        <v>9396</v>
      </c>
      <c r="R295" s="19">
        <v>0</v>
      </c>
      <c r="S295" s="19">
        <f t="shared" si="15"/>
        <v>0</v>
      </c>
      <c r="T295" s="19">
        <f t="shared" si="16"/>
        <v>0</v>
      </c>
      <c r="U295" s="19">
        <f t="shared" si="17"/>
        <v>0</v>
      </c>
      <c r="V295" s="19">
        <f t="shared" si="18"/>
        <v>0</v>
      </c>
      <c r="W295" s="19">
        <f t="shared" si="19"/>
        <v>9396</v>
      </c>
      <c r="X295" s="20">
        <f t="shared" si="20"/>
        <v>9396</v>
      </c>
      <c r="Y295" s="20">
        <f t="shared" si="21"/>
        <v>0</v>
      </c>
    </row>
    <row r="296" spans="1:25" ht="15.75" hidden="1" customHeight="1">
      <c r="A296" s="14" t="s">
        <v>602</v>
      </c>
      <c r="B296" s="15" t="s">
        <v>603</v>
      </c>
      <c r="C296" s="16">
        <v>30.91</v>
      </c>
      <c r="D296" s="16">
        <v>30.91</v>
      </c>
      <c r="E296" s="17">
        <v>0</v>
      </c>
      <c r="F296" s="18">
        <v>0</v>
      </c>
      <c r="G296" s="18">
        <v>0</v>
      </c>
      <c r="H296" s="36">
        <v>0</v>
      </c>
      <c r="I296" s="17">
        <v>0</v>
      </c>
      <c r="J296" s="17">
        <f t="shared" si="11"/>
        <v>0</v>
      </c>
      <c r="K296" s="40">
        <v>0</v>
      </c>
      <c r="L296" s="18">
        <v>0</v>
      </c>
      <c r="M296" s="17">
        <v>0</v>
      </c>
      <c r="N296" s="18">
        <f t="shared" si="12"/>
        <v>0</v>
      </c>
      <c r="O296" s="17">
        <f t="shared" si="13"/>
        <v>0</v>
      </c>
      <c r="P296" s="3"/>
      <c r="Q296" s="19">
        <f t="shared" si="14"/>
        <v>0</v>
      </c>
      <c r="R296" s="19">
        <v>0</v>
      </c>
      <c r="S296" s="19">
        <f t="shared" si="15"/>
        <v>0</v>
      </c>
      <c r="T296" s="19">
        <f t="shared" si="16"/>
        <v>0</v>
      </c>
      <c r="U296" s="19">
        <f t="shared" si="17"/>
        <v>0</v>
      </c>
      <c r="V296" s="19">
        <f t="shared" si="18"/>
        <v>0</v>
      </c>
      <c r="W296" s="19">
        <f t="shared" si="19"/>
        <v>0</v>
      </c>
      <c r="X296" s="20">
        <f t="shared" si="20"/>
        <v>0</v>
      </c>
      <c r="Y296" s="20">
        <f t="shared" si="21"/>
        <v>0</v>
      </c>
    </row>
    <row r="297" spans="1:25" ht="15.75" hidden="1" customHeight="1">
      <c r="A297" s="14" t="s">
        <v>604</v>
      </c>
      <c r="B297" s="15" t="s">
        <v>605</v>
      </c>
      <c r="C297" s="16">
        <v>570</v>
      </c>
      <c r="D297" s="16">
        <v>570</v>
      </c>
      <c r="E297" s="17">
        <v>4</v>
      </c>
      <c r="F297" s="18">
        <v>0</v>
      </c>
      <c r="G297" s="18">
        <v>0</v>
      </c>
      <c r="H297" s="36">
        <v>0</v>
      </c>
      <c r="I297" s="17">
        <v>0</v>
      </c>
      <c r="J297" s="17">
        <f t="shared" si="11"/>
        <v>4</v>
      </c>
      <c r="K297" s="40">
        <v>4</v>
      </c>
      <c r="L297" s="18">
        <v>0</v>
      </c>
      <c r="M297" s="17">
        <v>0</v>
      </c>
      <c r="N297" s="18">
        <f t="shared" si="12"/>
        <v>4</v>
      </c>
      <c r="O297" s="17">
        <f t="shared" si="13"/>
        <v>0</v>
      </c>
      <c r="P297" s="3"/>
      <c r="Q297" s="19">
        <f t="shared" si="14"/>
        <v>2280</v>
      </c>
      <c r="R297" s="19">
        <v>0</v>
      </c>
      <c r="S297" s="19">
        <f t="shared" si="15"/>
        <v>0</v>
      </c>
      <c r="T297" s="19">
        <f t="shared" si="16"/>
        <v>0</v>
      </c>
      <c r="U297" s="19">
        <f t="shared" si="17"/>
        <v>0</v>
      </c>
      <c r="V297" s="19">
        <f t="shared" si="18"/>
        <v>0</v>
      </c>
      <c r="W297" s="19">
        <f t="shared" si="19"/>
        <v>2280</v>
      </c>
      <c r="X297" s="20">
        <f t="shared" si="20"/>
        <v>2280</v>
      </c>
      <c r="Y297" s="20">
        <f t="shared" si="21"/>
        <v>0</v>
      </c>
    </row>
    <row r="298" spans="1:25" ht="15.75" hidden="1" customHeight="1">
      <c r="A298" s="14" t="s">
        <v>606</v>
      </c>
      <c r="B298" s="15" t="s">
        <v>607</v>
      </c>
      <c r="C298" s="16">
        <v>380</v>
      </c>
      <c r="D298" s="16">
        <v>380</v>
      </c>
      <c r="E298" s="17">
        <v>0</v>
      </c>
      <c r="F298" s="18">
        <v>0</v>
      </c>
      <c r="G298" s="18">
        <v>0</v>
      </c>
      <c r="H298" s="36">
        <v>0</v>
      </c>
      <c r="I298" s="17">
        <v>0</v>
      </c>
      <c r="J298" s="17">
        <f t="shared" si="11"/>
        <v>0</v>
      </c>
      <c r="K298" s="40">
        <v>0</v>
      </c>
      <c r="L298" s="18">
        <v>0</v>
      </c>
      <c r="M298" s="17">
        <v>0</v>
      </c>
      <c r="N298" s="18">
        <f t="shared" si="12"/>
        <v>0</v>
      </c>
      <c r="O298" s="17">
        <f t="shared" si="13"/>
        <v>0</v>
      </c>
      <c r="P298" s="3"/>
      <c r="Q298" s="19">
        <f t="shared" si="14"/>
        <v>0</v>
      </c>
      <c r="R298" s="19">
        <v>0</v>
      </c>
      <c r="S298" s="19">
        <f t="shared" si="15"/>
        <v>0</v>
      </c>
      <c r="T298" s="19">
        <f t="shared" si="16"/>
        <v>0</v>
      </c>
      <c r="U298" s="19">
        <f t="shared" si="17"/>
        <v>0</v>
      </c>
      <c r="V298" s="19">
        <f t="shared" si="18"/>
        <v>0</v>
      </c>
      <c r="W298" s="19">
        <f t="shared" si="19"/>
        <v>0</v>
      </c>
      <c r="X298" s="20">
        <f t="shared" si="20"/>
        <v>0</v>
      </c>
      <c r="Y298" s="20">
        <f t="shared" si="21"/>
        <v>0</v>
      </c>
    </row>
    <row r="299" spans="1:25" ht="15.75" hidden="1" customHeight="1">
      <c r="A299" s="14" t="s">
        <v>608</v>
      </c>
      <c r="B299" s="15" t="s">
        <v>609</v>
      </c>
      <c r="C299" s="16">
        <v>985</v>
      </c>
      <c r="D299" s="16">
        <v>985</v>
      </c>
      <c r="E299" s="17">
        <v>0</v>
      </c>
      <c r="F299" s="18">
        <v>0</v>
      </c>
      <c r="G299" s="18">
        <v>0</v>
      </c>
      <c r="H299" s="36">
        <v>0</v>
      </c>
      <c r="I299" s="17">
        <v>0</v>
      </c>
      <c r="J299" s="17">
        <f t="shared" si="11"/>
        <v>0</v>
      </c>
      <c r="K299" s="40">
        <v>0</v>
      </c>
      <c r="L299" s="18">
        <v>0</v>
      </c>
      <c r="M299" s="17">
        <v>0</v>
      </c>
      <c r="N299" s="18">
        <f t="shared" si="12"/>
        <v>0</v>
      </c>
      <c r="O299" s="17">
        <f t="shared" si="13"/>
        <v>0</v>
      </c>
      <c r="P299" s="3"/>
      <c r="Q299" s="19">
        <f t="shared" si="14"/>
        <v>0</v>
      </c>
      <c r="R299" s="19">
        <v>0</v>
      </c>
      <c r="S299" s="19">
        <f t="shared" si="15"/>
        <v>0</v>
      </c>
      <c r="T299" s="19">
        <f t="shared" si="16"/>
        <v>0</v>
      </c>
      <c r="U299" s="19">
        <f t="shared" si="17"/>
        <v>0</v>
      </c>
      <c r="V299" s="19">
        <f t="shared" si="18"/>
        <v>0</v>
      </c>
      <c r="W299" s="19">
        <f t="shared" si="19"/>
        <v>0</v>
      </c>
      <c r="X299" s="20">
        <f t="shared" si="20"/>
        <v>0</v>
      </c>
      <c r="Y299" s="20">
        <f t="shared" si="21"/>
        <v>0</v>
      </c>
    </row>
    <row r="300" spans="1:25" ht="15.75" hidden="1" customHeight="1">
      <c r="A300" s="14" t="s">
        <v>610</v>
      </c>
      <c r="B300" s="15" t="s">
        <v>611</v>
      </c>
      <c r="C300" s="16">
        <v>450</v>
      </c>
      <c r="D300" s="16">
        <v>450</v>
      </c>
      <c r="E300" s="17">
        <v>1</v>
      </c>
      <c r="F300" s="18">
        <v>0</v>
      </c>
      <c r="G300" s="18">
        <v>0</v>
      </c>
      <c r="H300" s="36">
        <v>0</v>
      </c>
      <c r="I300" s="17">
        <v>0</v>
      </c>
      <c r="J300" s="17">
        <f t="shared" si="11"/>
        <v>1</v>
      </c>
      <c r="K300" s="40">
        <v>1</v>
      </c>
      <c r="L300" s="18">
        <v>0</v>
      </c>
      <c r="M300" s="18">
        <v>0</v>
      </c>
      <c r="N300" s="18">
        <f t="shared" si="12"/>
        <v>1</v>
      </c>
      <c r="O300" s="17">
        <f t="shared" si="13"/>
        <v>0</v>
      </c>
      <c r="P300" s="3"/>
      <c r="Q300" s="19">
        <f t="shared" si="14"/>
        <v>450</v>
      </c>
      <c r="R300" s="19">
        <v>0</v>
      </c>
      <c r="S300" s="19">
        <f t="shared" si="15"/>
        <v>0</v>
      </c>
      <c r="T300" s="19">
        <f t="shared" si="16"/>
        <v>0</v>
      </c>
      <c r="U300" s="19">
        <f t="shared" si="17"/>
        <v>0</v>
      </c>
      <c r="V300" s="19">
        <f t="shared" si="18"/>
        <v>0</v>
      </c>
      <c r="W300" s="19">
        <f t="shared" si="19"/>
        <v>450</v>
      </c>
      <c r="X300" s="20">
        <f t="shared" si="20"/>
        <v>450</v>
      </c>
      <c r="Y300" s="20">
        <f t="shared" si="21"/>
        <v>0</v>
      </c>
    </row>
    <row r="301" spans="1:25" ht="15.75" hidden="1" customHeight="1">
      <c r="A301" s="14" t="s">
        <v>612</v>
      </c>
      <c r="B301" s="15" t="s">
        <v>613</v>
      </c>
      <c r="C301" s="16">
        <v>888</v>
      </c>
      <c r="D301" s="16">
        <v>888</v>
      </c>
      <c r="E301" s="17">
        <v>1</v>
      </c>
      <c r="F301" s="18">
        <v>0</v>
      </c>
      <c r="G301" s="18">
        <v>0</v>
      </c>
      <c r="H301" s="36">
        <v>0</v>
      </c>
      <c r="I301" s="17">
        <v>0</v>
      </c>
      <c r="J301" s="17">
        <f t="shared" si="11"/>
        <v>1</v>
      </c>
      <c r="K301" s="40">
        <v>1</v>
      </c>
      <c r="L301" s="18">
        <v>0</v>
      </c>
      <c r="M301" s="17">
        <v>0</v>
      </c>
      <c r="N301" s="18">
        <f t="shared" si="12"/>
        <v>1</v>
      </c>
      <c r="O301" s="17">
        <f t="shared" si="13"/>
        <v>0</v>
      </c>
      <c r="P301" s="3"/>
      <c r="Q301" s="19">
        <f t="shared" si="14"/>
        <v>888</v>
      </c>
      <c r="R301" s="19">
        <v>0</v>
      </c>
      <c r="S301" s="19">
        <f t="shared" si="15"/>
        <v>0</v>
      </c>
      <c r="T301" s="19">
        <f t="shared" si="16"/>
        <v>0</v>
      </c>
      <c r="U301" s="19">
        <f t="shared" si="17"/>
        <v>0</v>
      </c>
      <c r="V301" s="19">
        <f t="shared" si="18"/>
        <v>0</v>
      </c>
      <c r="W301" s="19">
        <f t="shared" si="19"/>
        <v>888</v>
      </c>
      <c r="X301" s="20">
        <f t="shared" si="20"/>
        <v>888</v>
      </c>
      <c r="Y301" s="20">
        <f t="shared" si="21"/>
        <v>0</v>
      </c>
    </row>
    <row r="302" spans="1:25" ht="15.75" hidden="1" customHeight="1">
      <c r="A302" s="14" t="s">
        <v>614</v>
      </c>
      <c r="B302" s="15" t="s">
        <v>615</v>
      </c>
      <c r="C302" s="16">
        <v>1204.43</v>
      </c>
      <c r="D302" s="16">
        <v>1204.43</v>
      </c>
      <c r="E302" s="17">
        <v>1</v>
      </c>
      <c r="F302" s="18">
        <v>0</v>
      </c>
      <c r="G302" s="18">
        <v>0</v>
      </c>
      <c r="H302" s="36">
        <v>0</v>
      </c>
      <c r="I302" s="17">
        <v>0</v>
      </c>
      <c r="J302" s="17">
        <f t="shared" si="11"/>
        <v>1</v>
      </c>
      <c r="K302" s="40">
        <v>1</v>
      </c>
      <c r="L302" s="18">
        <v>0</v>
      </c>
      <c r="M302" s="17">
        <v>0</v>
      </c>
      <c r="N302" s="18">
        <f t="shared" si="12"/>
        <v>1</v>
      </c>
      <c r="O302" s="17">
        <f t="shared" si="13"/>
        <v>0</v>
      </c>
      <c r="P302" s="3"/>
      <c r="Q302" s="19">
        <f t="shared" si="14"/>
        <v>1204.43</v>
      </c>
      <c r="R302" s="19">
        <v>0</v>
      </c>
      <c r="S302" s="19">
        <f t="shared" si="15"/>
        <v>0</v>
      </c>
      <c r="T302" s="19">
        <f t="shared" si="16"/>
        <v>0</v>
      </c>
      <c r="U302" s="19">
        <f t="shared" si="17"/>
        <v>0</v>
      </c>
      <c r="V302" s="19">
        <f t="shared" si="18"/>
        <v>0</v>
      </c>
      <c r="W302" s="19">
        <f t="shared" si="19"/>
        <v>1204.43</v>
      </c>
      <c r="X302" s="20">
        <f t="shared" si="20"/>
        <v>1204.43</v>
      </c>
      <c r="Y302" s="20">
        <f t="shared" si="21"/>
        <v>0</v>
      </c>
    </row>
    <row r="303" spans="1:25" ht="15.75" hidden="1" customHeight="1">
      <c r="A303" s="14" t="s">
        <v>616</v>
      </c>
      <c r="B303" s="15" t="s">
        <v>617</v>
      </c>
      <c r="C303" s="16">
        <v>890</v>
      </c>
      <c r="D303" s="16">
        <v>890</v>
      </c>
      <c r="E303" s="17">
        <v>2</v>
      </c>
      <c r="F303" s="18">
        <v>0</v>
      </c>
      <c r="G303" s="18">
        <v>0</v>
      </c>
      <c r="H303" s="36">
        <v>0</v>
      </c>
      <c r="I303" s="17">
        <v>0</v>
      </c>
      <c r="J303" s="17">
        <f t="shared" si="11"/>
        <v>2</v>
      </c>
      <c r="K303" s="40">
        <v>2</v>
      </c>
      <c r="L303" s="18">
        <v>0</v>
      </c>
      <c r="M303" s="17">
        <v>0</v>
      </c>
      <c r="N303" s="18">
        <f t="shared" si="12"/>
        <v>2</v>
      </c>
      <c r="O303" s="17">
        <f t="shared" si="13"/>
        <v>0</v>
      </c>
      <c r="P303" s="3"/>
      <c r="Q303" s="19">
        <f t="shared" si="14"/>
        <v>1780</v>
      </c>
      <c r="R303" s="19">
        <v>0</v>
      </c>
      <c r="S303" s="19">
        <f t="shared" si="15"/>
        <v>0</v>
      </c>
      <c r="T303" s="19">
        <f t="shared" si="16"/>
        <v>0</v>
      </c>
      <c r="U303" s="19">
        <f t="shared" si="17"/>
        <v>0</v>
      </c>
      <c r="V303" s="19">
        <f t="shared" si="18"/>
        <v>0</v>
      </c>
      <c r="W303" s="19">
        <f t="shared" si="19"/>
        <v>1780</v>
      </c>
      <c r="X303" s="20">
        <f t="shared" si="20"/>
        <v>1780</v>
      </c>
      <c r="Y303" s="20">
        <f t="shared" si="21"/>
        <v>0</v>
      </c>
    </row>
    <row r="304" spans="1:25" ht="15.75" hidden="1" customHeight="1">
      <c r="A304" s="14" t="s">
        <v>618</v>
      </c>
      <c r="B304" s="15" t="s">
        <v>619</v>
      </c>
      <c r="C304" s="16">
        <v>695</v>
      </c>
      <c r="D304" s="16">
        <v>695</v>
      </c>
      <c r="E304" s="17">
        <v>14</v>
      </c>
      <c r="F304" s="18">
        <v>0</v>
      </c>
      <c r="G304" s="18">
        <v>0</v>
      </c>
      <c r="H304" s="36">
        <v>0</v>
      </c>
      <c r="I304" s="17">
        <v>0</v>
      </c>
      <c r="J304" s="17">
        <f t="shared" si="11"/>
        <v>14</v>
      </c>
      <c r="K304" s="40">
        <v>14</v>
      </c>
      <c r="L304" s="18">
        <v>0</v>
      </c>
      <c r="M304" s="17">
        <v>0</v>
      </c>
      <c r="N304" s="18">
        <f t="shared" si="12"/>
        <v>14</v>
      </c>
      <c r="O304" s="17">
        <f t="shared" si="13"/>
        <v>0</v>
      </c>
      <c r="P304" s="3"/>
      <c r="Q304" s="19">
        <f t="shared" si="14"/>
        <v>9730</v>
      </c>
      <c r="R304" s="19">
        <v>0</v>
      </c>
      <c r="S304" s="19">
        <f t="shared" si="15"/>
        <v>0</v>
      </c>
      <c r="T304" s="19">
        <f t="shared" si="16"/>
        <v>0</v>
      </c>
      <c r="U304" s="19">
        <f t="shared" si="17"/>
        <v>0</v>
      </c>
      <c r="V304" s="19">
        <f t="shared" si="18"/>
        <v>0</v>
      </c>
      <c r="W304" s="19">
        <f t="shared" si="19"/>
        <v>9730</v>
      </c>
      <c r="X304" s="20">
        <f t="shared" si="20"/>
        <v>9730</v>
      </c>
      <c r="Y304" s="20">
        <f t="shared" si="21"/>
        <v>0</v>
      </c>
    </row>
    <row r="305" spans="1:26" ht="15.75" customHeight="1">
      <c r="A305" s="25" t="s">
        <v>16</v>
      </c>
      <c r="B305" s="25"/>
      <c r="C305" s="26"/>
      <c r="D305" s="26"/>
      <c r="E305" s="27">
        <f t="shared" ref="E305:O305" si="22">SUM(E7:E304)</f>
        <v>1630</v>
      </c>
      <c r="F305" s="27">
        <f t="shared" si="22"/>
        <v>0</v>
      </c>
      <c r="G305" s="27">
        <f t="shared" si="22"/>
        <v>0</v>
      </c>
      <c r="H305" s="27">
        <f t="shared" si="22"/>
        <v>13</v>
      </c>
      <c r="I305" s="27">
        <f t="shared" si="22"/>
        <v>0</v>
      </c>
      <c r="J305" s="27">
        <f t="shared" si="22"/>
        <v>1617</v>
      </c>
      <c r="K305" s="28">
        <f t="shared" si="22"/>
        <v>1478</v>
      </c>
      <c r="L305" s="28">
        <f t="shared" si="22"/>
        <v>104</v>
      </c>
      <c r="M305" s="28">
        <f t="shared" si="22"/>
        <v>51</v>
      </c>
      <c r="N305" s="28">
        <f t="shared" si="22"/>
        <v>1633</v>
      </c>
      <c r="O305" s="28">
        <f t="shared" si="22"/>
        <v>16</v>
      </c>
      <c r="P305" s="3"/>
      <c r="Q305" s="29">
        <f t="shared" ref="Q305:W305" si="23">SUM(Q7:Q304)</f>
        <v>407268.76</v>
      </c>
      <c r="R305" s="29">
        <f t="shared" si="23"/>
        <v>0</v>
      </c>
      <c r="S305" s="29">
        <f t="shared" si="23"/>
        <v>0</v>
      </c>
      <c r="T305" s="29">
        <f t="shared" si="23"/>
        <v>0</v>
      </c>
      <c r="U305" s="29">
        <f t="shared" si="23"/>
        <v>7700</v>
      </c>
      <c r="V305" s="29">
        <f t="shared" si="23"/>
        <v>0</v>
      </c>
      <c r="W305" s="29">
        <f t="shared" si="23"/>
        <v>399568.76</v>
      </c>
      <c r="X305" s="30"/>
      <c r="Y305" s="30"/>
    </row>
    <row r="306" spans="1:26" ht="15.75" customHeight="1">
      <c r="A306" s="31"/>
      <c r="B306" s="32"/>
      <c r="C306" s="33"/>
      <c r="D306" s="34"/>
      <c r="E306" s="34"/>
      <c r="F306" s="10"/>
      <c r="G306" s="31"/>
      <c r="H306" s="31"/>
      <c r="I306" s="31"/>
      <c r="J306" s="31"/>
      <c r="K306" s="31"/>
      <c r="L306" s="31"/>
      <c r="M306" s="31"/>
      <c r="N306" s="31"/>
      <c r="O306" s="3"/>
      <c r="P306" s="3"/>
      <c r="Q306" s="3"/>
      <c r="R306" s="3"/>
      <c r="S306" s="3"/>
      <c r="T306" s="3"/>
      <c r="U306" s="3"/>
      <c r="V306" s="31"/>
      <c r="W306" s="31"/>
      <c r="X306" s="31"/>
      <c r="Y306" s="31"/>
      <c r="Z306" s="31"/>
    </row>
    <row r="307" spans="1:26" ht="15.75" customHeight="1"/>
    <row r="308" spans="1:26" ht="15.75" customHeight="1"/>
    <row r="309" spans="1:26" ht="15.75" customHeight="1"/>
    <row r="310" spans="1:26" ht="15.75" customHeight="1"/>
    <row r="311" spans="1:26" ht="15.75" customHeight="1"/>
    <row r="312" spans="1:26" ht="15.75" customHeight="1">
      <c r="O312" s="4"/>
    </row>
    <row r="313" spans="1:26" ht="15.75" customHeight="1">
      <c r="O313" s="4"/>
    </row>
    <row r="314" spans="1:26" ht="15.75" customHeight="1"/>
    <row r="315" spans="1:26" ht="15.75" customHeight="1"/>
    <row r="316" spans="1:26" ht="15.75" customHeight="1"/>
    <row r="317" spans="1:26" ht="15.75" customHeight="1"/>
    <row r="318" spans="1:26" ht="15.75" customHeight="1"/>
    <row r="319" spans="1:26" ht="15.75" customHeight="1"/>
    <row r="320" spans="1:2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6:Z305" xr:uid="{00000000-0009-0000-0000-000003000000}">
    <filterColumn colId="7">
      <filters>
        <filter val="1"/>
        <filter val="13.00"/>
        <filter val="5"/>
      </filters>
    </filterColumn>
    <sortState xmlns:xlrd2="http://schemas.microsoft.com/office/spreadsheetml/2017/richdata2" ref="A6:Z305">
      <sortCondition ref="B6:B305"/>
    </sortState>
  </autoFilter>
  <mergeCells count="4">
    <mergeCell ref="A1:W1"/>
    <mergeCell ref="A2:W2"/>
    <mergeCell ref="A3:W3"/>
    <mergeCell ref="Q4:T4"/>
  </mergeCells>
  <pageMargins left="0.25" right="0.25" top="0.75" bottom="0.75" header="0" footer="0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zoomScaleNormal="100" workbookViewId="0">
      <pane ySplit="6" topLeftCell="A205" activePane="bottomLeft" state="frozen"/>
      <selection pane="bottomLeft" activeCell="A220" sqref="A220:XFD220"/>
    </sheetView>
  </sheetViews>
  <sheetFormatPr baseColWidth="10" defaultColWidth="14.42578125" defaultRowHeight="15" customHeight="1"/>
  <cols>
    <col min="1" max="1" width="10.7109375" customWidth="1"/>
    <col min="2" max="2" width="31.28515625" customWidth="1"/>
    <col min="3" max="3" width="12.5703125" customWidth="1"/>
    <col min="4" max="4" width="13.7109375" customWidth="1"/>
    <col min="5" max="5" width="11" customWidth="1"/>
    <col min="6" max="8" width="10.5703125" customWidth="1"/>
    <col min="9" max="9" width="11.42578125" customWidth="1"/>
    <col min="10" max="10" width="11" customWidth="1"/>
    <col min="11" max="14" width="11.42578125" customWidth="1"/>
    <col min="15" max="15" width="14.85546875" customWidth="1"/>
    <col min="16" max="16" width="5" customWidth="1"/>
    <col min="17" max="17" width="13.7109375" customWidth="1"/>
    <col min="18" max="22" width="11.42578125" customWidth="1"/>
    <col min="23" max="23" width="15.28515625" customWidth="1"/>
    <col min="24" max="25" width="11.42578125" hidden="1" customWidth="1"/>
    <col min="26" max="26" width="10.7109375" customWidth="1"/>
  </cols>
  <sheetData>
    <row r="1" spans="1:25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</row>
    <row r="2" spans="1:25">
      <c r="A2" s="255" t="s">
        <v>0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</row>
    <row r="3" spans="1:25">
      <c r="A3" s="253" t="s">
        <v>1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</row>
    <row r="4" spans="1:25">
      <c r="A4" s="1"/>
      <c r="B4" s="1"/>
      <c r="C4" s="2"/>
      <c r="D4" s="2"/>
      <c r="E4" s="2"/>
      <c r="F4" s="1"/>
      <c r="K4" s="1"/>
      <c r="L4" s="1"/>
      <c r="M4" s="1"/>
      <c r="N4" s="1"/>
      <c r="O4" s="1"/>
      <c r="P4" s="3"/>
      <c r="Q4" s="256">
        <v>46113</v>
      </c>
      <c r="R4" s="254"/>
      <c r="S4" s="254"/>
      <c r="T4" s="254"/>
      <c r="U4" s="4"/>
      <c r="V4" s="4"/>
      <c r="W4" s="4"/>
    </row>
    <row r="5" spans="1:25" ht="14.25" customHeight="1">
      <c r="C5" s="4"/>
      <c r="D5" s="4"/>
      <c r="F5" s="3"/>
      <c r="G5" s="3"/>
      <c r="H5" s="3"/>
      <c r="I5" s="3"/>
      <c r="J5" s="3"/>
      <c r="K5" s="3"/>
      <c r="L5" s="5"/>
      <c r="M5" s="3"/>
      <c r="N5" s="3"/>
      <c r="O5" s="6" t="s">
        <v>2</v>
      </c>
      <c r="P5" s="3"/>
      <c r="Q5" s="4"/>
      <c r="R5" s="4"/>
      <c r="S5" s="4"/>
      <c r="T5" s="4"/>
      <c r="U5" s="4"/>
      <c r="V5" s="4"/>
      <c r="W5" s="4"/>
    </row>
    <row r="6" spans="1:25" ht="38.25">
      <c r="A6" s="7" t="s">
        <v>3</v>
      </c>
      <c r="B6" s="7" t="s">
        <v>4</v>
      </c>
      <c r="C6" s="8" t="s">
        <v>5</v>
      </c>
      <c r="D6" s="8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35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10"/>
      <c r="Q6" s="11" t="s">
        <v>18</v>
      </c>
      <c r="R6" s="12" t="s">
        <v>19</v>
      </c>
      <c r="S6" s="11" t="s">
        <v>20</v>
      </c>
      <c r="T6" s="11" t="s">
        <v>21</v>
      </c>
      <c r="U6" s="11" t="s">
        <v>22</v>
      </c>
      <c r="V6" s="11" t="s">
        <v>23</v>
      </c>
      <c r="W6" s="11" t="s">
        <v>16</v>
      </c>
      <c r="X6" s="13"/>
      <c r="Y6" s="13"/>
    </row>
    <row r="7" spans="1:25">
      <c r="A7" s="14" t="s">
        <v>24</v>
      </c>
      <c r="B7" s="15" t="s">
        <v>25</v>
      </c>
      <c r="C7" s="16">
        <v>125</v>
      </c>
      <c r="D7" s="16">
        <v>125</v>
      </c>
      <c r="E7" s="17">
        <v>5</v>
      </c>
      <c r="F7" s="18">
        <v>0</v>
      </c>
      <c r="G7" s="18">
        <v>0</v>
      </c>
      <c r="H7" s="36">
        <v>0</v>
      </c>
      <c r="I7" s="17">
        <v>0</v>
      </c>
      <c r="J7" s="17">
        <f t="shared" ref="J7:J261" si="0">E7+F7+G7-H7-I7</f>
        <v>5</v>
      </c>
      <c r="K7" s="37">
        <v>5</v>
      </c>
      <c r="L7" s="17">
        <v>0</v>
      </c>
      <c r="M7" s="17">
        <v>0</v>
      </c>
      <c r="N7" s="17">
        <f t="shared" ref="N7:N261" si="1">K7+L7+M7</f>
        <v>5</v>
      </c>
      <c r="O7" s="17">
        <f t="shared" ref="O7:O261" si="2">N7-J7</f>
        <v>0</v>
      </c>
      <c r="P7" s="3"/>
      <c r="Q7" s="19">
        <f t="shared" ref="Q7:Q261" si="3">C7*E7</f>
        <v>625</v>
      </c>
      <c r="R7" s="19">
        <v>0</v>
      </c>
      <c r="S7" s="19">
        <f t="shared" ref="S7:S261" si="4">D7*F7</f>
        <v>0</v>
      </c>
      <c r="T7" s="19">
        <f t="shared" ref="T7:T261" si="5">D7*G7</f>
        <v>0</v>
      </c>
      <c r="U7" s="19">
        <f t="shared" ref="U7:U261" si="6">D7*H7</f>
        <v>0</v>
      </c>
      <c r="V7" s="19">
        <f t="shared" ref="V7:V261" si="7">D7*I7</f>
        <v>0</v>
      </c>
      <c r="W7" s="19">
        <f t="shared" ref="W7:W261" si="8">Q7+R7+S7+T7-U7-V7</f>
        <v>625</v>
      </c>
      <c r="X7" s="20">
        <f t="shared" ref="X7:X261" si="9">J7*D7</f>
        <v>625</v>
      </c>
      <c r="Y7" s="20">
        <f t="shared" ref="Y7:Y261" si="10">X7-W7</f>
        <v>0</v>
      </c>
    </row>
    <row r="8" spans="1:25">
      <c r="A8" s="14" t="s">
        <v>26</v>
      </c>
      <c r="B8" s="15" t="s">
        <v>27</v>
      </c>
      <c r="C8" s="16">
        <v>325</v>
      </c>
      <c r="D8" s="16">
        <v>325</v>
      </c>
      <c r="E8" s="17">
        <v>0</v>
      </c>
      <c r="F8" s="18">
        <v>0</v>
      </c>
      <c r="G8" s="18">
        <v>0</v>
      </c>
      <c r="H8" s="36">
        <v>0</v>
      </c>
      <c r="I8" s="17">
        <v>0</v>
      </c>
      <c r="J8" s="17">
        <f t="shared" si="0"/>
        <v>0</v>
      </c>
      <c r="K8" s="37">
        <v>0</v>
      </c>
      <c r="L8" s="17">
        <v>0</v>
      </c>
      <c r="M8" s="17">
        <v>0</v>
      </c>
      <c r="N8" s="17">
        <f t="shared" si="1"/>
        <v>0</v>
      </c>
      <c r="O8" s="17">
        <f t="shared" si="2"/>
        <v>0</v>
      </c>
      <c r="P8" s="3"/>
      <c r="Q8" s="19">
        <f t="shared" si="3"/>
        <v>0</v>
      </c>
      <c r="R8" s="19">
        <v>0</v>
      </c>
      <c r="S8" s="19">
        <f t="shared" si="4"/>
        <v>0</v>
      </c>
      <c r="T8" s="19">
        <f t="shared" si="5"/>
        <v>0</v>
      </c>
      <c r="U8" s="19">
        <f t="shared" si="6"/>
        <v>0</v>
      </c>
      <c r="V8" s="19">
        <f t="shared" si="7"/>
        <v>0</v>
      </c>
      <c r="W8" s="19">
        <f t="shared" si="8"/>
        <v>0</v>
      </c>
      <c r="X8" s="20">
        <f t="shared" si="9"/>
        <v>0</v>
      </c>
      <c r="Y8" s="20">
        <f t="shared" si="10"/>
        <v>0</v>
      </c>
    </row>
    <row r="9" spans="1:25">
      <c r="A9" s="14" t="s">
        <v>28</v>
      </c>
      <c r="B9" s="15" t="s">
        <v>29</v>
      </c>
      <c r="C9" s="16">
        <v>105.56</v>
      </c>
      <c r="D9" s="16">
        <v>105.56</v>
      </c>
      <c r="E9" s="17">
        <v>0</v>
      </c>
      <c r="F9" s="18">
        <v>0</v>
      </c>
      <c r="G9" s="18">
        <v>0</v>
      </c>
      <c r="H9" s="36">
        <v>0</v>
      </c>
      <c r="I9" s="17">
        <v>0</v>
      </c>
      <c r="J9" s="17">
        <f t="shared" si="0"/>
        <v>0</v>
      </c>
      <c r="K9" s="37">
        <v>0</v>
      </c>
      <c r="L9" s="17">
        <v>0</v>
      </c>
      <c r="M9" s="17">
        <v>0</v>
      </c>
      <c r="N9" s="17">
        <f t="shared" si="1"/>
        <v>0</v>
      </c>
      <c r="O9" s="17">
        <f t="shared" si="2"/>
        <v>0</v>
      </c>
      <c r="P9" s="3"/>
      <c r="Q9" s="19">
        <f t="shared" si="3"/>
        <v>0</v>
      </c>
      <c r="R9" s="19">
        <v>0</v>
      </c>
      <c r="S9" s="19">
        <f t="shared" si="4"/>
        <v>0</v>
      </c>
      <c r="T9" s="19">
        <f t="shared" si="5"/>
        <v>0</v>
      </c>
      <c r="U9" s="19">
        <f t="shared" si="6"/>
        <v>0</v>
      </c>
      <c r="V9" s="19">
        <f t="shared" si="7"/>
        <v>0</v>
      </c>
      <c r="W9" s="19">
        <f t="shared" si="8"/>
        <v>0</v>
      </c>
      <c r="X9" s="20">
        <f t="shared" si="9"/>
        <v>0</v>
      </c>
      <c r="Y9" s="20">
        <f t="shared" si="10"/>
        <v>0</v>
      </c>
    </row>
    <row r="10" spans="1:25">
      <c r="A10" s="14" t="s">
        <v>30</v>
      </c>
      <c r="B10" s="15" t="s">
        <v>31</v>
      </c>
      <c r="C10" s="16">
        <v>105.56</v>
      </c>
      <c r="D10" s="16">
        <v>105.56</v>
      </c>
      <c r="E10" s="17">
        <v>0</v>
      </c>
      <c r="F10" s="18">
        <v>0</v>
      </c>
      <c r="G10" s="18">
        <v>0</v>
      </c>
      <c r="H10" s="36">
        <v>0</v>
      </c>
      <c r="I10" s="17">
        <v>0</v>
      </c>
      <c r="J10" s="17">
        <f t="shared" si="0"/>
        <v>0</v>
      </c>
      <c r="K10" s="37">
        <v>0</v>
      </c>
      <c r="L10" s="17">
        <v>0</v>
      </c>
      <c r="M10" s="17">
        <v>0</v>
      </c>
      <c r="N10" s="17">
        <f t="shared" si="1"/>
        <v>0</v>
      </c>
      <c r="O10" s="17">
        <f t="shared" si="2"/>
        <v>0</v>
      </c>
      <c r="P10" s="3"/>
      <c r="Q10" s="19">
        <f t="shared" si="3"/>
        <v>0</v>
      </c>
      <c r="R10" s="19">
        <v>0</v>
      </c>
      <c r="S10" s="19">
        <f t="shared" si="4"/>
        <v>0</v>
      </c>
      <c r="T10" s="19">
        <f t="shared" si="5"/>
        <v>0</v>
      </c>
      <c r="U10" s="19">
        <f t="shared" si="6"/>
        <v>0</v>
      </c>
      <c r="V10" s="19">
        <f t="shared" si="7"/>
        <v>0</v>
      </c>
      <c r="W10" s="19">
        <f t="shared" si="8"/>
        <v>0</v>
      </c>
      <c r="X10" s="20">
        <f t="shared" si="9"/>
        <v>0</v>
      </c>
      <c r="Y10" s="20">
        <f t="shared" si="10"/>
        <v>0</v>
      </c>
    </row>
    <row r="11" spans="1:25">
      <c r="A11" s="14" t="s">
        <v>32</v>
      </c>
      <c r="B11" s="15" t="s">
        <v>33</v>
      </c>
      <c r="C11" s="16">
        <v>325</v>
      </c>
      <c r="D11" s="16">
        <v>325</v>
      </c>
      <c r="E11" s="17">
        <v>0</v>
      </c>
      <c r="F11" s="18">
        <v>0</v>
      </c>
      <c r="G11" s="18">
        <v>0</v>
      </c>
      <c r="H11" s="36">
        <v>0</v>
      </c>
      <c r="I11" s="17">
        <v>0</v>
      </c>
      <c r="J11" s="17">
        <f t="shared" si="0"/>
        <v>0</v>
      </c>
      <c r="K11" s="37">
        <v>0</v>
      </c>
      <c r="L11" s="17">
        <v>0</v>
      </c>
      <c r="M11" s="17">
        <v>0</v>
      </c>
      <c r="N11" s="17">
        <f t="shared" si="1"/>
        <v>0</v>
      </c>
      <c r="O11" s="17">
        <f t="shared" si="2"/>
        <v>0</v>
      </c>
      <c r="P11" s="3"/>
      <c r="Q11" s="19">
        <f t="shared" si="3"/>
        <v>0</v>
      </c>
      <c r="R11" s="19">
        <v>0</v>
      </c>
      <c r="S11" s="19">
        <f t="shared" si="4"/>
        <v>0</v>
      </c>
      <c r="T11" s="19">
        <f t="shared" si="5"/>
        <v>0</v>
      </c>
      <c r="U11" s="19">
        <f t="shared" si="6"/>
        <v>0</v>
      </c>
      <c r="V11" s="19">
        <f t="shared" si="7"/>
        <v>0</v>
      </c>
      <c r="W11" s="19">
        <f t="shared" si="8"/>
        <v>0</v>
      </c>
      <c r="X11" s="20">
        <f t="shared" si="9"/>
        <v>0</v>
      </c>
      <c r="Y11" s="20">
        <f t="shared" si="10"/>
        <v>0</v>
      </c>
    </row>
    <row r="12" spans="1:25">
      <c r="A12" s="14" t="s">
        <v>34</v>
      </c>
      <c r="B12" s="15" t="s">
        <v>35</v>
      </c>
      <c r="C12" s="16">
        <v>263.58</v>
      </c>
      <c r="D12" s="16">
        <v>263.58</v>
      </c>
      <c r="E12" s="17">
        <v>15</v>
      </c>
      <c r="F12" s="18">
        <v>0</v>
      </c>
      <c r="G12" s="18">
        <v>0</v>
      </c>
      <c r="H12" s="36">
        <v>15</v>
      </c>
      <c r="I12" s="17">
        <v>0</v>
      </c>
      <c r="J12" s="17">
        <f t="shared" si="0"/>
        <v>0</v>
      </c>
      <c r="K12" s="37">
        <v>0</v>
      </c>
      <c r="L12" s="17">
        <v>0</v>
      </c>
      <c r="M12" s="17">
        <v>0</v>
      </c>
      <c r="N12" s="17">
        <f t="shared" si="1"/>
        <v>0</v>
      </c>
      <c r="O12" s="17">
        <f t="shared" si="2"/>
        <v>0</v>
      </c>
      <c r="P12" s="3"/>
      <c r="Q12" s="19">
        <f t="shared" si="3"/>
        <v>3953.7</v>
      </c>
      <c r="R12" s="19">
        <v>0</v>
      </c>
      <c r="S12" s="19">
        <f t="shared" si="4"/>
        <v>0</v>
      </c>
      <c r="T12" s="19">
        <f t="shared" si="5"/>
        <v>0</v>
      </c>
      <c r="U12" s="19">
        <f t="shared" si="6"/>
        <v>3953.7</v>
      </c>
      <c r="V12" s="19">
        <f t="shared" si="7"/>
        <v>0</v>
      </c>
      <c r="W12" s="19">
        <f t="shared" si="8"/>
        <v>0</v>
      </c>
      <c r="X12" s="20">
        <f t="shared" si="9"/>
        <v>0</v>
      </c>
      <c r="Y12" s="20">
        <f t="shared" si="10"/>
        <v>0</v>
      </c>
    </row>
    <row r="13" spans="1:25">
      <c r="A13" s="14" t="s">
        <v>36</v>
      </c>
      <c r="B13" s="15" t="s">
        <v>37</v>
      </c>
      <c r="C13" s="16">
        <v>0</v>
      </c>
      <c r="D13" s="16">
        <v>0</v>
      </c>
      <c r="E13" s="17">
        <v>0</v>
      </c>
      <c r="F13" s="18">
        <v>0</v>
      </c>
      <c r="G13" s="18">
        <v>0</v>
      </c>
      <c r="H13" s="36">
        <v>0</v>
      </c>
      <c r="I13" s="17">
        <v>0</v>
      </c>
      <c r="J13" s="17">
        <f t="shared" si="0"/>
        <v>0</v>
      </c>
      <c r="K13" s="37">
        <v>0</v>
      </c>
      <c r="L13" s="17">
        <v>0</v>
      </c>
      <c r="M13" s="17">
        <v>0</v>
      </c>
      <c r="N13" s="17">
        <f t="shared" si="1"/>
        <v>0</v>
      </c>
      <c r="O13" s="17">
        <f t="shared" si="2"/>
        <v>0</v>
      </c>
      <c r="P13" s="3"/>
      <c r="Q13" s="19">
        <f t="shared" si="3"/>
        <v>0</v>
      </c>
      <c r="R13" s="19">
        <v>0</v>
      </c>
      <c r="S13" s="19">
        <f t="shared" si="4"/>
        <v>0</v>
      </c>
      <c r="T13" s="19">
        <f t="shared" si="5"/>
        <v>0</v>
      </c>
      <c r="U13" s="19">
        <f t="shared" si="6"/>
        <v>0</v>
      </c>
      <c r="V13" s="19">
        <f t="shared" si="7"/>
        <v>0</v>
      </c>
      <c r="W13" s="19">
        <f t="shared" si="8"/>
        <v>0</v>
      </c>
      <c r="X13" s="20">
        <f t="shared" si="9"/>
        <v>0</v>
      </c>
      <c r="Y13" s="20">
        <f t="shared" si="10"/>
        <v>0</v>
      </c>
    </row>
    <row r="14" spans="1:25">
      <c r="A14" s="14" t="s">
        <v>38</v>
      </c>
      <c r="B14" s="15" t="s">
        <v>39</v>
      </c>
      <c r="C14" s="16">
        <v>1010</v>
      </c>
      <c r="D14" s="16">
        <v>1010</v>
      </c>
      <c r="E14" s="17">
        <v>1</v>
      </c>
      <c r="F14" s="18">
        <v>0</v>
      </c>
      <c r="G14" s="18">
        <v>0</v>
      </c>
      <c r="H14" s="36">
        <v>0</v>
      </c>
      <c r="I14" s="17">
        <v>0</v>
      </c>
      <c r="J14" s="17">
        <f t="shared" si="0"/>
        <v>1</v>
      </c>
      <c r="K14" s="37">
        <v>1</v>
      </c>
      <c r="L14" s="17">
        <v>0</v>
      </c>
      <c r="M14" s="17">
        <v>0</v>
      </c>
      <c r="N14" s="17">
        <f t="shared" si="1"/>
        <v>1</v>
      </c>
      <c r="O14" s="17">
        <f t="shared" si="2"/>
        <v>0</v>
      </c>
      <c r="P14" s="3"/>
      <c r="Q14" s="19">
        <f t="shared" si="3"/>
        <v>1010</v>
      </c>
      <c r="R14" s="19">
        <v>0</v>
      </c>
      <c r="S14" s="19">
        <f t="shared" si="4"/>
        <v>0</v>
      </c>
      <c r="T14" s="19">
        <f t="shared" si="5"/>
        <v>0</v>
      </c>
      <c r="U14" s="19">
        <f t="shared" si="6"/>
        <v>0</v>
      </c>
      <c r="V14" s="19">
        <f t="shared" si="7"/>
        <v>0</v>
      </c>
      <c r="W14" s="19">
        <f t="shared" si="8"/>
        <v>1010</v>
      </c>
      <c r="X14" s="20">
        <f t="shared" si="9"/>
        <v>1010</v>
      </c>
      <c r="Y14" s="20">
        <f t="shared" si="10"/>
        <v>0</v>
      </c>
    </row>
    <row r="15" spans="1:25">
      <c r="A15" s="14" t="s">
        <v>40</v>
      </c>
      <c r="B15" s="15" t="s">
        <v>41</v>
      </c>
      <c r="C15" s="16">
        <v>320</v>
      </c>
      <c r="D15" s="16">
        <v>320</v>
      </c>
      <c r="E15" s="17">
        <v>2</v>
      </c>
      <c r="F15" s="18">
        <v>0</v>
      </c>
      <c r="G15" s="18">
        <v>0</v>
      </c>
      <c r="H15" s="36">
        <v>0</v>
      </c>
      <c r="I15" s="17">
        <v>0</v>
      </c>
      <c r="J15" s="17">
        <f t="shared" si="0"/>
        <v>2</v>
      </c>
      <c r="K15" s="37">
        <v>2</v>
      </c>
      <c r="L15" s="17">
        <v>0</v>
      </c>
      <c r="M15" s="17">
        <v>0</v>
      </c>
      <c r="N15" s="17">
        <f t="shared" si="1"/>
        <v>2</v>
      </c>
      <c r="O15" s="17">
        <f t="shared" si="2"/>
        <v>0</v>
      </c>
      <c r="P15" s="3"/>
      <c r="Q15" s="19">
        <f t="shared" si="3"/>
        <v>640</v>
      </c>
      <c r="R15" s="19">
        <v>0</v>
      </c>
      <c r="S15" s="19">
        <f t="shared" si="4"/>
        <v>0</v>
      </c>
      <c r="T15" s="19">
        <f t="shared" si="5"/>
        <v>0</v>
      </c>
      <c r="U15" s="19">
        <f t="shared" si="6"/>
        <v>0</v>
      </c>
      <c r="V15" s="19">
        <f t="shared" si="7"/>
        <v>0</v>
      </c>
      <c r="W15" s="19">
        <f t="shared" si="8"/>
        <v>640</v>
      </c>
      <c r="X15" s="20">
        <f t="shared" si="9"/>
        <v>640</v>
      </c>
      <c r="Y15" s="20">
        <f t="shared" si="10"/>
        <v>0</v>
      </c>
    </row>
    <row r="16" spans="1:25">
      <c r="A16" s="14" t="s">
        <v>42</v>
      </c>
      <c r="B16" s="15" t="s">
        <v>43</v>
      </c>
      <c r="C16" s="16">
        <v>1</v>
      </c>
      <c r="D16" s="16">
        <v>1</v>
      </c>
      <c r="E16" s="17">
        <v>10</v>
      </c>
      <c r="F16" s="18">
        <v>0</v>
      </c>
      <c r="G16" s="18">
        <v>0</v>
      </c>
      <c r="H16" s="36">
        <v>0</v>
      </c>
      <c r="I16" s="17">
        <v>0</v>
      </c>
      <c r="J16" s="17">
        <f t="shared" si="0"/>
        <v>10</v>
      </c>
      <c r="K16" s="37">
        <v>10</v>
      </c>
      <c r="L16" s="17">
        <v>0</v>
      </c>
      <c r="M16" s="17">
        <v>0</v>
      </c>
      <c r="N16" s="17">
        <f t="shared" si="1"/>
        <v>10</v>
      </c>
      <c r="O16" s="17">
        <f t="shared" si="2"/>
        <v>0</v>
      </c>
      <c r="P16" s="3"/>
      <c r="Q16" s="19">
        <f t="shared" si="3"/>
        <v>10</v>
      </c>
      <c r="R16" s="19">
        <v>0</v>
      </c>
      <c r="S16" s="19">
        <f t="shared" si="4"/>
        <v>0</v>
      </c>
      <c r="T16" s="19">
        <f t="shared" si="5"/>
        <v>0</v>
      </c>
      <c r="U16" s="19">
        <f t="shared" si="6"/>
        <v>0</v>
      </c>
      <c r="V16" s="19">
        <f t="shared" si="7"/>
        <v>0</v>
      </c>
      <c r="W16" s="19">
        <f t="shared" si="8"/>
        <v>10</v>
      </c>
      <c r="X16" s="20">
        <f t="shared" si="9"/>
        <v>10</v>
      </c>
      <c r="Y16" s="20">
        <f t="shared" si="10"/>
        <v>0</v>
      </c>
    </row>
    <row r="17" spans="1:25">
      <c r="A17" s="14" t="s">
        <v>44</v>
      </c>
      <c r="B17" s="15" t="s">
        <v>45</v>
      </c>
      <c r="C17" s="16">
        <v>217.5</v>
      </c>
      <c r="D17" s="16">
        <v>217.5</v>
      </c>
      <c r="E17" s="17">
        <v>4</v>
      </c>
      <c r="F17" s="18">
        <v>0</v>
      </c>
      <c r="G17" s="18">
        <v>0</v>
      </c>
      <c r="H17" s="36">
        <v>0</v>
      </c>
      <c r="I17" s="17">
        <v>0</v>
      </c>
      <c r="J17" s="17">
        <f t="shared" si="0"/>
        <v>4</v>
      </c>
      <c r="K17" s="37">
        <v>4</v>
      </c>
      <c r="L17" s="17">
        <v>0</v>
      </c>
      <c r="M17" s="17">
        <v>0</v>
      </c>
      <c r="N17" s="17">
        <f t="shared" si="1"/>
        <v>4</v>
      </c>
      <c r="O17" s="17">
        <f t="shared" si="2"/>
        <v>0</v>
      </c>
      <c r="P17" s="3"/>
      <c r="Q17" s="19">
        <f t="shared" si="3"/>
        <v>870</v>
      </c>
      <c r="R17" s="19">
        <v>0</v>
      </c>
      <c r="S17" s="19">
        <f t="shared" si="4"/>
        <v>0</v>
      </c>
      <c r="T17" s="19">
        <f t="shared" si="5"/>
        <v>0</v>
      </c>
      <c r="U17" s="19">
        <f t="shared" si="6"/>
        <v>0</v>
      </c>
      <c r="V17" s="19">
        <f t="shared" si="7"/>
        <v>0</v>
      </c>
      <c r="W17" s="19">
        <f t="shared" si="8"/>
        <v>870</v>
      </c>
      <c r="X17" s="20">
        <f t="shared" si="9"/>
        <v>870</v>
      </c>
      <c r="Y17" s="20">
        <f t="shared" si="10"/>
        <v>0</v>
      </c>
    </row>
    <row r="18" spans="1:25">
      <c r="A18" s="14" t="s">
        <v>46</v>
      </c>
      <c r="B18" s="15" t="s">
        <v>47</v>
      </c>
      <c r="C18" s="16">
        <v>1193.5</v>
      </c>
      <c r="D18" s="16">
        <v>1193.5</v>
      </c>
      <c r="E18" s="17">
        <v>1</v>
      </c>
      <c r="F18" s="18">
        <v>0</v>
      </c>
      <c r="G18" s="18">
        <v>0</v>
      </c>
      <c r="H18" s="36">
        <v>0</v>
      </c>
      <c r="I18" s="17">
        <v>0</v>
      </c>
      <c r="J18" s="17">
        <f t="shared" si="0"/>
        <v>1</v>
      </c>
      <c r="K18" s="37">
        <v>1</v>
      </c>
      <c r="L18" s="17">
        <v>0</v>
      </c>
      <c r="M18" s="17">
        <v>0</v>
      </c>
      <c r="N18" s="17">
        <f t="shared" si="1"/>
        <v>1</v>
      </c>
      <c r="O18" s="17">
        <f t="shared" si="2"/>
        <v>0</v>
      </c>
      <c r="P18" s="3"/>
      <c r="Q18" s="19">
        <f t="shared" si="3"/>
        <v>1193.5</v>
      </c>
      <c r="R18" s="19">
        <v>0</v>
      </c>
      <c r="S18" s="19">
        <f t="shared" si="4"/>
        <v>0</v>
      </c>
      <c r="T18" s="19">
        <f t="shared" si="5"/>
        <v>0</v>
      </c>
      <c r="U18" s="19">
        <f t="shared" si="6"/>
        <v>0</v>
      </c>
      <c r="V18" s="19">
        <f t="shared" si="7"/>
        <v>0</v>
      </c>
      <c r="W18" s="19">
        <f t="shared" si="8"/>
        <v>1193.5</v>
      </c>
      <c r="X18" s="20">
        <f t="shared" si="9"/>
        <v>1193.5</v>
      </c>
      <c r="Y18" s="20">
        <f t="shared" si="10"/>
        <v>0</v>
      </c>
    </row>
    <row r="19" spans="1:25">
      <c r="A19" s="14" t="s">
        <v>48</v>
      </c>
      <c r="B19" s="15" t="s">
        <v>49</v>
      </c>
      <c r="C19" s="16">
        <v>580</v>
      </c>
      <c r="D19" s="16">
        <v>580</v>
      </c>
      <c r="E19" s="17">
        <v>0</v>
      </c>
      <c r="F19" s="18">
        <v>0</v>
      </c>
      <c r="G19" s="18">
        <v>0</v>
      </c>
      <c r="H19" s="36">
        <v>0</v>
      </c>
      <c r="I19" s="17">
        <v>0</v>
      </c>
      <c r="J19" s="17">
        <f t="shared" si="0"/>
        <v>0</v>
      </c>
      <c r="K19" s="37">
        <v>0</v>
      </c>
      <c r="L19" s="17">
        <v>0</v>
      </c>
      <c r="M19" s="17">
        <v>0</v>
      </c>
      <c r="N19" s="17">
        <f t="shared" si="1"/>
        <v>0</v>
      </c>
      <c r="O19" s="17">
        <f t="shared" si="2"/>
        <v>0</v>
      </c>
      <c r="P19" s="3"/>
      <c r="Q19" s="19">
        <f t="shared" si="3"/>
        <v>0</v>
      </c>
      <c r="R19" s="19">
        <v>0</v>
      </c>
      <c r="S19" s="19">
        <f t="shared" si="4"/>
        <v>0</v>
      </c>
      <c r="T19" s="19">
        <f t="shared" si="5"/>
        <v>0</v>
      </c>
      <c r="U19" s="19">
        <f t="shared" si="6"/>
        <v>0</v>
      </c>
      <c r="V19" s="19">
        <f t="shared" si="7"/>
        <v>0</v>
      </c>
      <c r="W19" s="19">
        <f t="shared" si="8"/>
        <v>0</v>
      </c>
      <c r="X19" s="20">
        <f t="shared" si="9"/>
        <v>0</v>
      </c>
      <c r="Y19" s="20">
        <f t="shared" si="10"/>
        <v>0</v>
      </c>
    </row>
    <row r="20" spans="1:25">
      <c r="A20" s="14" t="s">
        <v>50</v>
      </c>
      <c r="B20" s="15" t="s">
        <v>51</v>
      </c>
      <c r="C20" s="16">
        <v>700</v>
      </c>
      <c r="D20" s="16">
        <v>700</v>
      </c>
      <c r="E20" s="17">
        <v>2</v>
      </c>
      <c r="F20" s="18">
        <v>0</v>
      </c>
      <c r="G20" s="18">
        <v>0</v>
      </c>
      <c r="H20" s="36">
        <v>0</v>
      </c>
      <c r="I20" s="17">
        <v>0</v>
      </c>
      <c r="J20" s="17">
        <f t="shared" si="0"/>
        <v>2</v>
      </c>
      <c r="K20" s="37">
        <v>2</v>
      </c>
      <c r="L20" s="17">
        <v>0</v>
      </c>
      <c r="M20" s="17">
        <v>0</v>
      </c>
      <c r="N20" s="17">
        <f t="shared" si="1"/>
        <v>2</v>
      </c>
      <c r="O20" s="17">
        <f t="shared" si="2"/>
        <v>0</v>
      </c>
      <c r="P20" s="3"/>
      <c r="Q20" s="19">
        <f t="shared" si="3"/>
        <v>1400</v>
      </c>
      <c r="R20" s="19">
        <v>0</v>
      </c>
      <c r="S20" s="19">
        <f t="shared" si="4"/>
        <v>0</v>
      </c>
      <c r="T20" s="19">
        <f t="shared" si="5"/>
        <v>0</v>
      </c>
      <c r="U20" s="19">
        <f t="shared" si="6"/>
        <v>0</v>
      </c>
      <c r="V20" s="19">
        <f t="shared" si="7"/>
        <v>0</v>
      </c>
      <c r="W20" s="19">
        <f t="shared" si="8"/>
        <v>1400</v>
      </c>
      <c r="X20" s="20">
        <f t="shared" si="9"/>
        <v>1400</v>
      </c>
      <c r="Y20" s="20">
        <f t="shared" si="10"/>
        <v>0</v>
      </c>
    </row>
    <row r="21" spans="1:25" ht="15.75" customHeight="1">
      <c r="A21" s="14" t="s">
        <v>52</v>
      </c>
      <c r="B21" s="15" t="s">
        <v>53</v>
      </c>
      <c r="C21" s="16">
        <v>1020</v>
      </c>
      <c r="D21" s="16">
        <v>1020</v>
      </c>
      <c r="E21" s="17">
        <v>1</v>
      </c>
      <c r="F21" s="18">
        <v>0</v>
      </c>
      <c r="G21" s="18">
        <v>0</v>
      </c>
      <c r="H21" s="36">
        <v>0</v>
      </c>
      <c r="I21" s="17">
        <v>0</v>
      </c>
      <c r="J21" s="17">
        <f t="shared" si="0"/>
        <v>1</v>
      </c>
      <c r="K21" s="37">
        <v>1</v>
      </c>
      <c r="L21" s="17">
        <v>0</v>
      </c>
      <c r="M21" s="17">
        <v>0</v>
      </c>
      <c r="N21" s="17">
        <f t="shared" si="1"/>
        <v>1</v>
      </c>
      <c r="O21" s="17">
        <f t="shared" si="2"/>
        <v>0</v>
      </c>
      <c r="P21" s="3"/>
      <c r="Q21" s="19">
        <f t="shared" si="3"/>
        <v>1020</v>
      </c>
      <c r="R21" s="19">
        <v>0</v>
      </c>
      <c r="S21" s="19">
        <f t="shared" si="4"/>
        <v>0</v>
      </c>
      <c r="T21" s="19">
        <f t="shared" si="5"/>
        <v>0</v>
      </c>
      <c r="U21" s="19">
        <f t="shared" si="6"/>
        <v>0</v>
      </c>
      <c r="V21" s="19">
        <f t="shared" si="7"/>
        <v>0</v>
      </c>
      <c r="W21" s="19">
        <f t="shared" si="8"/>
        <v>1020</v>
      </c>
      <c r="X21" s="20">
        <f t="shared" si="9"/>
        <v>1020</v>
      </c>
      <c r="Y21" s="20">
        <f t="shared" si="10"/>
        <v>0</v>
      </c>
    </row>
    <row r="22" spans="1:25" ht="15.75" customHeight="1">
      <c r="A22" s="14" t="s">
        <v>54</v>
      </c>
      <c r="B22" s="15" t="s">
        <v>55</v>
      </c>
      <c r="C22" s="16">
        <v>253</v>
      </c>
      <c r="D22" s="16">
        <v>253</v>
      </c>
      <c r="E22" s="17">
        <v>0</v>
      </c>
      <c r="F22" s="18">
        <v>0</v>
      </c>
      <c r="G22" s="18">
        <v>0</v>
      </c>
      <c r="H22" s="36">
        <v>0</v>
      </c>
      <c r="I22" s="17">
        <v>0</v>
      </c>
      <c r="J22" s="17">
        <f t="shared" si="0"/>
        <v>0</v>
      </c>
      <c r="K22" s="37">
        <v>0</v>
      </c>
      <c r="L22" s="17">
        <v>0</v>
      </c>
      <c r="M22" s="17">
        <v>0</v>
      </c>
      <c r="N22" s="17">
        <f t="shared" si="1"/>
        <v>0</v>
      </c>
      <c r="O22" s="17">
        <f t="shared" si="2"/>
        <v>0</v>
      </c>
      <c r="P22" s="3"/>
      <c r="Q22" s="19">
        <f t="shared" si="3"/>
        <v>0</v>
      </c>
      <c r="R22" s="19">
        <v>0</v>
      </c>
      <c r="S22" s="19">
        <f t="shared" si="4"/>
        <v>0</v>
      </c>
      <c r="T22" s="19">
        <f t="shared" si="5"/>
        <v>0</v>
      </c>
      <c r="U22" s="19">
        <f t="shared" si="6"/>
        <v>0</v>
      </c>
      <c r="V22" s="19">
        <f t="shared" si="7"/>
        <v>0</v>
      </c>
      <c r="W22" s="19">
        <f t="shared" si="8"/>
        <v>0</v>
      </c>
      <c r="X22" s="20">
        <f t="shared" si="9"/>
        <v>0</v>
      </c>
      <c r="Y22" s="20">
        <f t="shared" si="10"/>
        <v>0</v>
      </c>
    </row>
    <row r="23" spans="1:25" ht="15.75" customHeight="1">
      <c r="A23" s="14" t="s">
        <v>56</v>
      </c>
      <c r="B23" s="15" t="s">
        <v>57</v>
      </c>
      <c r="C23" s="16">
        <v>1222.73</v>
      </c>
      <c r="D23" s="16">
        <v>1222.73</v>
      </c>
      <c r="E23" s="17">
        <v>8</v>
      </c>
      <c r="F23" s="18">
        <v>0</v>
      </c>
      <c r="G23" s="18">
        <v>0</v>
      </c>
      <c r="H23" s="36">
        <v>3</v>
      </c>
      <c r="I23" s="17">
        <v>0</v>
      </c>
      <c r="J23" s="17">
        <f t="shared" si="0"/>
        <v>5</v>
      </c>
      <c r="K23" s="37">
        <v>4</v>
      </c>
      <c r="L23" s="17">
        <v>0</v>
      </c>
      <c r="M23" s="17">
        <v>1</v>
      </c>
      <c r="N23" s="17">
        <f t="shared" si="1"/>
        <v>5</v>
      </c>
      <c r="O23" s="17">
        <f t="shared" si="2"/>
        <v>0</v>
      </c>
      <c r="P23" s="3"/>
      <c r="Q23" s="19">
        <f t="shared" si="3"/>
        <v>9781.84</v>
      </c>
      <c r="R23" s="19">
        <v>0</v>
      </c>
      <c r="S23" s="19">
        <f t="shared" si="4"/>
        <v>0</v>
      </c>
      <c r="T23" s="19">
        <f t="shared" si="5"/>
        <v>0</v>
      </c>
      <c r="U23" s="19">
        <f t="shared" si="6"/>
        <v>3668.19</v>
      </c>
      <c r="V23" s="19">
        <f t="shared" si="7"/>
        <v>0</v>
      </c>
      <c r="W23" s="19">
        <f t="shared" si="8"/>
        <v>6113.65</v>
      </c>
      <c r="X23" s="20">
        <f t="shared" si="9"/>
        <v>6113.65</v>
      </c>
      <c r="Y23" s="20">
        <f t="shared" si="10"/>
        <v>0</v>
      </c>
    </row>
    <row r="24" spans="1:25" ht="15.75" customHeight="1">
      <c r="A24" s="14" t="s">
        <v>58</v>
      </c>
      <c r="B24" s="15" t="s">
        <v>59</v>
      </c>
      <c r="C24" s="16">
        <v>190.5</v>
      </c>
      <c r="D24" s="16">
        <v>190.5</v>
      </c>
      <c r="E24" s="17">
        <v>0</v>
      </c>
      <c r="F24" s="18">
        <v>0</v>
      </c>
      <c r="G24" s="18">
        <v>0</v>
      </c>
      <c r="H24" s="36">
        <v>0</v>
      </c>
      <c r="I24" s="17">
        <v>0</v>
      </c>
      <c r="J24" s="17">
        <f t="shared" si="0"/>
        <v>0</v>
      </c>
      <c r="K24" s="37">
        <v>0</v>
      </c>
      <c r="L24" s="17">
        <v>0</v>
      </c>
      <c r="M24" s="17">
        <v>0</v>
      </c>
      <c r="N24" s="17">
        <f t="shared" si="1"/>
        <v>0</v>
      </c>
      <c r="O24" s="17">
        <f t="shared" si="2"/>
        <v>0</v>
      </c>
      <c r="P24" s="3"/>
      <c r="Q24" s="19">
        <f t="shared" si="3"/>
        <v>0</v>
      </c>
      <c r="R24" s="19">
        <v>0</v>
      </c>
      <c r="S24" s="19">
        <f t="shared" si="4"/>
        <v>0</v>
      </c>
      <c r="T24" s="19">
        <f t="shared" si="5"/>
        <v>0</v>
      </c>
      <c r="U24" s="19">
        <f t="shared" si="6"/>
        <v>0</v>
      </c>
      <c r="V24" s="19">
        <f t="shared" si="7"/>
        <v>0</v>
      </c>
      <c r="W24" s="19">
        <f t="shared" si="8"/>
        <v>0</v>
      </c>
      <c r="X24" s="20">
        <f t="shared" si="9"/>
        <v>0</v>
      </c>
      <c r="Y24" s="20">
        <f t="shared" si="10"/>
        <v>0</v>
      </c>
    </row>
    <row r="25" spans="1:25" ht="15.75" customHeight="1">
      <c r="A25" s="14" t="s">
        <v>60</v>
      </c>
      <c r="B25" s="15" t="s">
        <v>61</v>
      </c>
      <c r="C25" s="16">
        <v>440</v>
      </c>
      <c r="D25" s="16">
        <v>440</v>
      </c>
      <c r="E25" s="17">
        <v>0</v>
      </c>
      <c r="F25" s="18">
        <v>0</v>
      </c>
      <c r="G25" s="18">
        <v>0</v>
      </c>
      <c r="H25" s="36">
        <v>0</v>
      </c>
      <c r="I25" s="17">
        <v>0</v>
      </c>
      <c r="J25" s="17">
        <f t="shared" si="0"/>
        <v>0</v>
      </c>
      <c r="K25" s="37">
        <v>0</v>
      </c>
      <c r="L25" s="17">
        <v>0</v>
      </c>
      <c r="M25" s="17">
        <v>0</v>
      </c>
      <c r="N25" s="17">
        <f t="shared" si="1"/>
        <v>0</v>
      </c>
      <c r="O25" s="17">
        <f t="shared" si="2"/>
        <v>0</v>
      </c>
      <c r="P25" s="3"/>
      <c r="Q25" s="19">
        <f t="shared" si="3"/>
        <v>0</v>
      </c>
      <c r="R25" s="19">
        <v>0</v>
      </c>
      <c r="S25" s="19">
        <f t="shared" si="4"/>
        <v>0</v>
      </c>
      <c r="T25" s="19">
        <f t="shared" si="5"/>
        <v>0</v>
      </c>
      <c r="U25" s="19">
        <f t="shared" si="6"/>
        <v>0</v>
      </c>
      <c r="V25" s="19">
        <f t="shared" si="7"/>
        <v>0</v>
      </c>
      <c r="W25" s="19">
        <f t="shared" si="8"/>
        <v>0</v>
      </c>
      <c r="X25" s="20">
        <f t="shared" si="9"/>
        <v>0</v>
      </c>
      <c r="Y25" s="20">
        <f t="shared" si="10"/>
        <v>0</v>
      </c>
    </row>
    <row r="26" spans="1:25" ht="15.75" customHeight="1">
      <c r="A26" s="14" t="s">
        <v>62</v>
      </c>
      <c r="B26" s="15" t="s">
        <v>63</v>
      </c>
      <c r="C26" s="16">
        <v>34.4</v>
      </c>
      <c r="D26" s="16">
        <v>34.4</v>
      </c>
      <c r="E26" s="17">
        <v>2</v>
      </c>
      <c r="F26" s="18">
        <v>0</v>
      </c>
      <c r="G26" s="18">
        <v>0</v>
      </c>
      <c r="H26" s="36">
        <v>2</v>
      </c>
      <c r="I26" s="17">
        <v>0</v>
      </c>
      <c r="J26" s="17">
        <f t="shared" si="0"/>
        <v>0</v>
      </c>
      <c r="K26" s="37">
        <v>0</v>
      </c>
      <c r="L26" s="17">
        <v>0</v>
      </c>
      <c r="M26" s="17">
        <v>0</v>
      </c>
      <c r="N26" s="17">
        <f t="shared" si="1"/>
        <v>0</v>
      </c>
      <c r="O26" s="17">
        <f t="shared" si="2"/>
        <v>0</v>
      </c>
      <c r="P26" s="3"/>
      <c r="Q26" s="19">
        <f t="shared" si="3"/>
        <v>68.8</v>
      </c>
      <c r="R26" s="19">
        <v>0</v>
      </c>
      <c r="S26" s="19">
        <f t="shared" si="4"/>
        <v>0</v>
      </c>
      <c r="T26" s="19">
        <f t="shared" si="5"/>
        <v>0</v>
      </c>
      <c r="U26" s="19">
        <f t="shared" si="6"/>
        <v>68.8</v>
      </c>
      <c r="V26" s="19">
        <f t="shared" si="7"/>
        <v>0</v>
      </c>
      <c r="W26" s="19">
        <f t="shared" si="8"/>
        <v>0</v>
      </c>
      <c r="X26" s="20">
        <f t="shared" si="9"/>
        <v>0</v>
      </c>
      <c r="Y26" s="20">
        <f t="shared" si="10"/>
        <v>0</v>
      </c>
    </row>
    <row r="27" spans="1:25" ht="15.75" customHeight="1">
      <c r="A27" s="14" t="s">
        <v>64</v>
      </c>
      <c r="B27" s="15" t="s">
        <v>65</v>
      </c>
      <c r="C27" s="16">
        <v>34.479999999999997</v>
      </c>
      <c r="D27" s="16">
        <v>34.479999999999997</v>
      </c>
      <c r="E27" s="17">
        <v>2</v>
      </c>
      <c r="F27" s="18">
        <v>0</v>
      </c>
      <c r="G27" s="18">
        <v>0</v>
      </c>
      <c r="H27" s="36">
        <v>2</v>
      </c>
      <c r="I27" s="17">
        <v>0</v>
      </c>
      <c r="J27" s="17">
        <f t="shared" si="0"/>
        <v>0</v>
      </c>
      <c r="K27" s="37">
        <v>0</v>
      </c>
      <c r="L27" s="17">
        <v>0</v>
      </c>
      <c r="M27" s="17">
        <v>0</v>
      </c>
      <c r="N27" s="17">
        <f t="shared" si="1"/>
        <v>0</v>
      </c>
      <c r="O27" s="17">
        <f t="shared" si="2"/>
        <v>0</v>
      </c>
      <c r="P27" s="3"/>
      <c r="Q27" s="19">
        <f t="shared" si="3"/>
        <v>68.959999999999994</v>
      </c>
      <c r="R27" s="19">
        <v>0</v>
      </c>
      <c r="S27" s="19">
        <f t="shared" si="4"/>
        <v>0</v>
      </c>
      <c r="T27" s="19">
        <f t="shared" si="5"/>
        <v>0</v>
      </c>
      <c r="U27" s="19">
        <f t="shared" si="6"/>
        <v>68.959999999999994</v>
      </c>
      <c r="V27" s="19">
        <f t="shared" si="7"/>
        <v>0</v>
      </c>
      <c r="W27" s="19">
        <f t="shared" si="8"/>
        <v>0</v>
      </c>
      <c r="X27" s="20">
        <f t="shared" si="9"/>
        <v>0</v>
      </c>
      <c r="Y27" s="20">
        <f t="shared" si="10"/>
        <v>0</v>
      </c>
    </row>
    <row r="28" spans="1:25" ht="15.75" customHeight="1">
      <c r="A28" s="14" t="s">
        <v>66</v>
      </c>
      <c r="B28" s="15" t="s">
        <v>67</v>
      </c>
      <c r="C28" s="16">
        <v>0</v>
      </c>
      <c r="D28" s="16">
        <v>0</v>
      </c>
      <c r="E28" s="17">
        <v>0</v>
      </c>
      <c r="F28" s="18">
        <v>0</v>
      </c>
      <c r="G28" s="18">
        <v>0</v>
      </c>
      <c r="H28" s="36">
        <v>0</v>
      </c>
      <c r="I28" s="17">
        <v>0</v>
      </c>
      <c r="J28" s="17">
        <f t="shared" si="0"/>
        <v>0</v>
      </c>
      <c r="K28" s="37">
        <v>0</v>
      </c>
      <c r="L28" s="17">
        <v>0</v>
      </c>
      <c r="M28" s="17">
        <v>0</v>
      </c>
      <c r="N28" s="17">
        <f t="shared" si="1"/>
        <v>0</v>
      </c>
      <c r="O28" s="17">
        <f t="shared" si="2"/>
        <v>0</v>
      </c>
      <c r="P28" s="3"/>
      <c r="Q28" s="19">
        <f t="shared" si="3"/>
        <v>0</v>
      </c>
      <c r="R28" s="19">
        <v>0</v>
      </c>
      <c r="S28" s="19">
        <f t="shared" si="4"/>
        <v>0</v>
      </c>
      <c r="T28" s="19">
        <f t="shared" si="5"/>
        <v>0</v>
      </c>
      <c r="U28" s="19">
        <f t="shared" si="6"/>
        <v>0</v>
      </c>
      <c r="V28" s="19">
        <f t="shared" si="7"/>
        <v>0</v>
      </c>
      <c r="W28" s="19">
        <f t="shared" si="8"/>
        <v>0</v>
      </c>
      <c r="X28" s="20">
        <f t="shared" si="9"/>
        <v>0</v>
      </c>
      <c r="Y28" s="20">
        <f t="shared" si="10"/>
        <v>0</v>
      </c>
    </row>
    <row r="29" spans="1:25" ht="15.75" customHeight="1">
      <c r="A29" s="14" t="s">
        <v>68</v>
      </c>
      <c r="B29" s="15" t="s">
        <v>69</v>
      </c>
      <c r="C29" s="16">
        <v>4500</v>
      </c>
      <c r="D29" s="16">
        <v>4500</v>
      </c>
      <c r="E29" s="17">
        <v>0</v>
      </c>
      <c r="F29" s="18">
        <v>0</v>
      </c>
      <c r="G29" s="18">
        <v>0</v>
      </c>
      <c r="H29" s="36">
        <v>0</v>
      </c>
      <c r="I29" s="17">
        <v>0</v>
      </c>
      <c r="J29" s="17">
        <f t="shared" si="0"/>
        <v>0</v>
      </c>
      <c r="K29" s="37">
        <v>0</v>
      </c>
      <c r="L29" s="17">
        <v>0</v>
      </c>
      <c r="M29" s="17">
        <v>0</v>
      </c>
      <c r="N29" s="17">
        <f t="shared" si="1"/>
        <v>0</v>
      </c>
      <c r="O29" s="17">
        <f t="shared" si="2"/>
        <v>0</v>
      </c>
      <c r="P29" s="3"/>
      <c r="Q29" s="19">
        <f t="shared" si="3"/>
        <v>0</v>
      </c>
      <c r="R29" s="19">
        <v>0</v>
      </c>
      <c r="S29" s="19">
        <f t="shared" si="4"/>
        <v>0</v>
      </c>
      <c r="T29" s="19">
        <f t="shared" si="5"/>
        <v>0</v>
      </c>
      <c r="U29" s="19">
        <f t="shared" si="6"/>
        <v>0</v>
      </c>
      <c r="V29" s="19">
        <f t="shared" si="7"/>
        <v>0</v>
      </c>
      <c r="W29" s="19">
        <f t="shared" si="8"/>
        <v>0</v>
      </c>
      <c r="X29" s="20">
        <f t="shared" si="9"/>
        <v>0</v>
      </c>
      <c r="Y29" s="20">
        <f t="shared" si="10"/>
        <v>0</v>
      </c>
    </row>
    <row r="30" spans="1:25" ht="15.75" customHeight="1">
      <c r="A30" s="14" t="s">
        <v>70</v>
      </c>
      <c r="B30" s="15" t="s">
        <v>71</v>
      </c>
      <c r="C30" s="16">
        <v>250</v>
      </c>
      <c r="D30" s="16">
        <v>250</v>
      </c>
      <c r="E30" s="17">
        <v>1</v>
      </c>
      <c r="F30" s="18">
        <v>0</v>
      </c>
      <c r="G30" s="18">
        <v>0</v>
      </c>
      <c r="H30" s="36">
        <v>0</v>
      </c>
      <c r="I30" s="17">
        <v>0</v>
      </c>
      <c r="J30" s="17">
        <f t="shared" si="0"/>
        <v>1</v>
      </c>
      <c r="K30" s="37">
        <v>1</v>
      </c>
      <c r="L30" s="17">
        <v>0</v>
      </c>
      <c r="M30" s="17">
        <v>0</v>
      </c>
      <c r="N30" s="17">
        <f t="shared" si="1"/>
        <v>1</v>
      </c>
      <c r="O30" s="17">
        <f t="shared" si="2"/>
        <v>0</v>
      </c>
      <c r="P30" s="3"/>
      <c r="Q30" s="19">
        <f t="shared" si="3"/>
        <v>250</v>
      </c>
      <c r="R30" s="19">
        <v>0</v>
      </c>
      <c r="S30" s="19">
        <f t="shared" si="4"/>
        <v>0</v>
      </c>
      <c r="T30" s="19">
        <f t="shared" si="5"/>
        <v>0</v>
      </c>
      <c r="U30" s="19">
        <f t="shared" si="6"/>
        <v>0</v>
      </c>
      <c r="V30" s="19">
        <f t="shared" si="7"/>
        <v>0</v>
      </c>
      <c r="W30" s="19">
        <f t="shared" si="8"/>
        <v>250</v>
      </c>
      <c r="X30" s="20">
        <f t="shared" si="9"/>
        <v>250</v>
      </c>
      <c r="Y30" s="20">
        <f t="shared" si="10"/>
        <v>0</v>
      </c>
    </row>
    <row r="31" spans="1:25" ht="15.75" customHeight="1">
      <c r="A31" s="14" t="s">
        <v>72</v>
      </c>
      <c r="B31" s="15" t="s">
        <v>73</v>
      </c>
      <c r="C31" s="16">
        <v>420.61275000000001</v>
      </c>
      <c r="D31" s="16">
        <v>420.61275000000001</v>
      </c>
      <c r="E31" s="17">
        <v>0</v>
      </c>
      <c r="F31" s="18">
        <v>0</v>
      </c>
      <c r="G31" s="18">
        <v>0</v>
      </c>
      <c r="H31" s="36">
        <v>0</v>
      </c>
      <c r="I31" s="17">
        <v>0</v>
      </c>
      <c r="J31" s="17">
        <f t="shared" si="0"/>
        <v>0</v>
      </c>
      <c r="K31" s="37">
        <v>0</v>
      </c>
      <c r="L31" s="17">
        <v>0</v>
      </c>
      <c r="M31" s="17">
        <v>0</v>
      </c>
      <c r="N31" s="17">
        <f t="shared" si="1"/>
        <v>0</v>
      </c>
      <c r="O31" s="17">
        <f t="shared" si="2"/>
        <v>0</v>
      </c>
      <c r="P31" s="3"/>
      <c r="Q31" s="19">
        <f t="shared" si="3"/>
        <v>0</v>
      </c>
      <c r="R31" s="19">
        <v>0</v>
      </c>
      <c r="S31" s="19">
        <f t="shared" si="4"/>
        <v>0</v>
      </c>
      <c r="T31" s="19">
        <f t="shared" si="5"/>
        <v>0</v>
      </c>
      <c r="U31" s="19">
        <f t="shared" si="6"/>
        <v>0</v>
      </c>
      <c r="V31" s="19">
        <f t="shared" si="7"/>
        <v>0</v>
      </c>
      <c r="W31" s="19">
        <f t="shared" si="8"/>
        <v>0</v>
      </c>
      <c r="X31" s="20">
        <f t="shared" si="9"/>
        <v>0</v>
      </c>
      <c r="Y31" s="20">
        <f t="shared" si="10"/>
        <v>0</v>
      </c>
    </row>
    <row r="32" spans="1:25" ht="15.75" customHeight="1">
      <c r="A32" s="14" t="s">
        <v>74</v>
      </c>
      <c r="B32" s="15" t="s">
        <v>75</v>
      </c>
      <c r="C32" s="16">
        <v>0</v>
      </c>
      <c r="D32" s="16">
        <v>0</v>
      </c>
      <c r="E32" s="17">
        <v>0</v>
      </c>
      <c r="F32" s="18">
        <v>0</v>
      </c>
      <c r="G32" s="18">
        <v>0</v>
      </c>
      <c r="H32" s="36">
        <v>0</v>
      </c>
      <c r="I32" s="17">
        <v>0</v>
      </c>
      <c r="J32" s="17">
        <f t="shared" si="0"/>
        <v>0</v>
      </c>
      <c r="K32" s="37">
        <v>0</v>
      </c>
      <c r="L32" s="17">
        <v>0</v>
      </c>
      <c r="M32" s="17">
        <v>0</v>
      </c>
      <c r="N32" s="17">
        <f t="shared" si="1"/>
        <v>0</v>
      </c>
      <c r="O32" s="17">
        <f t="shared" si="2"/>
        <v>0</v>
      </c>
      <c r="P32" s="3"/>
      <c r="Q32" s="19">
        <f t="shared" si="3"/>
        <v>0</v>
      </c>
      <c r="R32" s="19">
        <v>0</v>
      </c>
      <c r="S32" s="19">
        <f t="shared" si="4"/>
        <v>0</v>
      </c>
      <c r="T32" s="19">
        <f t="shared" si="5"/>
        <v>0</v>
      </c>
      <c r="U32" s="19">
        <f t="shared" si="6"/>
        <v>0</v>
      </c>
      <c r="V32" s="19">
        <f t="shared" si="7"/>
        <v>0</v>
      </c>
      <c r="W32" s="19">
        <f t="shared" si="8"/>
        <v>0</v>
      </c>
      <c r="X32" s="20">
        <f t="shared" si="9"/>
        <v>0</v>
      </c>
      <c r="Y32" s="20">
        <f t="shared" si="10"/>
        <v>0</v>
      </c>
    </row>
    <row r="33" spans="1:25" ht="15.75" customHeight="1">
      <c r="A33" s="14" t="s">
        <v>76</v>
      </c>
      <c r="B33" s="15" t="s">
        <v>77</v>
      </c>
      <c r="C33" s="16">
        <v>0</v>
      </c>
      <c r="D33" s="16">
        <v>0</v>
      </c>
      <c r="E33" s="17">
        <v>0</v>
      </c>
      <c r="F33" s="18">
        <v>0</v>
      </c>
      <c r="G33" s="18">
        <v>0</v>
      </c>
      <c r="H33" s="36">
        <v>0</v>
      </c>
      <c r="I33" s="17">
        <v>0</v>
      </c>
      <c r="J33" s="17">
        <f t="shared" si="0"/>
        <v>0</v>
      </c>
      <c r="K33" s="37">
        <v>0</v>
      </c>
      <c r="L33" s="17">
        <v>0</v>
      </c>
      <c r="M33" s="17">
        <v>0</v>
      </c>
      <c r="N33" s="17">
        <f t="shared" si="1"/>
        <v>0</v>
      </c>
      <c r="O33" s="17">
        <f t="shared" si="2"/>
        <v>0</v>
      </c>
      <c r="P33" s="3"/>
      <c r="Q33" s="19">
        <f t="shared" si="3"/>
        <v>0</v>
      </c>
      <c r="R33" s="19">
        <v>0</v>
      </c>
      <c r="S33" s="19">
        <f t="shared" si="4"/>
        <v>0</v>
      </c>
      <c r="T33" s="19">
        <f t="shared" si="5"/>
        <v>0</v>
      </c>
      <c r="U33" s="19">
        <f t="shared" si="6"/>
        <v>0</v>
      </c>
      <c r="V33" s="19">
        <f t="shared" si="7"/>
        <v>0</v>
      </c>
      <c r="W33" s="19">
        <f t="shared" si="8"/>
        <v>0</v>
      </c>
      <c r="X33" s="20">
        <f t="shared" si="9"/>
        <v>0</v>
      </c>
      <c r="Y33" s="20">
        <f t="shared" si="10"/>
        <v>0</v>
      </c>
    </row>
    <row r="34" spans="1:25" ht="15.75" customHeight="1">
      <c r="A34" s="14" t="s">
        <v>78</v>
      </c>
      <c r="B34" s="15" t="s">
        <v>79</v>
      </c>
      <c r="C34" s="16">
        <v>350</v>
      </c>
      <c r="D34" s="16">
        <v>350</v>
      </c>
      <c r="E34" s="17">
        <v>2</v>
      </c>
      <c r="F34" s="18">
        <v>0</v>
      </c>
      <c r="G34" s="18">
        <v>0</v>
      </c>
      <c r="H34" s="36">
        <v>0</v>
      </c>
      <c r="I34" s="17">
        <v>0</v>
      </c>
      <c r="J34" s="17">
        <f t="shared" si="0"/>
        <v>2</v>
      </c>
      <c r="K34" s="37">
        <v>2</v>
      </c>
      <c r="L34" s="17">
        <v>0</v>
      </c>
      <c r="M34" s="17">
        <v>0</v>
      </c>
      <c r="N34" s="17">
        <f t="shared" si="1"/>
        <v>2</v>
      </c>
      <c r="O34" s="17">
        <f t="shared" si="2"/>
        <v>0</v>
      </c>
      <c r="P34" s="3"/>
      <c r="Q34" s="19">
        <f t="shared" si="3"/>
        <v>700</v>
      </c>
      <c r="R34" s="19">
        <v>0</v>
      </c>
      <c r="S34" s="19">
        <f t="shared" si="4"/>
        <v>0</v>
      </c>
      <c r="T34" s="19">
        <f t="shared" si="5"/>
        <v>0</v>
      </c>
      <c r="U34" s="19">
        <f t="shared" si="6"/>
        <v>0</v>
      </c>
      <c r="V34" s="19">
        <f t="shared" si="7"/>
        <v>0</v>
      </c>
      <c r="W34" s="19">
        <f t="shared" si="8"/>
        <v>700</v>
      </c>
      <c r="X34" s="20">
        <f t="shared" si="9"/>
        <v>700</v>
      </c>
      <c r="Y34" s="20">
        <f t="shared" si="10"/>
        <v>0</v>
      </c>
    </row>
    <row r="35" spans="1:25" ht="15.75" customHeight="1">
      <c r="A35" s="14" t="s">
        <v>80</v>
      </c>
      <c r="B35" s="15" t="s">
        <v>81</v>
      </c>
      <c r="C35" s="16">
        <v>0</v>
      </c>
      <c r="D35" s="16">
        <v>0</v>
      </c>
      <c r="E35" s="17">
        <v>0</v>
      </c>
      <c r="F35" s="18">
        <v>0</v>
      </c>
      <c r="G35" s="18">
        <v>0</v>
      </c>
      <c r="H35" s="36">
        <v>0</v>
      </c>
      <c r="I35" s="17">
        <v>0</v>
      </c>
      <c r="J35" s="17">
        <f t="shared" si="0"/>
        <v>0</v>
      </c>
      <c r="K35" s="37">
        <v>0</v>
      </c>
      <c r="L35" s="17">
        <v>0</v>
      </c>
      <c r="M35" s="17">
        <v>0</v>
      </c>
      <c r="N35" s="17">
        <f t="shared" si="1"/>
        <v>0</v>
      </c>
      <c r="O35" s="17">
        <f t="shared" si="2"/>
        <v>0</v>
      </c>
      <c r="P35" s="3"/>
      <c r="Q35" s="19">
        <f t="shared" si="3"/>
        <v>0</v>
      </c>
      <c r="R35" s="19">
        <v>0</v>
      </c>
      <c r="S35" s="19">
        <f t="shared" si="4"/>
        <v>0</v>
      </c>
      <c r="T35" s="19">
        <f t="shared" si="5"/>
        <v>0</v>
      </c>
      <c r="U35" s="19">
        <f t="shared" si="6"/>
        <v>0</v>
      </c>
      <c r="V35" s="19">
        <f t="shared" si="7"/>
        <v>0</v>
      </c>
      <c r="W35" s="19">
        <f t="shared" si="8"/>
        <v>0</v>
      </c>
      <c r="X35" s="20">
        <f t="shared" si="9"/>
        <v>0</v>
      </c>
      <c r="Y35" s="20">
        <f t="shared" si="10"/>
        <v>0</v>
      </c>
    </row>
    <row r="36" spans="1:25" ht="15.75" customHeight="1">
      <c r="A36" s="14" t="s">
        <v>82</v>
      </c>
      <c r="B36" s="15" t="s">
        <v>83</v>
      </c>
      <c r="C36" s="16">
        <v>19</v>
      </c>
      <c r="D36" s="16">
        <v>19</v>
      </c>
      <c r="E36" s="17">
        <v>2</v>
      </c>
      <c r="F36" s="18">
        <v>0</v>
      </c>
      <c r="G36" s="18">
        <v>0</v>
      </c>
      <c r="H36" s="36">
        <v>2</v>
      </c>
      <c r="I36" s="17">
        <v>0</v>
      </c>
      <c r="J36" s="17">
        <f t="shared" si="0"/>
        <v>0</v>
      </c>
      <c r="K36" s="37">
        <v>0</v>
      </c>
      <c r="L36" s="17">
        <v>0</v>
      </c>
      <c r="M36" s="17">
        <v>0</v>
      </c>
      <c r="N36" s="17">
        <f t="shared" si="1"/>
        <v>0</v>
      </c>
      <c r="O36" s="17">
        <f t="shared" si="2"/>
        <v>0</v>
      </c>
      <c r="P36" s="3"/>
      <c r="Q36" s="19">
        <f t="shared" si="3"/>
        <v>38</v>
      </c>
      <c r="R36" s="19">
        <v>0</v>
      </c>
      <c r="S36" s="19">
        <f t="shared" si="4"/>
        <v>0</v>
      </c>
      <c r="T36" s="19">
        <f t="shared" si="5"/>
        <v>0</v>
      </c>
      <c r="U36" s="19">
        <f t="shared" si="6"/>
        <v>38</v>
      </c>
      <c r="V36" s="19">
        <f t="shared" si="7"/>
        <v>0</v>
      </c>
      <c r="W36" s="19">
        <f t="shared" si="8"/>
        <v>0</v>
      </c>
      <c r="X36" s="20">
        <f t="shared" si="9"/>
        <v>0</v>
      </c>
      <c r="Y36" s="20">
        <f t="shared" si="10"/>
        <v>0</v>
      </c>
    </row>
    <row r="37" spans="1:25" ht="15.75" customHeight="1">
      <c r="A37" s="14" t="s">
        <v>84</v>
      </c>
      <c r="B37" s="15" t="s">
        <v>85</v>
      </c>
      <c r="C37" s="16">
        <v>262.36</v>
      </c>
      <c r="D37" s="16">
        <v>262.36</v>
      </c>
      <c r="E37" s="17">
        <v>3</v>
      </c>
      <c r="F37" s="18">
        <v>0</v>
      </c>
      <c r="G37" s="18">
        <v>0</v>
      </c>
      <c r="H37" s="36">
        <v>3</v>
      </c>
      <c r="I37" s="17">
        <v>0</v>
      </c>
      <c r="J37" s="17">
        <f t="shared" si="0"/>
        <v>0</v>
      </c>
      <c r="K37" s="37">
        <v>0</v>
      </c>
      <c r="L37" s="17">
        <v>0</v>
      </c>
      <c r="M37" s="17">
        <v>0</v>
      </c>
      <c r="N37" s="17">
        <f t="shared" si="1"/>
        <v>0</v>
      </c>
      <c r="O37" s="17">
        <f t="shared" si="2"/>
        <v>0</v>
      </c>
      <c r="P37" s="3"/>
      <c r="Q37" s="19">
        <f t="shared" si="3"/>
        <v>787.08</v>
      </c>
      <c r="R37" s="19">
        <v>0</v>
      </c>
      <c r="S37" s="19">
        <f t="shared" si="4"/>
        <v>0</v>
      </c>
      <c r="T37" s="19">
        <f t="shared" si="5"/>
        <v>0</v>
      </c>
      <c r="U37" s="19">
        <f t="shared" si="6"/>
        <v>787.08</v>
      </c>
      <c r="V37" s="19">
        <f t="shared" si="7"/>
        <v>0</v>
      </c>
      <c r="W37" s="19">
        <f t="shared" si="8"/>
        <v>0</v>
      </c>
      <c r="X37" s="20">
        <f t="shared" si="9"/>
        <v>0</v>
      </c>
      <c r="Y37" s="20">
        <f t="shared" si="10"/>
        <v>0</v>
      </c>
    </row>
    <row r="38" spans="1:25" ht="15.75" customHeight="1">
      <c r="A38" s="14" t="s">
        <v>86</v>
      </c>
      <c r="B38" s="15" t="s">
        <v>87</v>
      </c>
      <c r="C38" s="16">
        <v>5590</v>
      </c>
      <c r="D38" s="16">
        <v>5590</v>
      </c>
      <c r="E38" s="17">
        <v>1</v>
      </c>
      <c r="F38" s="18">
        <v>0</v>
      </c>
      <c r="G38" s="18">
        <v>0</v>
      </c>
      <c r="H38" s="36">
        <v>0</v>
      </c>
      <c r="I38" s="17">
        <v>0</v>
      </c>
      <c r="J38" s="17">
        <f t="shared" si="0"/>
        <v>1</v>
      </c>
      <c r="K38" s="37">
        <v>1</v>
      </c>
      <c r="L38" s="17">
        <v>0</v>
      </c>
      <c r="M38" s="17">
        <v>0</v>
      </c>
      <c r="N38" s="17">
        <f t="shared" si="1"/>
        <v>1</v>
      </c>
      <c r="O38" s="17">
        <f t="shared" si="2"/>
        <v>0</v>
      </c>
      <c r="P38" s="3"/>
      <c r="Q38" s="19">
        <f t="shared" si="3"/>
        <v>5590</v>
      </c>
      <c r="R38" s="19">
        <v>0</v>
      </c>
      <c r="S38" s="19">
        <f t="shared" si="4"/>
        <v>0</v>
      </c>
      <c r="T38" s="19">
        <f t="shared" si="5"/>
        <v>0</v>
      </c>
      <c r="U38" s="19">
        <f t="shared" si="6"/>
        <v>0</v>
      </c>
      <c r="V38" s="19">
        <f t="shared" si="7"/>
        <v>0</v>
      </c>
      <c r="W38" s="19">
        <f t="shared" si="8"/>
        <v>5590</v>
      </c>
      <c r="X38" s="20">
        <f t="shared" si="9"/>
        <v>5590</v>
      </c>
      <c r="Y38" s="20">
        <f t="shared" si="10"/>
        <v>0</v>
      </c>
    </row>
    <row r="39" spans="1:25" ht="14.25" customHeight="1">
      <c r="A39" s="14" t="s">
        <v>88</v>
      </c>
      <c r="B39" s="15" t="s">
        <v>89</v>
      </c>
      <c r="C39" s="16">
        <v>1250</v>
      </c>
      <c r="D39" s="16">
        <v>1250</v>
      </c>
      <c r="E39" s="17">
        <v>3</v>
      </c>
      <c r="F39" s="18">
        <v>0</v>
      </c>
      <c r="G39" s="18">
        <v>0</v>
      </c>
      <c r="H39" s="36">
        <v>0</v>
      </c>
      <c r="I39" s="17">
        <v>0</v>
      </c>
      <c r="J39" s="17">
        <f t="shared" si="0"/>
        <v>3</v>
      </c>
      <c r="K39" s="37">
        <v>3</v>
      </c>
      <c r="L39" s="17">
        <v>0</v>
      </c>
      <c r="M39" s="17">
        <v>0</v>
      </c>
      <c r="N39" s="17">
        <f t="shared" si="1"/>
        <v>3</v>
      </c>
      <c r="O39" s="17">
        <f t="shared" si="2"/>
        <v>0</v>
      </c>
      <c r="P39" s="3"/>
      <c r="Q39" s="19">
        <f t="shared" si="3"/>
        <v>3750</v>
      </c>
      <c r="R39" s="19">
        <v>0</v>
      </c>
      <c r="S39" s="19">
        <f t="shared" si="4"/>
        <v>0</v>
      </c>
      <c r="T39" s="19">
        <f t="shared" si="5"/>
        <v>0</v>
      </c>
      <c r="U39" s="19">
        <f t="shared" si="6"/>
        <v>0</v>
      </c>
      <c r="V39" s="19">
        <f t="shared" si="7"/>
        <v>0</v>
      </c>
      <c r="W39" s="19">
        <f t="shared" si="8"/>
        <v>3750</v>
      </c>
      <c r="X39" s="20">
        <f t="shared" si="9"/>
        <v>3750</v>
      </c>
      <c r="Y39" s="20">
        <f t="shared" si="10"/>
        <v>0</v>
      </c>
    </row>
    <row r="40" spans="1:25" ht="15.75" customHeight="1">
      <c r="A40" s="14" t="s">
        <v>90</v>
      </c>
      <c r="B40" s="15" t="s">
        <v>91</v>
      </c>
      <c r="C40" s="16">
        <v>760</v>
      </c>
      <c r="D40" s="16">
        <v>760</v>
      </c>
      <c r="E40" s="17">
        <v>2</v>
      </c>
      <c r="F40" s="18">
        <v>0</v>
      </c>
      <c r="G40" s="18">
        <v>0</v>
      </c>
      <c r="H40" s="36">
        <v>0</v>
      </c>
      <c r="I40" s="17">
        <v>0</v>
      </c>
      <c r="J40" s="17">
        <f t="shared" si="0"/>
        <v>2</v>
      </c>
      <c r="K40" s="37">
        <v>2</v>
      </c>
      <c r="L40" s="17">
        <v>0</v>
      </c>
      <c r="M40" s="17">
        <v>0</v>
      </c>
      <c r="N40" s="17">
        <f t="shared" si="1"/>
        <v>2</v>
      </c>
      <c r="O40" s="17">
        <f t="shared" si="2"/>
        <v>0</v>
      </c>
      <c r="P40" s="3"/>
      <c r="Q40" s="19">
        <f t="shared" si="3"/>
        <v>1520</v>
      </c>
      <c r="R40" s="19">
        <v>0</v>
      </c>
      <c r="S40" s="19">
        <f t="shared" si="4"/>
        <v>0</v>
      </c>
      <c r="T40" s="19">
        <f t="shared" si="5"/>
        <v>0</v>
      </c>
      <c r="U40" s="19">
        <f t="shared" si="6"/>
        <v>0</v>
      </c>
      <c r="V40" s="19">
        <f t="shared" si="7"/>
        <v>0</v>
      </c>
      <c r="W40" s="19">
        <f t="shared" si="8"/>
        <v>1520</v>
      </c>
      <c r="X40" s="20">
        <f t="shared" si="9"/>
        <v>1520</v>
      </c>
      <c r="Y40" s="20">
        <f t="shared" si="10"/>
        <v>0</v>
      </c>
    </row>
    <row r="41" spans="1:25" ht="15.75" customHeight="1">
      <c r="A41" s="14" t="s">
        <v>92</v>
      </c>
      <c r="B41" s="15" t="s">
        <v>93</v>
      </c>
      <c r="C41" s="16">
        <v>755</v>
      </c>
      <c r="D41" s="16">
        <v>755</v>
      </c>
      <c r="E41" s="17">
        <v>2</v>
      </c>
      <c r="F41" s="18">
        <v>0</v>
      </c>
      <c r="G41" s="18">
        <v>0</v>
      </c>
      <c r="H41" s="36">
        <v>0</v>
      </c>
      <c r="I41" s="17">
        <v>0</v>
      </c>
      <c r="J41" s="17">
        <f t="shared" si="0"/>
        <v>2</v>
      </c>
      <c r="K41" s="37">
        <v>2</v>
      </c>
      <c r="L41" s="17">
        <v>0</v>
      </c>
      <c r="M41" s="17">
        <v>0</v>
      </c>
      <c r="N41" s="17">
        <f t="shared" si="1"/>
        <v>2</v>
      </c>
      <c r="O41" s="17">
        <f t="shared" si="2"/>
        <v>0</v>
      </c>
      <c r="P41" s="3"/>
      <c r="Q41" s="19">
        <f t="shared" si="3"/>
        <v>1510</v>
      </c>
      <c r="R41" s="19">
        <v>0</v>
      </c>
      <c r="S41" s="19">
        <f t="shared" si="4"/>
        <v>0</v>
      </c>
      <c r="T41" s="19">
        <f t="shared" si="5"/>
        <v>0</v>
      </c>
      <c r="U41" s="19">
        <f t="shared" si="6"/>
        <v>0</v>
      </c>
      <c r="V41" s="19">
        <f t="shared" si="7"/>
        <v>0</v>
      </c>
      <c r="W41" s="19">
        <f t="shared" si="8"/>
        <v>1510</v>
      </c>
      <c r="X41" s="20">
        <f t="shared" si="9"/>
        <v>1510</v>
      </c>
      <c r="Y41" s="20">
        <f t="shared" si="10"/>
        <v>0</v>
      </c>
    </row>
    <row r="42" spans="1:25" ht="15.75" customHeight="1">
      <c r="A42" s="14" t="s">
        <v>94</v>
      </c>
      <c r="B42" s="15" t="s">
        <v>95</v>
      </c>
      <c r="C42" s="16">
        <v>0</v>
      </c>
      <c r="D42" s="16">
        <v>0</v>
      </c>
      <c r="E42" s="17">
        <v>0</v>
      </c>
      <c r="F42" s="18">
        <v>0</v>
      </c>
      <c r="G42" s="18">
        <v>0</v>
      </c>
      <c r="H42" s="36">
        <v>0</v>
      </c>
      <c r="I42" s="17">
        <v>0</v>
      </c>
      <c r="J42" s="17">
        <f t="shared" si="0"/>
        <v>0</v>
      </c>
      <c r="K42" s="37">
        <v>0</v>
      </c>
      <c r="L42" s="17">
        <v>0</v>
      </c>
      <c r="M42" s="17">
        <v>0</v>
      </c>
      <c r="N42" s="17">
        <f t="shared" si="1"/>
        <v>0</v>
      </c>
      <c r="O42" s="17">
        <f t="shared" si="2"/>
        <v>0</v>
      </c>
      <c r="P42" s="3"/>
      <c r="Q42" s="19">
        <f t="shared" si="3"/>
        <v>0</v>
      </c>
      <c r="R42" s="19">
        <v>0</v>
      </c>
      <c r="S42" s="19">
        <f t="shared" si="4"/>
        <v>0</v>
      </c>
      <c r="T42" s="19">
        <f t="shared" si="5"/>
        <v>0</v>
      </c>
      <c r="U42" s="19">
        <f t="shared" si="6"/>
        <v>0</v>
      </c>
      <c r="V42" s="19">
        <f t="shared" si="7"/>
        <v>0</v>
      </c>
      <c r="W42" s="19">
        <f t="shared" si="8"/>
        <v>0</v>
      </c>
      <c r="X42" s="20">
        <f t="shared" si="9"/>
        <v>0</v>
      </c>
      <c r="Y42" s="20">
        <f t="shared" si="10"/>
        <v>0</v>
      </c>
    </row>
    <row r="43" spans="1:25" ht="15.75" customHeight="1">
      <c r="A43" s="14" t="s">
        <v>96</v>
      </c>
      <c r="B43" s="15" t="s">
        <v>97</v>
      </c>
      <c r="C43" s="16">
        <v>610</v>
      </c>
      <c r="D43" s="16">
        <v>610</v>
      </c>
      <c r="E43" s="17">
        <v>2</v>
      </c>
      <c r="F43" s="18">
        <v>0</v>
      </c>
      <c r="G43" s="18">
        <v>0</v>
      </c>
      <c r="H43" s="36">
        <v>0</v>
      </c>
      <c r="I43" s="17">
        <v>0</v>
      </c>
      <c r="J43" s="17">
        <f t="shared" si="0"/>
        <v>2</v>
      </c>
      <c r="K43" s="37">
        <v>2</v>
      </c>
      <c r="L43" s="17">
        <v>0</v>
      </c>
      <c r="M43" s="17">
        <v>0</v>
      </c>
      <c r="N43" s="17">
        <f t="shared" si="1"/>
        <v>2</v>
      </c>
      <c r="O43" s="17">
        <f t="shared" si="2"/>
        <v>0</v>
      </c>
      <c r="P43" s="3"/>
      <c r="Q43" s="19">
        <f t="shared" si="3"/>
        <v>1220</v>
      </c>
      <c r="R43" s="19">
        <v>0</v>
      </c>
      <c r="S43" s="19">
        <f t="shared" si="4"/>
        <v>0</v>
      </c>
      <c r="T43" s="19">
        <f t="shared" si="5"/>
        <v>0</v>
      </c>
      <c r="U43" s="19">
        <f t="shared" si="6"/>
        <v>0</v>
      </c>
      <c r="V43" s="19">
        <f t="shared" si="7"/>
        <v>0</v>
      </c>
      <c r="W43" s="19">
        <f t="shared" si="8"/>
        <v>1220</v>
      </c>
      <c r="X43" s="20">
        <f t="shared" si="9"/>
        <v>1220</v>
      </c>
      <c r="Y43" s="20">
        <f t="shared" si="10"/>
        <v>0</v>
      </c>
    </row>
    <row r="44" spans="1:25" ht="15.75" customHeight="1">
      <c r="A44" s="14" t="s">
        <v>98</v>
      </c>
      <c r="B44" s="15" t="s">
        <v>99</v>
      </c>
      <c r="C44" s="16">
        <v>780</v>
      </c>
      <c r="D44" s="16">
        <v>780</v>
      </c>
      <c r="E44" s="17">
        <v>3</v>
      </c>
      <c r="F44" s="18">
        <v>0</v>
      </c>
      <c r="G44" s="18">
        <v>0</v>
      </c>
      <c r="H44" s="36">
        <v>2</v>
      </c>
      <c r="I44" s="17">
        <v>0</v>
      </c>
      <c r="J44" s="17">
        <f t="shared" si="0"/>
        <v>1</v>
      </c>
      <c r="K44" s="37">
        <v>1</v>
      </c>
      <c r="L44" s="17">
        <v>0</v>
      </c>
      <c r="M44" s="17">
        <v>0</v>
      </c>
      <c r="N44" s="17">
        <f t="shared" si="1"/>
        <v>1</v>
      </c>
      <c r="O44" s="17">
        <f t="shared" si="2"/>
        <v>0</v>
      </c>
      <c r="P44" s="3"/>
      <c r="Q44" s="19">
        <f t="shared" si="3"/>
        <v>2340</v>
      </c>
      <c r="R44" s="19">
        <v>0</v>
      </c>
      <c r="S44" s="19">
        <f t="shared" si="4"/>
        <v>0</v>
      </c>
      <c r="T44" s="19">
        <f t="shared" si="5"/>
        <v>0</v>
      </c>
      <c r="U44" s="19">
        <f t="shared" si="6"/>
        <v>1560</v>
      </c>
      <c r="V44" s="19">
        <f t="shared" si="7"/>
        <v>0</v>
      </c>
      <c r="W44" s="19">
        <f t="shared" si="8"/>
        <v>780</v>
      </c>
      <c r="X44" s="20">
        <f t="shared" si="9"/>
        <v>780</v>
      </c>
      <c r="Y44" s="20">
        <f t="shared" si="10"/>
        <v>0</v>
      </c>
    </row>
    <row r="45" spans="1:25" ht="15.75" customHeight="1">
      <c r="A45" s="14" t="s">
        <v>100</v>
      </c>
      <c r="B45" s="15" t="s">
        <v>101</v>
      </c>
      <c r="C45" s="16">
        <v>960</v>
      </c>
      <c r="D45" s="16">
        <v>960</v>
      </c>
      <c r="E45" s="17">
        <v>3</v>
      </c>
      <c r="F45" s="18">
        <v>0</v>
      </c>
      <c r="G45" s="18">
        <v>0</v>
      </c>
      <c r="H45" s="36">
        <v>0</v>
      </c>
      <c r="I45" s="17">
        <v>0</v>
      </c>
      <c r="J45" s="17">
        <f t="shared" si="0"/>
        <v>3</v>
      </c>
      <c r="K45" s="37">
        <v>3</v>
      </c>
      <c r="L45" s="17">
        <v>0</v>
      </c>
      <c r="M45" s="17">
        <v>0</v>
      </c>
      <c r="N45" s="17">
        <f t="shared" si="1"/>
        <v>3</v>
      </c>
      <c r="O45" s="17">
        <f t="shared" si="2"/>
        <v>0</v>
      </c>
      <c r="P45" s="3"/>
      <c r="Q45" s="19">
        <f t="shared" si="3"/>
        <v>2880</v>
      </c>
      <c r="R45" s="19">
        <v>0</v>
      </c>
      <c r="S45" s="19">
        <f t="shared" si="4"/>
        <v>0</v>
      </c>
      <c r="T45" s="19">
        <f t="shared" si="5"/>
        <v>0</v>
      </c>
      <c r="U45" s="19">
        <f t="shared" si="6"/>
        <v>0</v>
      </c>
      <c r="V45" s="19">
        <f t="shared" si="7"/>
        <v>0</v>
      </c>
      <c r="W45" s="19">
        <f t="shared" si="8"/>
        <v>2880</v>
      </c>
      <c r="X45" s="20">
        <f t="shared" si="9"/>
        <v>2880</v>
      </c>
      <c r="Y45" s="20">
        <f t="shared" si="10"/>
        <v>0</v>
      </c>
    </row>
    <row r="46" spans="1:25" ht="15.75" customHeight="1">
      <c r="A46" s="14" t="s">
        <v>102</v>
      </c>
      <c r="B46" s="15" t="s">
        <v>103</v>
      </c>
      <c r="C46" s="16">
        <v>8.6</v>
      </c>
      <c r="D46" s="16">
        <v>8.6</v>
      </c>
      <c r="E46" s="17">
        <v>50</v>
      </c>
      <c r="F46" s="18">
        <v>0</v>
      </c>
      <c r="G46" s="18">
        <v>0</v>
      </c>
      <c r="H46" s="36">
        <v>10</v>
      </c>
      <c r="I46" s="17">
        <v>0</v>
      </c>
      <c r="J46" s="17">
        <f t="shared" si="0"/>
        <v>40</v>
      </c>
      <c r="K46" s="37">
        <v>40</v>
      </c>
      <c r="L46" s="17">
        <v>0</v>
      </c>
      <c r="M46" s="17">
        <v>0</v>
      </c>
      <c r="N46" s="17">
        <f t="shared" si="1"/>
        <v>40</v>
      </c>
      <c r="O46" s="17">
        <f t="shared" si="2"/>
        <v>0</v>
      </c>
      <c r="P46" s="3"/>
      <c r="Q46" s="19">
        <f t="shared" si="3"/>
        <v>430</v>
      </c>
      <c r="R46" s="19">
        <v>0</v>
      </c>
      <c r="S46" s="19">
        <f t="shared" si="4"/>
        <v>0</v>
      </c>
      <c r="T46" s="19">
        <f t="shared" si="5"/>
        <v>0</v>
      </c>
      <c r="U46" s="19">
        <f t="shared" si="6"/>
        <v>86</v>
      </c>
      <c r="V46" s="19">
        <f t="shared" si="7"/>
        <v>0</v>
      </c>
      <c r="W46" s="19">
        <f t="shared" si="8"/>
        <v>344</v>
      </c>
      <c r="X46" s="20">
        <f t="shared" si="9"/>
        <v>344</v>
      </c>
      <c r="Y46" s="20">
        <f t="shared" si="10"/>
        <v>0</v>
      </c>
    </row>
    <row r="47" spans="1:25" ht="15.75" customHeight="1">
      <c r="A47" s="14" t="s">
        <v>104</v>
      </c>
      <c r="B47" s="15" t="s">
        <v>105</v>
      </c>
      <c r="C47" s="16">
        <v>1120</v>
      </c>
      <c r="D47" s="16">
        <v>1120</v>
      </c>
      <c r="E47" s="17">
        <v>1</v>
      </c>
      <c r="F47" s="18">
        <v>0</v>
      </c>
      <c r="G47" s="18">
        <v>0</v>
      </c>
      <c r="H47" s="36">
        <v>0</v>
      </c>
      <c r="I47" s="17">
        <v>0</v>
      </c>
      <c r="J47" s="17">
        <f t="shared" si="0"/>
        <v>1</v>
      </c>
      <c r="K47" s="37">
        <v>1</v>
      </c>
      <c r="L47" s="17">
        <v>0</v>
      </c>
      <c r="M47" s="17">
        <v>0</v>
      </c>
      <c r="N47" s="17">
        <f t="shared" si="1"/>
        <v>1</v>
      </c>
      <c r="O47" s="17">
        <f t="shared" si="2"/>
        <v>0</v>
      </c>
      <c r="P47" s="3"/>
      <c r="Q47" s="19">
        <f t="shared" si="3"/>
        <v>1120</v>
      </c>
      <c r="R47" s="19">
        <v>0</v>
      </c>
      <c r="S47" s="19">
        <f t="shared" si="4"/>
        <v>0</v>
      </c>
      <c r="T47" s="19">
        <f t="shared" si="5"/>
        <v>0</v>
      </c>
      <c r="U47" s="19">
        <f t="shared" si="6"/>
        <v>0</v>
      </c>
      <c r="V47" s="19">
        <f t="shared" si="7"/>
        <v>0</v>
      </c>
      <c r="W47" s="19">
        <f t="shared" si="8"/>
        <v>1120</v>
      </c>
      <c r="X47" s="20">
        <f t="shared" si="9"/>
        <v>1120</v>
      </c>
      <c r="Y47" s="20">
        <f t="shared" si="10"/>
        <v>0</v>
      </c>
    </row>
    <row r="48" spans="1:25" ht="15.75" customHeight="1">
      <c r="A48" s="14" t="s">
        <v>106</v>
      </c>
      <c r="B48" s="15" t="s">
        <v>107</v>
      </c>
      <c r="C48" s="16">
        <v>1949.99</v>
      </c>
      <c r="D48" s="16">
        <v>1949.99</v>
      </c>
      <c r="E48" s="17">
        <v>2</v>
      </c>
      <c r="F48" s="18">
        <v>0</v>
      </c>
      <c r="G48" s="18">
        <v>0</v>
      </c>
      <c r="H48" s="36">
        <v>0</v>
      </c>
      <c r="I48" s="17">
        <v>0</v>
      </c>
      <c r="J48" s="17">
        <f t="shared" si="0"/>
        <v>2</v>
      </c>
      <c r="K48" s="37">
        <v>2</v>
      </c>
      <c r="L48" s="17">
        <v>0</v>
      </c>
      <c r="M48" s="17">
        <v>0</v>
      </c>
      <c r="N48" s="17">
        <f t="shared" si="1"/>
        <v>2</v>
      </c>
      <c r="O48" s="17">
        <f t="shared" si="2"/>
        <v>0</v>
      </c>
      <c r="P48" s="3"/>
      <c r="Q48" s="19">
        <f t="shared" si="3"/>
        <v>3899.98</v>
      </c>
      <c r="R48" s="19">
        <v>0</v>
      </c>
      <c r="S48" s="19">
        <f t="shared" si="4"/>
        <v>0</v>
      </c>
      <c r="T48" s="19">
        <f t="shared" si="5"/>
        <v>0</v>
      </c>
      <c r="U48" s="19">
        <f t="shared" si="6"/>
        <v>0</v>
      </c>
      <c r="V48" s="19">
        <f t="shared" si="7"/>
        <v>0</v>
      </c>
      <c r="W48" s="19">
        <f t="shared" si="8"/>
        <v>3899.98</v>
      </c>
      <c r="X48" s="20">
        <f t="shared" si="9"/>
        <v>3899.98</v>
      </c>
      <c r="Y48" s="20">
        <f t="shared" si="10"/>
        <v>0</v>
      </c>
    </row>
    <row r="49" spans="1:25" ht="15.75" customHeight="1">
      <c r="A49" s="14" t="s">
        <v>108</v>
      </c>
      <c r="B49" s="15" t="s">
        <v>109</v>
      </c>
      <c r="C49" s="16">
        <v>0</v>
      </c>
      <c r="D49" s="16">
        <v>0</v>
      </c>
      <c r="E49" s="17">
        <v>0</v>
      </c>
      <c r="F49" s="18">
        <v>0</v>
      </c>
      <c r="G49" s="18">
        <v>0</v>
      </c>
      <c r="H49" s="36">
        <v>0</v>
      </c>
      <c r="I49" s="17">
        <v>0</v>
      </c>
      <c r="J49" s="17">
        <f t="shared" si="0"/>
        <v>0</v>
      </c>
      <c r="K49" s="37">
        <v>0</v>
      </c>
      <c r="L49" s="17">
        <v>0</v>
      </c>
      <c r="M49" s="17">
        <v>0</v>
      </c>
      <c r="N49" s="17">
        <f t="shared" si="1"/>
        <v>0</v>
      </c>
      <c r="O49" s="17">
        <f t="shared" si="2"/>
        <v>0</v>
      </c>
      <c r="P49" s="3"/>
      <c r="Q49" s="19">
        <f t="shared" si="3"/>
        <v>0</v>
      </c>
      <c r="R49" s="19">
        <v>0</v>
      </c>
      <c r="S49" s="19">
        <f t="shared" si="4"/>
        <v>0</v>
      </c>
      <c r="T49" s="19">
        <f t="shared" si="5"/>
        <v>0</v>
      </c>
      <c r="U49" s="19">
        <f t="shared" si="6"/>
        <v>0</v>
      </c>
      <c r="V49" s="19">
        <f t="shared" si="7"/>
        <v>0</v>
      </c>
      <c r="W49" s="19">
        <f t="shared" si="8"/>
        <v>0</v>
      </c>
      <c r="X49" s="20">
        <f t="shared" si="9"/>
        <v>0</v>
      </c>
      <c r="Y49" s="20">
        <f t="shared" si="10"/>
        <v>0</v>
      </c>
    </row>
    <row r="50" spans="1:25" ht="15.75" customHeight="1">
      <c r="A50" s="14" t="s">
        <v>110</v>
      </c>
      <c r="B50" s="15" t="s">
        <v>111</v>
      </c>
      <c r="C50" s="16">
        <v>480</v>
      </c>
      <c r="D50" s="16">
        <v>480</v>
      </c>
      <c r="E50" s="17">
        <v>0</v>
      </c>
      <c r="F50" s="18">
        <v>0</v>
      </c>
      <c r="G50" s="18">
        <v>0</v>
      </c>
      <c r="H50" s="36">
        <v>0</v>
      </c>
      <c r="I50" s="17">
        <v>0</v>
      </c>
      <c r="J50" s="17">
        <f t="shared" si="0"/>
        <v>0</v>
      </c>
      <c r="K50" s="37">
        <v>0</v>
      </c>
      <c r="L50" s="17">
        <v>0</v>
      </c>
      <c r="M50" s="17">
        <v>0</v>
      </c>
      <c r="N50" s="17">
        <f t="shared" si="1"/>
        <v>0</v>
      </c>
      <c r="O50" s="17">
        <f t="shared" si="2"/>
        <v>0</v>
      </c>
      <c r="P50" s="3"/>
      <c r="Q50" s="19">
        <f t="shared" si="3"/>
        <v>0</v>
      </c>
      <c r="R50" s="19">
        <v>0</v>
      </c>
      <c r="S50" s="19">
        <f t="shared" si="4"/>
        <v>0</v>
      </c>
      <c r="T50" s="19">
        <f t="shared" si="5"/>
        <v>0</v>
      </c>
      <c r="U50" s="19">
        <f t="shared" si="6"/>
        <v>0</v>
      </c>
      <c r="V50" s="19">
        <f t="shared" si="7"/>
        <v>0</v>
      </c>
      <c r="W50" s="19">
        <f t="shared" si="8"/>
        <v>0</v>
      </c>
      <c r="X50" s="20">
        <f t="shared" si="9"/>
        <v>0</v>
      </c>
      <c r="Y50" s="20">
        <f t="shared" si="10"/>
        <v>0</v>
      </c>
    </row>
    <row r="51" spans="1:25" ht="15.75" customHeight="1">
      <c r="A51" s="14" t="s">
        <v>112</v>
      </c>
      <c r="B51" s="15" t="s">
        <v>113</v>
      </c>
      <c r="C51" s="16">
        <v>310</v>
      </c>
      <c r="D51" s="16">
        <v>310</v>
      </c>
      <c r="E51" s="17">
        <v>1</v>
      </c>
      <c r="F51" s="18">
        <v>0</v>
      </c>
      <c r="G51" s="18">
        <v>0</v>
      </c>
      <c r="H51" s="36">
        <v>0</v>
      </c>
      <c r="I51" s="17">
        <v>0</v>
      </c>
      <c r="J51" s="17">
        <f t="shared" si="0"/>
        <v>1</v>
      </c>
      <c r="K51" s="37">
        <v>1</v>
      </c>
      <c r="L51" s="17">
        <v>0</v>
      </c>
      <c r="M51" s="17">
        <v>0</v>
      </c>
      <c r="N51" s="17">
        <f t="shared" si="1"/>
        <v>1</v>
      </c>
      <c r="O51" s="17">
        <f t="shared" si="2"/>
        <v>0</v>
      </c>
      <c r="P51" s="3"/>
      <c r="Q51" s="19">
        <f t="shared" si="3"/>
        <v>310</v>
      </c>
      <c r="R51" s="19">
        <v>0</v>
      </c>
      <c r="S51" s="19">
        <f t="shared" si="4"/>
        <v>0</v>
      </c>
      <c r="T51" s="19">
        <f t="shared" si="5"/>
        <v>0</v>
      </c>
      <c r="U51" s="19">
        <f t="shared" si="6"/>
        <v>0</v>
      </c>
      <c r="V51" s="19">
        <f t="shared" si="7"/>
        <v>0</v>
      </c>
      <c r="W51" s="19">
        <f t="shared" si="8"/>
        <v>310</v>
      </c>
      <c r="X51" s="20">
        <f t="shared" si="9"/>
        <v>310</v>
      </c>
      <c r="Y51" s="20">
        <f t="shared" si="10"/>
        <v>0</v>
      </c>
    </row>
    <row r="52" spans="1:25" ht="15.75" customHeight="1">
      <c r="A52" s="14" t="s">
        <v>114</v>
      </c>
      <c r="B52" s="15" t="s">
        <v>115</v>
      </c>
      <c r="C52" s="16">
        <v>2.46</v>
      </c>
      <c r="D52" s="16">
        <v>2.46</v>
      </c>
      <c r="E52" s="17">
        <v>100</v>
      </c>
      <c r="F52" s="18">
        <v>0</v>
      </c>
      <c r="G52" s="18">
        <v>0</v>
      </c>
      <c r="H52" s="36">
        <v>0</v>
      </c>
      <c r="I52" s="17">
        <v>0</v>
      </c>
      <c r="J52" s="17">
        <f t="shared" si="0"/>
        <v>100</v>
      </c>
      <c r="K52" s="37">
        <v>100</v>
      </c>
      <c r="L52" s="17">
        <v>0</v>
      </c>
      <c r="M52" s="17">
        <v>0</v>
      </c>
      <c r="N52" s="17">
        <f t="shared" si="1"/>
        <v>100</v>
      </c>
      <c r="O52" s="17">
        <f t="shared" si="2"/>
        <v>0</v>
      </c>
      <c r="P52" s="3"/>
      <c r="Q52" s="19">
        <f t="shared" si="3"/>
        <v>246</v>
      </c>
      <c r="R52" s="19">
        <v>0</v>
      </c>
      <c r="S52" s="19">
        <f t="shared" si="4"/>
        <v>0</v>
      </c>
      <c r="T52" s="19">
        <f t="shared" si="5"/>
        <v>0</v>
      </c>
      <c r="U52" s="19">
        <f t="shared" si="6"/>
        <v>0</v>
      </c>
      <c r="V52" s="19">
        <f t="shared" si="7"/>
        <v>0</v>
      </c>
      <c r="W52" s="19">
        <f t="shared" si="8"/>
        <v>246</v>
      </c>
      <c r="X52" s="20">
        <f t="shared" si="9"/>
        <v>246</v>
      </c>
      <c r="Y52" s="20">
        <f t="shared" si="10"/>
        <v>0</v>
      </c>
    </row>
    <row r="53" spans="1:25" ht="15.75" customHeight="1">
      <c r="A53" s="14" t="s">
        <v>116</v>
      </c>
      <c r="B53" s="15" t="s">
        <v>117</v>
      </c>
      <c r="C53" s="16">
        <v>625.82000000000005</v>
      </c>
      <c r="D53" s="16">
        <v>625.82000000000005</v>
      </c>
      <c r="E53" s="17">
        <v>2</v>
      </c>
      <c r="F53" s="18">
        <v>0</v>
      </c>
      <c r="G53" s="18">
        <v>0</v>
      </c>
      <c r="H53" s="36">
        <v>0</v>
      </c>
      <c r="I53" s="17">
        <v>0</v>
      </c>
      <c r="J53" s="17">
        <f t="shared" si="0"/>
        <v>2</v>
      </c>
      <c r="K53" s="37">
        <v>2</v>
      </c>
      <c r="L53" s="17">
        <v>0</v>
      </c>
      <c r="M53" s="17">
        <v>0</v>
      </c>
      <c r="N53" s="17">
        <f t="shared" si="1"/>
        <v>2</v>
      </c>
      <c r="O53" s="17">
        <f t="shared" si="2"/>
        <v>0</v>
      </c>
      <c r="P53" s="3"/>
      <c r="Q53" s="19">
        <f t="shared" si="3"/>
        <v>1251.6400000000001</v>
      </c>
      <c r="R53" s="19">
        <v>0</v>
      </c>
      <c r="S53" s="19">
        <f t="shared" si="4"/>
        <v>0</v>
      </c>
      <c r="T53" s="19">
        <f t="shared" si="5"/>
        <v>0</v>
      </c>
      <c r="U53" s="19">
        <f t="shared" si="6"/>
        <v>0</v>
      </c>
      <c r="V53" s="19">
        <f t="shared" si="7"/>
        <v>0</v>
      </c>
      <c r="W53" s="19">
        <f t="shared" si="8"/>
        <v>1251.6400000000001</v>
      </c>
      <c r="X53" s="20">
        <f t="shared" si="9"/>
        <v>1251.6400000000001</v>
      </c>
      <c r="Y53" s="20">
        <f t="shared" si="10"/>
        <v>0</v>
      </c>
    </row>
    <row r="54" spans="1:25" ht="15.75" customHeight="1">
      <c r="A54" s="14" t="s">
        <v>118</v>
      </c>
      <c r="B54" s="15" t="s">
        <v>119</v>
      </c>
      <c r="C54" s="16">
        <v>625.82000000000005</v>
      </c>
      <c r="D54" s="16">
        <v>625.82000000000005</v>
      </c>
      <c r="E54" s="17">
        <v>2</v>
      </c>
      <c r="F54" s="18">
        <v>0</v>
      </c>
      <c r="G54" s="18">
        <v>0</v>
      </c>
      <c r="H54" s="36">
        <v>0</v>
      </c>
      <c r="I54" s="17">
        <v>0</v>
      </c>
      <c r="J54" s="17">
        <f t="shared" si="0"/>
        <v>2</v>
      </c>
      <c r="K54" s="37">
        <v>2</v>
      </c>
      <c r="L54" s="17">
        <v>0</v>
      </c>
      <c r="M54" s="17">
        <v>0</v>
      </c>
      <c r="N54" s="17">
        <f t="shared" si="1"/>
        <v>2</v>
      </c>
      <c r="O54" s="17">
        <f t="shared" si="2"/>
        <v>0</v>
      </c>
      <c r="P54" s="3"/>
      <c r="Q54" s="19">
        <f t="shared" si="3"/>
        <v>1251.6400000000001</v>
      </c>
      <c r="R54" s="19">
        <v>0</v>
      </c>
      <c r="S54" s="19">
        <f t="shared" si="4"/>
        <v>0</v>
      </c>
      <c r="T54" s="19">
        <f t="shared" si="5"/>
        <v>0</v>
      </c>
      <c r="U54" s="19">
        <f t="shared" si="6"/>
        <v>0</v>
      </c>
      <c r="V54" s="19">
        <f t="shared" si="7"/>
        <v>0</v>
      </c>
      <c r="W54" s="19">
        <f t="shared" si="8"/>
        <v>1251.6400000000001</v>
      </c>
      <c r="X54" s="20">
        <f t="shared" si="9"/>
        <v>1251.6400000000001</v>
      </c>
      <c r="Y54" s="20">
        <f t="shared" si="10"/>
        <v>0</v>
      </c>
    </row>
    <row r="55" spans="1:25" ht="15.75" customHeight="1">
      <c r="A55" s="14" t="s">
        <v>120</v>
      </c>
      <c r="B55" s="15" t="s">
        <v>121</v>
      </c>
      <c r="C55" s="16">
        <v>625.82000000000005</v>
      </c>
      <c r="D55" s="16">
        <v>625.82000000000005</v>
      </c>
      <c r="E55" s="17">
        <v>2</v>
      </c>
      <c r="F55" s="18">
        <v>0</v>
      </c>
      <c r="G55" s="18">
        <v>0</v>
      </c>
      <c r="H55" s="36">
        <v>0</v>
      </c>
      <c r="I55" s="17">
        <v>0</v>
      </c>
      <c r="J55" s="17">
        <f t="shared" si="0"/>
        <v>2</v>
      </c>
      <c r="K55" s="37">
        <v>2</v>
      </c>
      <c r="L55" s="17">
        <v>0</v>
      </c>
      <c r="M55" s="17">
        <v>0</v>
      </c>
      <c r="N55" s="17">
        <f t="shared" si="1"/>
        <v>2</v>
      </c>
      <c r="O55" s="17">
        <f t="shared" si="2"/>
        <v>0</v>
      </c>
      <c r="P55" s="3"/>
      <c r="Q55" s="19">
        <f t="shared" si="3"/>
        <v>1251.6400000000001</v>
      </c>
      <c r="R55" s="19">
        <v>0</v>
      </c>
      <c r="S55" s="19">
        <f t="shared" si="4"/>
        <v>0</v>
      </c>
      <c r="T55" s="19">
        <f t="shared" si="5"/>
        <v>0</v>
      </c>
      <c r="U55" s="19">
        <f t="shared" si="6"/>
        <v>0</v>
      </c>
      <c r="V55" s="19">
        <f t="shared" si="7"/>
        <v>0</v>
      </c>
      <c r="W55" s="19">
        <f t="shared" si="8"/>
        <v>1251.6400000000001</v>
      </c>
      <c r="X55" s="20">
        <f t="shared" si="9"/>
        <v>1251.6400000000001</v>
      </c>
      <c r="Y55" s="20">
        <f t="shared" si="10"/>
        <v>0</v>
      </c>
    </row>
    <row r="56" spans="1:25" ht="15.75" customHeight="1">
      <c r="A56" s="14" t="s">
        <v>122</v>
      </c>
      <c r="B56" s="15" t="s">
        <v>123</v>
      </c>
      <c r="C56" s="16">
        <v>625.82000000000005</v>
      </c>
      <c r="D56" s="16">
        <v>625.82000000000005</v>
      </c>
      <c r="E56" s="17">
        <v>2</v>
      </c>
      <c r="F56" s="18">
        <v>0</v>
      </c>
      <c r="G56" s="18">
        <v>0</v>
      </c>
      <c r="H56" s="36">
        <v>0</v>
      </c>
      <c r="I56" s="17">
        <v>0</v>
      </c>
      <c r="J56" s="17">
        <f t="shared" si="0"/>
        <v>2</v>
      </c>
      <c r="K56" s="37">
        <v>2</v>
      </c>
      <c r="L56" s="17">
        <v>0</v>
      </c>
      <c r="M56" s="17">
        <v>0</v>
      </c>
      <c r="N56" s="17">
        <f t="shared" si="1"/>
        <v>2</v>
      </c>
      <c r="O56" s="17">
        <f t="shared" si="2"/>
        <v>0</v>
      </c>
      <c r="P56" s="3"/>
      <c r="Q56" s="19">
        <f t="shared" si="3"/>
        <v>1251.6400000000001</v>
      </c>
      <c r="R56" s="19">
        <v>0</v>
      </c>
      <c r="S56" s="19">
        <f t="shared" si="4"/>
        <v>0</v>
      </c>
      <c r="T56" s="19">
        <f t="shared" si="5"/>
        <v>0</v>
      </c>
      <c r="U56" s="19">
        <f t="shared" si="6"/>
        <v>0</v>
      </c>
      <c r="V56" s="19">
        <f t="shared" si="7"/>
        <v>0</v>
      </c>
      <c r="W56" s="19">
        <f t="shared" si="8"/>
        <v>1251.6400000000001</v>
      </c>
      <c r="X56" s="20">
        <f t="shared" si="9"/>
        <v>1251.6400000000001</v>
      </c>
      <c r="Y56" s="20">
        <f t="shared" si="10"/>
        <v>0</v>
      </c>
    </row>
    <row r="57" spans="1:25" ht="15.75" customHeight="1">
      <c r="A57" s="14" t="s">
        <v>124</v>
      </c>
      <c r="B57" s="15" t="s">
        <v>125</v>
      </c>
      <c r="C57" s="16">
        <v>1300</v>
      </c>
      <c r="D57" s="16">
        <v>1300</v>
      </c>
      <c r="E57" s="17">
        <v>1</v>
      </c>
      <c r="F57" s="18">
        <v>0</v>
      </c>
      <c r="G57" s="18">
        <v>0</v>
      </c>
      <c r="H57" s="36">
        <v>0</v>
      </c>
      <c r="I57" s="17">
        <v>0</v>
      </c>
      <c r="J57" s="17">
        <f t="shared" si="0"/>
        <v>1</v>
      </c>
      <c r="K57" s="37">
        <v>1</v>
      </c>
      <c r="L57" s="17">
        <v>0</v>
      </c>
      <c r="M57" s="17">
        <v>0</v>
      </c>
      <c r="N57" s="17">
        <f t="shared" si="1"/>
        <v>1</v>
      </c>
      <c r="O57" s="17">
        <f t="shared" si="2"/>
        <v>0</v>
      </c>
      <c r="P57" s="3"/>
      <c r="Q57" s="19">
        <f t="shared" si="3"/>
        <v>1300</v>
      </c>
      <c r="R57" s="19">
        <v>0</v>
      </c>
      <c r="S57" s="19">
        <f t="shared" si="4"/>
        <v>0</v>
      </c>
      <c r="T57" s="19">
        <f t="shared" si="5"/>
        <v>0</v>
      </c>
      <c r="U57" s="19">
        <f t="shared" si="6"/>
        <v>0</v>
      </c>
      <c r="V57" s="19">
        <f t="shared" si="7"/>
        <v>0</v>
      </c>
      <c r="W57" s="19">
        <f t="shared" si="8"/>
        <v>1300</v>
      </c>
      <c r="X57" s="20">
        <f t="shared" si="9"/>
        <v>1300</v>
      </c>
      <c r="Y57" s="20">
        <f t="shared" si="10"/>
        <v>0</v>
      </c>
    </row>
    <row r="58" spans="1:25" ht="15.75" customHeight="1">
      <c r="A58" s="14" t="s">
        <v>126</v>
      </c>
      <c r="B58" s="15" t="s">
        <v>127</v>
      </c>
      <c r="C58" s="16">
        <v>185</v>
      </c>
      <c r="D58" s="16">
        <v>185</v>
      </c>
      <c r="E58" s="17">
        <v>0</v>
      </c>
      <c r="F58" s="18">
        <v>0</v>
      </c>
      <c r="G58" s="18">
        <v>0</v>
      </c>
      <c r="H58" s="36">
        <v>0</v>
      </c>
      <c r="I58" s="17">
        <v>0</v>
      </c>
      <c r="J58" s="17">
        <f t="shared" si="0"/>
        <v>0</v>
      </c>
      <c r="K58" s="37">
        <v>0</v>
      </c>
      <c r="L58" s="17">
        <v>0</v>
      </c>
      <c r="M58" s="17">
        <v>0</v>
      </c>
      <c r="N58" s="17">
        <f t="shared" si="1"/>
        <v>0</v>
      </c>
      <c r="O58" s="17">
        <f t="shared" si="2"/>
        <v>0</v>
      </c>
      <c r="P58" s="3"/>
      <c r="Q58" s="19">
        <f t="shared" si="3"/>
        <v>0</v>
      </c>
      <c r="R58" s="19">
        <v>0</v>
      </c>
      <c r="S58" s="19">
        <f t="shared" si="4"/>
        <v>0</v>
      </c>
      <c r="T58" s="19">
        <f t="shared" si="5"/>
        <v>0</v>
      </c>
      <c r="U58" s="19">
        <f t="shared" si="6"/>
        <v>0</v>
      </c>
      <c r="V58" s="19">
        <f t="shared" si="7"/>
        <v>0</v>
      </c>
      <c r="W58" s="19">
        <f t="shared" si="8"/>
        <v>0</v>
      </c>
      <c r="X58" s="20">
        <f t="shared" si="9"/>
        <v>0</v>
      </c>
      <c r="Y58" s="20">
        <f t="shared" si="10"/>
        <v>0</v>
      </c>
    </row>
    <row r="59" spans="1:25" ht="15.75" customHeight="1">
      <c r="A59" s="14" t="s">
        <v>128</v>
      </c>
      <c r="B59" s="15" t="s">
        <v>129</v>
      </c>
      <c r="C59" s="16">
        <v>465</v>
      </c>
      <c r="D59" s="16">
        <v>465</v>
      </c>
      <c r="E59" s="17">
        <v>1</v>
      </c>
      <c r="F59" s="18">
        <v>0</v>
      </c>
      <c r="G59" s="18">
        <v>0</v>
      </c>
      <c r="H59" s="36">
        <v>0</v>
      </c>
      <c r="I59" s="17">
        <v>0</v>
      </c>
      <c r="J59" s="17">
        <f t="shared" si="0"/>
        <v>1</v>
      </c>
      <c r="K59" s="37">
        <v>1</v>
      </c>
      <c r="L59" s="17">
        <v>0</v>
      </c>
      <c r="M59" s="17">
        <v>0</v>
      </c>
      <c r="N59" s="17">
        <f t="shared" si="1"/>
        <v>1</v>
      </c>
      <c r="O59" s="17">
        <f t="shared" si="2"/>
        <v>0</v>
      </c>
      <c r="P59" s="3"/>
      <c r="Q59" s="19">
        <f t="shared" si="3"/>
        <v>465</v>
      </c>
      <c r="R59" s="19">
        <v>0</v>
      </c>
      <c r="S59" s="19">
        <f t="shared" si="4"/>
        <v>0</v>
      </c>
      <c r="T59" s="19">
        <f t="shared" si="5"/>
        <v>0</v>
      </c>
      <c r="U59" s="19">
        <f t="shared" si="6"/>
        <v>0</v>
      </c>
      <c r="V59" s="19">
        <f t="shared" si="7"/>
        <v>0</v>
      </c>
      <c r="W59" s="19">
        <f t="shared" si="8"/>
        <v>465</v>
      </c>
      <c r="X59" s="20">
        <f t="shared" si="9"/>
        <v>465</v>
      </c>
      <c r="Y59" s="20">
        <f t="shared" si="10"/>
        <v>0</v>
      </c>
    </row>
    <row r="60" spans="1:25" ht="15.75" customHeight="1">
      <c r="A60" s="14" t="s">
        <v>130</v>
      </c>
      <c r="B60" s="15" t="s">
        <v>131</v>
      </c>
      <c r="C60" s="16">
        <v>8.99</v>
      </c>
      <c r="D60" s="16">
        <v>8.99</v>
      </c>
      <c r="E60" s="17">
        <v>50</v>
      </c>
      <c r="F60" s="18">
        <v>0</v>
      </c>
      <c r="G60" s="18">
        <v>0</v>
      </c>
      <c r="H60" s="36">
        <v>0</v>
      </c>
      <c r="I60" s="17">
        <v>0</v>
      </c>
      <c r="J60" s="17">
        <f t="shared" si="0"/>
        <v>50</v>
      </c>
      <c r="K60" s="37">
        <v>50</v>
      </c>
      <c r="L60" s="17">
        <v>0</v>
      </c>
      <c r="M60" s="17">
        <v>0</v>
      </c>
      <c r="N60" s="17">
        <f t="shared" si="1"/>
        <v>50</v>
      </c>
      <c r="O60" s="17">
        <f t="shared" si="2"/>
        <v>0</v>
      </c>
      <c r="P60" s="3"/>
      <c r="Q60" s="19">
        <f t="shared" si="3"/>
        <v>449.5</v>
      </c>
      <c r="R60" s="19">
        <v>0</v>
      </c>
      <c r="S60" s="19">
        <f t="shared" si="4"/>
        <v>0</v>
      </c>
      <c r="T60" s="19">
        <f t="shared" si="5"/>
        <v>0</v>
      </c>
      <c r="U60" s="19">
        <f t="shared" si="6"/>
        <v>0</v>
      </c>
      <c r="V60" s="19">
        <f t="shared" si="7"/>
        <v>0</v>
      </c>
      <c r="W60" s="19">
        <f t="shared" si="8"/>
        <v>449.5</v>
      </c>
      <c r="X60" s="20">
        <f t="shared" si="9"/>
        <v>449.5</v>
      </c>
      <c r="Y60" s="20">
        <f t="shared" si="10"/>
        <v>0</v>
      </c>
    </row>
    <row r="61" spans="1:25" ht="15.75" customHeight="1">
      <c r="A61" s="14" t="s">
        <v>132</v>
      </c>
      <c r="B61" s="15" t="s">
        <v>133</v>
      </c>
      <c r="C61" s="16">
        <v>2100</v>
      </c>
      <c r="D61" s="16">
        <v>2100</v>
      </c>
      <c r="E61" s="17">
        <v>1</v>
      </c>
      <c r="F61" s="18">
        <v>0</v>
      </c>
      <c r="G61" s="18">
        <v>0</v>
      </c>
      <c r="H61" s="36">
        <v>1</v>
      </c>
      <c r="I61" s="17">
        <v>0</v>
      </c>
      <c r="J61" s="17">
        <f t="shared" si="0"/>
        <v>0</v>
      </c>
      <c r="K61" s="37">
        <v>0</v>
      </c>
      <c r="L61" s="17">
        <v>0</v>
      </c>
      <c r="M61" s="17">
        <v>0</v>
      </c>
      <c r="N61" s="17">
        <f t="shared" si="1"/>
        <v>0</v>
      </c>
      <c r="O61" s="17">
        <f t="shared" si="2"/>
        <v>0</v>
      </c>
      <c r="P61" s="3"/>
      <c r="Q61" s="19">
        <f t="shared" si="3"/>
        <v>2100</v>
      </c>
      <c r="R61" s="19">
        <v>0</v>
      </c>
      <c r="S61" s="19">
        <f t="shared" si="4"/>
        <v>0</v>
      </c>
      <c r="T61" s="19">
        <f t="shared" si="5"/>
        <v>0</v>
      </c>
      <c r="U61" s="19">
        <f t="shared" si="6"/>
        <v>2100</v>
      </c>
      <c r="V61" s="19">
        <f t="shared" si="7"/>
        <v>0</v>
      </c>
      <c r="W61" s="19">
        <f t="shared" si="8"/>
        <v>0</v>
      </c>
      <c r="X61" s="20">
        <f t="shared" si="9"/>
        <v>0</v>
      </c>
      <c r="Y61" s="20">
        <f t="shared" si="10"/>
        <v>0</v>
      </c>
    </row>
    <row r="62" spans="1:25" ht="15.75" customHeight="1">
      <c r="A62" s="14" t="s">
        <v>134</v>
      </c>
      <c r="B62" s="15" t="s">
        <v>135</v>
      </c>
      <c r="C62" s="16">
        <v>4205</v>
      </c>
      <c r="D62" s="16">
        <v>4205</v>
      </c>
      <c r="E62" s="17">
        <v>1</v>
      </c>
      <c r="F62" s="18">
        <v>0</v>
      </c>
      <c r="G62" s="18">
        <v>0</v>
      </c>
      <c r="H62" s="36">
        <v>1</v>
      </c>
      <c r="I62" s="17">
        <v>0</v>
      </c>
      <c r="J62" s="17">
        <f t="shared" si="0"/>
        <v>0</v>
      </c>
      <c r="K62" s="37">
        <v>0</v>
      </c>
      <c r="L62" s="17">
        <v>0</v>
      </c>
      <c r="M62" s="17">
        <v>0</v>
      </c>
      <c r="N62" s="17">
        <f t="shared" si="1"/>
        <v>0</v>
      </c>
      <c r="O62" s="17">
        <f t="shared" si="2"/>
        <v>0</v>
      </c>
      <c r="P62" s="3"/>
      <c r="Q62" s="19">
        <f t="shared" si="3"/>
        <v>4205</v>
      </c>
      <c r="R62" s="19">
        <v>0</v>
      </c>
      <c r="S62" s="19">
        <f t="shared" si="4"/>
        <v>0</v>
      </c>
      <c r="T62" s="19">
        <f t="shared" si="5"/>
        <v>0</v>
      </c>
      <c r="U62" s="19">
        <f t="shared" si="6"/>
        <v>4205</v>
      </c>
      <c r="V62" s="19">
        <f t="shared" si="7"/>
        <v>0</v>
      </c>
      <c r="W62" s="19">
        <f t="shared" si="8"/>
        <v>0</v>
      </c>
      <c r="X62" s="20">
        <f t="shared" si="9"/>
        <v>0</v>
      </c>
      <c r="Y62" s="20">
        <f t="shared" si="10"/>
        <v>0</v>
      </c>
    </row>
    <row r="63" spans="1:25" ht="15.75" customHeight="1">
      <c r="A63" s="14" t="s">
        <v>136</v>
      </c>
      <c r="B63" s="15" t="s">
        <v>137</v>
      </c>
      <c r="C63" s="16">
        <v>406</v>
      </c>
      <c r="D63" s="16">
        <v>406</v>
      </c>
      <c r="E63" s="17">
        <v>3</v>
      </c>
      <c r="F63" s="18">
        <v>0</v>
      </c>
      <c r="G63" s="18">
        <v>0</v>
      </c>
      <c r="H63" s="36">
        <v>0</v>
      </c>
      <c r="I63" s="17">
        <v>0</v>
      </c>
      <c r="J63" s="17">
        <f t="shared" si="0"/>
        <v>3</v>
      </c>
      <c r="K63" s="37">
        <v>0</v>
      </c>
      <c r="L63" s="17">
        <v>0</v>
      </c>
      <c r="M63" s="17">
        <v>3</v>
      </c>
      <c r="N63" s="17">
        <f t="shared" si="1"/>
        <v>3</v>
      </c>
      <c r="O63" s="17">
        <f t="shared" si="2"/>
        <v>0</v>
      </c>
      <c r="P63" s="3"/>
      <c r="Q63" s="19">
        <f t="shared" si="3"/>
        <v>1218</v>
      </c>
      <c r="R63" s="19">
        <v>0</v>
      </c>
      <c r="S63" s="19">
        <f t="shared" si="4"/>
        <v>0</v>
      </c>
      <c r="T63" s="19">
        <f t="shared" si="5"/>
        <v>0</v>
      </c>
      <c r="U63" s="19">
        <f t="shared" si="6"/>
        <v>0</v>
      </c>
      <c r="V63" s="19">
        <f t="shared" si="7"/>
        <v>0</v>
      </c>
      <c r="W63" s="19">
        <f t="shared" si="8"/>
        <v>1218</v>
      </c>
      <c r="X63" s="20">
        <f t="shared" si="9"/>
        <v>1218</v>
      </c>
      <c r="Y63" s="20">
        <f t="shared" si="10"/>
        <v>0</v>
      </c>
    </row>
    <row r="64" spans="1:25" ht="15.75" customHeight="1">
      <c r="A64" s="14" t="s">
        <v>138</v>
      </c>
      <c r="B64" s="15" t="s">
        <v>139</v>
      </c>
      <c r="C64" s="16">
        <v>580</v>
      </c>
      <c r="D64" s="16">
        <v>580</v>
      </c>
      <c r="E64" s="17">
        <v>0</v>
      </c>
      <c r="F64" s="18">
        <v>0</v>
      </c>
      <c r="G64" s="18">
        <v>0</v>
      </c>
      <c r="H64" s="36">
        <v>0</v>
      </c>
      <c r="I64" s="17">
        <v>0</v>
      </c>
      <c r="J64" s="17">
        <f t="shared" si="0"/>
        <v>0</v>
      </c>
      <c r="K64" s="37">
        <v>0</v>
      </c>
      <c r="L64" s="17">
        <v>0</v>
      </c>
      <c r="M64" s="17">
        <v>0</v>
      </c>
      <c r="N64" s="17">
        <f t="shared" si="1"/>
        <v>0</v>
      </c>
      <c r="O64" s="17">
        <f t="shared" si="2"/>
        <v>0</v>
      </c>
      <c r="P64" s="3"/>
      <c r="Q64" s="19">
        <f t="shared" si="3"/>
        <v>0</v>
      </c>
      <c r="R64" s="19">
        <v>0</v>
      </c>
      <c r="S64" s="19">
        <f t="shared" si="4"/>
        <v>0</v>
      </c>
      <c r="T64" s="19">
        <f t="shared" si="5"/>
        <v>0</v>
      </c>
      <c r="U64" s="19">
        <f t="shared" si="6"/>
        <v>0</v>
      </c>
      <c r="V64" s="19">
        <f t="shared" si="7"/>
        <v>0</v>
      </c>
      <c r="W64" s="19">
        <f t="shared" si="8"/>
        <v>0</v>
      </c>
      <c r="X64" s="20">
        <f t="shared" si="9"/>
        <v>0</v>
      </c>
      <c r="Y64" s="20">
        <f t="shared" si="10"/>
        <v>0</v>
      </c>
    </row>
    <row r="65" spans="1:25" ht="15.75" customHeight="1">
      <c r="A65" s="14" t="s">
        <v>140</v>
      </c>
      <c r="B65" s="15" t="s">
        <v>141</v>
      </c>
      <c r="C65" s="16">
        <v>9</v>
      </c>
      <c r="D65" s="16">
        <v>9</v>
      </c>
      <c r="E65" s="17">
        <v>10</v>
      </c>
      <c r="F65" s="18">
        <v>0</v>
      </c>
      <c r="G65" s="18">
        <v>0</v>
      </c>
      <c r="H65" s="36">
        <v>0</v>
      </c>
      <c r="I65" s="17">
        <v>0</v>
      </c>
      <c r="J65" s="17">
        <f t="shared" si="0"/>
        <v>10</v>
      </c>
      <c r="K65" s="37">
        <v>10</v>
      </c>
      <c r="L65" s="17">
        <v>0</v>
      </c>
      <c r="M65" s="17">
        <v>0</v>
      </c>
      <c r="N65" s="17">
        <f t="shared" si="1"/>
        <v>10</v>
      </c>
      <c r="O65" s="17">
        <f t="shared" si="2"/>
        <v>0</v>
      </c>
      <c r="P65" s="3"/>
      <c r="Q65" s="19">
        <f t="shared" si="3"/>
        <v>90</v>
      </c>
      <c r="R65" s="19">
        <v>0</v>
      </c>
      <c r="S65" s="19">
        <f t="shared" si="4"/>
        <v>0</v>
      </c>
      <c r="T65" s="19">
        <f t="shared" si="5"/>
        <v>0</v>
      </c>
      <c r="U65" s="19">
        <f t="shared" si="6"/>
        <v>0</v>
      </c>
      <c r="V65" s="19">
        <f t="shared" si="7"/>
        <v>0</v>
      </c>
      <c r="W65" s="19">
        <f t="shared" si="8"/>
        <v>90</v>
      </c>
      <c r="X65" s="20">
        <f t="shared" si="9"/>
        <v>90</v>
      </c>
      <c r="Y65" s="20">
        <f t="shared" si="10"/>
        <v>0</v>
      </c>
    </row>
    <row r="66" spans="1:25" ht="15.75" customHeight="1">
      <c r="A66" s="14" t="s">
        <v>142</v>
      </c>
      <c r="B66" s="15" t="s">
        <v>143</v>
      </c>
      <c r="C66" s="16">
        <v>13720</v>
      </c>
      <c r="D66" s="16">
        <v>13720</v>
      </c>
      <c r="E66" s="17">
        <v>2</v>
      </c>
      <c r="F66" s="18">
        <v>0</v>
      </c>
      <c r="G66" s="18">
        <v>0</v>
      </c>
      <c r="H66" s="36">
        <v>0</v>
      </c>
      <c r="I66" s="17">
        <v>0</v>
      </c>
      <c r="J66" s="17">
        <f t="shared" si="0"/>
        <v>2</v>
      </c>
      <c r="K66" s="37">
        <v>2</v>
      </c>
      <c r="L66" s="17">
        <v>0</v>
      </c>
      <c r="M66" s="17">
        <v>0</v>
      </c>
      <c r="N66" s="17">
        <f t="shared" si="1"/>
        <v>2</v>
      </c>
      <c r="O66" s="17">
        <f t="shared" si="2"/>
        <v>0</v>
      </c>
      <c r="P66" s="3"/>
      <c r="Q66" s="19">
        <f t="shared" si="3"/>
        <v>27440</v>
      </c>
      <c r="R66" s="19">
        <v>0</v>
      </c>
      <c r="S66" s="19">
        <f t="shared" si="4"/>
        <v>0</v>
      </c>
      <c r="T66" s="19">
        <f t="shared" si="5"/>
        <v>0</v>
      </c>
      <c r="U66" s="19">
        <f t="shared" si="6"/>
        <v>0</v>
      </c>
      <c r="V66" s="19">
        <f t="shared" si="7"/>
        <v>0</v>
      </c>
      <c r="W66" s="19">
        <f t="shared" si="8"/>
        <v>27440</v>
      </c>
      <c r="X66" s="20">
        <f t="shared" si="9"/>
        <v>27440</v>
      </c>
      <c r="Y66" s="20">
        <f t="shared" si="10"/>
        <v>0</v>
      </c>
    </row>
    <row r="67" spans="1:25" ht="15.75" customHeight="1">
      <c r="A67" s="14" t="s">
        <v>144</v>
      </c>
      <c r="B67" s="15" t="s">
        <v>145</v>
      </c>
      <c r="C67" s="16">
        <v>940</v>
      </c>
      <c r="D67" s="16">
        <v>940</v>
      </c>
      <c r="E67" s="17">
        <v>1</v>
      </c>
      <c r="F67" s="18">
        <v>0</v>
      </c>
      <c r="G67" s="18">
        <v>0</v>
      </c>
      <c r="H67" s="36">
        <v>0</v>
      </c>
      <c r="I67" s="17">
        <v>0</v>
      </c>
      <c r="J67" s="17">
        <f t="shared" si="0"/>
        <v>1</v>
      </c>
      <c r="K67" s="37">
        <v>1</v>
      </c>
      <c r="L67" s="17">
        <v>0</v>
      </c>
      <c r="M67" s="17">
        <v>0</v>
      </c>
      <c r="N67" s="17">
        <f t="shared" si="1"/>
        <v>1</v>
      </c>
      <c r="O67" s="17">
        <f t="shared" si="2"/>
        <v>0</v>
      </c>
      <c r="P67" s="3"/>
      <c r="Q67" s="19">
        <f t="shared" si="3"/>
        <v>940</v>
      </c>
      <c r="R67" s="19">
        <v>0</v>
      </c>
      <c r="S67" s="19">
        <f t="shared" si="4"/>
        <v>0</v>
      </c>
      <c r="T67" s="19">
        <f t="shared" si="5"/>
        <v>0</v>
      </c>
      <c r="U67" s="19">
        <f t="shared" si="6"/>
        <v>0</v>
      </c>
      <c r="V67" s="19">
        <f t="shared" si="7"/>
        <v>0</v>
      </c>
      <c r="W67" s="19">
        <f t="shared" si="8"/>
        <v>940</v>
      </c>
      <c r="X67" s="20">
        <f t="shared" si="9"/>
        <v>940</v>
      </c>
      <c r="Y67" s="20">
        <f t="shared" si="10"/>
        <v>0</v>
      </c>
    </row>
    <row r="68" spans="1:25" ht="15.75" customHeight="1">
      <c r="A68" s="14" t="s">
        <v>146</v>
      </c>
      <c r="B68" s="15" t="s">
        <v>147</v>
      </c>
      <c r="C68" s="16">
        <v>24.58</v>
      </c>
      <c r="D68" s="16">
        <v>24.58</v>
      </c>
      <c r="E68" s="17">
        <v>2</v>
      </c>
      <c r="F68" s="18">
        <v>0</v>
      </c>
      <c r="G68" s="18">
        <v>0</v>
      </c>
      <c r="H68" s="36">
        <v>2</v>
      </c>
      <c r="I68" s="17">
        <v>0</v>
      </c>
      <c r="J68" s="17">
        <f t="shared" si="0"/>
        <v>0</v>
      </c>
      <c r="K68" s="37">
        <v>0</v>
      </c>
      <c r="L68" s="17">
        <v>0</v>
      </c>
      <c r="M68" s="17">
        <v>0</v>
      </c>
      <c r="N68" s="17">
        <f t="shared" si="1"/>
        <v>0</v>
      </c>
      <c r="O68" s="17">
        <f t="shared" si="2"/>
        <v>0</v>
      </c>
      <c r="P68" s="3"/>
      <c r="Q68" s="19">
        <f t="shared" si="3"/>
        <v>49.16</v>
      </c>
      <c r="R68" s="19">
        <v>0</v>
      </c>
      <c r="S68" s="19">
        <f t="shared" si="4"/>
        <v>0</v>
      </c>
      <c r="T68" s="19">
        <f t="shared" si="5"/>
        <v>0</v>
      </c>
      <c r="U68" s="19">
        <f t="shared" si="6"/>
        <v>49.16</v>
      </c>
      <c r="V68" s="19">
        <f t="shared" si="7"/>
        <v>0</v>
      </c>
      <c r="W68" s="19">
        <f t="shared" si="8"/>
        <v>0</v>
      </c>
      <c r="X68" s="20">
        <f t="shared" si="9"/>
        <v>0</v>
      </c>
      <c r="Y68" s="20">
        <f t="shared" si="10"/>
        <v>0</v>
      </c>
    </row>
    <row r="69" spans="1:25" ht="15.75" customHeight="1">
      <c r="A69" s="14" t="s">
        <v>148</v>
      </c>
      <c r="B69" s="15" t="s">
        <v>149</v>
      </c>
      <c r="C69" s="16">
        <v>890</v>
      </c>
      <c r="D69" s="16">
        <v>890</v>
      </c>
      <c r="E69" s="17">
        <v>1</v>
      </c>
      <c r="F69" s="18">
        <v>0</v>
      </c>
      <c r="G69" s="18">
        <v>0</v>
      </c>
      <c r="H69" s="36">
        <v>0</v>
      </c>
      <c r="I69" s="17">
        <v>0</v>
      </c>
      <c r="J69" s="17">
        <f t="shared" si="0"/>
        <v>1</v>
      </c>
      <c r="K69" s="37">
        <v>1</v>
      </c>
      <c r="L69" s="17">
        <v>0</v>
      </c>
      <c r="M69" s="17">
        <v>0</v>
      </c>
      <c r="N69" s="17">
        <f t="shared" si="1"/>
        <v>1</v>
      </c>
      <c r="O69" s="17">
        <f t="shared" si="2"/>
        <v>0</v>
      </c>
      <c r="P69" s="3"/>
      <c r="Q69" s="19">
        <f t="shared" si="3"/>
        <v>890</v>
      </c>
      <c r="R69" s="19">
        <v>0</v>
      </c>
      <c r="S69" s="19">
        <f t="shared" si="4"/>
        <v>0</v>
      </c>
      <c r="T69" s="19">
        <f t="shared" si="5"/>
        <v>0</v>
      </c>
      <c r="U69" s="19">
        <f t="shared" si="6"/>
        <v>0</v>
      </c>
      <c r="V69" s="19">
        <f t="shared" si="7"/>
        <v>0</v>
      </c>
      <c r="W69" s="19">
        <f t="shared" si="8"/>
        <v>890</v>
      </c>
      <c r="X69" s="20">
        <f t="shared" si="9"/>
        <v>890</v>
      </c>
      <c r="Y69" s="20">
        <f t="shared" si="10"/>
        <v>0</v>
      </c>
    </row>
    <row r="70" spans="1:25" ht="15.75" customHeight="1">
      <c r="A70" s="14" t="s">
        <v>150</v>
      </c>
      <c r="B70" s="15" t="s">
        <v>151</v>
      </c>
      <c r="C70" s="16">
        <v>0</v>
      </c>
      <c r="D70" s="16">
        <v>0</v>
      </c>
      <c r="E70" s="17">
        <v>0</v>
      </c>
      <c r="F70" s="18">
        <v>0</v>
      </c>
      <c r="G70" s="18">
        <v>0</v>
      </c>
      <c r="H70" s="36">
        <v>0</v>
      </c>
      <c r="I70" s="17">
        <v>0</v>
      </c>
      <c r="J70" s="17">
        <f t="shared" si="0"/>
        <v>0</v>
      </c>
      <c r="K70" s="37">
        <v>0</v>
      </c>
      <c r="L70" s="17">
        <v>0</v>
      </c>
      <c r="M70" s="17">
        <v>0</v>
      </c>
      <c r="N70" s="17">
        <f t="shared" si="1"/>
        <v>0</v>
      </c>
      <c r="O70" s="17">
        <f t="shared" si="2"/>
        <v>0</v>
      </c>
      <c r="P70" s="3"/>
      <c r="Q70" s="19">
        <f t="shared" si="3"/>
        <v>0</v>
      </c>
      <c r="R70" s="19">
        <v>0</v>
      </c>
      <c r="S70" s="19">
        <f t="shared" si="4"/>
        <v>0</v>
      </c>
      <c r="T70" s="19">
        <f t="shared" si="5"/>
        <v>0</v>
      </c>
      <c r="U70" s="19">
        <f t="shared" si="6"/>
        <v>0</v>
      </c>
      <c r="V70" s="19">
        <f t="shared" si="7"/>
        <v>0</v>
      </c>
      <c r="W70" s="19">
        <f t="shared" si="8"/>
        <v>0</v>
      </c>
      <c r="X70" s="20">
        <f t="shared" si="9"/>
        <v>0</v>
      </c>
      <c r="Y70" s="20">
        <f t="shared" si="10"/>
        <v>0</v>
      </c>
    </row>
    <row r="71" spans="1:25" ht="15.75" customHeight="1">
      <c r="A71" s="14" t="s">
        <v>152</v>
      </c>
      <c r="B71" s="15" t="s">
        <v>153</v>
      </c>
      <c r="C71" s="16">
        <v>560</v>
      </c>
      <c r="D71" s="16">
        <v>560</v>
      </c>
      <c r="E71" s="17">
        <v>2</v>
      </c>
      <c r="F71" s="18">
        <v>0</v>
      </c>
      <c r="G71" s="18">
        <v>0</v>
      </c>
      <c r="H71" s="36">
        <v>2</v>
      </c>
      <c r="I71" s="17">
        <v>0</v>
      </c>
      <c r="J71" s="17">
        <f t="shared" si="0"/>
        <v>0</v>
      </c>
      <c r="K71" s="37">
        <v>0</v>
      </c>
      <c r="L71" s="17">
        <v>0</v>
      </c>
      <c r="M71" s="17">
        <v>0</v>
      </c>
      <c r="N71" s="17">
        <f t="shared" si="1"/>
        <v>0</v>
      </c>
      <c r="O71" s="17">
        <f t="shared" si="2"/>
        <v>0</v>
      </c>
      <c r="P71" s="3"/>
      <c r="Q71" s="19">
        <f t="shared" si="3"/>
        <v>1120</v>
      </c>
      <c r="R71" s="19">
        <v>0</v>
      </c>
      <c r="S71" s="19">
        <f t="shared" si="4"/>
        <v>0</v>
      </c>
      <c r="T71" s="19">
        <f t="shared" si="5"/>
        <v>0</v>
      </c>
      <c r="U71" s="19">
        <f t="shared" si="6"/>
        <v>1120</v>
      </c>
      <c r="V71" s="19">
        <f t="shared" si="7"/>
        <v>0</v>
      </c>
      <c r="W71" s="19">
        <f t="shared" si="8"/>
        <v>0</v>
      </c>
      <c r="X71" s="20">
        <f t="shared" si="9"/>
        <v>0</v>
      </c>
      <c r="Y71" s="20">
        <f t="shared" si="10"/>
        <v>0</v>
      </c>
    </row>
    <row r="72" spans="1:25" ht="15.75" customHeight="1">
      <c r="A72" s="14" t="s">
        <v>154</v>
      </c>
      <c r="B72" s="15" t="s">
        <v>155</v>
      </c>
      <c r="C72" s="16">
        <v>36</v>
      </c>
      <c r="D72" s="16">
        <v>36</v>
      </c>
      <c r="E72" s="17">
        <v>0</v>
      </c>
      <c r="F72" s="18">
        <v>0</v>
      </c>
      <c r="G72" s="18">
        <v>0</v>
      </c>
      <c r="H72" s="36">
        <v>0</v>
      </c>
      <c r="I72" s="17">
        <v>0</v>
      </c>
      <c r="J72" s="17">
        <f t="shared" si="0"/>
        <v>0</v>
      </c>
      <c r="K72" s="37">
        <v>0</v>
      </c>
      <c r="L72" s="17">
        <v>0</v>
      </c>
      <c r="M72" s="17">
        <v>0</v>
      </c>
      <c r="N72" s="17">
        <f t="shared" si="1"/>
        <v>0</v>
      </c>
      <c r="O72" s="17">
        <f t="shared" si="2"/>
        <v>0</v>
      </c>
      <c r="P72" s="3"/>
      <c r="Q72" s="19">
        <f t="shared" si="3"/>
        <v>0</v>
      </c>
      <c r="R72" s="19">
        <v>0</v>
      </c>
      <c r="S72" s="19">
        <f t="shared" si="4"/>
        <v>0</v>
      </c>
      <c r="T72" s="19">
        <f t="shared" si="5"/>
        <v>0</v>
      </c>
      <c r="U72" s="19">
        <f t="shared" si="6"/>
        <v>0</v>
      </c>
      <c r="V72" s="19">
        <f t="shared" si="7"/>
        <v>0</v>
      </c>
      <c r="W72" s="19">
        <f t="shared" si="8"/>
        <v>0</v>
      </c>
      <c r="X72" s="20">
        <f t="shared" si="9"/>
        <v>0</v>
      </c>
      <c r="Y72" s="20">
        <f t="shared" si="10"/>
        <v>0</v>
      </c>
    </row>
    <row r="73" spans="1:25" ht="15.75" customHeight="1">
      <c r="A73" s="14" t="s">
        <v>156</v>
      </c>
      <c r="B73" s="15" t="s">
        <v>157</v>
      </c>
      <c r="C73" s="16">
        <v>1122</v>
      </c>
      <c r="D73" s="16">
        <v>1122</v>
      </c>
      <c r="E73" s="17">
        <v>0</v>
      </c>
      <c r="F73" s="18">
        <v>0</v>
      </c>
      <c r="G73" s="18">
        <v>0</v>
      </c>
      <c r="H73" s="36">
        <v>0</v>
      </c>
      <c r="I73" s="17">
        <v>0</v>
      </c>
      <c r="J73" s="17">
        <f t="shared" si="0"/>
        <v>0</v>
      </c>
      <c r="K73" s="37">
        <v>0</v>
      </c>
      <c r="L73" s="17">
        <v>0</v>
      </c>
      <c r="M73" s="17">
        <v>0</v>
      </c>
      <c r="N73" s="17">
        <f t="shared" si="1"/>
        <v>0</v>
      </c>
      <c r="O73" s="17">
        <f t="shared" si="2"/>
        <v>0</v>
      </c>
      <c r="P73" s="3"/>
      <c r="Q73" s="19">
        <f t="shared" si="3"/>
        <v>0</v>
      </c>
      <c r="R73" s="19">
        <v>0</v>
      </c>
      <c r="S73" s="19">
        <f t="shared" si="4"/>
        <v>0</v>
      </c>
      <c r="T73" s="19">
        <f t="shared" si="5"/>
        <v>0</v>
      </c>
      <c r="U73" s="19">
        <f t="shared" si="6"/>
        <v>0</v>
      </c>
      <c r="V73" s="19">
        <f t="shared" si="7"/>
        <v>0</v>
      </c>
      <c r="W73" s="19">
        <f t="shared" si="8"/>
        <v>0</v>
      </c>
      <c r="X73" s="20">
        <f t="shared" si="9"/>
        <v>0</v>
      </c>
      <c r="Y73" s="20">
        <f t="shared" si="10"/>
        <v>0</v>
      </c>
    </row>
    <row r="74" spans="1:25" ht="15.75" customHeight="1">
      <c r="A74" s="14" t="s">
        <v>158</v>
      </c>
      <c r="B74" s="15" t="s">
        <v>159</v>
      </c>
      <c r="C74" s="16">
        <v>0</v>
      </c>
      <c r="D74" s="16">
        <v>0</v>
      </c>
      <c r="E74" s="17">
        <v>0</v>
      </c>
      <c r="F74" s="18">
        <v>0</v>
      </c>
      <c r="G74" s="18">
        <v>0</v>
      </c>
      <c r="H74" s="36">
        <v>0</v>
      </c>
      <c r="I74" s="17">
        <v>0</v>
      </c>
      <c r="J74" s="17">
        <f t="shared" si="0"/>
        <v>0</v>
      </c>
      <c r="K74" s="37">
        <v>0</v>
      </c>
      <c r="L74" s="17">
        <v>0</v>
      </c>
      <c r="M74" s="17">
        <v>0</v>
      </c>
      <c r="N74" s="17">
        <f t="shared" si="1"/>
        <v>0</v>
      </c>
      <c r="O74" s="17">
        <f t="shared" si="2"/>
        <v>0</v>
      </c>
      <c r="P74" s="3"/>
      <c r="Q74" s="19">
        <f t="shared" si="3"/>
        <v>0</v>
      </c>
      <c r="R74" s="19">
        <v>0</v>
      </c>
      <c r="S74" s="19">
        <f t="shared" si="4"/>
        <v>0</v>
      </c>
      <c r="T74" s="19">
        <f t="shared" si="5"/>
        <v>0</v>
      </c>
      <c r="U74" s="19">
        <f t="shared" si="6"/>
        <v>0</v>
      </c>
      <c r="V74" s="19">
        <f t="shared" si="7"/>
        <v>0</v>
      </c>
      <c r="W74" s="19">
        <f t="shared" si="8"/>
        <v>0</v>
      </c>
      <c r="X74" s="20">
        <f t="shared" si="9"/>
        <v>0</v>
      </c>
      <c r="Y74" s="20">
        <f t="shared" si="10"/>
        <v>0</v>
      </c>
    </row>
    <row r="75" spans="1:25" ht="15.75" customHeight="1">
      <c r="A75" s="14" t="s">
        <v>160</v>
      </c>
      <c r="B75" s="15" t="s">
        <v>161</v>
      </c>
      <c r="C75" s="16">
        <v>0</v>
      </c>
      <c r="D75" s="16">
        <v>0</v>
      </c>
      <c r="E75" s="17">
        <v>0</v>
      </c>
      <c r="F75" s="18">
        <v>0</v>
      </c>
      <c r="G75" s="18">
        <v>0</v>
      </c>
      <c r="H75" s="36">
        <v>0</v>
      </c>
      <c r="I75" s="17">
        <v>0</v>
      </c>
      <c r="J75" s="17">
        <f t="shared" si="0"/>
        <v>0</v>
      </c>
      <c r="K75" s="37">
        <v>0</v>
      </c>
      <c r="L75" s="17">
        <v>0</v>
      </c>
      <c r="M75" s="17">
        <v>0</v>
      </c>
      <c r="N75" s="17">
        <f t="shared" si="1"/>
        <v>0</v>
      </c>
      <c r="O75" s="17">
        <f t="shared" si="2"/>
        <v>0</v>
      </c>
      <c r="P75" s="3"/>
      <c r="Q75" s="19">
        <f t="shared" si="3"/>
        <v>0</v>
      </c>
      <c r="R75" s="19">
        <v>0</v>
      </c>
      <c r="S75" s="19">
        <f t="shared" si="4"/>
        <v>0</v>
      </c>
      <c r="T75" s="19">
        <f t="shared" si="5"/>
        <v>0</v>
      </c>
      <c r="U75" s="19">
        <f t="shared" si="6"/>
        <v>0</v>
      </c>
      <c r="V75" s="19">
        <f t="shared" si="7"/>
        <v>0</v>
      </c>
      <c r="W75" s="19">
        <f t="shared" si="8"/>
        <v>0</v>
      </c>
      <c r="X75" s="20">
        <f t="shared" si="9"/>
        <v>0</v>
      </c>
      <c r="Y75" s="20">
        <f t="shared" si="10"/>
        <v>0</v>
      </c>
    </row>
    <row r="76" spans="1:25" ht="15.75" customHeight="1">
      <c r="A76" s="14" t="s">
        <v>162</v>
      </c>
      <c r="B76" s="15" t="s">
        <v>163</v>
      </c>
      <c r="C76" s="16">
        <v>1000</v>
      </c>
      <c r="D76" s="16">
        <v>1000</v>
      </c>
      <c r="E76" s="17">
        <v>2</v>
      </c>
      <c r="F76" s="18">
        <v>0</v>
      </c>
      <c r="G76" s="18">
        <v>0</v>
      </c>
      <c r="H76" s="36">
        <v>0</v>
      </c>
      <c r="I76" s="17">
        <v>0</v>
      </c>
      <c r="J76" s="17">
        <f t="shared" si="0"/>
        <v>2</v>
      </c>
      <c r="K76" s="37">
        <v>0</v>
      </c>
      <c r="L76" s="17">
        <v>0</v>
      </c>
      <c r="M76" s="17">
        <v>2</v>
      </c>
      <c r="N76" s="17">
        <f t="shared" si="1"/>
        <v>2</v>
      </c>
      <c r="O76" s="17">
        <f t="shared" si="2"/>
        <v>0</v>
      </c>
      <c r="P76" s="3"/>
      <c r="Q76" s="19">
        <f t="shared" si="3"/>
        <v>2000</v>
      </c>
      <c r="R76" s="19">
        <v>0</v>
      </c>
      <c r="S76" s="19">
        <f t="shared" si="4"/>
        <v>0</v>
      </c>
      <c r="T76" s="19">
        <f t="shared" si="5"/>
        <v>0</v>
      </c>
      <c r="U76" s="19">
        <f t="shared" si="6"/>
        <v>0</v>
      </c>
      <c r="V76" s="19">
        <f t="shared" si="7"/>
        <v>0</v>
      </c>
      <c r="W76" s="19">
        <f t="shared" si="8"/>
        <v>2000</v>
      </c>
      <c r="X76" s="20">
        <f t="shared" si="9"/>
        <v>2000</v>
      </c>
      <c r="Y76" s="20">
        <f t="shared" si="10"/>
        <v>0</v>
      </c>
    </row>
    <row r="77" spans="1:25" ht="15.75" customHeight="1">
      <c r="A77" s="14" t="s">
        <v>164</v>
      </c>
      <c r="B77" s="15" t="s">
        <v>165</v>
      </c>
      <c r="C77" s="16">
        <v>900</v>
      </c>
      <c r="D77" s="16">
        <v>900</v>
      </c>
      <c r="E77" s="17">
        <v>0</v>
      </c>
      <c r="F77" s="18">
        <v>0</v>
      </c>
      <c r="G77" s="18">
        <v>0</v>
      </c>
      <c r="H77" s="36">
        <v>0</v>
      </c>
      <c r="I77" s="17">
        <v>0</v>
      </c>
      <c r="J77" s="17">
        <f t="shared" si="0"/>
        <v>0</v>
      </c>
      <c r="K77" s="37">
        <v>0</v>
      </c>
      <c r="L77" s="17">
        <v>0</v>
      </c>
      <c r="M77" s="17">
        <v>0</v>
      </c>
      <c r="N77" s="17">
        <f t="shared" si="1"/>
        <v>0</v>
      </c>
      <c r="O77" s="17">
        <f t="shared" si="2"/>
        <v>0</v>
      </c>
      <c r="P77" s="3"/>
      <c r="Q77" s="19">
        <f t="shared" si="3"/>
        <v>0</v>
      </c>
      <c r="R77" s="19">
        <v>0</v>
      </c>
      <c r="S77" s="19">
        <f t="shared" si="4"/>
        <v>0</v>
      </c>
      <c r="T77" s="19">
        <f t="shared" si="5"/>
        <v>0</v>
      </c>
      <c r="U77" s="19">
        <f t="shared" si="6"/>
        <v>0</v>
      </c>
      <c r="V77" s="19">
        <f t="shared" si="7"/>
        <v>0</v>
      </c>
      <c r="W77" s="19">
        <f t="shared" si="8"/>
        <v>0</v>
      </c>
      <c r="X77" s="20">
        <f t="shared" si="9"/>
        <v>0</v>
      </c>
      <c r="Y77" s="20">
        <f t="shared" si="10"/>
        <v>0</v>
      </c>
    </row>
    <row r="78" spans="1:25" ht="15.75" customHeight="1">
      <c r="A78" s="14" t="s">
        <v>166</v>
      </c>
      <c r="B78" s="15" t="s">
        <v>167</v>
      </c>
      <c r="C78" s="16">
        <v>1712</v>
      </c>
      <c r="D78" s="16">
        <v>1712</v>
      </c>
      <c r="E78" s="17">
        <v>2</v>
      </c>
      <c r="F78" s="18">
        <v>0</v>
      </c>
      <c r="G78" s="18">
        <v>0</v>
      </c>
      <c r="H78" s="36">
        <v>0</v>
      </c>
      <c r="I78" s="17">
        <v>0</v>
      </c>
      <c r="J78" s="17">
        <f t="shared" si="0"/>
        <v>2</v>
      </c>
      <c r="K78" s="37">
        <v>0</v>
      </c>
      <c r="L78" s="17">
        <v>0</v>
      </c>
      <c r="M78" s="17">
        <v>2</v>
      </c>
      <c r="N78" s="17">
        <f t="shared" si="1"/>
        <v>2</v>
      </c>
      <c r="O78" s="17">
        <f t="shared" si="2"/>
        <v>0</v>
      </c>
      <c r="P78" s="3"/>
      <c r="Q78" s="19">
        <f t="shared" si="3"/>
        <v>3424</v>
      </c>
      <c r="R78" s="19">
        <v>0</v>
      </c>
      <c r="S78" s="19">
        <f t="shared" si="4"/>
        <v>0</v>
      </c>
      <c r="T78" s="19">
        <f t="shared" si="5"/>
        <v>0</v>
      </c>
      <c r="U78" s="19">
        <f t="shared" si="6"/>
        <v>0</v>
      </c>
      <c r="V78" s="19">
        <f t="shared" si="7"/>
        <v>0</v>
      </c>
      <c r="W78" s="19">
        <f t="shared" si="8"/>
        <v>3424</v>
      </c>
      <c r="X78" s="20">
        <f t="shared" si="9"/>
        <v>3424</v>
      </c>
      <c r="Y78" s="20">
        <f t="shared" si="10"/>
        <v>0</v>
      </c>
    </row>
    <row r="79" spans="1:25" ht="15.75" customHeight="1">
      <c r="A79" s="14" t="s">
        <v>168</v>
      </c>
      <c r="B79" s="15" t="s">
        <v>169</v>
      </c>
      <c r="C79" s="16">
        <v>490</v>
      </c>
      <c r="D79" s="16">
        <v>490</v>
      </c>
      <c r="E79" s="17">
        <v>4</v>
      </c>
      <c r="F79" s="18">
        <v>0</v>
      </c>
      <c r="G79" s="18">
        <v>0</v>
      </c>
      <c r="H79" s="36">
        <v>0</v>
      </c>
      <c r="I79" s="17">
        <v>0</v>
      </c>
      <c r="J79" s="17">
        <f t="shared" si="0"/>
        <v>4</v>
      </c>
      <c r="K79" s="37">
        <v>4</v>
      </c>
      <c r="L79" s="17">
        <v>0</v>
      </c>
      <c r="M79" s="17">
        <v>0</v>
      </c>
      <c r="N79" s="17">
        <f t="shared" si="1"/>
        <v>4</v>
      </c>
      <c r="O79" s="17">
        <f t="shared" si="2"/>
        <v>0</v>
      </c>
      <c r="P79" s="3"/>
      <c r="Q79" s="19">
        <f t="shared" si="3"/>
        <v>1960</v>
      </c>
      <c r="R79" s="19">
        <v>0</v>
      </c>
      <c r="S79" s="19">
        <f t="shared" si="4"/>
        <v>0</v>
      </c>
      <c r="T79" s="19">
        <f t="shared" si="5"/>
        <v>0</v>
      </c>
      <c r="U79" s="19">
        <f t="shared" si="6"/>
        <v>0</v>
      </c>
      <c r="V79" s="19">
        <f t="shared" si="7"/>
        <v>0</v>
      </c>
      <c r="W79" s="19">
        <f t="shared" si="8"/>
        <v>1960</v>
      </c>
      <c r="X79" s="20">
        <f t="shared" si="9"/>
        <v>1960</v>
      </c>
      <c r="Y79" s="20">
        <f t="shared" si="10"/>
        <v>0</v>
      </c>
    </row>
    <row r="80" spans="1:25" ht="15.75" customHeight="1">
      <c r="A80" s="14" t="s">
        <v>170</v>
      </c>
      <c r="B80" s="15" t="s">
        <v>171</v>
      </c>
      <c r="C80" s="16">
        <v>5100</v>
      </c>
      <c r="D80" s="16">
        <v>5100</v>
      </c>
      <c r="E80" s="17">
        <v>1</v>
      </c>
      <c r="F80" s="18">
        <v>0</v>
      </c>
      <c r="G80" s="18">
        <v>0</v>
      </c>
      <c r="H80" s="36">
        <v>1</v>
      </c>
      <c r="I80" s="17">
        <v>0</v>
      </c>
      <c r="J80" s="17">
        <f t="shared" si="0"/>
        <v>0</v>
      </c>
      <c r="K80" s="37">
        <v>0</v>
      </c>
      <c r="L80" s="17">
        <v>0</v>
      </c>
      <c r="M80" s="17">
        <v>0</v>
      </c>
      <c r="N80" s="17">
        <f t="shared" si="1"/>
        <v>0</v>
      </c>
      <c r="O80" s="17">
        <f t="shared" si="2"/>
        <v>0</v>
      </c>
      <c r="P80" s="3"/>
      <c r="Q80" s="19">
        <f t="shared" si="3"/>
        <v>5100</v>
      </c>
      <c r="R80" s="19">
        <v>0</v>
      </c>
      <c r="S80" s="19">
        <f t="shared" si="4"/>
        <v>0</v>
      </c>
      <c r="T80" s="19">
        <f t="shared" si="5"/>
        <v>0</v>
      </c>
      <c r="U80" s="19">
        <f t="shared" si="6"/>
        <v>5100</v>
      </c>
      <c r="V80" s="19">
        <f t="shared" si="7"/>
        <v>0</v>
      </c>
      <c r="W80" s="19">
        <f t="shared" si="8"/>
        <v>0</v>
      </c>
      <c r="X80" s="20">
        <f t="shared" si="9"/>
        <v>0</v>
      </c>
      <c r="Y80" s="20">
        <f t="shared" si="10"/>
        <v>0</v>
      </c>
    </row>
    <row r="81" spans="1:25" ht="15.75" customHeight="1">
      <c r="A81" s="14" t="s">
        <v>172</v>
      </c>
      <c r="B81" s="15" t="s">
        <v>173</v>
      </c>
      <c r="C81" s="16">
        <v>79.92</v>
      </c>
      <c r="D81" s="16">
        <v>79.92</v>
      </c>
      <c r="E81" s="17">
        <v>2</v>
      </c>
      <c r="F81" s="18">
        <v>0</v>
      </c>
      <c r="G81" s="18">
        <v>0</v>
      </c>
      <c r="H81" s="36">
        <v>0</v>
      </c>
      <c r="I81" s="17">
        <v>0</v>
      </c>
      <c r="J81" s="17">
        <f t="shared" si="0"/>
        <v>2</v>
      </c>
      <c r="K81" s="37">
        <v>2</v>
      </c>
      <c r="L81" s="17">
        <v>0</v>
      </c>
      <c r="M81" s="17">
        <v>0</v>
      </c>
      <c r="N81" s="17">
        <f t="shared" si="1"/>
        <v>2</v>
      </c>
      <c r="O81" s="17">
        <f t="shared" si="2"/>
        <v>0</v>
      </c>
      <c r="P81" s="3"/>
      <c r="Q81" s="19">
        <f t="shared" si="3"/>
        <v>159.84</v>
      </c>
      <c r="R81" s="19">
        <v>0</v>
      </c>
      <c r="S81" s="19">
        <f t="shared" si="4"/>
        <v>0</v>
      </c>
      <c r="T81" s="19">
        <f t="shared" si="5"/>
        <v>0</v>
      </c>
      <c r="U81" s="19">
        <f t="shared" si="6"/>
        <v>0</v>
      </c>
      <c r="V81" s="19">
        <f t="shared" si="7"/>
        <v>0</v>
      </c>
      <c r="W81" s="19">
        <f t="shared" si="8"/>
        <v>159.84</v>
      </c>
      <c r="X81" s="20">
        <f t="shared" si="9"/>
        <v>159.84</v>
      </c>
      <c r="Y81" s="20">
        <f t="shared" si="10"/>
        <v>0</v>
      </c>
    </row>
    <row r="82" spans="1:25" ht="15.75" customHeight="1">
      <c r="A82" s="14" t="s">
        <v>174</v>
      </c>
      <c r="B82" s="15" t="s">
        <v>175</v>
      </c>
      <c r="C82" s="16">
        <v>60.08</v>
      </c>
      <c r="D82" s="16">
        <v>60.08</v>
      </c>
      <c r="E82" s="17">
        <v>1</v>
      </c>
      <c r="F82" s="18">
        <v>0</v>
      </c>
      <c r="G82" s="18">
        <v>0</v>
      </c>
      <c r="H82" s="36">
        <v>1</v>
      </c>
      <c r="I82" s="17">
        <v>0</v>
      </c>
      <c r="J82" s="17">
        <f t="shared" si="0"/>
        <v>0</v>
      </c>
      <c r="K82" s="37">
        <v>0</v>
      </c>
      <c r="L82" s="17">
        <v>0</v>
      </c>
      <c r="M82" s="17">
        <v>0</v>
      </c>
      <c r="N82" s="17">
        <f t="shared" si="1"/>
        <v>0</v>
      </c>
      <c r="O82" s="17">
        <f t="shared" si="2"/>
        <v>0</v>
      </c>
      <c r="P82" s="3"/>
      <c r="Q82" s="19">
        <f t="shared" si="3"/>
        <v>60.08</v>
      </c>
      <c r="R82" s="19">
        <v>0</v>
      </c>
      <c r="S82" s="19">
        <f t="shared" si="4"/>
        <v>0</v>
      </c>
      <c r="T82" s="19">
        <f t="shared" si="5"/>
        <v>0</v>
      </c>
      <c r="U82" s="19">
        <f t="shared" si="6"/>
        <v>60.08</v>
      </c>
      <c r="V82" s="19">
        <f t="shared" si="7"/>
        <v>0</v>
      </c>
      <c r="W82" s="19">
        <f t="shared" si="8"/>
        <v>0</v>
      </c>
      <c r="X82" s="20">
        <f t="shared" si="9"/>
        <v>0</v>
      </c>
      <c r="Y82" s="20">
        <f t="shared" si="10"/>
        <v>0</v>
      </c>
    </row>
    <row r="83" spans="1:25" ht="15.75" customHeight="1">
      <c r="A83" s="14" t="s">
        <v>176</v>
      </c>
      <c r="B83" s="15" t="s">
        <v>177</v>
      </c>
      <c r="C83" s="16">
        <v>780</v>
      </c>
      <c r="D83" s="16">
        <v>780</v>
      </c>
      <c r="E83" s="17">
        <v>1</v>
      </c>
      <c r="F83" s="18">
        <v>0</v>
      </c>
      <c r="G83" s="18">
        <v>0</v>
      </c>
      <c r="H83" s="36">
        <v>1</v>
      </c>
      <c r="I83" s="17">
        <v>0</v>
      </c>
      <c r="J83" s="17">
        <f t="shared" si="0"/>
        <v>0</v>
      </c>
      <c r="K83" s="37">
        <v>0</v>
      </c>
      <c r="L83" s="17">
        <v>0</v>
      </c>
      <c r="M83" s="17">
        <v>0</v>
      </c>
      <c r="N83" s="17">
        <f t="shared" si="1"/>
        <v>0</v>
      </c>
      <c r="O83" s="17">
        <f t="shared" si="2"/>
        <v>0</v>
      </c>
      <c r="P83" s="3"/>
      <c r="Q83" s="19">
        <f t="shared" si="3"/>
        <v>780</v>
      </c>
      <c r="R83" s="19">
        <v>0</v>
      </c>
      <c r="S83" s="19">
        <f t="shared" si="4"/>
        <v>0</v>
      </c>
      <c r="T83" s="19">
        <f t="shared" si="5"/>
        <v>0</v>
      </c>
      <c r="U83" s="19">
        <f t="shared" si="6"/>
        <v>780</v>
      </c>
      <c r="V83" s="19">
        <f t="shared" si="7"/>
        <v>0</v>
      </c>
      <c r="W83" s="19">
        <f t="shared" si="8"/>
        <v>0</v>
      </c>
      <c r="X83" s="20">
        <f t="shared" si="9"/>
        <v>0</v>
      </c>
      <c r="Y83" s="20">
        <f t="shared" si="10"/>
        <v>0</v>
      </c>
    </row>
    <row r="84" spans="1:25" ht="15.75" customHeight="1">
      <c r="A84" s="14" t="s">
        <v>178</v>
      </c>
      <c r="B84" s="15" t="s">
        <v>179</v>
      </c>
      <c r="C84" s="16">
        <v>18.600000000000001</v>
      </c>
      <c r="D84" s="16">
        <v>18.600000000000001</v>
      </c>
      <c r="E84" s="17">
        <v>0</v>
      </c>
      <c r="F84" s="18">
        <v>0</v>
      </c>
      <c r="G84" s="18">
        <v>0</v>
      </c>
      <c r="H84" s="36">
        <v>0</v>
      </c>
      <c r="I84" s="17">
        <v>0</v>
      </c>
      <c r="J84" s="17">
        <f t="shared" si="0"/>
        <v>0</v>
      </c>
      <c r="K84" s="37">
        <v>0</v>
      </c>
      <c r="L84" s="17">
        <v>0</v>
      </c>
      <c r="M84" s="17">
        <v>0</v>
      </c>
      <c r="N84" s="17">
        <f t="shared" si="1"/>
        <v>0</v>
      </c>
      <c r="O84" s="17">
        <f t="shared" si="2"/>
        <v>0</v>
      </c>
      <c r="P84" s="3"/>
      <c r="Q84" s="19">
        <f t="shared" si="3"/>
        <v>0</v>
      </c>
      <c r="R84" s="19">
        <v>0</v>
      </c>
      <c r="S84" s="19">
        <f t="shared" si="4"/>
        <v>0</v>
      </c>
      <c r="T84" s="19">
        <f t="shared" si="5"/>
        <v>0</v>
      </c>
      <c r="U84" s="19">
        <f t="shared" si="6"/>
        <v>0</v>
      </c>
      <c r="V84" s="19">
        <f t="shared" si="7"/>
        <v>0</v>
      </c>
      <c r="W84" s="19">
        <f t="shared" si="8"/>
        <v>0</v>
      </c>
      <c r="X84" s="20">
        <f t="shared" si="9"/>
        <v>0</v>
      </c>
      <c r="Y84" s="20">
        <f t="shared" si="10"/>
        <v>0</v>
      </c>
    </row>
    <row r="85" spans="1:25" ht="15.75" customHeight="1">
      <c r="A85" s="14" t="s">
        <v>180</v>
      </c>
      <c r="B85" s="15" t="s">
        <v>181</v>
      </c>
      <c r="C85" s="16">
        <v>852</v>
      </c>
      <c r="D85" s="16">
        <v>852</v>
      </c>
      <c r="E85" s="17">
        <v>2</v>
      </c>
      <c r="F85" s="18">
        <v>0</v>
      </c>
      <c r="G85" s="18">
        <v>0</v>
      </c>
      <c r="H85" s="36">
        <v>2</v>
      </c>
      <c r="I85" s="17">
        <v>0</v>
      </c>
      <c r="J85" s="17">
        <f t="shared" si="0"/>
        <v>0</v>
      </c>
      <c r="K85" s="37">
        <v>0</v>
      </c>
      <c r="L85" s="17">
        <v>0</v>
      </c>
      <c r="M85" s="17">
        <v>0</v>
      </c>
      <c r="N85" s="17">
        <f t="shared" si="1"/>
        <v>0</v>
      </c>
      <c r="O85" s="17">
        <f t="shared" si="2"/>
        <v>0</v>
      </c>
      <c r="P85" s="3"/>
      <c r="Q85" s="19">
        <f t="shared" si="3"/>
        <v>1704</v>
      </c>
      <c r="R85" s="19">
        <v>0</v>
      </c>
      <c r="S85" s="19">
        <f t="shared" si="4"/>
        <v>0</v>
      </c>
      <c r="T85" s="19">
        <f t="shared" si="5"/>
        <v>0</v>
      </c>
      <c r="U85" s="19">
        <f t="shared" si="6"/>
        <v>1704</v>
      </c>
      <c r="V85" s="19">
        <f t="shared" si="7"/>
        <v>0</v>
      </c>
      <c r="W85" s="19">
        <f t="shared" si="8"/>
        <v>0</v>
      </c>
      <c r="X85" s="20">
        <f t="shared" si="9"/>
        <v>0</v>
      </c>
      <c r="Y85" s="20">
        <f t="shared" si="10"/>
        <v>0</v>
      </c>
    </row>
    <row r="86" spans="1:25" ht="15.75" customHeight="1">
      <c r="A86" s="14" t="s">
        <v>182</v>
      </c>
      <c r="B86" s="21" t="s">
        <v>183</v>
      </c>
      <c r="C86" s="16">
        <v>1750</v>
      </c>
      <c r="D86" s="16">
        <v>1750</v>
      </c>
      <c r="E86" s="17">
        <v>2</v>
      </c>
      <c r="F86" s="18">
        <v>0</v>
      </c>
      <c r="G86" s="18">
        <v>0</v>
      </c>
      <c r="H86" s="36">
        <v>0</v>
      </c>
      <c r="I86" s="17">
        <v>0</v>
      </c>
      <c r="J86" s="17">
        <f t="shared" si="0"/>
        <v>2</v>
      </c>
      <c r="K86" s="37">
        <v>2</v>
      </c>
      <c r="L86" s="17">
        <v>1</v>
      </c>
      <c r="M86" s="17">
        <v>0</v>
      </c>
      <c r="N86" s="17">
        <f t="shared" si="1"/>
        <v>3</v>
      </c>
      <c r="O86" s="17">
        <f t="shared" si="2"/>
        <v>1</v>
      </c>
      <c r="P86" s="3"/>
      <c r="Q86" s="19">
        <f t="shared" si="3"/>
        <v>3500</v>
      </c>
      <c r="R86" s="19">
        <v>0</v>
      </c>
      <c r="S86" s="19">
        <f t="shared" si="4"/>
        <v>0</v>
      </c>
      <c r="T86" s="19">
        <f t="shared" si="5"/>
        <v>0</v>
      </c>
      <c r="U86" s="19">
        <f t="shared" si="6"/>
        <v>0</v>
      </c>
      <c r="V86" s="19">
        <f t="shared" si="7"/>
        <v>0</v>
      </c>
      <c r="W86" s="19">
        <f t="shared" si="8"/>
        <v>3500</v>
      </c>
      <c r="X86" s="20">
        <f t="shared" si="9"/>
        <v>3500</v>
      </c>
      <c r="Y86" s="20">
        <f t="shared" si="10"/>
        <v>0</v>
      </c>
    </row>
    <row r="87" spans="1:25" ht="15.75" customHeight="1">
      <c r="A87" s="14" t="s">
        <v>184</v>
      </c>
      <c r="B87" s="15" t="s">
        <v>185</v>
      </c>
      <c r="C87" s="16">
        <v>1550</v>
      </c>
      <c r="D87" s="16">
        <v>1550</v>
      </c>
      <c r="E87" s="17">
        <v>1</v>
      </c>
      <c r="F87" s="18">
        <v>0</v>
      </c>
      <c r="G87" s="18">
        <v>0</v>
      </c>
      <c r="H87" s="36">
        <v>0</v>
      </c>
      <c r="I87" s="17">
        <v>0</v>
      </c>
      <c r="J87" s="17">
        <f t="shared" si="0"/>
        <v>1</v>
      </c>
      <c r="K87" s="37">
        <v>1</v>
      </c>
      <c r="L87" s="17">
        <v>0</v>
      </c>
      <c r="M87" s="17">
        <v>0</v>
      </c>
      <c r="N87" s="17">
        <f t="shared" si="1"/>
        <v>1</v>
      </c>
      <c r="O87" s="17">
        <f t="shared" si="2"/>
        <v>0</v>
      </c>
      <c r="P87" s="3"/>
      <c r="Q87" s="19">
        <f t="shared" si="3"/>
        <v>1550</v>
      </c>
      <c r="R87" s="19">
        <v>0</v>
      </c>
      <c r="S87" s="19">
        <f t="shared" si="4"/>
        <v>0</v>
      </c>
      <c r="T87" s="19">
        <f t="shared" si="5"/>
        <v>0</v>
      </c>
      <c r="U87" s="19">
        <f t="shared" si="6"/>
        <v>0</v>
      </c>
      <c r="V87" s="19">
        <f t="shared" si="7"/>
        <v>0</v>
      </c>
      <c r="W87" s="19">
        <f t="shared" si="8"/>
        <v>1550</v>
      </c>
      <c r="X87" s="20">
        <f t="shared" si="9"/>
        <v>1550</v>
      </c>
      <c r="Y87" s="20">
        <f t="shared" si="10"/>
        <v>0</v>
      </c>
    </row>
    <row r="88" spans="1:25" ht="15.75" customHeight="1">
      <c r="A88" s="14" t="s">
        <v>186</v>
      </c>
      <c r="B88" s="21" t="s">
        <v>187</v>
      </c>
      <c r="C88" s="16">
        <v>1750</v>
      </c>
      <c r="D88" s="16">
        <v>1750</v>
      </c>
      <c r="E88" s="17">
        <v>1</v>
      </c>
      <c r="F88" s="18">
        <v>0</v>
      </c>
      <c r="G88" s="18">
        <v>0</v>
      </c>
      <c r="H88" s="36">
        <v>0</v>
      </c>
      <c r="I88" s="17">
        <v>0</v>
      </c>
      <c r="J88" s="17">
        <f t="shared" si="0"/>
        <v>1</v>
      </c>
      <c r="K88" s="37">
        <v>0</v>
      </c>
      <c r="L88" s="17">
        <v>3</v>
      </c>
      <c r="M88" s="17">
        <v>0</v>
      </c>
      <c r="N88" s="17">
        <f t="shared" si="1"/>
        <v>3</v>
      </c>
      <c r="O88" s="17">
        <f t="shared" si="2"/>
        <v>2</v>
      </c>
      <c r="P88" s="3"/>
      <c r="Q88" s="19">
        <f t="shared" si="3"/>
        <v>1750</v>
      </c>
      <c r="R88" s="19">
        <v>0</v>
      </c>
      <c r="S88" s="19">
        <f t="shared" si="4"/>
        <v>0</v>
      </c>
      <c r="T88" s="19">
        <f t="shared" si="5"/>
        <v>0</v>
      </c>
      <c r="U88" s="19">
        <f t="shared" si="6"/>
        <v>0</v>
      </c>
      <c r="V88" s="19">
        <f t="shared" si="7"/>
        <v>0</v>
      </c>
      <c r="W88" s="19">
        <f t="shared" si="8"/>
        <v>1750</v>
      </c>
      <c r="X88" s="20">
        <f t="shared" si="9"/>
        <v>1750</v>
      </c>
      <c r="Y88" s="20">
        <f t="shared" si="10"/>
        <v>0</v>
      </c>
    </row>
    <row r="89" spans="1:25" ht="15.75" customHeight="1">
      <c r="A89" s="14" t="s">
        <v>188</v>
      </c>
      <c r="B89" s="15" t="s">
        <v>189</v>
      </c>
      <c r="C89" s="16">
        <v>1750</v>
      </c>
      <c r="D89" s="16">
        <v>1750</v>
      </c>
      <c r="E89" s="17">
        <v>0</v>
      </c>
      <c r="F89" s="18">
        <v>0</v>
      </c>
      <c r="G89" s="18">
        <v>0</v>
      </c>
      <c r="H89" s="36">
        <v>0</v>
      </c>
      <c r="I89" s="17">
        <v>0</v>
      </c>
      <c r="J89" s="17">
        <f t="shared" si="0"/>
        <v>0</v>
      </c>
      <c r="K89" s="37">
        <v>0</v>
      </c>
      <c r="L89" s="17">
        <v>0</v>
      </c>
      <c r="M89" s="17">
        <v>0</v>
      </c>
      <c r="N89" s="17">
        <f t="shared" si="1"/>
        <v>0</v>
      </c>
      <c r="O89" s="17">
        <f t="shared" si="2"/>
        <v>0</v>
      </c>
      <c r="P89" s="3"/>
      <c r="Q89" s="19">
        <f t="shared" si="3"/>
        <v>0</v>
      </c>
      <c r="R89" s="19">
        <v>0</v>
      </c>
      <c r="S89" s="19">
        <f t="shared" si="4"/>
        <v>0</v>
      </c>
      <c r="T89" s="19">
        <f t="shared" si="5"/>
        <v>0</v>
      </c>
      <c r="U89" s="19">
        <f t="shared" si="6"/>
        <v>0</v>
      </c>
      <c r="V89" s="19">
        <f t="shared" si="7"/>
        <v>0</v>
      </c>
      <c r="W89" s="19">
        <f t="shared" si="8"/>
        <v>0</v>
      </c>
      <c r="X89" s="20">
        <f t="shared" si="9"/>
        <v>0</v>
      </c>
      <c r="Y89" s="20">
        <f t="shared" si="10"/>
        <v>0</v>
      </c>
    </row>
    <row r="90" spans="1:25" ht="15.75" customHeight="1">
      <c r="A90" s="14" t="s">
        <v>190</v>
      </c>
      <c r="B90" s="15" t="s">
        <v>191</v>
      </c>
      <c r="C90" s="16">
        <v>1850</v>
      </c>
      <c r="D90" s="16">
        <v>1850</v>
      </c>
      <c r="E90" s="17">
        <v>2</v>
      </c>
      <c r="F90" s="18">
        <v>0</v>
      </c>
      <c r="G90" s="18">
        <v>0</v>
      </c>
      <c r="H90" s="36">
        <v>0</v>
      </c>
      <c r="I90" s="17">
        <v>0</v>
      </c>
      <c r="J90" s="17">
        <f t="shared" si="0"/>
        <v>2</v>
      </c>
      <c r="K90" s="37">
        <v>2</v>
      </c>
      <c r="L90" s="17">
        <v>0</v>
      </c>
      <c r="M90" s="17">
        <v>0</v>
      </c>
      <c r="N90" s="17">
        <f t="shared" si="1"/>
        <v>2</v>
      </c>
      <c r="O90" s="17">
        <f t="shared" si="2"/>
        <v>0</v>
      </c>
      <c r="P90" s="3"/>
      <c r="Q90" s="19">
        <f t="shared" si="3"/>
        <v>3700</v>
      </c>
      <c r="R90" s="19">
        <v>0</v>
      </c>
      <c r="S90" s="19">
        <f t="shared" si="4"/>
        <v>0</v>
      </c>
      <c r="T90" s="19">
        <f t="shared" si="5"/>
        <v>0</v>
      </c>
      <c r="U90" s="19">
        <f t="shared" si="6"/>
        <v>0</v>
      </c>
      <c r="V90" s="19">
        <f t="shared" si="7"/>
        <v>0</v>
      </c>
      <c r="W90" s="19">
        <f t="shared" si="8"/>
        <v>3700</v>
      </c>
      <c r="X90" s="20">
        <f t="shared" si="9"/>
        <v>3700</v>
      </c>
      <c r="Y90" s="20">
        <f t="shared" si="10"/>
        <v>0</v>
      </c>
    </row>
    <row r="91" spans="1:25" ht="15.75" customHeight="1">
      <c r="A91" s="14" t="s">
        <v>192</v>
      </c>
      <c r="B91" s="15" t="s">
        <v>193</v>
      </c>
      <c r="C91" s="16">
        <v>432</v>
      </c>
      <c r="D91" s="16">
        <v>432</v>
      </c>
      <c r="E91" s="17">
        <v>0</v>
      </c>
      <c r="F91" s="18">
        <v>0</v>
      </c>
      <c r="G91" s="18">
        <v>0</v>
      </c>
      <c r="H91" s="36">
        <v>0</v>
      </c>
      <c r="I91" s="17">
        <v>0</v>
      </c>
      <c r="J91" s="17">
        <f t="shared" si="0"/>
        <v>0</v>
      </c>
      <c r="K91" s="37">
        <v>0</v>
      </c>
      <c r="L91" s="17">
        <v>0</v>
      </c>
      <c r="M91" s="17">
        <v>0</v>
      </c>
      <c r="N91" s="17">
        <f t="shared" si="1"/>
        <v>0</v>
      </c>
      <c r="O91" s="17">
        <f t="shared" si="2"/>
        <v>0</v>
      </c>
      <c r="P91" s="3"/>
      <c r="Q91" s="19">
        <f t="shared" si="3"/>
        <v>0</v>
      </c>
      <c r="R91" s="19">
        <v>0</v>
      </c>
      <c r="S91" s="19">
        <f t="shared" si="4"/>
        <v>0</v>
      </c>
      <c r="T91" s="19">
        <f t="shared" si="5"/>
        <v>0</v>
      </c>
      <c r="U91" s="19">
        <f t="shared" si="6"/>
        <v>0</v>
      </c>
      <c r="V91" s="19">
        <f t="shared" si="7"/>
        <v>0</v>
      </c>
      <c r="W91" s="19">
        <f t="shared" si="8"/>
        <v>0</v>
      </c>
      <c r="X91" s="20">
        <f t="shared" si="9"/>
        <v>0</v>
      </c>
      <c r="Y91" s="20">
        <f t="shared" si="10"/>
        <v>0</v>
      </c>
    </row>
    <row r="92" spans="1:25" ht="15.75" customHeight="1">
      <c r="A92" s="14" t="s">
        <v>194</v>
      </c>
      <c r="B92" s="15" t="s">
        <v>195</v>
      </c>
      <c r="C92" s="16">
        <v>2300</v>
      </c>
      <c r="D92" s="16">
        <v>2300</v>
      </c>
      <c r="E92" s="17">
        <v>2</v>
      </c>
      <c r="F92" s="18">
        <v>0</v>
      </c>
      <c r="G92" s="18">
        <v>0</v>
      </c>
      <c r="H92" s="36">
        <v>0</v>
      </c>
      <c r="I92" s="17">
        <v>0</v>
      </c>
      <c r="J92" s="17">
        <f t="shared" si="0"/>
        <v>2</v>
      </c>
      <c r="K92" s="37">
        <v>2</v>
      </c>
      <c r="L92" s="17">
        <v>0</v>
      </c>
      <c r="M92" s="17">
        <v>0</v>
      </c>
      <c r="N92" s="17">
        <f t="shared" si="1"/>
        <v>2</v>
      </c>
      <c r="O92" s="17">
        <f t="shared" si="2"/>
        <v>0</v>
      </c>
      <c r="P92" s="3"/>
      <c r="Q92" s="19">
        <f t="shared" si="3"/>
        <v>4600</v>
      </c>
      <c r="R92" s="19">
        <v>0</v>
      </c>
      <c r="S92" s="19">
        <f t="shared" si="4"/>
        <v>0</v>
      </c>
      <c r="T92" s="19">
        <f t="shared" si="5"/>
        <v>0</v>
      </c>
      <c r="U92" s="19">
        <f t="shared" si="6"/>
        <v>0</v>
      </c>
      <c r="V92" s="19">
        <f t="shared" si="7"/>
        <v>0</v>
      </c>
      <c r="W92" s="19">
        <f t="shared" si="8"/>
        <v>4600</v>
      </c>
      <c r="X92" s="20">
        <f t="shared" si="9"/>
        <v>4600</v>
      </c>
      <c r="Y92" s="20">
        <f t="shared" si="10"/>
        <v>0</v>
      </c>
    </row>
    <row r="93" spans="1:25" ht="15.75" customHeight="1">
      <c r="A93" s="14" t="s">
        <v>196</v>
      </c>
      <c r="B93" s="15" t="s">
        <v>197</v>
      </c>
      <c r="C93" s="16">
        <v>1200</v>
      </c>
      <c r="D93" s="16">
        <v>1200</v>
      </c>
      <c r="E93" s="17">
        <v>1</v>
      </c>
      <c r="F93" s="18">
        <v>0</v>
      </c>
      <c r="G93" s="18">
        <v>0</v>
      </c>
      <c r="H93" s="36">
        <v>0</v>
      </c>
      <c r="I93" s="17">
        <v>0</v>
      </c>
      <c r="J93" s="17">
        <f t="shared" si="0"/>
        <v>1</v>
      </c>
      <c r="K93" s="37">
        <v>1</v>
      </c>
      <c r="L93" s="17">
        <v>0</v>
      </c>
      <c r="M93" s="17">
        <v>0</v>
      </c>
      <c r="N93" s="17">
        <f t="shared" si="1"/>
        <v>1</v>
      </c>
      <c r="O93" s="17">
        <f t="shared" si="2"/>
        <v>0</v>
      </c>
      <c r="P93" s="3"/>
      <c r="Q93" s="19">
        <f t="shared" si="3"/>
        <v>1200</v>
      </c>
      <c r="R93" s="19">
        <v>0</v>
      </c>
      <c r="S93" s="19">
        <f t="shared" si="4"/>
        <v>0</v>
      </c>
      <c r="T93" s="19">
        <f t="shared" si="5"/>
        <v>0</v>
      </c>
      <c r="U93" s="19">
        <f t="shared" si="6"/>
        <v>0</v>
      </c>
      <c r="V93" s="19">
        <f t="shared" si="7"/>
        <v>0</v>
      </c>
      <c r="W93" s="19">
        <f t="shared" si="8"/>
        <v>1200</v>
      </c>
      <c r="X93" s="20">
        <f t="shared" si="9"/>
        <v>1200</v>
      </c>
      <c r="Y93" s="20">
        <f t="shared" si="10"/>
        <v>0</v>
      </c>
    </row>
    <row r="94" spans="1:25" ht="15.75" customHeight="1">
      <c r="A94" s="14" t="s">
        <v>198</v>
      </c>
      <c r="B94" s="15" t="s">
        <v>199</v>
      </c>
      <c r="C94" s="16">
        <v>4600</v>
      </c>
      <c r="D94" s="16">
        <v>4600</v>
      </c>
      <c r="E94" s="17">
        <v>7</v>
      </c>
      <c r="F94" s="18">
        <v>0</v>
      </c>
      <c r="G94" s="18">
        <v>0</v>
      </c>
      <c r="H94" s="36">
        <v>0</v>
      </c>
      <c r="I94" s="17">
        <v>0</v>
      </c>
      <c r="J94" s="17">
        <f t="shared" si="0"/>
        <v>7</v>
      </c>
      <c r="K94" s="37">
        <v>7</v>
      </c>
      <c r="L94" s="17">
        <v>0</v>
      </c>
      <c r="M94" s="17">
        <v>0</v>
      </c>
      <c r="N94" s="17">
        <f t="shared" si="1"/>
        <v>7</v>
      </c>
      <c r="O94" s="17">
        <f t="shared" si="2"/>
        <v>0</v>
      </c>
      <c r="P94" s="3"/>
      <c r="Q94" s="19">
        <f t="shared" si="3"/>
        <v>32200</v>
      </c>
      <c r="R94" s="19">
        <v>0</v>
      </c>
      <c r="S94" s="19">
        <f t="shared" si="4"/>
        <v>0</v>
      </c>
      <c r="T94" s="19">
        <f t="shared" si="5"/>
        <v>0</v>
      </c>
      <c r="U94" s="19">
        <f t="shared" si="6"/>
        <v>0</v>
      </c>
      <c r="V94" s="19">
        <f t="shared" si="7"/>
        <v>0</v>
      </c>
      <c r="W94" s="19">
        <f t="shared" si="8"/>
        <v>32200</v>
      </c>
      <c r="X94" s="20">
        <f t="shared" si="9"/>
        <v>32200</v>
      </c>
      <c r="Y94" s="20">
        <f t="shared" si="10"/>
        <v>0</v>
      </c>
    </row>
    <row r="95" spans="1:25" ht="15.75" customHeight="1">
      <c r="A95" s="14" t="s">
        <v>200</v>
      </c>
      <c r="B95" s="15" t="s">
        <v>201</v>
      </c>
      <c r="C95" s="16">
        <v>820</v>
      </c>
      <c r="D95" s="16">
        <v>820</v>
      </c>
      <c r="E95" s="17">
        <v>2</v>
      </c>
      <c r="F95" s="18">
        <v>0</v>
      </c>
      <c r="G95" s="18">
        <v>0</v>
      </c>
      <c r="H95" s="36">
        <v>0</v>
      </c>
      <c r="I95" s="17">
        <v>0</v>
      </c>
      <c r="J95" s="17">
        <f t="shared" si="0"/>
        <v>2</v>
      </c>
      <c r="K95" s="37">
        <v>2</v>
      </c>
      <c r="L95" s="17">
        <v>0</v>
      </c>
      <c r="M95" s="17">
        <v>0</v>
      </c>
      <c r="N95" s="17">
        <f t="shared" si="1"/>
        <v>2</v>
      </c>
      <c r="O95" s="17">
        <f t="shared" si="2"/>
        <v>0</v>
      </c>
      <c r="P95" s="3"/>
      <c r="Q95" s="19">
        <f t="shared" si="3"/>
        <v>1640</v>
      </c>
      <c r="R95" s="19">
        <v>0</v>
      </c>
      <c r="S95" s="19">
        <f t="shared" si="4"/>
        <v>0</v>
      </c>
      <c r="T95" s="19">
        <f t="shared" si="5"/>
        <v>0</v>
      </c>
      <c r="U95" s="19">
        <f t="shared" si="6"/>
        <v>0</v>
      </c>
      <c r="V95" s="19">
        <f t="shared" si="7"/>
        <v>0</v>
      </c>
      <c r="W95" s="19">
        <f t="shared" si="8"/>
        <v>1640</v>
      </c>
      <c r="X95" s="20">
        <f t="shared" si="9"/>
        <v>1640</v>
      </c>
      <c r="Y95" s="20">
        <f t="shared" si="10"/>
        <v>0</v>
      </c>
    </row>
    <row r="96" spans="1:25" ht="15.75" customHeight="1">
      <c r="A96" s="14" t="s">
        <v>202</v>
      </c>
      <c r="B96" s="15" t="s">
        <v>203</v>
      </c>
      <c r="C96" s="16">
        <v>5735</v>
      </c>
      <c r="D96" s="16">
        <v>5735</v>
      </c>
      <c r="E96" s="17">
        <v>1</v>
      </c>
      <c r="F96" s="18">
        <v>0</v>
      </c>
      <c r="G96" s="18">
        <v>0</v>
      </c>
      <c r="H96" s="36">
        <v>0</v>
      </c>
      <c r="I96" s="17">
        <v>0</v>
      </c>
      <c r="J96" s="17">
        <f t="shared" si="0"/>
        <v>1</v>
      </c>
      <c r="K96" s="37">
        <v>1</v>
      </c>
      <c r="L96" s="17">
        <v>0</v>
      </c>
      <c r="M96" s="17">
        <v>0</v>
      </c>
      <c r="N96" s="17">
        <f t="shared" si="1"/>
        <v>1</v>
      </c>
      <c r="O96" s="17">
        <f t="shared" si="2"/>
        <v>0</v>
      </c>
      <c r="P96" s="3"/>
      <c r="Q96" s="19">
        <f t="shared" si="3"/>
        <v>5735</v>
      </c>
      <c r="R96" s="19">
        <v>0</v>
      </c>
      <c r="S96" s="19">
        <f t="shared" si="4"/>
        <v>0</v>
      </c>
      <c r="T96" s="19">
        <f t="shared" si="5"/>
        <v>0</v>
      </c>
      <c r="U96" s="19">
        <f t="shared" si="6"/>
        <v>0</v>
      </c>
      <c r="V96" s="19">
        <f t="shared" si="7"/>
        <v>0</v>
      </c>
      <c r="W96" s="19">
        <f t="shared" si="8"/>
        <v>5735</v>
      </c>
      <c r="X96" s="20">
        <f t="shared" si="9"/>
        <v>5735</v>
      </c>
      <c r="Y96" s="20">
        <f t="shared" si="10"/>
        <v>0</v>
      </c>
    </row>
    <row r="97" spans="1:25" ht="15.75" customHeight="1">
      <c r="A97" s="14" t="s">
        <v>204</v>
      </c>
      <c r="B97" s="15" t="s">
        <v>205</v>
      </c>
      <c r="C97" s="16">
        <v>150.36000000000001</v>
      </c>
      <c r="D97" s="16">
        <v>150.36000000000001</v>
      </c>
      <c r="E97" s="17">
        <v>2</v>
      </c>
      <c r="F97" s="18">
        <v>0</v>
      </c>
      <c r="G97" s="18">
        <v>0</v>
      </c>
      <c r="H97" s="36">
        <v>0</v>
      </c>
      <c r="I97" s="17">
        <v>0</v>
      </c>
      <c r="J97" s="17">
        <f t="shared" si="0"/>
        <v>2</v>
      </c>
      <c r="K97" s="37">
        <v>2</v>
      </c>
      <c r="L97" s="17">
        <v>0</v>
      </c>
      <c r="M97" s="17">
        <v>0</v>
      </c>
      <c r="N97" s="17">
        <f t="shared" si="1"/>
        <v>2</v>
      </c>
      <c r="O97" s="17">
        <f t="shared" si="2"/>
        <v>0</v>
      </c>
      <c r="P97" s="3"/>
      <c r="Q97" s="19">
        <f t="shared" si="3"/>
        <v>300.72000000000003</v>
      </c>
      <c r="R97" s="19">
        <v>0</v>
      </c>
      <c r="S97" s="19">
        <f t="shared" si="4"/>
        <v>0</v>
      </c>
      <c r="T97" s="19">
        <f t="shared" si="5"/>
        <v>0</v>
      </c>
      <c r="U97" s="19">
        <f t="shared" si="6"/>
        <v>0</v>
      </c>
      <c r="V97" s="19">
        <f t="shared" si="7"/>
        <v>0</v>
      </c>
      <c r="W97" s="19">
        <f t="shared" si="8"/>
        <v>300.72000000000003</v>
      </c>
      <c r="X97" s="20">
        <f t="shared" si="9"/>
        <v>300.72000000000003</v>
      </c>
      <c r="Y97" s="20">
        <f t="shared" si="10"/>
        <v>0</v>
      </c>
    </row>
    <row r="98" spans="1:25" ht="15.75" customHeight="1">
      <c r="A98" s="14" t="s">
        <v>206</v>
      </c>
      <c r="B98" s="15" t="s">
        <v>207</v>
      </c>
      <c r="C98" s="16">
        <v>680</v>
      </c>
      <c r="D98" s="16">
        <v>680</v>
      </c>
      <c r="E98" s="17">
        <v>2</v>
      </c>
      <c r="F98" s="18">
        <v>0</v>
      </c>
      <c r="G98" s="18">
        <v>0</v>
      </c>
      <c r="H98" s="36">
        <v>0</v>
      </c>
      <c r="I98" s="17">
        <v>0</v>
      </c>
      <c r="J98" s="17">
        <f t="shared" si="0"/>
        <v>2</v>
      </c>
      <c r="K98" s="37">
        <v>2</v>
      </c>
      <c r="L98" s="17">
        <v>0</v>
      </c>
      <c r="M98" s="17">
        <v>0</v>
      </c>
      <c r="N98" s="17">
        <f t="shared" si="1"/>
        <v>2</v>
      </c>
      <c r="O98" s="17">
        <f t="shared" si="2"/>
        <v>0</v>
      </c>
      <c r="P98" s="3"/>
      <c r="Q98" s="19">
        <f t="shared" si="3"/>
        <v>1360</v>
      </c>
      <c r="R98" s="19">
        <v>0</v>
      </c>
      <c r="S98" s="19">
        <f t="shared" si="4"/>
        <v>0</v>
      </c>
      <c r="T98" s="19">
        <f t="shared" si="5"/>
        <v>0</v>
      </c>
      <c r="U98" s="19">
        <f t="shared" si="6"/>
        <v>0</v>
      </c>
      <c r="V98" s="19">
        <f t="shared" si="7"/>
        <v>0</v>
      </c>
      <c r="W98" s="19">
        <f t="shared" si="8"/>
        <v>1360</v>
      </c>
      <c r="X98" s="20">
        <f t="shared" si="9"/>
        <v>1360</v>
      </c>
      <c r="Y98" s="20">
        <f t="shared" si="10"/>
        <v>0</v>
      </c>
    </row>
    <row r="99" spans="1:25" ht="15.75" customHeight="1">
      <c r="A99" s="14" t="s">
        <v>208</v>
      </c>
      <c r="B99" s="15" t="s">
        <v>209</v>
      </c>
      <c r="C99" s="16">
        <v>374.22</v>
      </c>
      <c r="D99" s="16">
        <v>374.22</v>
      </c>
      <c r="E99" s="17">
        <v>3</v>
      </c>
      <c r="F99" s="18">
        <v>0</v>
      </c>
      <c r="G99" s="18">
        <v>0</v>
      </c>
      <c r="H99" s="36">
        <v>0</v>
      </c>
      <c r="I99" s="17">
        <v>0</v>
      </c>
      <c r="J99" s="17">
        <f t="shared" si="0"/>
        <v>3</v>
      </c>
      <c r="K99" s="37">
        <v>3</v>
      </c>
      <c r="L99" s="17">
        <v>0</v>
      </c>
      <c r="M99" s="17">
        <v>0</v>
      </c>
      <c r="N99" s="17">
        <f t="shared" si="1"/>
        <v>3</v>
      </c>
      <c r="O99" s="17">
        <f t="shared" si="2"/>
        <v>0</v>
      </c>
      <c r="P99" s="3"/>
      <c r="Q99" s="19">
        <f t="shared" si="3"/>
        <v>1122.6600000000001</v>
      </c>
      <c r="R99" s="19">
        <v>0</v>
      </c>
      <c r="S99" s="19">
        <f t="shared" si="4"/>
        <v>0</v>
      </c>
      <c r="T99" s="19">
        <f t="shared" si="5"/>
        <v>0</v>
      </c>
      <c r="U99" s="19">
        <f t="shared" si="6"/>
        <v>0</v>
      </c>
      <c r="V99" s="19">
        <f t="shared" si="7"/>
        <v>0</v>
      </c>
      <c r="W99" s="19">
        <f t="shared" si="8"/>
        <v>1122.6600000000001</v>
      </c>
      <c r="X99" s="20">
        <f t="shared" si="9"/>
        <v>1122.6600000000001</v>
      </c>
      <c r="Y99" s="20">
        <f t="shared" si="10"/>
        <v>0</v>
      </c>
    </row>
    <row r="100" spans="1:25" ht="15.75" customHeight="1">
      <c r="A100" s="14" t="s">
        <v>210</v>
      </c>
      <c r="B100" s="15" t="s">
        <v>211</v>
      </c>
      <c r="C100" s="16">
        <v>1020</v>
      </c>
      <c r="D100" s="16">
        <v>1020</v>
      </c>
      <c r="E100" s="17">
        <v>1</v>
      </c>
      <c r="F100" s="18">
        <v>0</v>
      </c>
      <c r="G100" s="18">
        <v>0</v>
      </c>
      <c r="H100" s="36">
        <v>0</v>
      </c>
      <c r="I100" s="17">
        <v>0</v>
      </c>
      <c r="J100" s="17">
        <f t="shared" si="0"/>
        <v>1</v>
      </c>
      <c r="K100" s="37">
        <v>1</v>
      </c>
      <c r="L100" s="17">
        <v>0</v>
      </c>
      <c r="M100" s="17">
        <v>0</v>
      </c>
      <c r="N100" s="17">
        <f t="shared" si="1"/>
        <v>1</v>
      </c>
      <c r="O100" s="17">
        <f t="shared" si="2"/>
        <v>0</v>
      </c>
      <c r="P100" s="3"/>
      <c r="Q100" s="19">
        <f t="shared" si="3"/>
        <v>1020</v>
      </c>
      <c r="R100" s="19">
        <v>0</v>
      </c>
      <c r="S100" s="19">
        <f t="shared" si="4"/>
        <v>0</v>
      </c>
      <c r="T100" s="19">
        <f t="shared" si="5"/>
        <v>0</v>
      </c>
      <c r="U100" s="19">
        <f t="shared" si="6"/>
        <v>0</v>
      </c>
      <c r="V100" s="19">
        <f t="shared" si="7"/>
        <v>0</v>
      </c>
      <c r="W100" s="19">
        <f t="shared" si="8"/>
        <v>1020</v>
      </c>
      <c r="X100" s="20">
        <f t="shared" si="9"/>
        <v>1020</v>
      </c>
      <c r="Y100" s="20">
        <f t="shared" si="10"/>
        <v>0</v>
      </c>
    </row>
    <row r="101" spans="1:25" ht="15.75" customHeight="1">
      <c r="A101" s="14" t="s">
        <v>212</v>
      </c>
      <c r="B101" s="15" t="s">
        <v>213</v>
      </c>
      <c r="C101" s="16">
        <v>360</v>
      </c>
      <c r="D101" s="16">
        <v>360</v>
      </c>
      <c r="E101" s="17">
        <v>3</v>
      </c>
      <c r="F101" s="18">
        <v>0</v>
      </c>
      <c r="G101" s="18">
        <v>0</v>
      </c>
      <c r="H101" s="36">
        <v>0</v>
      </c>
      <c r="I101" s="17">
        <v>0</v>
      </c>
      <c r="J101" s="17">
        <f t="shared" si="0"/>
        <v>3</v>
      </c>
      <c r="K101" s="37">
        <v>3</v>
      </c>
      <c r="L101" s="17">
        <v>0</v>
      </c>
      <c r="M101" s="17">
        <v>0</v>
      </c>
      <c r="N101" s="17">
        <f t="shared" si="1"/>
        <v>3</v>
      </c>
      <c r="O101" s="17">
        <f t="shared" si="2"/>
        <v>0</v>
      </c>
      <c r="P101" s="3"/>
      <c r="Q101" s="19">
        <f t="shared" si="3"/>
        <v>1080</v>
      </c>
      <c r="R101" s="19">
        <v>0</v>
      </c>
      <c r="S101" s="19">
        <f t="shared" si="4"/>
        <v>0</v>
      </c>
      <c r="T101" s="19">
        <f t="shared" si="5"/>
        <v>0</v>
      </c>
      <c r="U101" s="19">
        <f t="shared" si="6"/>
        <v>0</v>
      </c>
      <c r="V101" s="19">
        <f t="shared" si="7"/>
        <v>0</v>
      </c>
      <c r="W101" s="19">
        <f t="shared" si="8"/>
        <v>1080</v>
      </c>
      <c r="X101" s="20">
        <f t="shared" si="9"/>
        <v>1080</v>
      </c>
      <c r="Y101" s="20">
        <f t="shared" si="10"/>
        <v>0</v>
      </c>
    </row>
    <row r="102" spans="1:25" ht="15.75" customHeight="1">
      <c r="A102" s="14" t="s">
        <v>214</v>
      </c>
      <c r="B102" s="15" t="s">
        <v>215</v>
      </c>
      <c r="C102" s="16">
        <v>1100</v>
      </c>
      <c r="D102" s="16">
        <v>1100</v>
      </c>
      <c r="E102" s="17">
        <v>1</v>
      </c>
      <c r="F102" s="18">
        <v>0</v>
      </c>
      <c r="G102" s="18">
        <v>0</v>
      </c>
      <c r="H102" s="36">
        <v>0</v>
      </c>
      <c r="I102" s="17">
        <v>0</v>
      </c>
      <c r="J102" s="17">
        <f t="shared" si="0"/>
        <v>1</v>
      </c>
      <c r="K102" s="37">
        <v>1</v>
      </c>
      <c r="L102" s="17">
        <v>0</v>
      </c>
      <c r="M102" s="17">
        <v>0</v>
      </c>
      <c r="N102" s="17">
        <f t="shared" si="1"/>
        <v>1</v>
      </c>
      <c r="O102" s="17">
        <f t="shared" si="2"/>
        <v>0</v>
      </c>
      <c r="P102" s="3"/>
      <c r="Q102" s="19">
        <f t="shared" si="3"/>
        <v>1100</v>
      </c>
      <c r="R102" s="19">
        <v>0</v>
      </c>
      <c r="S102" s="19">
        <f t="shared" si="4"/>
        <v>0</v>
      </c>
      <c r="T102" s="19">
        <f t="shared" si="5"/>
        <v>0</v>
      </c>
      <c r="U102" s="19">
        <f t="shared" si="6"/>
        <v>0</v>
      </c>
      <c r="V102" s="19">
        <f t="shared" si="7"/>
        <v>0</v>
      </c>
      <c r="W102" s="19">
        <f t="shared" si="8"/>
        <v>1100</v>
      </c>
      <c r="X102" s="20">
        <f t="shared" si="9"/>
        <v>1100</v>
      </c>
      <c r="Y102" s="20">
        <f t="shared" si="10"/>
        <v>0</v>
      </c>
    </row>
    <row r="103" spans="1:25" ht="15.75" customHeight="1">
      <c r="A103" s="14" t="s">
        <v>216</v>
      </c>
      <c r="B103" s="15" t="s">
        <v>217</v>
      </c>
      <c r="C103" s="16">
        <v>498.85</v>
      </c>
      <c r="D103" s="16">
        <v>498.85</v>
      </c>
      <c r="E103" s="17">
        <v>0</v>
      </c>
      <c r="F103" s="18">
        <v>0</v>
      </c>
      <c r="G103" s="18">
        <v>0</v>
      </c>
      <c r="H103" s="36">
        <v>0</v>
      </c>
      <c r="I103" s="17">
        <v>0</v>
      </c>
      <c r="J103" s="17">
        <f t="shared" si="0"/>
        <v>0</v>
      </c>
      <c r="K103" s="37">
        <v>0</v>
      </c>
      <c r="L103" s="17">
        <v>0</v>
      </c>
      <c r="M103" s="17">
        <v>0</v>
      </c>
      <c r="N103" s="17">
        <f t="shared" si="1"/>
        <v>0</v>
      </c>
      <c r="O103" s="17">
        <f t="shared" si="2"/>
        <v>0</v>
      </c>
      <c r="P103" s="3"/>
      <c r="Q103" s="19">
        <f t="shared" si="3"/>
        <v>0</v>
      </c>
      <c r="R103" s="19">
        <v>0</v>
      </c>
      <c r="S103" s="19">
        <f t="shared" si="4"/>
        <v>0</v>
      </c>
      <c r="T103" s="19">
        <f t="shared" si="5"/>
        <v>0</v>
      </c>
      <c r="U103" s="19">
        <f t="shared" si="6"/>
        <v>0</v>
      </c>
      <c r="V103" s="19">
        <f t="shared" si="7"/>
        <v>0</v>
      </c>
      <c r="W103" s="19">
        <f t="shared" si="8"/>
        <v>0</v>
      </c>
      <c r="X103" s="20">
        <f t="shared" si="9"/>
        <v>0</v>
      </c>
      <c r="Y103" s="20">
        <f t="shared" si="10"/>
        <v>0</v>
      </c>
    </row>
    <row r="104" spans="1:25" ht="15.75" customHeight="1">
      <c r="A104" s="14" t="s">
        <v>218</v>
      </c>
      <c r="B104" s="15" t="s">
        <v>219</v>
      </c>
      <c r="C104" s="16">
        <v>480.5</v>
      </c>
      <c r="D104" s="16">
        <v>480.5</v>
      </c>
      <c r="E104" s="17">
        <v>1</v>
      </c>
      <c r="F104" s="18">
        <v>0</v>
      </c>
      <c r="G104" s="18">
        <v>0</v>
      </c>
      <c r="H104" s="36">
        <v>0</v>
      </c>
      <c r="I104" s="17">
        <v>0</v>
      </c>
      <c r="J104" s="17">
        <f t="shared" si="0"/>
        <v>1</v>
      </c>
      <c r="K104" s="37">
        <v>1</v>
      </c>
      <c r="L104" s="17">
        <v>0</v>
      </c>
      <c r="M104" s="17">
        <v>0</v>
      </c>
      <c r="N104" s="17">
        <f t="shared" si="1"/>
        <v>1</v>
      </c>
      <c r="O104" s="17">
        <f t="shared" si="2"/>
        <v>0</v>
      </c>
      <c r="P104" s="3"/>
      <c r="Q104" s="19">
        <f t="shared" si="3"/>
        <v>480.5</v>
      </c>
      <c r="R104" s="19">
        <v>0</v>
      </c>
      <c r="S104" s="19">
        <f t="shared" si="4"/>
        <v>0</v>
      </c>
      <c r="T104" s="19">
        <f t="shared" si="5"/>
        <v>0</v>
      </c>
      <c r="U104" s="19">
        <f t="shared" si="6"/>
        <v>0</v>
      </c>
      <c r="V104" s="19">
        <f t="shared" si="7"/>
        <v>0</v>
      </c>
      <c r="W104" s="19">
        <f t="shared" si="8"/>
        <v>480.5</v>
      </c>
      <c r="X104" s="20">
        <f t="shared" si="9"/>
        <v>480.5</v>
      </c>
      <c r="Y104" s="20">
        <f t="shared" si="10"/>
        <v>0</v>
      </c>
    </row>
    <row r="105" spans="1:25" ht="15.75" customHeight="1">
      <c r="A105" s="14" t="s">
        <v>220</v>
      </c>
      <c r="B105" s="15" t="s">
        <v>221</v>
      </c>
      <c r="C105" s="16">
        <v>670</v>
      </c>
      <c r="D105" s="16">
        <v>670</v>
      </c>
      <c r="E105" s="17">
        <v>1</v>
      </c>
      <c r="F105" s="18">
        <v>0</v>
      </c>
      <c r="G105" s="18">
        <v>0</v>
      </c>
      <c r="H105" s="36">
        <v>0</v>
      </c>
      <c r="I105" s="17">
        <v>0</v>
      </c>
      <c r="J105" s="17">
        <f t="shared" si="0"/>
        <v>1</v>
      </c>
      <c r="K105" s="37">
        <v>0</v>
      </c>
      <c r="L105" s="17">
        <v>0</v>
      </c>
      <c r="M105" s="17">
        <v>1</v>
      </c>
      <c r="N105" s="17">
        <f t="shared" si="1"/>
        <v>1</v>
      </c>
      <c r="O105" s="17">
        <f t="shared" si="2"/>
        <v>0</v>
      </c>
      <c r="P105" s="3"/>
      <c r="Q105" s="19">
        <f t="shared" si="3"/>
        <v>670</v>
      </c>
      <c r="R105" s="19">
        <v>0</v>
      </c>
      <c r="S105" s="19">
        <f t="shared" si="4"/>
        <v>0</v>
      </c>
      <c r="T105" s="19">
        <f t="shared" si="5"/>
        <v>0</v>
      </c>
      <c r="U105" s="19">
        <f t="shared" si="6"/>
        <v>0</v>
      </c>
      <c r="V105" s="19">
        <f t="shared" si="7"/>
        <v>0</v>
      </c>
      <c r="W105" s="19">
        <f t="shared" si="8"/>
        <v>670</v>
      </c>
      <c r="X105" s="20">
        <f t="shared" si="9"/>
        <v>670</v>
      </c>
      <c r="Y105" s="20">
        <f t="shared" si="10"/>
        <v>0</v>
      </c>
    </row>
    <row r="106" spans="1:25" ht="15.75" customHeight="1">
      <c r="A106" s="14" t="s">
        <v>222</v>
      </c>
      <c r="B106" s="15" t="s">
        <v>223</v>
      </c>
      <c r="C106" s="16">
        <v>775</v>
      </c>
      <c r="D106" s="16">
        <v>775</v>
      </c>
      <c r="E106" s="17">
        <v>2</v>
      </c>
      <c r="F106" s="18">
        <v>0</v>
      </c>
      <c r="G106" s="18">
        <v>0</v>
      </c>
      <c r="H106" s="36">
        <v>0</v>
      </c>
      <c r="I106" s="17">
        <v>0</v>
      </c>
      <c r="J106" s="17">
        <f t="shared" si="0"/>
        <v>2</v>
      </c>
      <c r="K106" s="37">
        <v>2</v>
      </c>
      <c r="L106" s="17">
        <v>0</v>
      </c>
      <c r="M106" s="17">
        <v>0</v>
      </c>
      <c r="N106" s="17">
        <f t="shared" si="1"/>
        <v>2</v>
      </c>
      <c r="O106" s="17">
        <f t="shared" si="2"/>
        <v>0</v>
      </c>
      <c r="P106" s="3"/>
      <c r="Q106" s="19">
        <f t="shared" si="3"/>
        <v>1550</v>
      </c>
      <c r="R106" s="19">
        <v>0</v>
      </c>
      <c r="S106" s="19">
        <f t="shared" si="4"/>
        <v>0</v>
      </c>
      <c r="T106" s="19">
        <f t="shared" si="5"/>
        <v>0</v>
      </c>
      <c r="U106" s="19">
        <f t="shared" si="6"/>
        <v>0</v>
      </c>
      <c r="V106" s="19">
        <f t="shared" si="7"/>
        <v>0</v>
      </c>
      <c r="W106" s="19">
        <f t="shared" si="8"/>
        <v>1550</v>
      </c>
      <c r="X106" s="20">
        <f t="shared" si="9"/>
        <v>1550</v>
      </c>
      <c r="Y106" s="20">
        <f t="shared" si="10"/>
        <v>0</v>
      </c>
    </row>
    <row r="107" spans="1:25" ht="15.75" customHeight="1">
      <c r="A107" s="14" t="s">
        <v>224</v>
      </c>
      <c r="B107" s="15" t="s">
        <v>225</v>
      </c>
      <c r="C107" s="16">
        <v>1320</v>
      </c>
      <c r="D107" s="16">
        <v>1320</v>
      </c>
      <c r="E107" s="17">
        <v>1</v>
      </c>
      <c r="F107" s="18">
        <v>0</v>
      </c>
      <c r="G107" s="18">
        <v>0</v>
      </c>
      <c r="H107" s="36">
        <v>0</v>
      </c>
      <c r="I107" s="17">
        <v>0</v>
      </c>
      <c r="J107" s="17">
        <f t="shared" si="0"/>
        <v>1</v>
      </c>
      <c r="K107" s="37">
        <v>1</v>
      </c>
      <c r="L107" s="17">
        <v>0</v>
      </c>
      <c r="M107" s="17">
        <v>0</v>
      </c>
      <c r="N107" s="17">
        <f t="shared" si="1"/>
        <v>1</v>
      </c>
      <c r="O107" s="17">
        <f t="shared" si="2"/>
        <v>0</v>
      </c>
      <c r="P107" s="3"/>
      <c r="Q107" s="19">
        <f t="shared" si="3"/>
        <v>1320</v>
      </c>
      <c r="R107" s="19">
        <v>0</v>
      </c>
      <c r="S107" s="19">
        <f t="shared" si="4"/>
        <v>0</v>
      </c>
      <c r="T107" s="19">
        <f t="shared" si="5"/>
        <v>0</v>
      </c>
      <c r="U107" s="19">
        <f t="shared" si="6"/>
        <v>0</v>
      </c>
      <c r="V107" s="19">
        <f t="shared" si="7"/>
        <v>0</v>
      </c>
      <c r="W107" s="19">
        <f t="shared" si="8"/>
        <v>1320</v>
      </c>
      <c r="X107" s="20">
        <f t="shared" si="9"/>
        <v>1320</v>
      </c>
      <c r="Y107" s="20">
        <f t="shared" si="10"/>
        <v>0</v>
      </c>
    </row>
    <row r="108" spans="1:25" ht="15.75" customHeight="1">
      <c r="A108" s="14" t="s">
        <v>226</v>
      </c>
      <c r="B108" s="15" t="s">
        <v>227</v>
      </c>
      <c r="C108" s="16">
        <v>2400</v>
      </c>
      <c r="D108" s="16">
        <v>2400</v>
      </c>
      <c r="E108" s="17">
        <v>3</v>
      </c>
      <c r="F108" s="18">
        <v>0</v>
      </c>
      <c r="G108" s="18">
        <v>0</v>
      </c>
      <c r="H108" s="36">
        <v>0</v>
      </c>
      <c r="I108" s="17">
        <v>0</v>
      </c>
      <c r="J108" s="17">
        <f t="shared" si="0"/>
        <v>3</v>
      </c>
      <c r="K108" s="37">
        <v>3</v>
      </c>
      <c r="L108" s="17">
        <v>0</v>
      </c>
      <c r="M108" s="17">
        <v>0</v>
      </c>
      <c r="N108" s="17">
        <f t="shared" si="1"/>
        <v>3</v>
      </c>
      <c r="O108" s="17">
        <f t="shared" si="2"/>
        <v>0</v>
      </c>
      <c r="P108" s="3"/>
      <c r="Q108" s="19">
        <f t="shared" si="3"/>
        <v>7200</v>
      </c>
      <c r="R108" s="19">
        <v>0</v>
      </c>
      <c r="S108" s="19">
        <f t="shared" si="4"/>
        <v>0</v>
      </c>
      <c r="T108" s="19">
        <f t="shared" si="5"/>
        <v>0</v>
      </c>
      <c r="U108" s="19">
        <f t="shared" si="6"/>
        <v>0</v>
      </c>
      <c r="V108" s="19">
        <f t="shared" si="7"/>
        <v>0</v>
      </c>
      <c r="W108" s="19">
        <f t="shared" si="8"/>
        <v>7200</v>
      </c>
      <c r="X108" s="20">
        <f t="shared" si="9"/>
        <v>7200</v>
      </c>
      <c r="Y108" s="20">
        <f t="shared" si="10"/>
        <v>0</v>
      </c>
    </row>
    <row r="109" spans="1:25" ht="15.75" customHeight="1">
      <c r="A109" s="14" t="s">
        <v>228</v>
      </c>
      <c r="B109" s="15" t="s">
        <v>229</v>
      </c>
      <c r="C109" s="16">
        <v>5200</v>
      </c>
      <c r="D109" s="16">
        <v>5200</v>
      </c>
      <c r="E109" s="17">
        <v>1</v>
      </c>
      <c r="F109" s="18">
        <v>0</v>
      </c>
      <c r="G109" s="18">
        <v>0</v>
      </c>
      <c r="H109" s="36">
        <v>0</v>
      </c>
      <c r="I109" s="17">
        <v>0</v>
      </c>
      <c r="J109" s="17">
        <f t="shared" si="0"/>
        <v>1</v>
      </c>
      <c r="K109" s="37">
        <v>1</v>
      </c>
      <c r="L109" s="17">
        <v>0</v>
      </c>
      <c r="M109" s="17">
        <v>0</v>
      </c>
      <c r="N109" s="17">
        <f t="shared" si="1"/>
        <v>1</v>
      </c>
      <c r="O109" s="17">
        <f t="shared" si="2"/>
        <v>0</v>
      </c>
      <c r="P109" s="3"/>
      <c r="Q109" s="19">
        <f t="shared" si="3"/>
        <v>5200</v>
      </c>
      <c r="R109" s="19">
        <v>0</v>
      </c>
      <c r="S109" s="19">
        <f t="shared" si="4"/>
        <v>0</v>
      </c>
      <c r="T109" s="19">
        <f t="shared" si="5"/>
        <v>0</v>
      </c>
      <c r="U109" s="19">
        <f t="shared" si="6"/>
        <v>0</v>
      </c>
      <c r="V109" s="19">
        <f t="shared" si="7"/>
        <v>0</v>
      </c>
      <c r="W109" s="19">
        <f t="shared" si="8"/>
        <v>5200</v>
      </c>
      <c r="X109" s="20">
        <f t="shared" si="9"/>
        <v>5200</v>
      </c>
      <c r="Y109" s="20">
        <f t="shared" si="10"/>
        <v>0</v>
      </c>
    </row>
    <row r="110" spans="1:25" ht="15.75" customHeight="1">
      <c r="A110" s="14" t="s">
        <v>230</v>
      </c>
      <c r="B110" s="15" t="s">
        <v>231</v>
      </c>
      <c r="C110" s="16">
        <v>290</v>
      </c>
      <c r="D110" s="16">
        <v>290</v>
      </c>
      <c r="E110" s="17">
        <v>1</v>
      </c>
      <c r="F110" s="18">
        <v>0</v>
      </c>
      <c r="G110" s="18">
        <v>0</v>
      </c>
      <c r="H110" s="36">
        <v>0</v>
      </c>
      <c r="I110" s="17">
        <v>0</v>
      </c>
      <c r="J110" s="17">
        <f t="shared" si="0"/>
        <v>1</v>
      </c>
      <c r="K110" s="37">
        <v>1</v>
      </c>
      <c r="L110" s="17">
        <v>0</v>
      </c>
      <c r="M110" s="17">
        <v>0</v>
      </c>
      <c r="N110" s="17">
        <f t="shared" si="1"/>
        <v>1</v>
      </c>
      <c r="O110" s="17">
        <f t="shared" si="2"/>
        <v>0</v>
      </c>
      <c r="P110" s="3"/>
      <c r="Q110" s="19">
        <f t="shared" si="3"/>
        <v>290</v>
      </c>
      <c r="R110" s="19">
        <v>0</v>
      </c>
      <c r="S110" s="19">
        <f t="shared" si="4"/>
        <v>0</v>
      </c>
      <c r="T110" s="19">
        <f t="shared" si="5"/>
        <v>0</v>
      </c>
      <c r="U110" s="19">
        <f t="shared" si="6"/>
        <v>0</v>
      </c>
      <c r="V110" s="19">
        <f t="shared" si="7"/>
        <v>0</v>
      </c>
      <c r="W110" s="19">
        <f t="shared" si="8"/>
        <v>290</v>
      </c>
      <c r="X110" s="20">
        <f t="shared" si="9"/>
        <v>290</v>
      </c>
      <c r="Y110" s="20">
        <f t="shared" si="10"/>
        <v>0</v>
      </c>
    </row>
    <row r="111" spans="1:25" ht="15.75" customHeight="1">
      <c r="A111" s="14" t="s">
        <v>232</v>
      </c>
      <c r="B111" s="15" t="s">
        <v>233</v>
      </c>
      <c r="C111" s="16">
        <v>420</v>
      </c>
      <c r="D111" s="16">
        <v>420</v>
      </c>
      <c r="E111" s="17">
        <v>0</v>
      </c>
      <c r="F111" s="18">
        <v>0</v>
      </c>
      <c r="G111" s="18">
        <v>0</v>
      </c>
      <c r="H111" s="36">
        <v>0</v>
      </c>
      <c r="I111" s="17">
        <v>0</v>
      </c>
      <c r="J111" s="17">
        <f t="shared" si="0"/>
        <v>0</v>
      </c>
      <c r="K111" s="37">
        <v>0</v>
      </c>
      <c r="L111" s="17">
        <v>0</v>
      </c>
      <c r="M111" s="17">
        <v>0</v>
      </c>
      <c r="N111" s="17">
        <f t="shared" si="1"/>
        <v>0</v>
      </c>
      <c r="O111" s="17">
        <f t="shared" si="2"/>
        <v>0</v>
      </c>
      <c r="P111" s="3"/>
      <c r="Q111" s="19">
        <f t="shared" si="3"/>
        <v>0</v>
      </c>
      <c r="R111" s="19">
        <v>0</v>
      </c>
      <c r="S111" s="19">
        <f t="shared" si="4"/>
        <v>0</v>
      </c>
      <c r="T111" s="19">
        <f t="shared" si="5"/>
        <v>0</v>
      </c>
      <c r="U111" s="19">
        <f t="shared" si="6"/>
        <v>0</v>
      </c>
      <c r="V111" s="19">
        <f t="shared" si="7"/>
        <v>0</v>
      </c>
      <c r="W111" s="19">
        <f t="shared" si="8"/>
        <v>0</v>
      </c>
      <c r="X111" s="20">
        <f t="shared" si="9"/>
        <v>0</v>
      </c>
      <c r="Y111" s="20">
        <f t="shared" si="10"/>
        <v>0</v>
      </c>
    </row>
    <row r="112" spans="1:25" ht="15.75" customHeight="1">
      <c r="A112" s="14" t="s">
        <v>234</v>
      </c>
      <c r="B112" s="15" t="s">
        <v>235</v>
      </c>
      <c r="C112" s="16">
        <v>31</v>
      </c>
      <c r="D112" s="16">
        <v>31</v>
      </c>
      <c r="E112" s="17">
        <v>116</v>
      </c>
      <c r="F112" s="18">
        <v>0</v>
      </c>
      <c r="G112" s="18">
        <v>0</v>
      </c>
      <c r="H112" s="36">
        <v>0</v>
      </c>
      <c r="I112" s="22">
        <v>0</v>
      </c>
      <c r="J112" s="17">
        <f t="shared" si="0"/>
        <v>116</v>
      </c>
      <c r="K112" s="38">
        <v>116</v>
      </c>
      <c r="L112" s="22">
        <v>0</v>
      </c>
      <c r="M112" s="17">
        <v>0</v>
      </c>
      <c r="N112" s="22">
        <f t="shared" si="1"/>
        <v>116</v>
      </c>
      <c r="O112" s="17">
        <f t="shared" si="2"/>
        <v>0</v>
      </c>
      <c r="P112" s="3"/>
      <c r="Q112" s="19">
        <f t="shared" si="3"/>
        <v>3596</v>
      </c>
      <c r="R112" s="19">
        <v>0</v>
      </c>
      <c r="S112" s="19">
        <f t="shared" si="4"/>
        <v>0</v>
      </c>
      <c r="T112" s="19">
        <f t="shared" si="5"/>
        <v>0</v>
      </c>
      <c r="U112" s="19">
        <f t="shared" si="6"/>
        <v>0</v>
      </c>
      <c r="V112" s="19">
        <f t="shared" si="7"/>
        <v>0</v>
      </c>
      <c r="W112" s="19">
        <f t="shared" si="8"/>
        <v>3596</v>
      </c>
      <c r="X112" s="20">
        <f t="shared" si="9"/>
        <v>3596</v>
      </c>
      <c r="Y112" s="20">
        <f t="shared" si="10"/>
        <v>0</v>
      </c>
    </row>
    <row r="113" spans="1:25" ht="15.75" customHeight="1">
      <c r="A113" s="14" t="s">
        <v>236</v>
      </c>
      <c r="B113" s="15" t="s">
        <v>237</v>
      </c>
      <c r="C113" s="16">
        <v>163.80000000000001</v>
      </c>
      <c r="D113" s="16">
        <v>163.80000000000001</v>
      </c>
      <c r="E113" s="17">
        <v>0</v>
      </c>
      <c r="F113" s="18">
        <v>0</v>
      </c>
      <c r="G113" s="18">
        <v>0</v>
      </c>
      <c r="H113" s="36">
        <v>0</v>
      </c>
      <c r="I113" s="17">
        <v>0</v>
      </c>
      <c r="J113" s="17">
        <f t="shared" si="0"/>
        <v>0</v>
      </c>
      <c r="K113" s="37">
        <v>0</v>
      </c>
      <c r="L113" s="17">
        <v>0</v>
      </c>
      <c r="M113" s="17">
        <v>0</v>
      </c>
      <c r="N113" s="17">
        <f t="shared" si="1"/>
        <v>0</v>
      </c>
      <c r="O113" s="17">
        <f t="shared" si="2"/>
        <v>0</v>
      </c>
      <c r="P113" s="3"/>
      <c r="Q113" s="19">
        <f t="shared" si="3"/>
        <v>0</v>
      </c>
      <c r="R113" s="19">
        <v>0</v>
      </c>
      <c r="S113" s="19">
        <f t="shared" si="4"/>
        <v>0</v>
      </c>
      <c r="T113" s="19">
        <f t="shared" si="5"/>
        <v>0</v>
      </c>
      <c r="U113" s="19">
        <f t="shared" si="6"/>
        <v>0</v>
      </c>
      <c r="V113" s="19">
        <f t="shared" si="7"/>
        <v>0</v>
      </c>
      <c r="W113" s="19">
        <f t="shared" si="8"/>
        <v>0</v>
      </c>
      <c r="X113" s="20">
        <f t="shared" si="9"/>
        <v>0</v>
      </c>
      <c r="Y113" s="20">
        <f t="shared" si="10"/>
        <v>0</v>
      </c>
    </row>
    <row r="114" spans="1:25" ht="15.75" customHeight="1">
      <c r="A114" s="14" t="s">
        <v>238</v>
      </c>
      <c r="B114" s="15" t="s">
        <v>239</v>
      </c>
      <c r="C114" s="16">
        <v>0</v>
      </c>
      <c r="D114" s="16">
        <v>0</v>
      </c>
      <c r="E114" s="17">
        <v>0</v>
      </c>
      <c r="F114" s="18">
        <v>0</v>
      </c>
      <c r="G114" s="18">
        <v>0</v>
      </c>
      <c r="H114" s="36">
        <v>0</v>
      </c>
      <c r="I114" s="17">
        <v>0</v>
      </c>
      <c r="J114" s="17">
        <f t="shared" si="0"/>
        <v>0</v>
      </c>
      <c r="K114" s="37">
        <v>0</v>
      </c>
      <c r="L114" s="17">
        <v>0</v>
      </c>
      <c r="M114" s="17">
        <v>0</v>
      </c>
      <c r="N114" s="17">
        <f t="shared" si="1"/>
        <v>0</v>
      </c>
      <c r="O114" s="17">
        <f t="shared" si="2"/>
        <v>0</v>
      </c>
      <c r="P114" s="3"/>
      <c r="Q114" s="19">
        <f t="shared" si="3"/>
        <v>0</v>
      </c>
      <c r="R114" s="19">
        <v>0</v>
      </c>
      <c r="S114" s="19">
        <f t="shared" si="4"/>
        <v>0</v>
      </c>
      <c r="T114" s="19">
        <f t="shared" si="5"/>
        <v>0</v>
      </c>
      <c r="U114" s="19">
        <f t="shared" si="6"/>
        <v>0</v>
      </c>
      <c r="V114" s="19">
        <f t="shared" si="7"/>
        <v>0</v>
      </c>
      <c r="W114" s="19">
        <f t="shared" si="8"/>
        <v>0</v>
      </c>
      <c r="X114" s="20">
        <f t="shared" si="9"/>
        <v>0</v>
      </c>
      <c r="Y114" s="20">
        <f t="shared" si="10"/>
        <v>0</v>
      </c>
    </row>
    <row r="115" spans="1:25" ht="15.75" customHeight="1">
      <c r="A115" s="23" t="s">
        <v>240</v>
      </c>
      <c r="B115" s="15" t="s">
        <v>241</v>
      </c>
      <c r="C115" s="16">
        <v>149.47</v>
      </c>
      <c r="D115" s="16">
        <v>149.47</v>
      </c>
      <c r="E115" s="17">
        <v>50</v>
      </c>
      <c r="F115" s="18">
        <v>0</v>
      </c>
      <c r="G115" s="18">
        <v>0</v>
      </c>
      <c r="H115" s="36">
        <v>0</v>
      </c>
      <c r="I115" s="17">
        <v>0</v>
      </c>
      <c r="J115" s="17">
        <f t="shared" si="0"/>
        <v>50</v>
      </c>
      <c r="K115" s="37">
        <v>50</v>
      </c>
      <c r="L115" s="17">
        <v>0</v>
      </c>
      <c r="M115" s="17">
        <v>0</v>
      </c>
      <c r="N115" s="17">
        <f t="shared" si="1"/>
        <v>50</v>
      </c>
      <c r="O115" s="17">
        <f t="shared" si="2"/>
        <v>0</v>
      </c>
      <c r="P115" s="3"/>
      <c r="Q115" s="19">
        <f t="shared" si="3"/>
        <v>7473.5</v>
      </c>
      <c r="R115" s="19">
        <v>0</v>
      </c>
      <c r="S115" s="19">
        <f t="shared" si="4"/>
        <v>0</v>
      </c>
      <c r="T115" s="19">
        <f t="shared" si="5"/>
        <v>0</v>
      </c>
      <c r="U115" s="19">
        <f t="shared" si="6"/>
        <v>0</v>
      </c>
      <c r="V115" s="19">
        <f t="shared" si="7"/>
        <v>0</v>
      </c>
      <c r="W115" s="19">
        <f t="shared" si="8"/>
        <v>7473.5</v>
      </c>
      <c r="X115" s="20">
        <f t="shared" si="9"/>
        <v>7473.5</v>
      </c>
      <c r="Y115" s="20">
        <f t="shared" si="10"/>
        <v>0</v>
      </c>
    </row>
    <row r="116" spans="1:25" ht="15.75" customHeight="1">
      <c r="A116" s="14" t="s">
        <v>242</v>
      </c>
      <c r="B116" s="15" t="s">
        <v>243</v>
      </c>
      <c r="C116" s="16">
        <v>66</v>
      </c>
      <c r="D116" s="16">
        <v>66</v>
      </c>
      <c r="E116" s="17">
        <v>50</v>
      </c>
      <c r="F116" s="18">
        <v>0</v>
      </c>
      <c r="G116" s="18">
        <v>0</v>
      </c>
      <c r="H116" s="36">
        <v>0</v>
      </c>
      <c r="I116" s="17">
        <v>0</v>
      </c>
      <c r="J116" s="17">
        <f t="shared" si="0"/>
        <v>50</v>
      </c>
      <c r="K116" s="37">
        <v>50</v>
      </c>
      <c r="L116" s="17">
        <v>0</v>
      </c>
      <c r="M116" s="17">
        <v>0</v>
      </c>
      <c r="N116" s="17">
        <f t="shared" si="1"/>
        <v>50</v>
      </c>
      <c r="O116" s="17">
        <f t="shared" si="2"/>
        <v>0</v>
      </c>
      <c r="P116" s="3"/>
      <c r="Q116" s="19">
        <f t="shared" si="3"/>
        <v>3300</v>
      </c>
      <c r="R116" s="19">
        <v>0</v>
      </c>
      <c r="S116" s="19">
        <f t="shared" si="4"/>
        <v>0</v>
      </c>
      <c r="T116" s="19">
        <f t="shared" si="5"/>
        <v>0</v>
      </c>
      <c r="U116" s="19">
        <f t="shared" si="6"/>
        <v>0</v>
      </c>
      <c r="V116" s="19">
        <f t="shared" si="7"/>
        <v>0</v>
      </c>
      <c r="W116" s="19">
        <f t="shared" si="8"/>
        <v>3300</v>
      </c>
      <c r="X116" s="20">
        <f t="shared" si="9"/>
        <v>3300</v>
      </c>
      <c r="Y116" s="20">
        <f t="shared" si="10"/>
        <v>0</v>
      </c>
    </row>
    <row r="117" spans="1:25" ht="15.75" customHeight="1">
      <c r="A117" s="14" t="s">
        <v>244</v>
      </c>
      <c r="B117" s="15" t="s">
        <v>245</v>
      </c>
      <c r="C117" s="16">
        <v>0</v>
      </c>
      <c r="D117" s="16">
        <v>0</v>
      </c>
      <c r="E117" s="17">
        <v>0</v>
      </c>
      <c r="F117" s="18">
        <v>0</v>
      </c>
      <c r="G117" s="18">
        <v>0</v>
      </c>
      <c r="H117" s="36">
        <v>0</v>
      </c>
      <c r="I117" s="17">
        <v>0</v>
      </c>
      <c r="J117" s="17">
        <f t="shared" si="0"/>
        <v>0</v>
      </c>
      <c r="K117" s="37">
        <v>0</v>
      </c>
      <c r="L117" s="17">
        <v>0</v>
      </c>
      <c r="M117" s="17">
        <v>0</v>
      </c>
      <c r="N117" s="17">
        <f t="shared" si="1"/>
        <v>0</v>
      </c>
      <c r="O117" s="17">
        <f t="shared" si="2"/>
        <v>0</v>
      </c>
      <c r="P117" s="3"/>
      <c r="Q117" s="19">
        <f t="shared" si="3"/>
        <v>0</v>
      </c>
      <c r="R117" s="19">
        <v>0</v>
      </c>
      <c r="S117" s="19">
        <f t="shared" si="4"/>
        <v>0</v>
      </c>
      <c r="T117" s="19">
        <f t="shared" si="5"/>
        <v>0</v>
      </c>
      <c r="U117" s="19">
        <f t="shared" si="6"/>
        <v>0</v>
      </c>
      <c r="V117" s="19">
        <f t="shared" si="7"/>
        <v>0</v>
      </c>
      <c r="W117" s="19">
        <f t="shared" si="8"/>
        <v>0</v>
      </c>
      <c r="X117" s="20">
        <f t="shared" si="9"/>
        <v>0</v>
      </c>
      <c r="Y117" s="20">
        <f t="shared" si="10"/>
        <v>0</v>
      </c>
    </row>
    <row r="118" spans="1:25" ht="15.75" customHeight="1">
      <c r="A118" s="14" t="s">
        <v>246</v>
      </c>
      <c r="B118" s="15" t="s">
        <v>247</v>
      </c>
      <c r="C118" s="16">
        <v>19.5</v>
      </c>
      <c r="D118" s="16">
        <v>19.5</v>
      </c>
      <c r="E118" s="17">
        <v>0</v>
      </c>
      <c r="F118" s="18">
        <v>0</v>
      </c>
      <c r="G118" s="18">
        <v>0</v>
      </c>
      <c r="H118" s="36">
        <v>0</v>
      </c>
      <c r="I118" s="17">
        <v>0</v>
      </c>
      <c r="J118" s="17">
        <f t="shared" si="0"/>
        <v>0</v>
      </c>
      <c r="K118" s="37">
        <v>0</v>
      </c>
      <c r="L118" s="17">
        <v>0</v>
      </c>
      <c r="M118" s="17">
        <v>0</v>
      </c>
      <c r="N118" s="17">
        <f t="shared" si="1"/>
        <v>0</v>
      </c>
      <c r="O118" s="17">
        <f t="shared" si="2"/>
        <v>0</v>
      </c>
      <c r="P118" s="3"/>
      <c r="Q118" s="19">
        <f t="shared" si="3"/>
        <v>0</v>
      </c>
      <c r="R118" s="19">
        <v>0</v>
      </c>
      <c r="S118" s="19">
        <f t="shared" si="4"/>
        <v>0</v>
      </c>
      <c r="T118" s="19">
        <f t="shared" si="5"/>
        <v>0</v>
      </c>
      <c r="U118" s="19">
        <f t="shared" si="6"/>
        <v>0</v>
      </c>
      <c r="V118" s="19">
        <f t="shared" si="7"/>
        <v>0</v>
      </c>
      <c r="W118" s="19">
        <f t="shared" si="8"/>
        <v>0</v>
      </c>
      <c r="X118" s="20">
        <f t="shared" si="9"/>
        <v>0</v>
      </c>
      <c r="Y118" s="20">
        <f t="shared" si="10"/>
        <v>0</v>
      </c>
    </row>
    <row r="119" spans="1:25" ht="15.75" customHeight="1">
      <c r="A119" s="14" t="s">
        <v>248</v>
      </c>
      <c r="B119" s="15" t="s">
        <v>249</v>
      </c>
      <c r="C119" s="16">
        <v>0</v>
      </c>
      <c r="D119" s="16">
        <v>0</v>
      </c>
      <c r="E119" s="17">
        <v>0</v>
      </c>
      <c r="F119" s="18">
        <v>0</v>
      </c>
      <c r="G119" s="18">
        <v>0</v>
      </c>
      <c r="H119" s="36">
        <v>0</v>
      </c>
      <c r="I119" s="17">
        <v>0</v>
      </c>
      <c r="J119" s="17">
        <f t="shared" si="0"/>
        <v>0</v>
      </c>
      <c r="K119" s="37">
        <v>0</v>
      </c>
      <c r="L119" s="17">
        <v>0</v>
      </c>
      <c r="M119" s="17">
        <v>0</v>
      </c>
      <c r="N119" s="17">
        <f t="shared" si="1"/>
        <v>0</v>
      </c>
      <c r="O119" s="17">
        <f t="shared" si="2"/>
        <v>0</v>
      </c>
      <c r="P119" s="3"/>
      <c r="Q119" s="19">
        <f t="shared" si="3"/>
        <v>0</v>
      </c>
      <c r="R119" s="19">
        <v>0</v>
      </c>
      <c r="S119" s="19">
        <f t="shared" si="4"/>
        <v>0</v>
      </c>
      <c r="T119" s="19">
        <f t="shared" si="5"/>
        <v>0</v>
      </c>
      <c r="U119" s="19">
        <f t="shared" si="6"/>
        <v>0</v>
      </c>
      <c r="V119" s="19">
        <f t="shared" si="7"/>
        <v>0</v>
      </c>
      <c r="W119" s="19">
        <f t="shared" si="8"/>
        <v>0</v>
      </c>
      <c r="X119" s="20">
        <f t="shared" si="9"/>
        <v>0</v>
      </c>
      <c r="Y119" s="20">
        <f t="shared" si="10"/>
        <v>0</v>
      </c>
    </row>
    <row r="120" spans="1:25" ht="15.75" customHeight="1">
      <c r="A120" s="14" t="s">
        <v>250</v>
      </c>
      <c r="B120" s="15" t="s">
        <v>251</v>
      </c>
      <c r="C120" s="16">
        <v>3875</v>
      </c>
      <c r="D120" s="16">
        <v>3875</v>
      </c>
      <c r="E120" s="17">
        <v>1</v>
      </c>
      <c r="F120" s="18">
        <v>0</v>
      </c>
      <c r="G120" s="18">
        <v>0</v>
      </c>
      <c r="H120" s="36">
        <v>0</v>
      </c>
      <c r="I120" s="17">
        <v>0</v>
      </c>
      <c r="J120" s="17">
        <f t="shared" si="0"/>
        <v>1</v>
      </c>
      <c r="K120" s="37">
        <v>1</v>
      </c>
      <c r="L120" s="17">
        <v>0</v>
      </c>
      <c r="M120" s="17">
        <v>0</v>
      </c>
      <c r="N120" s="17">
        <f t="shared" si="1"/>
        <v>1</v>
      </c>
      <c r="O120" s="17">
        <f t="shared" si="2"/>
        <v>0</v>
      </c>
      <c r="P120" s="3"/>
      <c r="Q120" s="19">
        <f t="shared" si="3"/>
        <v>3875</v>
      </c>
      <c r="R120" s="19">
        <v>0</v>
      </c>
      <c r="S120" s="19">
        <f t="shared" si="4"/>
        <v>0</v>
      </c>
      <c r="T120" s="19">
        <f t="shared" si="5"/>
        <v>0</v>
      </c>
      <c r="U120" s="19">
        <f t="shared" si="6"/>
        <v>0</v>
      </c>
      <c r="V120" s="19">
        <f t="shared" si="7"/>
        <v>0</v>
      </c>
      <c r="W120" s="19">
        <f t="shared" si="8"/>
        <v>3875</v>
      </c>
      <c r="X120" s="20">
        <f t="shared" si="9"/>
        <v>3875</v>
      </c>
      <c r="Y120" s="20">
        <f t="shared" si="10"/>
        <v>0</v>
      </c>
    </row>
    <row r="121" spans="1:25" ht="15.75" customHeight="1">
      <c r="A121" s="14" t="s">
        <v>252</v>
      </c>
      <c r="B121" s="15" t="s">
        <v>253</v>
      </c>
      <c r="C121" s="16">
        <v>600</v>
      </c>
      <c r="D121" s="16">
        <v>600</v>
      </c>
      <c r="E121" s="17">
        <v>3</v>
      </c>
      <c r="F121" s="18">
        <v>0</v>
      </c>
      <c r="G121" s="18">
        <v>0</v>
      </c>
      <c r="H121" s="36">
        <v>3</v>
      </c>
      <c r="I121" s="17">
        <v>0</v>
      </c>
      <c r="J121" s="17">
        <f t="shared" si="0"/>
        <v>0</v>
      </c>
      <c r="K121" s="37">
        <v>0</v>
      </c>
      <c r="L121" s="17">
        <v>0</v>
      </c>
      <c r="M121" s="17">
        <v>0</v>
      </c>
      <c r="N121" s="17">
        <f t="shared" si="1"/>
        <v>0</v>
      </c>
      <c r="O121" s="17">
        <f t="shared" si="2"/>
        <v>0</v>
      </c>
      <c r="P121" s="3"/>
      <c r="Q121" s="19">
        <f t="shared" si="3"/>
        <v>1800</v>
      </c>
      <c r="R121" s="19">
        <v>0</v>
      </c>
      <c r="S121" s="19">
        <f t="shared" si="4"/>
        <v>0</v>
      </c>
      <c r="T121" s="19">
        <f t="shared" si="5"/>
        <v>0</v>
      </c>
      <c r="U121" s="19">
        <f t="shared" si="6"/>
        <v>1800</v>
      </c>
      <c r="V121" s="19">
        <f t="shared" si="7"/>
        <v>0</v>
      </c>
      <c r="W121" s="19">
        <f t="shared" si="8"/>
        <v>0</v>
      </c>
      <c r="X121" s="20">
        <f t="shared" si="9"/>
        <v>0</v>
      </c>
      <c r="Y121" s="20">
        <f t="shared" si="10"/>
        <v>0</v>
      </c>
    </row>
    <row r="122" spans="1:25" ht="15.75" customHeight="1">
      <c r="A122" s="14" t="s">
        <v>254</v>
      </c>
      <c r="B122" s="15" t="s">
        <v>255</v>
      </c>
      <c r="C122" s="16">
        <v>92.4</v>
      </c>
      <c r="D122" s="16">
        <v>92.4</v>
      </c>
      <c r="E122" s="17">
        <v>3</v>
      </c>
      <c r="F122" s="18">
        <v>0</v>
      </c>
      <c r="G122" s="18">
        <v>0</v>
      </c>
      <c r="H122" s="36">
        <v>0</v>
      </c>
      <c r="I122" s="17">
        <v>0</v>
      </c>
      <c r="J122" s="17">
        <f t="shared" si="0"/>
        <v>3</v>
      </c>
      <c r="K122" s="37">
        <v>3</v>
      </c>
      <c r="L122" s="17">
        <v>0</v>
      </c>
      <c r="M122" s="17">
        <v>0</v>
      </c>
      <c r="N122" s="17">
        <f t="shared" si="1"/>
        <v>3</v>
      </c>
      <c r="O122" s="17">
        <f t="shared" si="2"/>
        <v>0</v>
      </c>
      <c r="P122" s="3"/>
      <c r="Q122" s="19">
        <f t="shared" si="3"/>
        <v>277.20000000000005</v>
      </c>
      <c r="R122" s="19">
        <v>0</v>
      </c>
      <c r="S122" s="19">
        <f t="shared" si="4"/>
        <v>0</v>
      </c>
      <c r="T122" s="19">
        <f t="shared" si="5"/>
        <v>0</v>
      </c>
      <c r="U122" s="19">
        <f t="shared" si="6"/>
        <v>0</v>
      </c>
      <c r="V122" s="19">
        <f t="shared" si="7"/>
        <v>0</v>
      </c>
      <c r="W122" s="19">
        <f t="shared" si="8"/>
        <v>277.20000000000005</v>
      </c>
      <c r="X122" s="20">
        <f t="shared" si="9"/>
        <v>277.20000000000005</v>
      </c>
      <c r="Y122" s="20">
        <f t="shared" si="10"/>
        <v>0</v>
      </c>
    </row>
    <row r="123" spans="1:25" ht="15.75" customHeight="1">
      <c r="A123" s="14" t="s">
        <v>256</v>
      </c>
      <c r="B123" s="15" t="s">
        <v>257</v>
      </c>
      <c r="C123" s="16">
        <v>260</v>
      </c>
      <c r="D123" s="16">
        <v>260</v>
      </c>
      <c r="E123" s="17">
        <v>5</v>
      </c>
      <c r="F123" s="18">
        <v>0</v>
      </c>
      <c r="G123" s="18">
        <v>0</v>
      </c>
      <c r="H123" s="36">
        <v>0</v>
      </c>
      <c r="I123" s="17">
        <v>0</v>
      </c>
      <c r="J123" s="17">
        <f t="shared" si="0"/>
        <v>5</v>
      </c>
      <c r="K123" s="37">
        <v>5</v>
      </c>
      <c r="L123" s="17">
        <v>0</v>
      </c>
      <c r="M123" s="17">
        <v>0</v>
      </c>
      <c r="N123" s="17">
        <f t="shared" si="1"/>
        <v>5</v>
      </c>
      <c r="O123" s="17">
        <f t="shared" si="2"/>
        <v>0</v>
      </c>
      <c r="P123" s="3"/>
      <c r="Q123" s="19">
        <f t="shared" si="3"/>
        <v>1300</v>
      </c>
      <c r="R123" s="19">
        <v>0</v>
      </c>
      <c r="S123" s="19">
        <f t="shared" si="4"/>
        <v>0</v>
      </c>
      <c r="T123" s="19">
        <f t="shared" si="5"/>
        <v>0</v>
      </c>
      <c r="U123" s="19">
        <f t="shared" si="6"/>
        <v>0</v>
      </c>
      <c r="V123" s="19">
        <f t="shared" si="7"/>
        <v>0</v>
      </c>
      <c r="W123" s="19">
        <f t="shared" si="8"/>
        <v>1300</v>
      </c>
      <c r="X123" s="20">
        <f t="shared" si="9"/>
        <v>1300</v>
      </c>
      <c r="Y123" s="20">
        <f t="shared" si="10"/>
        <v>0</v>
      </c>
    </row>
    <row r="124" spans="1:25" ht="15.75" customHeight="1">
      <c r="A124" s="14" t="s">
        <v>258</v>
      </c>
      <c r="B124" s="15" t="s">
        <v>259</v>
      </c>
      <c r="C124" s="16">
        <v>830</v>
      </c>
      <c r="D124" s="16">
        <v>830</v>
      </c>
      <c r="E124" s="17">
        <v>0</v>
      </c>
      <c r="F124" s="18">
        <v>0</v>
      </c>
      <c r="G124" s="18">
        <v>0</v>
      </c>
      <c r="H124" s="39">
        <v>0</v>
      </c>
      <c r="I124" s="17">
        <v>0</v>
      </c>
      <c r="J124" s="17">
        <f t="shared" si="0"/>
        <v>0</v>
      </c>
      <c r="K124" s="37">
        <v>0</v>
      </c>
      <c r="L124" s="17">
        <v>0</v>
      </c>
      <c r="M124" s="17">
        <v>0</v>
      </c>
      <c r="N124" s="17">
        <f t="shared" si="1"/>
        <v>0</v>
      </c>
      <c r="O124" s="17">
        <f t="shared" si="2"/>
        <v>0</v>
      </c>
      <c r="P124" s="3"/>
      <c r="Q124" s="19">
        <f t="shared" si="3"/>
        <v>0</v>
      </c>
      <c r="R124" s="19">
        <v>0</v>
      </c>
      <c r="S124" s="19">
        <f t="shared" si="4"/>
        <v>0</v>
      </c>
      <c r="T124" s="19">
        <f t="shared" si="5"/>
        <v>0</v>
      </c>
      <c r="U124" s="19">
        <f t="shared" si="6"/>
        <v>0</v>
      </c>
      <c r="V124" s="19">
        <f t="shared" si="7"/>
        <v>0</v>
      </c>
      <c r="W124" s="19">
        <f t="shared" si="8"/>
        <v>0</v>
      </c>
      <c r="X124" s="20">
        <f t="shared" si="9"/>
        <v>0</v>
      </c>
      <c r="Y124" s="20">
        <f t="shared" si="10"/>
        <v>0</v>
      </c>
    </row>
    <row r="125" spans="1:25" ht="15.75" customHeight="1">
      <c r="A125" s="14" t="s">
        <v>260</v>
      </c>
      <c r="B125" s="15" t="s">
        <v>261</v>
      </c>
      <c r="C125" s="16">
        <v>0</v>
      </c>
      <c r="D125" s="16">
        <v>0</v>
      </c>
      <c r="E125" s="17">
        <v>0</v>
      </c>
      <c r="F125" s="18">
        <v>0</v>
      </c>
      <c r="G125" s="18">
        <v>0</v>
      </c>
      <c r="H125" s="36">
        <v>0</v>
      </c>
      <c r="I125" s="17">
        <v>0</v>
      </c>
      <c r="J125" s="17">
        <f t="shared" si="0"/>
        <v>0</v>
      </c>
      <c r="K125" s="37">
        <v>0</v>
      </c>
      <c r="L125" s="17">
        <v>0</v>
      </c>
      <c r="M125" s="17">
        <v>0</v>
      </c>
      <c r="N125" s="17">
        <f t="shared" si="1"/>
        <v>0</v>
      </c>
      <c r="O125" s="17">
        <f t="shared" si="2"/>
        <v>0</v>
      </c>
      <c r="P125" s="3"/>
      <c r="Q125" s="19">
        <f t="shared" si="3"/>
        <v>0</v>
      </c>
      <c r="R125" s="19">
        <v>0</v>
      </c>
      <c r="S125" s="19">
        <f t="shared" si="4"/>
        <v>0</v>
      </c>
      <c r="T125" s="19">
        <f t="shared" si="5"/>
        <v>0</v>
      </c>
      <c r="U125" s="19">
        <f t="shared" si="6"/>
        <v>0</v>
      </c>
      <c r="V125" s="19">
        <f t="shared" si="7"/>
        <v>0</v>
      </c>
      <c r="W125" s="19">
        <f t="shared" si="8"/>
        <v>0</v>
      </c>
      <c r="X125" s="20">
        <f t="shared" si="9"/>
        <v>0</v>
      </c>
      <c r="Y125" s="20">
        <f t="shared" si="10"/>
        <v>0</v>
      </c>
    </row>
    <row r="126" spans="1:25" ht="15.75" customHeight="1">
      <c r="A126" s="14" t="s">
        <v>262</v>
      </c>
      <c r="B126" s="15" t="s">
        <v>263</v>
      </c>
      <c r="C126" s="16">
        <v>252.37</v>
      </c>
      <c r="D126" s="16">
        <v>252.37</v>
      </c>
      <c r="E126" s="17">
        <v>0</v>
      </c>
      <c r="F126" s="18">
        <v>0</v>
      </c>
      <c r="G126" s="18">
        <v>0</v>
      </c>
      <c r="H126" s="36">
        <v>0</v>
      </c>
      <c r="I126" s="17">
        <v>0</v>
      </c>
      <c r="J126" s="17">
        <f t="shared" si="0"/>
        <v>0</v>
      </c>
      <c r="K126" s="37">
        <v>0</v>
      </c>
      <c r="L126" s="17">
        <v>0</v>
      </c>
      <c r="M126" s="17">
        <v>0</v>
      </c>
      <c r="N126" s="17">
        <f t="shared" si="1"/>
        <v>0</v>
      </c>
      <c r="O126" s="17">
        <f t="shared" si="2"/>
        <v>0</v>
      </c>
      <c r="P126" s="3"/>
      <c r="Q126" s="19">
        <f t="shared" si="3"/>
        <v>0</v>
      </c>
      <c r="R126" s="19">
        <v>0</v>
      </c>
      <c r="S126" s="19">
        <f t="shared" si="4"/>
        <v>0</v>
      </c>
      <c r="T126" s="19">
        <f t="shared" si="5"/>
        <v>0</v>
      </c>
      <c r="U126" s="19">
        <f t="shared" si="6"/>
        <v>0</v>
      </c>
      <c r="V126" s="19">
        <f t="shared" si="7"/>
        <v>0</v>
      </c>
      <c r="W126" s="19">
        <f t="shared" si="8"/>
        <v>0</v>
      </c>
      <c r="X126" s="20">
        <f t="shared" si="9"/>
        <v>0</v>
      </c>
      <c r="Y126" s="20">
        <f t="shared" si="10"/>
        <v>0</v>
      </c>
    </row>
    <row r="127" spans="1:25" ht="15.75" customHeight="1">
      <c r="A127" s="14" t="s">
        <v>264</v>
      </c>
      <c r="B127" s="15" t="s">
        <v>265</v>
      </c>
      <c r="C127" s="16">
        <v>480</v>
      </c>
      <c r="D127" s="16">
        <v>480</v>
      </c>
      <c r="E127" s="17">
        <v>1</v>
      </c>
      <c r="F127" s="18">
        <v>0</v>
      </c>
      <c r="G127" s="18">
        <v>0</v>
      </c>
      <c r="H127" s="36">
        <v>1</v>
      </c>
      <c r="I127" s="17">
        <v>0</v>
      </c>
      <c r="J127" s="17">
        <f t="shared" si="0"/>
        <v>0</v>
      </c>
      <c r="K127" s="37">
        <v>0</v>
      </c>
      <c r="L127" s="17">
        <v>0</v>
      </c>
      <c r="M127" s="17">
        <v>0</v>
      </c>
      <c r="N127" s="17">
        <f t="shared" si="1"/>
        <v>0</v>
      </c>
      <c r="O127" s="17">
        <f t="shared" si="2"/>
        <v>0</v>
      </c>
      <c r="P127" s="3"/>
      <c r="Q127" s="19">
        <f t="shared" si="3"/>
        <v>480</v>
      </c>
      <c r="R127" s="19">
        <v>0</v>
      </c>
      <c r="S127" s="19">
        <f t="shared" si="4"/>
        <v>0</v>
      </c>
      <c r="T127" s="19">
        <f t="shared" si="5"/>
        <v>0</v>
      </c>
      <c r="U127" s="19">
        <f t="shared" si="6"/>
        <v>480</v>
      </c>
      <c r="V127" s="19">
        <f t="shared" si="7"/>
        <v>0</v>
      </c>
      <c r="W127" s="19">
        <f t="shared" si="8"/>
        <v>0</v>
      </c>
      <c r="X127" s="20">
        <f t="shared" si="9"/>
        <v>0</v>
      </c>
      <c r="Y127" s="20">
        <f t="shared" si="10"/>
        <v>0</v>
      </c>
    </row>
    <row r="128" spans="1:25" ht="15.75" customHeight="1">
      <c r="A128" s="14" t="s">
        <v>266</v>
      </c>
      <c r="B128" s="15" t="s">
        <v>267</v>
      </c>
      <c r="C128" s="16">
        <v>1040.52</v>
      </c>
      <c r="D128" s="16">
        <v>1040.52</v>
      </c>
      <c r="E128" s="17">
        <v>0</v>
      </c>
      <c r="F128" s="18">
        <v>0</v>
      </c>
      <c r="G128" s="18">
        <v>0</v>
      </c>
      <c r="H128" s="36">
        <v>0</v>
      </c>
      <c r="I128" s="17">
        <v>0</v>
      </c>
      <c r="J128" s="17">
        <f t="shared" si="0"/>
        <v>0</v>
      </c>
      <c r="K128" s="37">
        <v>0</v>
      </c>
      <c r="L128" s="17">
        <v>0</v>
      </c>
      <c r="M128" s="17">
        <v>0</v>
      </c>
      <c r="N128" s="17">
        <f t="shared" si="1"/>
        <v>0</v>
      </c>
      <c r="O128" s="17">
        <f t="shared" si="2"/>
        <v>0</v>
      </c>
      <c r="P128" s="3"/>
      <c r="Q128" s="19">
        <f t="shared" si="3"/>
        <v>0</v>
      </c>
      <c r="R128" s="19">
        <v>0</v>
      </c>
      <c r="S128" s="19">
        <f t="shared" si="4"/>
        <v>0</v>
      </c>
      <c r="T128" s="19">
        <f t="shared" si="5"/>
        <v>0</v>
      </c>
      <c r="U128" s="19">
        <f t="shared" si="6"/>
        <v>0</v>
      </c>
      <c r="V128" s="19">
        <f t="shared" si="7"/>
        <v>0</v>
      </c>
      <c r="W128" s="19">
        <f t="shared" si="8"/>
        <v>0</v>
      </c>
      <c r="X128" s="20">
        <f t="shared" si="9"/>
        <v>0</v>
      </c>
      <c r="Y128" s="20">
        <f t="shared" si="10"/>
        <v>0</v>
      </c>
    </row>
    <row r="129" spans="1:25" ht="15.75" customHeight="1">
      <c r="A129" s="14" t="s">
        <v>268</v>
      </c>
      <c r="B129" s="15" t="s">
        <v>269</v>
      </c>
      <c r="C129" s="16">
        <v>246.5</v>
      </c>
      <c r="D129" s="16">
        <v>246.5</v>
      </c>
      <c r="E129" s="17">
        <v>3</v>
      </c>
      <c r="F129" s="18">
        <v>0</v>
      </c>
      <c r="G129" s="18">
        <v>0</v>
      </c>
      <c r="H129" s="36">
        <v>1</v>
      </c>
      <c r="I129" s="17">
        <v>0</v>
      </c>
      <c r="J129" s="17">
        <f t="shared" si="0"/>
        <v>2</v>
      </c>
      <c r="K129" s="37">
        <v>2</v>
      </c>
      <c r="L129" s="17">
        <v>0</v>
      </c>
      <c r="M129" s="17">
        <v>0</v>
      </c>
      <c r="N129" s="17">
        <f t="shared" si="1"/>
        <v>2</v>
      </c>
      <c r="O129" s="17">
        <f t="shared" si="2"/>
        <v>0</v>
      </c>
      <c r="P129" s="3"/>
      <c r="Q129" s="19">
        <f t="shared" si="3"/>
        <v>739.5</v>
      </c>
      <c r="R129" s="19">
        <v>0</v>
      </c>
      <c r="S129" s="19">
        <f t="shared" si="4"/>
        <v>0</v>
      </c>
      <c r="T129" s="19">
        <f t="shared" si="5"/>
        <v>0</v>
      </c>
      <c r="U129" s="19">
        <f t="shared" si="6"/>
        <v>246.5</v>
      </c>
      <c r="V129" s="19">
        <f t="shared" si="7"/>
        <v>0</v>
      </c>
      <c r="W129" s="19">
        <f t="shared" si="8"/>
        <v>493</v>
      </c>
      <c r="X129" s="20">
        <f t="shared" si="9"/>
        <v>493</v>
      </c>
      <c r="Y129" s="20">
        <f t="shared" si="10"/>
        <v>0</v>
      </c>
    </row>
    <row r="130" spans="1:25" ht="15.75" customHeight="1">
      <c r="A130" s="14" t="s">
        <v>270</v>
      </c>
      <c r="B130" s="15" t="s">
        <v>271</v>
      </c>
      <c r="C130" s="16">
        <v>797.5</v>
      </c>
      <c r="D130" s="16">
        <v>797.5</v>
      </c>
      <c r="E130" s="17">
        <v>1</v>
      </c>
      <c r="F130" s="18">
        <v>0</v>
      </c>
      <c r="G130" s="18">
        <v>0</v>
      </c>
      <c r="H130" s="36">
        <v>0</v>
      </c>
      <c r="I130" s="17">
        <v>0</v>
      </c>
      <c r="J130" s="17">
        <f t="shared" si="0"/>
        <v>1</v>
      </c>
      <c r="K130" s="37">
        <v>1</v>
      </c>
      <c r="L130" s="17">
        <v>0</v>
      </c>
      <c r="M130" s="17">
        <v>0</v>
      </c>
      <c r="N130" s="17">
        <f t="shared" si="1"/>
        <v>1</v>
      </c>
      <c r="O130" s="17">
        <f t="shared" si="2"/>
        <v>0</v>
      </c>
      <c r="P130" s="3"/>
      <c r="Q130" s="19">
        <f t="shared" si="3"/>
        <v>797.5</v>
      </c>
      <c r="R130" s="19">
        <v>0</v>
      </c>
      <c r="S130" s="19">
        <f t="shared" si="4"/>
        <v>0</v>
      </c>
      <c r="T130" s="19">
        <f t="shared" si="5"/>
        <v>0</v>
      </c>
      <c r="U130" s="19">
        <f t="shared" si="6"/>
        <v>0</v>
      </c>
      <c r="V130" s="19">
        <f t="shared" si="7"/>
        <v>0</v>
      </c>
      <c r="W130" s="19">
        <f t="shared" si="8"/>
        <v>797.5</v>
      </c>
      <c r="X130" s="20">
        <f t="shared" si="9"/>
        <v>797.5</v>
      </c>
      <c r="Y130" s="20">
        <f t="shared" si="10"/>
        <v>0</v>
      </c>
    </row>
    <row r="131" spans="1:25" ht="15.75" customHeight="1">
      <c r="A131" s="14" t="s">
        <v>272</v>
      </c>
      <c r="B131" s="15" t="s">
        <v>273</v>
      </c>
      <c r="C131" s="16">
        <v>165.33</v>
      </c>
      <c r="D131" s="16">
        <v>165.33</v>
      </c>
      <c r="E131" s="17">
        <v>1</v>
      </c>
      <c r="F131" s="18">
        <v>0</v>
      </c>
      <c r="G131" s="18">
        <v>0</v>
      </c>
      <c r="H131" s="36">
        <v>0</v>
      </c>
      <c r="I131" s="17">
        <v>0</v>
      </c>
      <c r="J131" s="17">
        <f t="shared" si="0"/>
        <v>1</v>
      </c>
      <c r="K131" s="37">
        <v>1</v>
      </c>
      <c r="L131" s="17">
        <v>0</v>
      </c>
      <c r="M131" s="17">
        <v>0</v>
      </c>
      <c r="N131" s="17">
        <f t="shared" si="1"/>
        <v>1</v>
      </c>
      <c r="O131" s="17">
        <f t="shared" si="2"/>
        <v>0</v>
      </c>
      <c r="P131" s="3"/>
      <c r="Q131" s="19">
        <f t="shared" si="3"/>
        <v>165.33</v>
      </c>
      <c r="R131" s="19">
        <v>0</v>
      </c>
      <c r="S131" s="19">
        <f t="shared" si="4"/>
        <v>0</v>
      </c>
      <c r="T131" s="19">
        <f t="shared" si="5"/>
        <v>0</v>
      </c>
      <c r="U131" s="19">
        <f t="shared" si="6"/>
        <v>0</v>
      </c>
      <c r="V131" s="19">
        <f t="shared" si="7"/>
        <v>0</v>
      </c>
      <c r="W131" s="19">
        <f t="shared" si="8"/>
        <v>165.33</v>
      </c>
      <c r="X131" s="20">
        <f t="shared" si="9"/>
        <v>165.33</v>
      </c>
      <c r="Y131" s="20">
        <f t="shared" si="10"/>
        <v>0</v>
      </c>
    </row>
    <row r="132" spans="1:25" ht="15.75" customHeight="1">
      <c r="A132" s="14" t="s">
        <v>274</v>
      </c>
      <c r="B132" s="15" t="s">
        <v>275</v>
      </c>
      <c r="C132" s="16">
        <v>350</v>
      </c>
      <c r="D132" s="16">
        <v>350</v>
      </c>
      <c r="E132" s="17">
        <v>0</v>
      </c>
      <c r="F132" s="18">
        <v>0</v>
      </c>
      <c r="G132" s="18">
        <v>0</v>
      </c>
      <c r="H132" s="36">
        <v>0</v>
      </c>
      <c r="I132" s="17">
        <v>0</v>
      </c>
      <c r="J132" s="17">
        <f t="shared" si="0"/>
        <v>0</v>
      </c>
      <c r="K132" s="37">
        <v>0</v>
      </c>
      <c r="L132" s="17">
        <v>0</v>
      </c>
      <c r="M132" s="17">
        <v>0</v>
      </c>
      <c r="N132" s="17">
        <f t="shared" si="1"/>
        <v>0</v>
      </c>
      <c r="O132" s="17">
        <f t="shared" si="2"/>
        <v>0</v>
      </c>
      <c r="P132" s="3"/>
      <c r="Q132" s="19">
        <f t="shared" si="3"/>
        <v>0</v>
      </c>
      <c r="R132" s="19">
        <v>0</v>
      </c>
      <c r="S132" s="19">
        <f t="shared" si="4"/>
        <v>0</v>
      </c>
      <c r="T132" s="19">
        <f t="shared" si="5"/>
        <v>0</v>
      </c>
      <c r="U132" s="19">
        <f t="shared" si="6"/>
        <v>0</v>
      </c>
      <c r="V132" s="19">
        <f t="shared" si="7"/>
        <v>0</v>
      </c>
      <c r="W132" s="19">
        <f t="shared" si="8"/>
        <v>0</v>
      </c>
      <c r="X132" s="20">
        <f t="shared" si="9"/>
        <v>0</v>
      </c>
      <c r="Y132" s="20">
        <f t="shared" si="10"/>
        <v>0</v>
      </c>
    </row>
    <row r="133" spans="1:25" ht="15.75" customHeight="1">
      <c r="A133" s="14" t="s">
        <v>276</v>
      </c>
      <c r="B133" s="15" t="s">
        <v>277</v>
      </c>
      <c r="C133" s="16">
        <v>820</v>
      </c>
      <c r="D133" s="16">
        <v>820</v>
      </c>
      <c r="E133" s="17">
        <v>0</v>
      </c>
      <c r="F133" s="18">
        <v>0</v>
      </c>
      <c r="G133" s="18">
        <v>0</v>
      </c>
      <c r="H133" s="36">
        <v>0</v>
      </c>
      <c r="I133" s="17">
        <v>0</v>
      </c>
      <c r="J133" s="17">
        <f t="shared" si="0"/>
        <v>0</v>
      </c>
      <c r="K133" s="37">
        <v>0</v>
      </c>
      <c r="L133" s="17">
        <v>0</v>
      </c>
      <c r="M133" s="17">
        <v>0</v>
      </c>
      <c r="N133" s="17">
        <f t="shared" si="1"/>
        <v>0</v>
      </c>
      <c r="O133" s="17">
        <f t="shared" si="2"/>
        <v>0</v>
      </c>
      <c r="P133" s="3"/>
      <c r="Q133" s="19">
        <f t="shared" si="3"/>
        <v>0</v>
      </c>
      <c r="R133" s="19">
        <v>0</v>
      </c>
      <c r="S133" s="19">
        <f t="shared" si="4"/>
        <v>0</v>
      </c>
      <c r="T133" s="19">
        <f t="shared" si="5"/>
        <v>0</v>
      </c>
      <c r="U133" s="19">
        <f t="shared" si="6"/>
        <v>0</v>
      </c>
      <c r="V133" s="19">
        <f t="shared" si="7"/>
        <v>0</v>
      </c>
      <c r="W133" s="19">
        <f t="shared" si="8"/>
        <v>0</v>
      </c>
      <c r="X133" s="20">
        <f t="shared" si="9"/>
        <v>0</v>
      </c>
      <c r="Y133" s="20">
        <f t="shared" si="10"/>
        <v>0</v>
      </c>
    </row>
    <row r="134" spans="1:25" ht="15.75" customHeight="1">
      <c r="A134" s="14" t="s">
        <v>278</v>
      </c>
      <c r="B134" s="15" t="s">
        <v>279</v>
      </c>
      <c r="C134" s="16">
        <v>176.29</v>
      </c>
      <c r="D134" s="16">
        <v>176.29</v>
      </c>
      <c r="E134" s="17">
        <v>0</v>
      </c>
      <c r="F134" s="18">
        <v>0</v>
      </c>
      <c r="G134" s="18">
        <v>0</v>
      </c>
      <c r="H134" s="36">
        <v>0</v>
      </c>
      <c r="I134" s="17">
        <v>0</v>
      </c>
      <c r="J134" s="17">
        <f t="shared" si="0"/>
        <v>0</v>
      </c>
      <c r="K134" s="37">
        <v>0</v>
      </c>
      <c r="L134" s="17">
        <v>0</v>
      </c>
      <c r="M134" s="17">
        <v>0</v>
      </c>
      <c r="N134" s="17">
        <f t="shared" si="1"/>
        <v>0</v>
      </c>
      <c r="O134" s="17">
        <f t="shared" si="2"/>
        <v>0</v>
      </c>
      <c r="P134" s="3"/>
      <c r="Q134" s="19">
        <f t="shared" si="3"/>
        <v>0</v>
      </c>
      <c r="R134" s="19">
        <v>0</v>
      </c>
      <c r="S134" s="19">
        <f t="shared" si="4"/>
        <v>0</v>
      </c>
      <c r="T134" s="19">
        <f t="shared" si="5"/>
        <v>0</v>
      </c>
      <c r="U134" s="19">
        <f t="shared" si="6"/>
        <v>0</v>
      </c>
      <c r="V134" s="19">
        <f t="shared" si="7"/>
        <v>0</v>
      </c>
      <c r="W134" s="19">
        <f t="shared" si="8"/>
        <v>0</v>
      </c>
      <c r="X134" s="20">
        <f t="shared" si="9"/>
        <v>0</v>
      </c>
      <c r="Y134" s="20">
        <f t="shared" si="10"/>
        <v>0</v>
      </c>
    </row>
    <row r="135" spans="1:25" ht="15.75" customHeight="1">
      <c r="A135" s="14" t="s">
        <v>280</v>
      </c>
      <c r="B135" s="15" t="s">
        <v>281</v>
      </c>
      <c r="C135" s="16">
        <v>159.5</v>
      </c>
      <c r="D135" s="16">
        <v>159.5</v>
      </c>
      <c r="E135" s="17">
        <v>6</v>
      </c>
      <c r="F135" s="18">
        <v>0</v>
      </c>
      <c r="G135" s="18">
        <v>0</v>
      </c>
      <c r="H135" s="36">
        <v>1</v>
      </c>
      <c r="I135" s="17">
        <v>0</v>
      </c>
      <c r="J135" s="17">
        <f t="shared" si="0"/>
        <v>5</v>
      </c>
      <c r="K135" s="37">
        <v>5</v>
      </c>
      <c r="L135" s="17">
        <v>0</v>
      </c>
      <c r="M135" s="17">
        <v>0</v>
      </c>
      <c r="N135" s="17">
        <f t="shared" si="1"/>
        <v>5</v>
      </c>
      <c r="O135" s="17">
        <f t="shared" si="2"/>
        <v>0</v>
      </c>
      <c r="P135" s="3"/>
      <c r="Q135" s="19">
        <f t="shared" si="3"/>
        <v>957</v>
      </c>
      <c r="R135" s="19">
        <v>0</v>
      </c>
      <c r="S135" s="19">
        <f t="shared" si="4"/>
        <v>0</v>
      </c>
      <c r="T135" s="19">
        <f t="shared" si="5"/>
        <v>0</v>
      </c>
      <c r="U135" s="19">
        <f t="shared" si="6"/>
        <v>159.5</v>
      </c>
      <c r="V135" s="19">
        <f t="shared" si="7"/>
        <v>0</v>
      </c>
      <c r="W135" s="19">
        <f t="shared" si="8"/>
        <v>797.5</v>
      </c>
      <c r="X135" s="20">
        <f t="shared" si="9"/>
        <v>797.5</v>
      </c>
      <c r="Y135" s="20">
        <f t="shared" si="10"/>
        <v>0</v>
      </c>
    </row>
    <row r="136" spans="1:25" ht="15.75" customHeight="1">
      <c r="A136" s="14" t="s">
        <v>282</v>
      </c>
      <c r="B136" s="15" t="s">
        <v>283</v>
      </c>
      <c r="C136" s="16">
        <v>179.8</v>
      </c>
      <c r="D136" s="16">
        <v>179.8</v>
      </c>
      <c r="E136" s="17">
        <v>0</v>
      </c>
      <c r="F136" s="18">
        <v>0</v>
      </c>
      <c r="G136" s="18">
        <v>0</v>
      </c>
      <c r="H136" s="36">
        <v>0</v>
      </c>
      <c r="I136" s="17">
        <v>0</v>
      </c>
      <c r="J136" s="17">
        <f t="shared" si="0"/>
        <v>0</v>
      </c>
      <c r="K136" s="37">
        <v>0</v>
      </c>
      <c r="L136" s="17">
        <v>0</v>
      </c>
      <c r="M136" s="17">
        <v>0</v>
      </c>
      <c r="N136" s="17">
        <f t="shared" si="1"/>
        <v>0</v>
      </c>
      <c r="O136" s="17">
        <f t="shared" si="2"/>
        <v>0</v>
      </c>
      <c r="P136" s="3"/>
      <c r="Q136" s="19">
        <f t="shared" si="3"/>
        <v>0</v>
      </c>
      <c r="R136" s="19">
        <v>0</v>
      </c>
      <c r="S136" s="19">
        <f t="shared" si="4"/>
        <v>0</v>
      </c>
      <c r="T136" s="19">
        <f t="shared" si="5"/>
        <v>0</v>
      </c>
      <c r="U136" s="19">
        <f t="shared" si="6"/>
        <v>0</v>
      </c>
      <c r="V136" s="19">
        <f t="shared" si="7"/>
        <v>0</v>
      </c>
      <c r="W136" s="19">
        <f t="shared" si="8"/>
        <v>0</v>
      </c>
      <c r="X136" s="20">
        <f t="shared" si="9"/>
        <v>0</v>
      </c>
      <c r="Y136" s="20">
        <f t="shared" si="10"/>
        <v>0</v>
      </c>
    </row>
    <row r="137" spans="1:25" ht="15.75" customHeight="1">
      <c r="A137" s="14" t="s">
        <v>284</v>
      </c>
      <c r="B137" s="15" t="s">
        <v>285</v>
      </c>
      <c r="C137" s="16">
        <v>279.04000000000002</v>
      </c>
      <c r="D137" s="16">
        <v>279.04000000000002</v>
      </c>
      <c r="E137" s="17">
        <v>0</v>
      </c>
      <c r="F137" s="18">
        <v>0</v>
      </c>
      <c r="G137" s="18">
        <v>0</v>
      </c>
      <c r="H137" s="36">
        <v>0</v>
      </c>
      <c r="I137" s="17">
        <v>0</v>
      </c>
      <c r="J137" s="17">
        <f t="shared" si="0"/>
        <v>0</v>
      </c>
      <c r="K137" s="37">
        <v>0</v>
      </c>
      <c r="L137" s="17">
        <v>0</v>
      </c>
      <c r="M137" s="17">
        <v>0</v>
      </c>
      <c r="N137" s="17">
        <f t="shared" si="1"/>
        <v>0</v>
      </c>
      <c r="O137" s="17">
        <f t="shared" si="2"/>
        <v>0</v>
      </c>
      <c r="P137" s="3"/>
      <c r="Q137" s="19">
        <f t="shared" si="3"/>
        <v>0</v>
      </c>
      <c r="R137" s="19">
        <v>0</v>
      </c>
      <c r="S137" s="19">
        <f t="shared" si="4"/>
        <v>0</v>
      </c>
      <c r="T137" s="19">
        <f t="shared" si="5"/>
        <v>0</v>
      </c>
      <c r="U137" s="19">
        <f t="shared" si="6"/>
        <v>0</v>
      </c>
      <c r="V137" s="19">
        <f t="shared" si="7"/>
        <v>0</v>
      </c>
      <c r="W137" s="19">
        <f t="shared" si="8"/>
        <v>0</v>
      </c>
      <c r="X137" s="20">
        <f t="shared" si="9"/>
        <v>0</v>
      </c>
      <c r="Y137" s="20">
        <f t="shared" si="10"/>
        <v>0</v>
      </c>
    </row>
    <row r="138" spans="1:25" ht="15.75" customHeight="1">
      <c r="A138" s="14" t="s">
        <v>286</v>
      </c>
      <c r="B138" s="15" t="s">
        <v>287</v>
      </c>
      <c r="C138" s="16">
        <v>152.25</v>
      </c>
      <c r="D138" s="16">
        <v>152.25</v>
      </c>
      <c r="E138" s="17">
        <v>7</v>
      </c>
      <c r="F138" s="18">
        <v>0</v>
      </c>
      <c r="G138" s="18">
        <v>0</v>
      </c>
      <c r="H138" s="36">
        <v>1</v>
      </c>
      <c r="I138" s="17">
        <v>0</v>
      </c>
      <c r="J138" s="17">
        <f t="shared" si="0"/>
        <v>6</v>
      </c>
      <c r="K138" s="37">
        <v>6</v>
      </c>
      <c r="L138" s="17">
        <v>0</v>
      </c>
      <c r="M138" s="17">
        <v>0</v>
      </c>
      <c r="N138" s="17">
        <f t="shared" si="1"/>
        <v>6</v>
      </c>
      <c r="O138" s="17">
        <f t="shared" si="2"/>
        <v>0</v>
      </c>
      <c r="P138" s="3"/>
      <c r="Q138" s="19">
        <f t="shared" si="3"/>
        <v>1065.75</v>
      </c>
      <c r="R138" s="19">
        <v>0</v>
      </c>
      <c r="S138" s="19">
        <f t="shared" si="4"/>
        <v>0</v>
      </c>
      <c r="T138" s="19">
        <f t="shared" si="5"/>
        <v>0</v>
      </c>
      <c r="U138" s="19">
        <f t="shared" si="6"/>
        <v>152.25</v>
      </c>
      <c r="V138" s="19">
        <f t="shared" si="7"/>
        <v>0</v>
      </c>
      <c r="W138" s="19">
        <f t="shared" si="8"/>
        <v>913.5</v>
      </c>
      <c r="X138" s="20">
        <f t="shared" si="9"/>
        <v>913.5</v>
      </c>
      <c r="Y138" s="20">
        <f t="shared" si="10"/>
        <v>0</v>
      </c>
    </row>
    <row r="139" spans="1:25" ht="15.75" customHeight="1">
      <c r="A139" s="14" t="s">
        <v>288</v>
      </c>
      <c r="B139" s="15" t="s">
        <v>289</v>
      </c>
      <c r="C139" s="16">
        <v>690</v>
      </c>
      <c r="D139" s="16">
        <v>690</v>
      </c>
      <c r="E139" s="17">
        <v>1</v>
      </c>
      <c r="F139" s="18">
        <v>0</v>
      </c>
      <c r="G139" s="18">
        <v>0</v>
      </c>
      <c r="H139" s="36">
        <v>0</v>
      </c>
      <c r="I139" s="17">
        <v>0</v>
      </c>
      <c r="J139" s="17">
        <f t="shared" si="0"/>
        <v>1</v>
      </c>
      <c r="K139" s="37">
        <v>0</v>
      </c>
      <c r="L139" s="17">
        <v>0</v>
      </c>
      <c r="M139" s="17">
        <v>1</v>
      </c>
      <c r="N139" s="17">
        <f t="shared" si="1"/>
        <v>1</v>
      </c>
      <c r="O139" s="17">
        <f t="shared" si="2"/>
        <v>0</v>
      </c>
      <c r="P139" s="3"/>
      <c r="Q139" s="19">
        <f t="shared" si="3"/>
        <v>690</v>
      </c>
      <c r="R139" s="19">
        <v>0</v>
      </c>
      <c r="S139" s="19">
        <f t="shared" si="4"/>
        <v>0</v>
      </c>
      <c r="T139" s="19">
        <f t="shared" si="5"/>
        <v>0</v>
      </c>
      <c r="U139" s="19">
        <f t="shared" si="6"/>
        <v>0</v>
      </c>
      <c r="V139" s="19">
        <f t="shared" si="7"/>
        <v>0</v>
      </c>
      <c r="W139" s="19">
        <f t="shared" si="8"/>
        <v>690</v>
      </c>
      <c r="X139" s="20">
        <f t="shared" si="9"/>
        <v>690</v>
      </c>
      <c r="Y139" s="20">
        <f t="shared" si="10"/>
        <v>0</v>
      </c>
    </row>
    <row r="140" spans="1:25" ht="15.75" customHeight="1">
      <c r="A140" s="14" t="s">
        <v>290</v>
      </c>
      <c r="B140" s="15" t="s">
        <v>291</v>
      </c>
      <c r="C140" s="16">
        <v>650</v>
      </c>
      <c r="D140" s="16">
        <v>650</v>
      </c>
      <c r="E140" s="17">
        <v>2</v>
      </c>
      <c r="F140" s="18">
        <v>0</v>
      </c>
      <c r="G140" s="18">
        <v>0</v>
      </c>
      <c r="H140" s="36">
        <v>0</v>
      </c>
      <c r="I140" s="17">
        <v>0</v>
      </c>
      <c r="J140" s="17">
        <f t="shared" si="0"/>
        <v>2</v>
      </c>
      <c r="K140" s="37">
        <v>0</v>
      </c>
      <c r="L140" s="17">
        <v>0</v>
      </c>
      <c r="M140" s="17">
        <v>2</v>
      </c>
      <c r="N140" s="17">
        <f t="shared" si="1"/>
        <v>2</v>
      </c>
      <c r="O140" s="17">
        <f t="shared" si="2"/>
        <v>0</v>
      </c>
      <c r="P140" s="3"/>
      <c r="Q140" s="19">
        <f t="shared" si="3"/>
        <v>1300</v>
      </c>
      <c r="R140" s="19">
        <v>0</v>
      </c>
      <c r="S140" s="19">
        <f t="shared" si="4"/>
        <v>0</v>
      </c>
      <c r="T140" s="19">
        <f t="shared" si="5"/>
        <v>0</v>
      </c>
      <c r="U140" s="19">
        <f t="shared" si="6"/>
        <v>0</v>
      </c>
      <c r="V140" s="19">
        <f t="shared" si="7"/>
        <v>0</v>
      </c>
      <c r="W140" s="19">
        <f t="shared" si="8"/>
        <v>1300</v>
      </c>
      <c r="X140" s="20">
        <f t="shared" si="9"/>
        <v>1300</v>
      </c>
      <c r="Y140" s="20">
        <f t="shared" si="10"/>
        <v>0</v>
      </c>
    </row>
    <row r="141" spans="1:25" ht="15.75" customHeight="1">
      <c r="A141" s="14" t="s">
        <v>292</v>
      </c>
      <c r="B141" s="15" t="s">
        <v>293</v>
      </c>
      <c r="C141" s="16">
        <v>590</v>
      </c>
      <c r="D141" s="16">
        <v>590</v>
      </c>
      <c r="E141" s="17">
        <v>1</v>
      </c>
      <c r="F141" s="18">
        <v>0</v>
      </c>
      <c r="G141" s="18">
        <v>0</v>
      </c>
      <c r="H141" s="36">
        <v>0</v>
      </c>
      <c r="I141" s="17">
        <v>0</v>
      </c>
      <c r="J141" s="17">
        <f t="shared" si="0"/>
        <v>1</v>
      </c>
      <c r="K141" s="37">
        <v>0</v>
      </c>
      <c r="L141" s="17">
        <v>0</v>
      </c>
      <c r="M141" s="17">
        <v>1</v>
      </c>
      <c r="N141" s="17">
        <f t="shared" si="1"/>
        <v>1</v>
      </c>
      <c r="O141" s="17">
        <f t="shared" si="2"/>
        <v>0</v>
      </c>
      <c r="P141" s="3"/>
      <c r="Q141" s="19">
        <f t="shared" si="3"/>
        <v>590</v>
      </c>
      <c r="R141" s="19">
        <v>0</v>
      </c>
      <c r="S141" s="19">
        <f t="shared" si="4"/>
        <v>0</v>
      </c>
      <c r="T141" s="19">
        <f t="shared" si="5"/>
        <v>0</v>
      </c>
      <c r="U141" s="19">
        <f t="shared" si="6"/>
        <v>0</v>
      </c>
      <c r="V141" s="19">
        <f t="shared" si="7"/>
        <v>0</v>
      </c>
      <c r="W141" s="19">
        <f t="shared" si="8"/>
        <v>590</v>
      </c>
      <c r="X141" s="20">
        <f t="shared" si="9"/>
        <v>590</v>
      </c>
      <c r="Y141" s="20">
        <f t="shared" si="10"/>
        <v>0</v>
      </c>
    </row>
    <row r="142" spans="1:25" ht="15.75" customHeight="1">
      <c r="A142" s="14" t="s">
        <v>294</v>
      </c>
      <c r="B142" s="15" t="s">
        <v>295</v>
      </c>
      <c r="C142" s="16">
        <v>0</v>
      </c>
      <c r="D142" s="16">
        <v>0</v>
      </c>
      <c r="E142" s="17">
        <v>0</v>
      </c>
      <c r="F142" s="18">
        <v>0</v>
      </c>
      <c r="G142" s="18">
        <v>0</v>
      </c>
      <c r="H142" s="36">
        <v>0</v>
      </c>
      <c r="I142" s="17">
        <v>0</v>
      </c>
      <c r="J142" s="17">
        <f t="shared" si="0"/>
        <v>0</v>
      </c>
      <c r="K142" s="37">
        <v>0</v>
      </c>
      <c r="L142" s="17">
        <v>0</v>
      </c>
      <c r="M142" s="17">
        <v>0</v>
      </c>
      <c r="N142" s="17">
        <f t="shared" si="1"/>
        <v>0</v>
      </c>
      <c r="O142" s="17">
        <f t="shared" si="2"/>
        <v>0</v>
      </c>
      <c r="P142" s="3"/>
      <c r="Q142" s="19">
        <f t="shared" si="3"/>
        <v>0</v>
      </c>
      <c r="R142" s="19">
        <v>0</v>
      </c>
      <c r="S142" s="19">
        <f t="shared" si="4"/>
        <v>0</v>
      </c>
      <c r="T142" s="19">
        <f t="shared" si="5"/>
        <v>0</v>
      </c>
      <c r="U142" s="19">
        <f t="shared" si="6"/>
        <v>0</v>
      </c>
      <c r="V142" s="19">
        <f t="shared" si="7"/>
        <v>0</v>
      </c>
      <c r="W142" s="19">
        <f t="shared" si="8"/>
        <v>0</v>
      </c>
      <c r="X142" s="20">
        <f t="shared" si="9"/>
        <v>0</v>
      </c>
      <c r="Y142" s="20">
        <f t="shared" si="10"/>
        <v>0</v>
      </c>
    </row>
    <row r="143" spans="1:25" ht="15.75" customHeight="1">
      <c r="A143" s="14" t="s">
        <v>296</v>
      </c>
      <c r="B143" s="15" t="s">
        <v>297</v>
      </c>
      <c r="C143" s="16">
        <v>220.17</v>
      </c>
      <c r="D143" s="16">
        <v>220.17</v>
      </c>
      <c r="E143" s="17">
        <v>3</v>
      </c>
      <c r="F143" s="18">
        <v>0</v>
      </c>
      <c r="G143" s="18">
        <v>0</v>
      </c>
      <c r="H143" s="36">
        <v>0</v>
      </c>
      <c r="I143" s="17">
        <v>0</v>
      </c>
      <c r="J143" s="17">
        <f t="shared" si="0"/>
        <v>3</v>
      </c>
      <c r="K143" s="37">
        <v>3</v>
      </c>
      <c r="L143" s="17">
        <v>0</v>
      </c>
      <c r="M143" s="17">
        <v>0</v>
      </c>
      <c r="N143" s="17">
        <f t="shared" si="1"/>
        <v>3</v>
      </c>
      <c r="O143" s="17">
        <f t="shared" si="2"/>
        <v>0</v>
      </c>
      <c r="P143" s="3"/>
      <c r="Q143" s="19">
        <f t="shared" si="3"/>
        <v>660.51</v>
      </c>
      <c r="R143" s="19">
        <v>0</v>
      </c>
      <c r="S143" s="19">
        <f t="shared" si="4"/>
        <v>0</v>
      </c>
      <c r="T143" s="19">
        <f t="shared" si="5"/>
        <v>0</v>
      </c>
      <c r="U143" s="19">
        <f t="shared" si="6"/>
        <v>0</v>
      </c>
      <c r="V143" s="19">
        <f t="shared" si="7"/>
        <v>0</v>
      </c>
      <c r="W143" s="19">
        <f t="shared" si="8"/>
        <v>660.51</v>
      </c>
      <c r="X143" s="20">
        <f t="shared" si="9"/>
        <v>660.51</v>
      </c>
      <c r="Y143" s="20">
        <f t="shared" si="10"/>
        <v>0</v>
      </c>
    </row>
    <row r="144" spans="1:25" ht="15.75" customHeight="1">
      <c r="A144" s="14" t="s">
        <v>298</v>
      </c>
      <c r="B144" s="15" t="s">
        <v>299</v>
      </c>
      <c r="C144" s="16">
        <v>50</v>
      </c>
      <c r="D144" s="16">
        <v>50</v>
      </c>
      <c r="E144" s="17">
        <v>0</v>
      </c>
      <c r="F144" s="18">
        <v>0</v>
      </c>
      <c r="G144" s="18">
        <v>0</v>
      </c>
      <c r="H144" s="36">
        <v>0</v>
      </c>
      <c r="I144" s="17">
        <v>0</v>
      </c>
      <c r="J144" s="17">
        <f t="shared" si="0"/>
        <v>0</v>
      </c>
      <c r="K144" s="37">
        <v>0</v>
      </c>
      <c r="L144" s="17">
        <v>0</v>
      </c>
      <c r="M144" s="17">
        <v>0</v>
      </c>
      <c r="N144" s="17">
        <f t="shared" si="1"/>
        <v>0</v>
      </c>
      <c r="O144" s="17">
        <f t="shared" si="2"/>
        <v>0</v>
      </c>
      <c r="P144" s="3"/>
      <c r="Q144" s="19">
        <f t="shared" si="3"/>
        <v>0</v>
      </c>
      <c r="R144" s="19">
        <v>0</v>
      </c>
      <c r="S144" s="19">
        <f t="shared" si="4"/>
        <v>0</v>
      </c>
      <c r="T144" s="19">
        <f t="shared" si="5"/>
        <v>0</v>
      </c>
      <c r="U144" s="19">
        <f t="shared" si="6"/>
        <v>0</v>
      </c>
      <c r="V144" s="19">
        <f t="shared" si="7"/>
        <v>0</v>
      </c>
      <c r="W144" s="19">
        <f t="shared" si="8"/>
        <v>0</v>
      </c>
      <c r="X144" s="20">
        <f t="shared" si="9"/>
        <v>0</v>
      </c>
      <c r="Y144" s="20">
        <f t="shared" si="10"/>
        <v>0</v>
      </c>
    </row>
    <row r="145" spans="1:25" ht="15.75" customHeight="1">
      <c r="A145" s="14" t="s">
        <v>300</v>
      </c>
      <c r="B145" s="15" t="s">
        <v>301</v>
      </c>
      <c r="C145" s="16">
        <v>467.15</v>
      </c>
      <c r="D145" s="16">
        <v>467.15</v>
      </c>
      <c r="E145" s="17">
        <v>0</v>
      </c>
      <c r="F145" s="18">
        <v>0</v>
      </c>
      <c r="G145" s="18">
        <v>0</v>
      </c>
      <c r="H145" s="36">
        <v>0</v>
      </c>
      <c r="I145" s="17">
        <v>0</v>
      </c>
      <c r="J145" s="17">
        <f t="shared" si="0"/>
        <v>0</v>
      </c>
      <c r="K145" s="37">
        <v>0</v>
      </c>
      <c r="L145" s="17">
        <v>0</v>
      </c>
      <c r="M145" s="17">
        <v>0</v>
      </c>
      <c r="N145" s="17">
        <f t="shared" si="1"/>
        <v>0</v>
      </c>
      <c r="O145" s="17">
        <f t="shared" si="2"/>
        <v>0</v>
      </c>
      <c r="P145" s="3"/>
      <c r="Q145" s="19">
        <f t="shared" si="3"/>
        <v>0</v>
      </c>
      <c r="R145" s="19">
        <v>0</v>
      </c>
      <c r="S145" s="19">
        <f t="shared" si="4"/>
        <v>0</v>
      </c>
      <c r="T145" s="19">
        <f t="shared" si="5"/>
        <v>0</v>
      </c>
      <c r="U145" s="19">
        <f t="shared" si="6"/>
        <v>0</v>
      </c>
      <c r="V145" s="19">
        <f t="shared" si="7"/>
        <v>0</v>
      </c>
      <c r="W145" s="19">
        <f t="shared" si="8"/>
        <v>0</v>
      </c>
      <c r="X145" s="20">
        <f t="shared" si="9"/>
        <v>0</v>
      </c>
      <c r="Y145" s="20">
        <f t="shared" si="10"/>
        <v>0</v>
      </c>
    </row>
    <row r="146" spans="1:25" ht="15.75" customHeight="1">
      <c r="A146" s="14" t="s">
        <v>302</v>
      </c>
      <c r="B146" s="15" t="s">
        <v>303</v>
      </c>
      <c r="C146" s="16">
        <v>680</v>
      </c>
      <c r="D146" s="16">
        <v>680</v>
      </c>
      <c r="E146" s="17">
        <v>1</v>
      </c>
      <c r="F146" s="18">
        <v>0</v>
      </c>
      <c r="G146" s="18">
        <v>0</v>
      </c>
      <c r="H146" s="36">
        <v>0</v>
      </c>
      <c r="I146" s="17">
        <v>0</v>
      </c>
      <c r="J146" s="17">
        <f t="shared" si="0"/>
        <v>1</v>
      </c>
      <c r="K146" s="37">
        <v>1</v>
      </c>
      <c r="L146" s="17">
        <v>0</v>
      </c>
      <c r="M146" s="17">
        <v>0</v>
      </c>
      <c r="N146" s="17">
        <f t="shared" si="1"/>
        <v>1</v>
      </c>
      <c r="O146" s="17">
        <f t="shared" si="2"/>
        <v>0</v>
      </c>
      <c r="P146" s="3"/>
      <c r="Q146" s="19">
        <f t="shared" si="3"/>
        <v>680</v>
      </c>
      <c r="R146" s="19">
        <v>0</v>
      </c>
      <c r="S146" s="19">
        <f t="shared" si="4"/>
        <v>0</v>
      </c>
      <c r="T146" s="19">
        <f t="shared" si="5"/>
        <v>0</v>
      </c>
      <c r="U146" s="19">
        <f t="shared" si="6"/>
        <v>0</v>
      </c>
      <c r="V146" s="19">
        <f t="shared" si="7"/>
        <v>0</v>
      </c>
      <c r="W146" s="19">
        <f t="shared" si="8"/>
        <v>680</v>
      </c>
      <c r="X146" s="20">
        <f t="shared" si="9"/>
        <v>680</v>
      </c>
      <c r="Y146" s="20">
        <f t="shared" si="10"/>
        <v>0</v>
      </c>
    </row>
    <row r="147" spans="1:25" ht="15.75" customHeight="1">
      <c r="A147" s="14" t="s">
        <v>304</v>
      </c>
      <c r="B147" s="15" t="s">
        <v>305</v>
      </c>
      <c r="C147" s="16">
        <v>0</v>
      </c>
      <c r="D147" s="16">
        <v>0</v>
      </c>
      <c r="E147" s="17">
        <v>0</v>
      </c>
      <c r="F147" s="18">
        <v>0</v>
      </c>
      <c r="G147" s="18">
        <v>0</v>
      </c>
      <c r="H147" s="36">
        <v>0</v>
      </c>
      <c r="I147" s="17">
        <v>0</v>
      </c>
      <c r="J147" s="17">
        <f t="shared" si="0"/>
        <v>0</v>
      </c>
      <c r="K147" s="37">
        <v>0</v>
      </c>
      <c r="L147" s="17">
        <v>0</v>
      </c>
      <c r="M147" s="17">
        <v>0</v>
      </c>
      <c r="N147" s="17">
        <f t="shared" si="1"/>
        <v>0</v>
      </c>
      <c r="O147" s="17">
        <f t="shared" si="2"/>
        <v>0</v>
      </c>
      <c r="P147" s="3"/>
      <c r="Q147" s="19">
        <f t="shared" si="3"/>
        <v>0</v>
      </c>
      <c r="R147" s="19">
        <v>0</v>
      </c>
      <c r="S147" s="19">
        <f t="shared" si="4"/>
        <v>0</v>
      </c>
      <c r="T147" s="19">
        <f t="shared" si="5"/>
        <v>0</v>
      </c>
      <c r="U147" s="19">
        <f t="shared" si="6"/>
        <v>0</v>
      </c>
      <c r="V147" s="19">
        <f t="shared" si="7"/>
        <v>0</v>
      </c>
      <c r="W147" s="19">
        <f t="shared" si="8"/>
        <v>0</v>
      </c>
      <c r="X147" s="20">
        <f t="shared" si="9"/>
        <v>0</v>
      </c>
      <c r="Y147" s="20">
        <f t="shared" si="10"/>
        <v>0</v>
      </c>
    </row>
    <row r="148" spans="1:25" ht="15.75" customHeight="1">
      <c r="A148" s="14" t="s">
        <v>306</v>
      </c>
      <c r="B148" s="15" t="s">
        <v>307</v>
      </c>
      <c r="C148" s="16">
        <v>1850</v>
      </c>
      <c r="D148" s="16">
        <v>1850</v>
      </c>
      <c r="E148" s="17">
        <v>0</v>
      </c>
      <c r="F148" s="18">
        <v>0</v>
      </c>
      <c r="G148" s="18">
        <v>0</v>
      </c>
      <c r="H148" s="36">
        <v>0</v>
      </c>
      <c r="I148" s="17">
        <v>0</v>
      </c>
      <c r="J148" s="17">
        <f t="shared" si="0"/>
        <v>0</v>
      </c>
      <c r="K148" s="37">
        <v>0</v>
      </c>
      <c r="L148" s="17">
        <v>0</v>
      </c>
      <c r="M148" s="17">
        <v>0</v>
      </c>
      <c r="N148" s="17">
        <f t="shared" si="1"/>
        <v>0</v>
      </c>
      <c r="O148" s="17">
        <f t="shared" si="2"/>
        <v>0</v>
      </c>
      <c r="P148" s="3"/>
      <c r="Q148" s="19">
        <f t="shared" si="3"/>
        <v>0</v>
      </c>
      <c r="R148" s="19">
        <v>0</v>
      </c>
      <c r="S148" s="19">
        <f t="shared" si="4"/>
        <v>0</v>
      </c>
      <c r="T148" s="19">
        <f t="shared" si="5"/>
        <v>0</v>
      </c>
      <c r="U148" s="19">
        <f t="shared" si="6"/>
        <v>0</v>
      </c>
      <c r="V148" s="19">
        <f t="shared" si="7"/>
        <v>0</v>
      </c>
      <c r="W148" s="19">
        <f t="shared" si="8"/>
        <v>0</v>
      </c>
      <c r="X148" s="20">
        <f t="shared" si="9"/>
        <v>0</v>
      </c>
      <c r="Y148" s="20">
        <f t="shared" si="10"/>
        <v>0</v>
      </c>
    </row>
    <row r="149" spans="1:25" ht="15.75" customHeight="1">
      <c r="A149" s="14" t="s">
        <v>308</v>
      </c>
      <c r="B149" s="15" t="s">
        <v>309</v>
      </c>
      <c r="C149" s="16">
        <v>450</v>
      </c>
      <c r="D149" s="16">
        <v>450</v>
      </c>
      <c r="E149" s="17">
        <v>1</v>
      </c>
      <c r="F149" s="18">
        <v>0</v>
      </c>
      <c r="G149" s="18">
        <v>0</v>
      </c>
      <c r="H149" s="36">
        <v>0</v>
      </c>
      <c r="I149" s="17">
        <v>0</v>
      </c>
      <c r="J149" s="17">
        <f t="shared" si="0"/>
        <v>1</v>
      </c>
      <c r="K149" s="37">
        <v>1</v>
      </c>
      <c r="L149" s="17">
        <v>0</v>
      </c>
      <c r="M149" s="17">
        <v>0</v>
      </c>
      <c r="N149" s="17">
        <f t="shared" si="1"/>
        <v>1</v>
      </c>
      <c r="O149" s="17">
        <f t="shared" si="2"/>
        <v>0</v>
      </c>
      <c r="P149" s="3"/>
      <c r="Q149" s="19">
        <f t="shared" si="3"/>
        <v>450</v>
      </c>
      <c r="R149" s="19">
        <v>0</v>
      </c>
      <c r="S149" s="19">
        <f t="shared" si="4"/>
        <v>0</v>
      </c>
      <c r="T149" s="19">
        <f t="shared" si="5"/>
        <v>0</v>
      </c>
      <c r="U149" s="19">
        <f t="shared" si="6"/>
        <v>0</v>
      </c>
      <c r="V149" s="19">
        <f t="shared" si="7"/>
        <v>0</v>
      </c>
      <c r="W149" s="19">
        <f t="shared" si="8"/>
        <v>450</v>
      </c>
      <c r="X149" s="20">
        <f t="shared" si="9"/>
        <v>450</v>
      </c>
      <c r="Y149" s="20">
        <f t="shared" si="10"/>
        <v>0</v>
      </c>
    </row>
    <row r="150" spans="1:25" ht="15.75" customHeight="1">
      <c r="A150" s="14" t="s">
        <v>310</v>
      </c>
      <c r="B150" s="15" t="s">
        <v>311</v>
      </c>
      <c r="C150" s="16">
        <v>62.64</v>
      </c>
      <c r="D150" s="16">
        <v>62.64</v>
      </c>
      <c r="E150" s="17">
        <v>0</v>
      </c>
      <c r="F150" s="18">
        <v>0</v>
      </c>
      <c r="G150" s="18">
        <v>0</v>
      </c>
      <c r="H150" s="36">
        <v>0</v>
      </c>
      <c r="I150" s="17">
        <v>0</v>
      </c>
      <c r="J150" s="17">
        <f t="shared" si="0"/>
        <v>0</v>
      </c>
      <c r="K150" s="37">
        <v>0</v>
      </c>
      <c r="L150" s="17">
        <v>0</v>
      </c>
      <c r="M150" s="17">
        <v>0</v>
      </c>
      <c r="N150" s="17">
        <f t="shared" si="1"/>
        <v>0</v>
      </c>
      <c r="O150" s="17">
        <f t="shared" si="2"/>
        <v>0</v>
      </c>
      <c r="P150" s="3"/>
      <c r="Q150" s="19">
        <f t="shared" si="3"/>
        <v>0</v>
      </c>
      <c r="R150" s="19">
        <v>0</v>
      </c>
      <c r="S150" s="19">
        <f t="shared" si="4"/>
        <v>0</v>
      </c>
      <c r="T150" s="19">
        <f t="shared" si="5"/>
        <v>0</v>
      </c>
      <c r="U150" s="19">
        <f t="shared" si="6"/>
        <v>0</v>
      </c>
      <c r="V150" s="19">
        <f t="shared" si="7"/>
        <v>0</v>
      </c>
      <c r="W150" s="19">
        <f t="shared" si="8"/>
        <v>0</v>
      </c>
      <c r="X150" s="20">
        <f t="shared" si="9"/>
        <v>0</v>
      </c>
      <c r="Y150" s="20">
        <f t="shared" si="10"/>
        <v>0</v>
      </c>
    </row>
    <row r="151" spans="1:25" ht="15.75" customHeight="1">
      <c r="A151" s="14" t="s">
        <v>312</v>
      </c>
      <c r="B151" s="15" t="s">
        <v>313</v>
      </c>
      <c r="C151" s="16">
        <v>420.5</v>
      </c>
      <c r="D151" s="16">
        <v>420.5</v>
      </c>
      <c r="E151" s="17">
        <v>5</v>
      </c>
      <c r="F151" s="18">
        <v>0</v>
      </c>
      <c r="G151" s="18">
        <v>0</v>
      </c>
      <c r="H151" s="36">
        <v>0</v>
      </c>
      <c r="I151" s="17">
        <v>0</v>
      </c>
      <c r="J151" s="17">
        <f t="shared" si="0"/>
        <v>5</v>
      </c>
      <c r="K151" s="37">
        <v>5</v>
      </c>
      <c r="L151" s="17">
        <v>0</v>
      </c>
      <c r="M151" s="17">
        <v>0</v>
      </c>
      <c r="N151" s="17">
        <f t="shared" si="1"/>
        <v>5</v>
      </c>
      <c r="O151" s="17">
        <f t="shared" si="2"/>
        <v>0</v>
      </c>
      <c r="P151" s="3"/>
      <c r="Q151" s="19">
        <f t="shared" si="3"/>
        <v>2102.5</v>
      </c>
      <c r="R151" s="19">
        <v>0</v>
      </c>
      <c r="S151" s="19">
        <f t="shared" si="4"/>
        <v>0</v>
      </c>
      <c r="T151" s="19">
        <f t="shared" si="5"/>
        <v>0</v>
      </c>
      <c r="U151" s="19">
        <f t="shared" si="6"/>
        <v>0</v>
      </c>
      <c r="V151" s="19">
        <f t="shared" si="7"/>
        <v>0</v>
      </c>
      <c r="W151" s="19">
        <f t="shared" si="8"/>
        <v>2102.5</v>
      </c>
      <c r="X151" s="20">
        <f t="shared" si="9"/>
        <v>2102.5</v>
      </c>
      <c r="Y151" s="20">
        <f t="shared" si="10"/>
        <v>0</v>
      </c>
    </row>
    <row r="152" spans="1:25" ht="15.75" customHeight="1">
      <c r="A152" s="14" t="s">
        <v>314</v>
      </c>
      <c r="B152" s="15" t="s">
        <v>315</v>
      </c>
      <c r="C152" s="16">
        <v>290</v>
      </c>
      <c r="D152" s="16">
        <v>290</v>
      </c>
      <c r="E152" s="17">
        <v>2</v>
      </c>
      <c r="F152" s="18">
        <v>0</v>
      </c>
      <c r="G152" s="18">
        <v>0</v>
      </c>
      <c r="H152" s="36">
        <v>1</v>
      </c>
      <c r="I152" s="17">
        <v>0</v>
      </c>
      <c r="J152" s="17">
        <f t="shared" si="0"/>
        <v>1</v>
      </c>
      <c r="K152" s="37">
        <v>1</v>
      </c>
      <c r="L152" s="17">
        <v>0</v>
      </c>
      <c r="M152" s="17">
        <v>0</v>
      </c>
      <c r="N152" s="17">
        <f t="shared" si="1"/>
        <v>1</v>
      </c>
      <c r="O152" s="17">
        <f t="shared" si="2"/>
        <v>0</v>
      </c>
      <c r="P152" s="3"/>
      <c r="Q152" s="19">
        <f t="shared" si="3"/>
        <v>580</v>
      </c>
      <c r="R152" s="19">
        <v>0</v>
      </c>
      <c r="S152" s="19">
        <f t="shared" si="4"/>
        <v>0</v>
      </c>
      <c r="T152" s="19">
        <f t="shared" si="5"/>
        <v>0</v>
      </c>
      <c r="U152" s="19">
        <f t="shared" si="6"/>
        <v>290</v>
      </c>
      <c r="V152" s="19">
        <f t="shared" si="7"/>
        <v>0</v>
      </c>
      <c r="W152" s="19">
        <f t="shared" si="8"/>
        <v>290</v>
      </c>
      <c r="X152" s="20">
        <f t="shared" si="9"/>
        <v>290</v>
      </c>
      <c r="Y152" s="20">
        <f t="shared" si="10"/>
        <v>0</v>
      </c>
    </row>
    <row r="153" spans="1:25" ht="15.75" customHeight="1">
      <c r="A153" s="14" t="s">
        <v>316</v>
      </c>
      <c r="B153" s="15" t="s">
        <v>317</v>
      </c>
      <c r="C153" s="16">
        <v>443</v>
      </c>
      <c r="D153" s="16">
        <v>443</v>
      </c>
      <c r="E153" s="17">
        <v>4</v>
      </c>
      <c r="F153" s="18">
        <v>0</v>
      </c>
      <c r="G153" s="18">
        <v>0</v>
      </c>
      <c r="H153" s="36">
        <v>0</v>
      </c>
      <c r="I153" s="17">
        <v>0</v>
      </c>
      <c r="J153" s="17">
        <f t="shared" si="0"/>
        <v>4</v>
      </c>
      <c r="K153" s="37">
        <v>4</v>
      </c>
      <c r="L153" s="17">
        <v>0</v>
      </c>
      <c r="M153" s="17">
        <v>0</v>
      </c>
      <c r="N153" s="17">
        <f t="shared" si="1"/>
        <v>4</v>
      </c>
      <c r="O153" s="17">
        <f t="shared" si="2"/>
        <v>0</v>
      </c>
      <c r="P153" s="3"/>
      <c r="Q153" s="19">
        <f t="shared" si="3"/>
        <v>1772</v>
      </c>
      <c r="R153" s="19">
        <v>0</v>
      </c>
      <c r="S153" s="19">
        <f t="shared" si="4"/>
        <v>0</v>
      </c>
      <c r="T153" s="19">
        <f t="shared" si="5"/>
        <v>0</v>
      </c>
      <c r="U153" s="19">
        <f t="shared" si="6"/>
        <v>0</v>
      </c>
      <c r="V153" s="19">
        <f t="shared" si="7"/>
        <v>0</v>
      </c>
      <c r="W153" s="19">
        <f t="shared" si="8"/>
        <v>1772</v>
      </c>
      <c r="X153" s="20">
        <f t="shared" si="9"/>
        <v>1772</v>
      </c>
      <c r="Y153" s="20">
        <f t="shared" si="10"/>
        <v>0</v>
      </c>
    </row>
    <row r="154" spans="1:25" ht="15.75" customHeight="1">
      <c r="A154" s="14" t="s">
        <v>318</v>
      </c>
      <c r="B154" s="15" t="s">
        <v>319</v>
      </c>
      <c r="C154" s="16">
        <v>319</v>
      </c>
      <c r="D154" s="16">
        <v>319</v>
      </c>
      <c r="E154" s="17">
        <v>3</v>
      </c>
      <c r="F154" s="18">
        <v>0</v>
      </c>
      <c r="G154" s="18">
        <v>0</v>
      </c>
      <c r="H154" s="36">
        <v>0</v>
      </c>
      <c r="I154" s="17">
        <v>0</v>
      </c>
      <c r="J154" s="17">
        <f t="shared" si="0"/>
        <v>3</v>
      </c>
      <c r="K154" s="37">
        <v>3</v>
      </c>
      <c r="L154" s="17">
        <v>0</v>
      </c>
      <c r="M154" s="17">
        <v>0</v>
      </c>
      <c r="N154" s="17">
        <f t="shared" si="1"/>
        <v>3</v>
      </c>
      <c r="O154" s="17">
        <f t="shared" si="2"/>
        <v>0</v>
      </c>
      <c r="P154" s="3"/>
      <c r="Q154" s="19">
        <f t="shared" si="3"/>
        <v>957</v>
      </c>
      <c r="R154" s="19">
        <v>0</v>
      </c>
      <c r="S154" s="19">
        <f t="shared" si="4"/>
        <v>0</v>
      </c>
      <c r="T154" s="19">
        <f t="shared" si="5"/>
        <v>0</v>
      </c>
      <c r="U154" s="19">
        <f t="shared" si="6"/>
        <v>0</v>
      </c>
      <c r="V154" s="19">
        <f t="shared" si="7"/>
        <v>0</v>
      </c>
      <c r="W154" s="19">
        <f t="shared" si="8"/>
        <v>957</v>
      </c>
      <c r="X154" s="20">
        <f t="shared" si="9"/>
        <v>957</v>
      </c>
      <c r="Y154" s="20">
        <f t="shared" si="10"/>
        <v>0</v>
      </c>
    </row>
    <row r="155" spans="1:25" ht="15.75" customHeight="1">
      <c r="A155" s="14" t="s">
        <v>320</v>
      </c>
      <c r="B155" s="15" t="s">
        <v>321</v>
      </c>
      <c r="C155" s="16">
        <v>2.35</v>
      </c>
      <c r="D155" s="16">
        <v>2.35</v>
      </c>
      <c r="E155" s="17">
        <v>0</v>
      </c>
      <c r="F155" s="18">
        <v>0</v>
      </c>
      <c r="G155" s="18">
        <v>0</v>
      </c>
      <c r="H155" s="36">
        <v>0</v>
      </c>
      <c r="I155" s="17">
        <v>0</v>
      </c>
      <c r="J155" s="17">
        <f t="shared" si="0"/>
        <v>0</v>
      </c>
      <c r="K155" s="37">
        <v>0</v>
      </c>
      <c r="L155" s="17">
        <v>0</v>
      </c>
      <c r="M155" s="17">
        <v>0</v>
      </c>
      <c r="N155" s="17">
        <f t="shared" si="1"/>
        <v>0</v>
      </c>
      <c r="O155" s="17">
        <f t="shared" si="2"/>
        <v>0</v>
      </c>
      <c r="P155" s="3"/>
      <c r="Q155" s="19">
        <f t="shared" si="3"/>
        <v>0</v>
      </c>
      <c r="R155" s="19">
        <v>0</v>
      </c>
      <c r="S155" s="19">
        <f t="shared" si="4"/>
        <v>0</v>
      </c>
      <c r="T155" s="19">
        <f t="shared" si="5"/>
        <v>0</v>
      </c>
      <c r="U155" s="19">
        <f t="shared" si="6"/>
        <v>0</v>
      </c>
      <c r="V155" s="19">
        <f t="shared" si="7"/>
        <v>0</v>
      </c>
      <c r="W155" s="19">
        <f t="shared" si="8"/>
        <v>0</v>
      </c>
      <c r="X155" s="20">
        <f t="shared" si="9"/>
        <v>0</v>
      </c>
      <c r="Y155" s="20">
        <f t="shared" si="10"/>
        <v>0</v>
      </c>
    </row>
    <row r="156" spans="1:25" ht="15.75" customHeight="1">
      <c r="A156" s="14" t="s">
        <v>322</v>
      </c>
      <c r="B156" s="15" t="s">
        <v>323</v>
      </c>
      <c r="C156" s="16">
        <v>275.5</v>
      </c>
      <c r="D156" s="16">
        <v>275.5</v>
      </c>
      <c r="E156" s="17">
        <v>2</v>
      </c>
      <c r="F156" s="18">
        <v>0</v>
      </c>
      <c r="G156" s="18">
        <v>0</v>
      </c>
      <c r="H156" s="36">
        <v>1</v>
      </c>
      <c r="I156" s="17">
        <v>0</v>
      </c>
      <c r="J156" s="17">
        <f t="shared" si="0"/>
        <v>1</v>
      </c>
      <c r="K156" s="37">
        <v>1</v>
      </c>
      <c r="L156" s="17">
        <v>0</v>
      </c>
      <c r="M156" s="17">
        <v>0</v>
      </c>
      <c r="N156" s="17">
        <f t="shared" si="1"/>
        <v>1</v>
      </c>
      <c r="O156" s="17">
        <f t="shared" si="2"/>
        <v>0</v>
      </c>
      <c r="P156" s="3"/>
      <c r="Q156" s="19">
        <f t="shared" si="3"/>
        <v>551</v>
      </c>
      <c r="R156" s="19">
        <v>0</v>
      </c>
      <c r="S156" s="19">
        <f t="shared" si="4"/>
        <v>0</v>
      </c>
      <c r="T156" s="19">
        <f t="shared" si="5"/>
        <v>0</v>
      </c>
      <c r="U156" s="19">
        <f t="shared" si="6"/>
        <v>275.5</v>
      </c>
      <c r="V156" s="19">
        <f t="shared" si="7"/>
        <v>0</v>
      </c>
      <c r="W156" s="19">
        <f t="shared" si="8"/>
        <v>275.5</v>
      </c>
      <c r="X156" s="20">
        <f t="shared" si="9"/>
        <v>275.5</v>
      </c>
      <c r="Y156" s="20">
        <f t="shared" si="10"/>
        <v>0</v>
      </c>
    </row>
    <row r="157" spans="1:25" ht="15.75" customHeight="1">
      <c r="A157" s="14" t="s">
        <v>324</v>
      </c>
      <c r="B157" s="15" t="s">
        <v>325</v>
      </c>
      <c r="C157" s="16">
        <v>418.76</v>
      </c>
      <c r="D157" s="16">
        <v>418.76</v>
      </c>
      <c r="E157" s="17">
        <v>5</v>
      </c>
      <c r="F157" s="18">
        <v>0</v>
      </c>
      <c r="G157" s="18">
        <v>0</v>
      </c>
      <c r="H157" s="36">
        <v>0</v>
      </c>
      <c r="I157" s="17">
        <v>0</v>
      </c>
      <c r="J157" s="17">
        <f t="shared" si="0"/>
        <v>5</v>
      </c>
      <c r="K157" s="37">
        <v>5</v>
      </c>
      <c r="L157" s="17">
        <v>0</v>
      </c>
      <c r="M157" s="17">
        <v>0</v>
      </c>
      <c r="N157" s="17">
        <f t="shared" si="1"/>
        <v>5</v>
      </c>
      <c r="O157" s="17">
        <f t="shared" si="2"/>
        <v>0</v>
      </c>
      <c r="P157" s="3"/>
      <c r="Q157" s="19">
        <f t="shared" si="3"/>
        <v>2093.8000000000002</v>
      </c>
      <c r="R157" s="19">
        <v>0</v>
      </c>
      <c r="S157" s="19">
        <f t="shared" si="4"/>
        <v>0</v>
      </c>
      <c r="T157" s="19">
        <f t="shared" si="5"/>
        <v>0</v>
      </c>
      <c r="U157" s="19">
        <f t="shared" si="6"/>
        <v>0</v>
      </c>
      <c r="V157" s="19">
        <f t="shared" si="7"/>
        <v>0</v>
      </c>
      <c r="W157" s="19">
        <f t="shared" si="8"/>
        <v>2093.8000000000002</v>
      </c>
      <c r="X157" s="20">
        <f t="shared" si="9"/>
        <v>2093.8000000000002</v>
      </c>
      <c r="Y157" s="20">
        <f t="shared" si="10"/>
        <v>0</v>
      </c>
    </row>
    <row r="158" spans="1:25" ht="15.75" customHeight="1">
      <c r="A158" s="14" t="s">
        <v>326</v>
      </c>
      <c r="B158" s="15" t="s">
        <v>327</v>
      </c>
      <c r="C158" s="16">
        <v>1082</v>
      </c>
      <c r="D158" s="16">
        <v>1082</v>
      </c>
      <c r="E158" s="17">
        <v>3</v>
      </c>
      <c r="F158" s="18">
        <v>0</v>
      </c>
      <c r="G158" s="18">
        <v>0</v>
      </c>
      <c r="H158" s="36">
        <v>0</v>
      </c>
      <c r="I158" s="17">
        <v>0</v>
      </c>
      <c r="J158" s="17">
        <f t="shared" si="0"/>
        <v>3</v>
      </c>
      <c r="K158" s="37">
        <v>3</v>
      </c>
      <c r="L158" s="17">
        <v>0</v>
      </c>
      <c r="M158" s="17">
        <v>0</v>
      </c>
      <c r="N158" s="17">
        <f t="shared" si="1"/>
        <v>3</v>
      </c>
      <c r="O158" s="17">
        <f t="shared" si="2"/>
        <v>0</v>
      </c>
      <c r="P158" s="3"/>
      <c r="Q158" s="19">
        <f t="shared" si="3"/>
        <v>3246</v>
      </c>
      <c r="R158" s="19">
        <v>0</v>
      </c>
      <c r="S158" s="19">
        <f t="shared" si="4"/>
        <v>0</v>
      </c>
      <c r="T158" s="19">
        <f t="shared" si="5"/>
        <v>0</v>
      </c>
      <c r="U158" s="19">
        <f t="shared" si="6"/>
        <v>0</v>
      </c>
      <c r="V158" s="19">
        <f t="shared" si="7"/>
        <v>0</v>
      </c>
      <c r="W158" s="19">
        <f t="shared" si="8"/>
        <v>3246</v>
      </c>
      <c r="X158" s="20">
        <f t="shared" si="9"/>
        <v>3246</v>
      </c>
      <c r="Y158" s="20">
        <f t="shared" si="10"/>
        <v>0</v>
      </c>
    </row>
    <row r="159" spans="1:25" ht="15.75" customHeight="1">
      <c r="A159" s="14" t="s">
        <v>328</v>
      </c>
      <c r="B159" s="15" t="s">
        <v>329</v>
      </c>
      <c r="C159" s="16">
        <v>311.75</v>
      </c>
      <c r="D159" s="16">
        <v>311.75</v>
      </c>
      <c r="E159" s="17">
        <v>3</v>
      </c>
      <c r="F159" s="18">
        <v>0</v>
      </c>
      <c r="G159" s="18">
        <v>0</v>
      </c>
      <c r="H159" s="36">
        <v>0</v>
      </c>
      <c r="I159" s="17">
        <v>0</v>
      </c>
      <c r="J159" s="17">
        <f t="shared" si="0"/>
        <v>3</v>
      </c>
      <c r="K159" s="37">
        <v>3</v>
      </c>
      <c r="L159" s="17">
        <v>0</v>
      </c>
      <c r="M159" s="17">
        <v>0</v>
      </c>
      <c r="N159" s="17">
        <f t="shared" si="1"/>
        <v>3</v>
      </c>
      <c r="O159" s="17">
        <f t="shared" si="2"/>
        <v>0</v>
      </c>
      <c r="P159" s="3"/>
      <c r="Q159" s="19">
        <f t="shared" si="3"/>
        <v>935.25</v>
      </c>
      <c r="R159" s="19">
        <v>0</v>
      </c>
      <c r="S159" s="19">
        <f t="shared" si="4"/>
        <v>0</v>
      </c>
      <c r="T159" s="19">
        <f t="shared" si="5"/>
        <v>0</v>
      </c>
      <c r="U159" s="19">
        <f t="shared" si="6"/>
        <v>0</v>
      </c>
      <c r="V159" s="19">
        <f t="shared" si="7"/>
        <v>0</v>
      </c>
      <c r="W159" s="19">
        <f t="shared" si="8"/>
        <v>935.25</v>
      </c>
      <c r="X159" s="20">
        <f t="shared" si="9"/>
        <v>935.25</v>
      </c>
      <c r="Y159" s="20">
        <f t="shared" si="10"/>
        <v>0</v>
      </c>
    </row>
    <row r="160" spans="1:25" ht="15.75" customHeight="1">
      <c r="A160" s="14" t="s">
        <v>330</v>
      </c>
      <c r="B160" s="15" t="s">
        <v>331</v>
      </c>
      <c r="C160" s="16">
        <v>662.01</v>
      </c>
      <c r="D160" s="16">
        <v>662.01</v>
      </c>
      <c r="E160" s="17">
        <v>3</v>
      </c>
      <c r="F160" s="18">
        <v>0</v>
      </c>
      <c r="G160" s="18">
        <v>0</v>
      </c>
      <c r="H160" s="36">
        <v>0</v>
      </c>
      <c r="I160" s="17">
        <v>0</v>
      </c>
      <c r="J160" s="17">
        <f t="shared" si="0"/>
        <v>3</v>
      </c>
      <c r="K160" s="37">
        <v>3</v>
      </c>
      <c r="L160" s="17">
        <v>0</v>
      </c>
      <c r="M160" s="17">
        <v>0</v>
      </c>
      <c r="N160" s="17">
        <f t="shared" si="1"/>
        <v>3</v>
      </c>
      <c r="O160" s="17">
        <f t="shared" si="2"/>
        <v>0</v>
      </c>
      <c r="P160" s="3"/>
      <c r="Q160" s="19">
        <f t="shared" si="3"/>
        <v>1986.03</v>
      </c>
      <c r="R160" s="19">
        <v>0</v>
      </c>
      <c r="S160" s="19">
        <f t="shared" si="4"/>
        <v>0</v>
      </c>
      <c r="T160" s="19">
        <f t="shared" si="5"/>
        <v>0</v>
      </c>
      <c r="U160" s="19">
        <f t="shared" si="6"/>
        <v>0</v>
      </c>
      <c r="V160" s="19">
        <f t="shared" si="7"/>
        <v>0</v>
      </c>
      <c r="W160" s="19">
        <f t="shared" si="8"/>
        <v>1986.03</v>
      </c>
      <c r="X160" s="20">
        <f t="shared" si="9"/>
        <v>1986.03</v>
      </c>
      <c r="Y160" s="20">
        <f t="shared" si="10"/>
        <v>0</v>
      </c>
    </row>
    <row r="161" spans="1:25" ht="15.75" customHeight="1">
      <c r="A161" s="14" t="s">
        <v>332</v>
      </c>
      <c r="B161" s="15" t="s">
        <v>333</v>
      </c>
      <c r="C161" s="16">
        <v>383.5</v>
      </c>
      <c r="D161" s="16">
        <v>383.5</v>
      </c>
      <c r="E161" s="17">
        <v>0</v>
      </c>
      <c r="F161" s="18">
        <v>0</v>
      </c>
      <c r="G161" s="18">
        <v>0</v>
      </c>
      <c r="H161" s="36">
        <v>0</v>
      </c>
      <c r="I161" s="17">
        <v>0</v>
      </c>
      <c r="J161" s="17">
        <f t="shared" si="0"/>
        <v>0</v>
      </c>
      <c r="K161" s="37">
        <v>0</v>
      </c>
      <c r="L161" s="17">
        <v>0</v>
      </c>
      <c r="M161" s="17">
        <v>0</v>
      </c>
      <c r="N161" s="17">
        <f t="shared" si="1"/>
        <v>0</v>
      </c>
      <c r="O161" s="17">
        <f t="shared" si="2"/>
        <v>0</v>
      </c>
      <c r="P161" s="3"/>
      <c r="Q161" s="19">
        <f t="shared" si="3"/>
        <v>0</v>
      </c>
      <c r="R161" s="19">
        <v>0</v>
      </c>
      <c r="S161" s="19">
        <f t="shared" si="4"/>
        <v>0</v>
      </c>
      <c r="T161" s="19">
        <f t="shared" si="5"/>
        <v>0</v>
      </c>
      <c r="U161" s="19">
        <f t="shared" si="6"/>
        <v>0</v>
      </c>
      <c r="V161" s="19">
        <f t="shared" si="7"/>
        <v>0</v>
      </c>
      <c r="W161" s="19">
        <f t="shared" si="8"/>
        <v>0</v>
      </c>
      <c r="X161" s="20">
        <f t="shared" si="9"/>
        <v>0</v>
      </c>
      <c r="Y161" s="20">
        <f t="shared" si="10"/>
        <v>0</v>
      </c>
    </row>
    <row r="162" spans="1:25" ht="15.75" customHeight="1">
      <c r="A162" s="14" t="s">
        <v>334</v>
      </c>
      <c r="B162" s="15" t="s">
        <v>335</v>
      </c>
      <c r="C162" s="16">
        <v>43.1</v>
      </c>
      <c r="D162" s="16">
        <v>43.1</v>
      </c>
      <c r="E162" s="17">
        <v>1</v>
      </c>
      <c r="F162" s="18">
        <v>0</v>
      </c>
      <c r="G162" s="18">
        <v>0</v>
      </c>
      <c r="H162" s="36">
        <v>0</v>
      </c>
      <c r="I162" s="17">
        <v>0</v>
      </c>
      <c r="J162" s="17">
        <f t="shared" si="0"/>
        <v>1</v>
      </c>
      <c r="K162" s="37">
        <v>1</v>
      </c>
      <c r="L162" s="17">
        <v>0</v>
      </c>
      <c r="M162" s="17">
        <v>0</v>
      </c>
      <c r="N162" s="17">
        <f t="shared" si="1"/>
        <v>1</v>
      </c>
      <c r="O162" s="17">
        <f t="shared" si="2"/>
        <v>0</v>
      </c>
      <c r="P162" s="3"/>
      <c r="Q162" s="19">
        <f t="shared" si="3"/>
        <v>43.1</v>
      </c>
      <c r="R162" s="19">
        <v>0</v>
      </c>
      <c r="S162" s="19">
        <f t="shared" si="4"/>
        <v>0</v>
      </c>
      <c r="T162" s="19">
        <f t="shared" si="5"/>
        <v>0</v>
      </c>
      <c r="U162" s="19">
        <f t="shared" si="6"/>
        <v>0</v>
      </c>
      <c r="V162" s="19">
        <f t="shared" si="7"/>
        <v>0</v>
      </c>
      <c r="W162" s="19">
        <f t="shared" si="8"/>
        <v>43.1</v>
      </c>
      <c r="X162" s="20">
        <f t="shared" si="9"/>
        <v>43.1</v>
      </c>
      <c r="Y162" s="20">
        <f t="shared" si="10"/>
        <v>0</v>
      </c>
    </row>
    <row r="163" spans="1:25" ht="15.75" customHeight="1">
      <c r="A163" s="14" t="s">
        <v>336</v>
      </c>
      <c r="B163" s="15" t="s">
        <v>337</v>
      </c>
      <c r="C163" s="16">
        <v>41.38</v>
      </c>
      <c r="D163" s="16">
        <v>41.38</v>
      </c>
      <c r="E163" s="17">
        <v>1</v>
      </c>
      <c r="F163" s="18">
        <v>0</v>
      </c>
      <c r="G163" s="18">
        <v>0</v>
      </c>
      <c r="H163" s="36">
        <v>0</v>
      </c>
      <c r="I163" s="17">
        <v>0</v>
      </c>
      <c r="J163" s="17">
        <f t="shared" si="0"/>
        <v>1</v>
      </c>
      <c r="K163" s="37">
        <v>1</v>
      </c>
      <c r="L163" s="17">
        <v>0</v>
      </c>
      <c r="M163" s="17">
        <v>0</v>
      </c>
      <c r="N163" s="17">
        <f t="shared" si="1"/>
        <v>1</v>
      </c>
      <c r="O163" s="17">
        <f t="shared" si="2"/>
        <v>0</v>
      </c>
      <c r="P163" s="3"/>
      <c r="Q163" s="19">
        <f t="shared" si="3"/>
        <v>41.38</v>
      </c>
      <c r="R163" s="19">
        <v>0</v>
      </c>
      <c r="S163" s="19">
        <f t="shared" si="4"/>
        <v>0</v>
      </c>
      <c r="T163" s="19">
        <f t="shared" si="5"/>
        <v>0</v>
      </c>
      <c r="U163" s="19">
        <f t="shared" si="6"/>
        <v>0</v>
      </c>
      <c r="V163" s="19">
        <f t="shared" si="7"/>
        <v>0</v>
      </c>
      <c r="W163" s="19">
        <f t="shared" si="8"/>
        <v>41.38</v>
      </c>
      <c r="X163" s="20">
        <f t="shared" si="9"/>
        <v>41.38</v>
      </c>
      <c r="Y163" s="20">
        <f t="shared" si="10"/>
        <v>0</v>
      </c>
    </row>
    <row r="164" spans="1:25" ht="15.75" customHeight="1">
      <c r="A164" s="14" t="s">
        <v>338</v>
      </c>
      <c r="B164" s="15" t="s">
        <v>339</v>
      </c>
      <c r="C164" s="16">
        <v>344.52</v>
      </c>
      <c r="D164" s="16">
        <v>344.52</v>
      </c>
      <c r="E164" s="17">
        <v>0</v>
      </c>
      <c r="F164" s="18">
        <v>0</v>
      </c>
      <c r="G164" s="18">
        <v>0</v>
      </c>
      <c r="H164" s="36">
        <v>0</v>
      </c>
      <c r="I164" s="17">
        <v>0</v>
      </c>
      <c r="J164" s="17">
        <f t="shared" si="0"/>
        <v>0</v>
      </c>
      <c r="K164" s="37">
        <v>0</v>
      </c>
      <c r="L164" s="17">
        <v>0</v>
      </c>
      <c r="M164" s="17">
        <v>0</v>
      </c>
      <c r="N164" s="17">
        <f t="shared" si="1"/>
        <v>0</v>
      </c>
      <c r="O164" s="17">
        <f t="shared" si="2"/>
        <v>0</v>
      </c>
      <c r="P164" s="3"/>
      <c r="Q164" s="19">
        <f t="shared" si="3"/>
        <v>0</v>
      </c>
      <c r="R164" s="19">
        <v>0</v>
      </c>
      <c r="S164" s="19">
        <f t="shared" si="4"/>
        <v>0</v>
      </c>
      <c r="T164" s="19">
        <f t="shared" si="5"/>
        <v>0</v>
      </c>
      <c r="U164" s="19">
        <f t="shared" si="6"/>
        <v>0</v>
      </c>
      <c r="V164" s="19">
        <f t="shared" si="7"/>
        <v>0</v>
      </c>
      <c r="W164" s="19">
        <f t="shared" si="8"/>
        <v>0</v>
      </c>
      <c r="X164" s="20">
        <f t="shared" si="9"/>
        <v>0</v>
      </c>
      <c r="Y164" s="20">
        <f t="shared" si="10"/>
        <v>0</v>
      </c>
    </row>
    <row r="165" spans="1:25" ht="15.75" customHeight="1">
      <c r="A165" s="14" t="s">
        <v>340</v>
      </c>
      <c r="B165" s="15" t="s">
        <v>341</v>
      </c>
      <c r="C165" s="16">
        <v>1350</v>
      </c>
      <c r="D165" s="16">
        <v>1350</v>
      </c>
      <c r="E165" s="17">
        <v>0</v>
      </c>
      <c r="F165" s="18">
        <v>0</v>
      </c>
      <c r="G165" s="18">
        <v>0</v>
      </c>
      <c r="H165" s="36">
        <v>0</v>
      </c>
      <c r="I165" s="17">
        <v>0</v>
      </c>
      <c r="J165" s="17">
        <f t="shared" si="0"/>
        <v>0</v>
      </c>
      <c r="K165" s="37">
        <v>0</v>
      </c>
      <c r="L165" s="17">
        <v>0</v>
      </c>
      <c r="M165" s="17">
        <v>0</v>
      </c>
      <c r="N165" s="17">
        <f t="shared" si="1"/>
        <v>0</v>
      </c>
      <c r="O165" s="17">
        <f t="shared" si="2"/>
        <v>0</v>
      </c>
      <c r="P165" s="3"/>
      <c r="Q165" s="19">
        <f t="shared" si="3"/>
        <v>0</v>
      </c>
      <c r="R165" s="19">
        <v>0</v>
      </c>
      <c r="S165" s="19">
        <f t="shared" si="4"/>
        <v>0</v>
      </c>
      <c r="T165" s="19">
        <f t="shared" si="5"/>
        <v>0</v>
      </c>
      <c r="U165" s="19">
        <f t="shared" si="6"/>
        <v>0</v>
      </c>
      <c r="V165" s="19">
        <f t="shared" si="7"/>
        <v>0</v>
      </c>
      <c r="W165" s="19">
        <f t="shared" si="8"/>
        <v>0</v>
      </c>
      <c r="X165" s="20">
        <f t="shared" si="9"/>
        <v>0</v>
      </c>
      <c r="Y165" s="20">
        <f t="shared" si="10"/>
        <v>0</v>
      </c>
    </row>
    <row r="166" spans="1:25" ht="15.75" customHeight="1">
      <c r="A166" s="14" t="s">
        <v>342</v>
      </c>
      <c r="B166" s="15" t="s">
        <v>343</v>
      </c>
      <c r="C166" s="16">
        <v>1083.3399999999999</v>
      </c>
      <c r="D166" s="16">
        <v>1083.3399999999999</v>
      </c>
      <c r="E166" s="17">
        <v>0</v>
      </c>
      <c r="F166" s="18">
        <v>0</v>
      </c>
      <c r="G166" s="18">
        <v>0</v>
      </c>
      <c r="H166" s="36">
        <v>0</v>
      </c>
      <c r="I166" s="17">
        <v>0</v>
      </c>
      <c r="J166" s="17">
        <f t="shared" si="0"/>
        <v>0</v>
      </c>
      <c r="K166" s="37">
        <v>0</v>
      </c>
      <c r="L166" s="17">
        <v>0</v>
      </c>
      <c r="M166" s="17">
        <v>0</v>
      </c>
      <c r="N166" s="17">
        <f t="shared" si="1"/>
        <v>0</v>
      </c>
      <c r="O166" s="17">
        <f t="shared" si="2"/>
        <v>0</v>
      </c>
      <c r="P166" s="3"/>
      <c r="Q166" s="19">
        <f t="shared" si="3"/>
        <v>0</v>
      </c>
      <c r="R166" s="19">
        <v>0</v>
      </c>
      <c r="S166" s="19">
        <f t="shared" si="4"/>
        <v>0</v>
      </c>
      <c r="T166" s="19">
        <f t="shared" si="5"/>
        <v>0</v>
      </c>
      <c r="U166" s="19">
        <f t="shared" si="6"/>
        <v>0</v>
      </c>
      <c r="V166" s="19">
        <f t="shared" si="7"/>
        <v>0</v>
      </c>
      <c r="W166" s="19">
        <f t="shared" si="8"/>
        <v>0</v>
      </c>
      <c r="X166" s="20">
        <f t="shared" si="9"/>
        <v>0</v>
      </c>
      <c r="Y166" s="20">
        <f t="shared" si="10"/>
        <v>0</v>
      </c>
    </row>
    <row r="167" spans="1:25" ht="15.75" customHeight="1">
      <c r="A167" s="14" t="s">
        <v>344</v>
      </c>
      <c r="B167" s="15" t="s">
        <v>345</v>
      </c>
      <c r="C167" s="16">
        <v>400</v>
      </c>
      <c r="D167" s="16">
        <v>400</v>
      </c>
      <c r="E167" s="17">
        <v>4</v>
      </c>
      <c r="F167" s="18">
        <v>0</v>
      </c>
      <c r="G167" s="18">
        <v>0</v>
      </c>
      <c r="H167" s="36">
        <v>0</v>
      </c>
      <c r="I167" s="17">
        <v>0</v>
      </c>
      <c r="J167" s="17">
        <f t="shared" si="0"/>
        <v>4</v>
      </c>
      <c r="K167" s="37">
        <v>4</v>
      </c>
      <c r="L167" s="17">
        <v>0</v>
      </c>
      <c r="M167" s="17">
        <v>0</v>
      </c>
      <c r="N167" s="17">
        <f t="shared" si="1"/>
        <v>4</v>
      </c>
      <c r="O167" s="17">
        <f t="shared" si="2"/>
        <v>0</v>
      </c>
      <c r="P167" s="3"/>
      <c r="Q167" s="19">
        <f t="shared" si="3"/>
        <v>1600</v>
      </c>
      <c r="R167" s="19">
        <v>0</v>
      </c>
      <c r="S167" s="19">
        <f t="shared" si="4"/>
        <v>0</v>
      </c>
      <c r="T167" s="19">
        <f t="shared" si="5"/>
        <v>0</v>
      </c>
      <c r="U167" s="19">
        <f t="shared" si="6"/>
        <v>0</v>
      </c>
      <c r="V167" s="19">
        <f t="shared" si="7"/>
        <v>0</v>
      </c>
      <c r="W167" s="19">
        <f t="shared" si="8"/>
        <v>1600</v>
      </c>
      <c r="X167" s="20">
        <f t="shared" si="9"/>
        <v>1600</v>
      </c>
      <c r="Y167" s="20">
        <f t="shared" si="10"/>
        <v>0</v>
      </c>
    </row>
    <row r="168" spans="1:25" ht="15.75" customHeight="1">
      <c r="A168" s="14" t="s">
        <v>346</v>
      </c>
      <c r="B168" s="15" t="s">
        <v>347</v>
      </c>
      <c r="C168" s="16">
        <v>697.5</v>
      </c>
      <c r="D168" s="16">
        <v>697.5</v>
      </c>
      <c r="E168" s="17">
        <v>2</v>
      </c>
      <c r="F168" s="18">
        <v>0</v>
      </c>
      <c r="G168" s="18">
        <v>0</v>
      </c>
      <c r="H168" s="36">
        <v>0</v>
      </c>
      <c r="I168" s="17">
        <v>0</v>
      </c>
      <c r="J168" s="17">
        <f t="shared" si="0"/>
        <v>2</v>
      </c>
      <c r="K168" s="37">
        <v>2</v>
      </c>
      <c r="L168" s="17">
        <v>0</v>
      </c>
      <c r="M168" s="17">
        <v>0</v>
      </c>
      <c r="N168" s="17">
        <f t="shared" si="1"/>
        <v>2</v>
      </c>
      <c r="O168" s="17">
        <f t="shared" si="2"/>
        <v>0</v>
      </c>
      <c r="P168" s="3"/>
      <c r="Q168" s="19">
        <f t="shared" si="3"/>
        <v>1395</v>
      </c>
      <c r="R168" s="19">
        <v>0</v>
      </c>
      <c r="S168" s="19">
        <f t="shared" si="4"/>
        <v>0</v>
      </c>
      <c r="T168" s="19">
        <f t="shared" si="5"/>
        <v>0</v>
      </c>
      <c r="U168" s="19">
        <f t="shared" si="6"/>
        <v>0</v>
      </c>
      <c r="V168" s="19">
        <f t="shared" si="7"/>
        <v>0</v>
      </c>
      <c r="W168" s="19">
        <f t="shared" si="8"/>
        <v>1395</v>
      </c>
      <c r="X168" s="20">
        <f t="shared" si="9"/>
        <v>1395</v>
      </c>
      <c r="Y168" s="20">
        <f t="shared" si="10"/>
        <v>0</v>
      </c>
    </row>
    <row r="169" spans="1:25" ht="15.75" customHeight="1">
      <c r="A169" s="14" t="s">
        <v>348</v>
      </c>
      <c r="B169" s="15" t="s">
        <v>349</v>
      </c>
      <c r="C169" s="16">
        <v>0</v>
      </c>
      <c r="D169" s="16">
        <v>0</v>
      </c>
      <c r="E169" s="17">
        <v>0</v>
      </c>
      <c r="F169" s="18">
        <v>0</v>
      </c>
      <c r="G169" s="18">
        <v>0</v>
      </c>
      <c r="H169" s="36">
        <v>0</v>
      </c>
      <c r="I169" s="17">
        <v>0</v>
      </c>
      <c r="J169" s="17">
        <f t="shared" si="0"/>
        <v>0</v>
      </c>
      <c r="K169" s="37">
        <v>0</v>
      </c>
      <c r="L169" s="17">
        <v>0</v>
      </c>
      <c r="M169" s="17">
        <v>0</v>
      </c>
      <c r="N169" s="17">
        <f t="shared" si="1"/>
        <v>0</v>
      </c>
      <c r="O169" s="17">
        <f t="shared" si="2"/>
        <v>0</v>
      </c>
      <c r="P169" s="3"/>
      <c r="Q169" s="19">
        <f t="shared" si="3"/>
        <v>0</v>
      </c>
      <c r="R169" s="19">
        <v>0</v>
      </c>
      <c r="S169" s="19">
        <f t="shared" si="4"/>
        <v>0</v>
      </c>
      <c r="T169" s="19">
        <f t="shared" si="5"/>
        <v>0</v>
      </c>
      <c r="U169" s="19">
        <f t="shared" si="6"/>
        <v>0</v>
      </c>
      <c r="V169" s="19">
        <f t="shared" si="7"/>
        <v>0</v>
      </c>
      <c r="W169" s="19">
        <f t="shared" si="8"/>
        <v>0</v>
      </c>
      <c r="X169" s="20">
        <f t="shared" si="9"/>
        <v>0</v>
      </c>
      <c r="Y169" s="20">
        <f t="shared" si="10"/>
        <v>0</v>
      </c>
    </row>
    <row r="170" spans="1:25" ht="15.75" customHeight="1">
      <c r="A170" s="14" t="s">
        <v>350</v>
      </c>
      <c r="B170" s="15" t="s">
        <v>351</v>
      </c>
      <c r="C170" s="16">
        <v>380</v>
      </c>
      <c r="D170" s="16">
        <v>380</v>
      </c>
      <c r="E170" s="17">
        <v>1</v>
      </c>
      <c r="F170" s="18">
        <v>0</v>
      </c>
      <c r="G170" s="18">
        <v>0</v>
      </c>
      <c r="H170" s="36">
        <v>0</v>
      </c>
      <c r="I170" s="17">
        <v>0</v>
      </c>
      <c r="J170" s="17">
        <f t="shared" si="0"/>
        <v>1</v>
      </c>
      <c r="K170" s="37">
        <v>1</v>
      </c>
      <c r="L170" s="17">
        <v>0</v>
      </c>
      <c r="M170" s="17">
        <v>0</v>
      </c>
      <c r="N170" s="17">
        <f t="shared" si="1"/>
        <v>1</v>
      </c>
      <c r="O170" s="17">
        <f t="shared" si="2"/>
        <v>0</v>
      </c>
      <c r="P170" s="3"/>
      <c r="Q170" s="19">
        <f t="shared" si="3"/>
        <v>380</v>
      </c>
      <c r="R170" s="19">
        <v>0</v>
      </c>
      <c r="S170" s="19">
        <f t="shared" si="4"/>
        <v>0</v>
      </c>
      <c r="T170" s="19">
        <f t="shared" si="5"/>
        <v>0</v>
      </c>
      <c r="U170" s="19">
        <f t="shared" si="6"/>
        <v>0</v>
      </c>
      <c r="V170" s="19">
        <f t="shared" si="7"/>
        <v>0</v>
      </c>
      <c r="W170" s="19">
        <f t="shared" si="8"/>
        <v>380</v>
      </c>
      <c r="X170" s="20">
        <f t="shared" si="9"/>
        <v>380</v>
      </c>
      <c r="Y170" s="20">
        <f t="shared" si="10"/>
        <v>0</v>
      </c>
    </row>
    <row r="171" spans="1:25" ht="15.75" customHeight="1">
      <c r="A171" s="14" t="s">
        <v>352</v>
      </c>
      <c r="B171" s="15" t="s">
        <v>353</v>
      </c>
      <c r="C171" s="16">
        <v>670</v>
      </c>
      <c r="D171" s="16">
        <v>670</v>
      </c>
      <c r="E171" s="17">
        <v>1</v>
      </c>
      <c r="F171" s="18">
        <v>0</v>
      </c>
      <c r="G171" s="18">
        <v>0</v>
      </c>
      <c r="H171" s="36">
        <v>0</v>
      </c>
      <c r="I171" s="17">
        <v>0</v>
      </c>
      <c r="J171" s="17">
        <f t="shared" si="0"/>
        <v>1</v>
      </c>
      <c r="K171" s="37">
        <v>1</v>
      </c>
      <c r="L171" s="17">
        <v>0</v>
      </c>
      <c r="M171" s="17">
        <v>0</v>
      </c>
      <c r="N171" s="17">
        <f t="shared" si="1"/>
        <v>1</v>
      </c>
      <c r="O171" s="17">
        <f t="shared" si="2"/>
        <v>0</v>
      </c>
      <c r="P171" s="3"/>
      <c r="Q171" s="19">
        <f t="shared" si="3"/>
        <v>670</v>
      </c>
      <c r="R171" s="19">
        <v>0</v>
      </c>
      <c r="S171" s="19">
        <f t="shared" si="4"/>
        <v>0</v>
      </c>
      <c r="T171" s="19">
        <f t="shared" si="5"/>
        <v>0</v>
      </c>
      <c r="U171" s="19">
        <f t="shared" si="6"/>
        <v>0</v>
      </c>
      <c r="V171" s="19">
        <f t="shared" si="7"/>
        <v>0</v>
      </c>
      <c r="W171" s="19">
        <f t="shared" si="8"/>
        <v>670</v>
      </c>
      <c r="X171" s="20">
        <f t="shared" si="9"/>
        <v>670</v>
      </c>
      <c r="Y171" s="20">
        <f t="shared" si="10"/>
        <v>0</v>
      </c>
    </row>
    <row r="172" spans="1:25" ht="15.75" customHeight="1">
      <c r="A172" s="14" t="s">
        <v>354</v>
      </c>
      <c r="B172" s="15" t="s">
        <v>355</v>
      </c>
      <c r="C172" s="16">
        <v>990</v>
      </c>
      <c r="D172" s="16">
        <v>990</v>
      </c>
      <c r="E172" s="17">
        <v>0</v>
      </c>
      <c r="F172" s="18">
        <v>0</v>
      </c>
      <c r="G172" s="18">
        <v>0</v>
      </c>
      <c r="H172" s="36">
        <v>0</v>
      </c>
      <c r="I172" s="17">
        <v>0</v>
      </c>
      <c r="J172" s="17">
        <f t="shared" si="0"/>
        <v>0</v>
      </c>
      <c r="K172" s="37">
        <v>0</v>
      </c>
      <c r="L172" s="17">
        <v>0</v>
      </c>
      <c r="M172" s="17">
        <v>0</v>
      </c>
      <c r="N172" s="17">
        <f t="shared" si="1"/>
        <v>0</v>
      </c>
      <c r="O172" s="17">
        <f t="shared" si="2"/>
        <v>0</v>
      </c>
      <c r="P172" s="3"/>
      <c r="Q172" s="19">
        <f t="shared" si="3"/>
        <v>0</v>
      </c>
      <c r="R172" s="19">
        <v>0</v>
      </c>
      <c r="S172" s="19">
        <f t="shared" si="4"/>
        <v>0</v>
      </c>
      <c r="T172" s="19">
        <f t="shared" si="5"/>
        <v>0</v>
      </c>
      <c r="U172" s="19">
        <f t="shared" si="6"/>
        <v>0</v>
      </c>
      <c r="V172" s="19">
        <f t="shared" si="7"/>
        <v>0</v>
      </c>
      <c r="W172" s="19">
        <f t="shared" si="8"/>
        <v>0</v>
      </c>
      <c r="X172" s="20">
        <f t="shared" si="9"/>
        <v>0</v>
      </c>
      <c r="Y172" s="20">
        <f t="shared" si="10"/>
        <v>0</v>
      </c>
    </row>
    <row r="173" spans="1:25" ht="15.75" customHeight="1">
      <c r="A173" s="14" t="s">
        <v>356</v>
      </c>
      <c r="B173" s="15" t="s">
        <v>357</v>
      </c>
      <c r="C173" s="16">
        <v>400</v>
      </c>
      <c r="D173" s="16">
        <v>400</v>
      </c>
      <c r="E173" s="17">
        <v>0</v>
      </c>
      <c r="F173" s="18">
        <v>0</v>
      </c>
      <c r="G173" s="18">
        <v>0</v>
      </c>
      <c r="H173" s="36">
        <v>0</v>
      </c>
      <c r="I173" s="17">
        <v>0</v>
      </c>
      <c r="J173" s="17">
        <f t="shared" si="0"/>
        <v>0</v>
      </c>
      <c r="K173" s="37">
        <v>0</v>
      </c>
      <c r="L173" s="17">
        <v>0</v>
      </c>
      <c r="M173" s="17">
        <v>0</v>
      </c>
      <c r="N173" s="17">
        <f t="shared" si="1"/>
        <v>0</v>
      </c>
      <c r="O173" s="17">
        <f t="shared" si="2"/>
        <v>0</v>
      </c>
      <c r="P173" s="3"/>
      <c r="Q173" s="19">
        <f t="shared" si="3"/>
        <v>0</v>
      </c>
      <c r="R173" s="19">
        <v>0</v>
      </c>
      <c r="S173" s="19">
        <f t="shared" si="4"/>
        <v>0</v>
      </c>
      <c r="T173" s="19">
        <f t="shared" si="5"/>
        <v>0</v>
      </c>
      <c r="U173" s="19">
        <f t="shared" si="6"/>
        <v>0</v>
      </c>
      <c r="V173" s="19">
        <f t="shared" si="7"/>
        <v>0</v>
      </c>
      <c r="W173" s="19">
        <f t="shared" si="8"/>
        <v>0</v>
      </c>
      <c r="X173" s="20">
        <f t="shared" si="9"/>
        <v>0</v>
      </c>
      <c r="Y173" s="20">
        <f t="shared" si="10"/>
        <v>0</v>
      </c>
    </row>
    <row r="174" spans="1:25" ht="15.75" customHeight="1">
      <c r="A174" s="14" t="s">
        <v>358</v>
      </c>
      <c r="B174" s="15" t="s">
        <v>359</v>
      </c>
      <c r="C174" s="16">
        <v>0</v>
      </c>
      <c r="D174" s="16">
        <v>0</v>
      </c>
      <c r="E174" s="17">
        <v>0</v>
      </c>
      <c r="F174" s="18">
        <v>0</v>
      </c>
      <c r="G174" s="18">
        <v>0</v>
      </c>
      <c r="H174" s="36">
        <v>0</v>
      </c>
      <c r="I174" s="17">
        <v>0</v>
      </c>
      <c r="J174" s="17">
        <f t="shared" si="0"/>
        <v>0</v>
      </c>
      <c r="K174" s="37">
        <v>0</v>
      </c>
      <c r="L174" s="17">
        <v>0</v>
      </c>
      <c r="M174" s="17">
        <v>0</v>
      </c>
      <c r="N174" s="17">
        <f t="shared" si="1"/>
        <v>0</v>
      </c>
      <c r="O174" s="17">
        <f t="shared" si="2"/>
        <v>0</v>
      </c>
      <c r="P174" s="3"/>
      <c r="Q174" s="19">
        <f t="shared" si="3"/>
        <v>0</v>
      </c>
      <c r="R174" s="19">
        <v>0</v>
      </c>
      <c r="S174" s="19">
        <f t="shared" si="4"/>
        <v>0</v>
      </c>
      <c r="T174" s="19">
        <f t="shared" si="5"/>
        <v>0</v>
      </c>
      <c r="U174" s="19">
        <f t="shared" si="6"/>
        <v>0</v>
      </c>
      <c r="V174" s="19">
        <f t="shared" si="7"/>
        <v>0</v>
      </c>
      <c r="W174" s="19">
        <f t="shared" si="8"/>
        <v>0</v>
      </c>
      <c r="X174" s="20">
        <f t="shared" si="9"/>
        <v>0</v>
      </c>
      <c r="Y174" s="20">
        <f t="shared" si="10"/>
        <v>0</v>
      </c>
    </row>
    <row r="175" spans="1:25" ht="15.75" customHeight="1">
      <c r="A175" s="14" t="s">
        <v>360</v>
      </c>
      <c r="B175" s="15" t="s">
        <v>361</v>
      </c>
      <c r="C175" s="16">
        <v>10.35</v>
      </c>
      <c r="D175" s="16">
        <v>10.35</v>
      </c>
      <c r="E175" s="17">
        <v>1</v>
      </c>
      <c r="F175" s="18">
        <v>0</v>
      </c>
      <c r="G175" s="18">
        <v>0</v>
      </c>
      <c r="H175" s="36">
        <v>0</v>
      </c>
      <c r="I175" s="17">
        <v>0</v>
      </c>
      <c r="J175" s="17">
        <f t="shared" si="0"/>
        <v>1</v>
      </c>
      <c r="K175" s="37">
        <v>1</v>
      </c>
      <c r="L175" s="17">
        <v>0</v>
      </c>
      <c r="M175" s="17">
        <v>0</v>
      </c>
      <c r="N175" s="17">
        <f t="shared" si="1"/>
        <v>1</v>
      </c>
      <c r="O175" s="17">
        <f t="shared" si="2"/>
        <v>0</v>
      </c>
      <c r="P175" s="3"/>
      <c r="Q175" s="19">
        <f t="shared" si="3"/>
        <v>10.35</v>
      </c>
      <c r="R175" s="19">
        <v>0</v>
      </c>
      <c r="S175" s="19">
        <f t="shared" si="4"/>
        <v>0</v>
      </c>
      <c r="T175" s="19">
        <f t="shared" si="5"/>
        <v>0</v>
      </c>
      <c r="U175" s="19">
        <f t="shared" si="6"/>
        <v>0</v>
      </c>
      <c r="V175" s="19">
        <f t="shared" si="7"/>
        <v>0</v>
      </c>
      <c r="W175" s="19">
        <f t="shared" si="8"/>
        <v>10.35</v>
      </c>
      <c r="X175" s="20">
        <f t="shared" si="9"/>
        <v>10.35</v>
      </c>
      <c r="Y175" s="20">
        <f t="shared" si="10"/>
        <v>0</v>
      </c>
    </row>
    <row r="176" spans="1:25" ht="15.75" customHeight="1">
      <c r="A176" s="14" t="s">
        <v>362</v>
      </c>
      <c r="B176" s="15" t="s">
        <v>363</v>
      </c>
      <c r="C176" s="16">
        <v>34</v>
      </c>
      <c r="D176" s="16">
        <v>34</v>
      </c>
      <c r="E176" s="17">
        <v>0</v>
      </c>
      <c r="F176" s="18">
        <v>0</v>
      </c>
      <c r="G176" s="18">
        <v>0</v>
      </c>
      <c r="H176" s="36">
        <v>0</v>
      </c>
      <c r="I176" s="17">
        <v>0</v>
      </c>
      <c r="J176" s="17">
        <f t="shared" si="0"/>
        <v>0</v>
      </c>
      <c r="K176" s="37">
        <v>0</v>
      </c>
      <c r="L176" s="17">
        <v>0</v>
      </c>
      <c r="M176" s="17">
        <v>0</v>
      </c>
      <c r="N176" s="17">
        <f t="shared" si="1"/>
        <v>0</v>
      </c>
      <c r="O176" s="17">
        <f t="shared" si="2"/>
        <v>0</v>
      </c>
      <c r="P176" s="3"/>
      <c r="Q176" s="19">
        <f t="shared" si="3"/>
        <v>0</v>
      </c>
      <c r="R176" s="19">
        <v>0</v>
      </c>
      <c r="S176" s="19">
        <f t="shared" si="4"/>
        <v>0</v>
      </c>
      <c r="T176" s="19">
        <f t="shared" si="5"/>
        <v>0</v>
      </c>
      <c r="U176" s="19">
        <f t="shared" si="6"/>
        <v>0</v>
      </c>
      <c r="V176" s="19">
        <f t="shared" si="7"/>
        <v>0</v>
      </c>
      <c r="W176" s="19">
        <f t="shared" si="8"/>
        <v>0</v>
      </c>
      <c r="X176" s="20">
        <f t="shared" si="9"/>
        <v>0</v>
      </c>
      <c r="Y176" s="20">
        <f t="shared" si="10"/>
        <v>0</v>
      </c>
    </row>
    <row r="177" spans="1:25" ht="15.75" customHeight="1">
      <c r="A177" s="14" t="s">
        <v>364</v>
      </c>
      <c r="B177" s="15" t="s">
        <v>365</v>
      </c>
      <c r="C177" s="16">
        <v>12.11</v>
      </c>
      <c r="D177" s="16">
        <v>12.11</v>
      </c>
      <c r="E177" s="17">
        <v>0</v>
      </c>
      <c r="F177" s="18">
        <v>0</v>
      </c>
      <c r="G177" s="18">
        <v>0</v>
      </c>
      <c r="H177" s="36">
        <v>0</v>
      </c>
      <c r="I177" s="17">
        <v>0</v>
      </c>
      <c r="J177" s="17">
        <f t="shared" si="0"/>
        <v>0</v>
      </c>
      <c r="K177" s="37">
        <v>0</v>
      </c>
      <c r="L177" s="17">
        <v>0</v>
      </c>
      <c r="M177" s="17">
        <v>0</v>
      </c>
      <c r="N177" s="17">
        <f t="shared" si="1"/>
        <v>0</v>
      </c>
      <c r="O177" s="17">
        <f t="shared" si="2"/>
        <v>0</v>
      </c>
      <c r="P177" s="3"/>
      <c r="Q177" s="19">
        <f t="shared" si="3"/>
        <v>0</v>
      </c>
      <c r="R177" s="19">
        <v>0</v>
      </c>
      <c r="S177" s="19">
        <f t="shared" si="4"/>
        <v>0</v>
      </c>
      <c r="T177" s="19">
        <f t="shared" si="5"/>
        <v>0</v>
      </c>
      <c r="U177" s="19">
        <f t="shared" si="6"/>
        <v>0</v>
      </c>
      <c r="V177" s="19">
        <f t="shared" si="7"/>
        <v>0</v>
      </c>
      <c r="W177" s="19">
        <f t="shared" si="8"/>
        <v>0</v>
      </c>
      <c r="X177" s="20">
        <f t="shared" si="9"/>
        <v>0</v>
      </c>
      <c r="Y177" s="20">
        <f t="shared" si="10"/>
        <v>0</v>
      </c>
    </row>
    <row r="178" spans="1:25" ht="15.75" customHeight="1">
      <c r="A178" s="14" t="s">
        <v>366</v>
      </c>
      <c r="B178" s="15" t="s">
        <v>367</v>
      </c>
      <c r="C178" s="16">
        <v>75</v>
      </c>
      <c r="D178" s="16">
        <v>75</v>
      </c>
      <c r="E178" s="17">
        <v>10</v>
      </c>
      <c r="F178" s="18">
        <v>0</v>
      </c>
      <c r="G178" s="18">
        <v>0</v>
      </c>
      <c r="H178" s="36">
        <v>0</v>
      </c>
      <c r="I178" s="17">
        <v>0</v>
      </c>
      <c r="J178" s="17">
        <f t="shared" si="0"/>
        <v>10</v>
      </c>
      <c r="K178" s="37">
        <v>0</v>
      </c>
      <c r="L178" s="17">
        <v>0</v>
      </c>
      <c r="M178" s="17">
        <v>10</v>
      </c>
      <c r="N178" s="17">
        <f t="shared" si="1"/>
        <v>10</v>
      </c>
      <c r="O178" s="17">
        <f t="shared" si="2"/>
        <v>0</v>
      </c>
      <c r="P178" s="3"/>
      <c r="Q178" s="19">
        <f t="shared" si="3"/>
        <v>750</v>
      </c>
      <c r="R178" s="19">
        <v>0</v>
      </c>
      <c r="S178" s="19">
        <f t="shared" si="4"/>
        <v>0</v>
      </c>
      <c r="T178" s="19">
        <f t="shared" si="5"/>
        <v>0</v>
      </c>
      <c r="U178" s="19">
        <f t="shared" si="6"/>
        <v>0</v>
      </c>
      <c r="V178" s="19">
        <f t="shared" si="7"/>
        <v>0</v>
      </c>
      <c r="W178" s="19">
        <f t="shared" si="8"/>
        <v>750</v>
      </c>
      <c r="X178" s="20">
        <f t="shared" si="9"/>
        <v>750</v>
      </c>
      <c r="Y178" s="20">
        <f t="shared" si="10"/>
        <v>0</v>
      </c>
    </row>
    <row r="179" spans="1:25" ht="15.75" customHeight="1">
      <c r="A179" s="14" t="s">
        <v>368</v>
      </c>
      <c r="B179" s="15" t="s">
        <v>369</v>
      </c>
      <c r="C179" s="16">
        <v>110</v>
      </c>
      <c r="D179" s="16">
        <v>110</v>
      </c>
      <c r="E179" s="17">
        <v>10</v>
      </c>
      <c r="F179" s="18">
        <v>0</v>
      </c>
      <c r="G179" s="18">
        <v>0</v>
      </c>
      <c r="H179" s="36">
        <v>0</v>
      </c>
      <c r="I179" s="17">
        <v>0</v>
      </c>
      <c r="J179" s="17">
        <f t="shared" si="0"/>
        <v>10</v>
      </c>
      <c r="K179" s="37">
        <v>0</v>
      </c>
      <c r="L179" s="17">
        <v>0</v>
      </c>
      <c r="M179" s="17">
        <v>10</v>
      </c>
      <c r="N179" s="17">
        <f t="shared" si="1"/>
        <v>10</v>
      </c>
      <c r="O179" s="17">
        <f t="shared" si="2"/>
        <v>0</v>
      </c>
      <c r="P179" s="3"/>
      <c r="Q179" s="19">
        <f t="shared" si="3"/>
        <v>1100</v>
      </c>
      <c r="R179" s="19">
        <v>0</v>
      </c>
      <c r="S179" s="19">
        <f t="shared" si="4"/>
        <v>0</v>
      </c>
      <c r="T179" s="19">
        <f t="shared" si="5"/>
        <v>0</v>
      </c>
      <c r="U179" s="19">
        <f t="shared" si="6"/>
        <v>0</v>
      </c>
      <c r="V179" s="19">
        <f t="shared" si="7"/>
        <v>0</v>
      </c>
      <c r="W179" s="19">
        <f t="shared" si="8"/>
        <v>1100</v>
      </c>
      <c r="X179" s="20">
        <f t="shared" si="9"/>
        <v>1100</v>
      </c>
      <c r="Y179" s="20">
        <f t="shared" si="10"/>
        <v>0</v>
      </c>
    </row>
    <row r="180" spans="1:25" ht="15.75" customHeight="1">
      <c r="A180" s="14" t="s">
        <v>370</v>
      </c>
      <c r="B180" s="15" t="s">
        <v>371</v>
      </c>
      <c r="C180" s="16">
        <v>110</v>
      </c>
      <c r="D180" s="16">
        <v>110</v>
      </c>
      <c r="E180" s="17">
        <v>10</v>
      </c>
      <c r="F180" s="18">
        <v>0</v>
      </c>
      <c r="G180" s="18">
        <v>0</v>
      </c>
      <c r="H180" s="36">
        <v>0</v>
      </c>
      <c r="I180" s="17">
        <v>0</v>
      </c>
      <c r="J180" s="17">
        <f t="shared" si="0"/>
        <v>10</v>
      </c>
      <c r="K180" s="37">
        <v>0</v>
      </c>
      <c r="L180" s="17">
        <v>0</v>
      </c>
      <c r="M180" s="17">
        <v>10</v>
      </c>
      <c r="N180" s="17">
        <f t="shared" si="1"/>
        <v>10</v>
      </c>
      <c r="O180" s="17">
        <f t="shared" si="2"/>
        <v>0</v>
      </c>
      <c r="P180" s="3"/>
      <c r="Q180" s="19">
        <f t="shared" si="3"/>
        <v>1100</v>
      </c>
      <c r="R180" s="19">
        <v>0</v>
      </c>
      <c r="S180" s="19">
        <f t="shared" si="4"/>
        <v>0</v>
      </c>
      <c r="T180" s="19">
        <f t="shared" si="5"/>
        <v>0</v>
      </c>
      <c r="U180" s="19">
        <f t="shared" si="6"/>
        <v>0</v>
      </c>
      <c r="V180" s="19">
        <f t="shared" si="7"/>
        <v>0</v>
      </c>
      <c r="W180" s="19">
        <f t="shared" si="8"/>
        <v>1100</v>
      </c>
      <c r="X180" s="20">
        <f t="shared" si="9"/>
        <v>1100</v>
      </c>
      <c r="Y180" s="20">
        <f t="shared" si="10"/>
        <v>0</v>
      </c>
    </row>
    <row r="181" spans="1:25" ht="15.75" customHeight="1">
      <c r="A181" s="14" t="s">
        <v>372</v>
      </c>
      <c r="B181" s="15" t="s">
        <v>373</v>
      </c>
      <c r="C181" s="16">
        <v>272.31</v>
      </c>
      <c r="D181" s="16">
        <v>272.31</v>
      </c>
      <c r="E181" s="17">
        <v>0</v>
      </c>
      <c r="F181" s="18">
        <v>0</v>
      </c>
      <c r="G181" s="18">
        <v>0</v>
      </c>
      <c r="H181" s="36">
        <v>0</v>
      </c>
      <c r="I181" s="17">
        <v>0</v>
      </c>
      <c r="J181" s="17">
        <f t="shared" si="0"/>
        <v>0</v>
      </c>
      <c r="K181" s="37">
        <v>0</v>
      </c>
      <c r="L181" s="17">
        <v>0</v>
      </c>
      <c r="M181" s="17">
        <v>0</v>
      </c>
      <c r="N181" s="17">
        <f t="shared" si="1"/>
        <v>0</v>
      </c>
      <c r="O181" s="17">
        <f t="shared" si="2"/>
        <v>0</v>
      </c>
      <c r="P181" s="3"/>
      <c r="Q181" s="19">
        <f t="shared" si="3"/>
        <v>0</v>
      </c>
      <c r="R181" s="19">
        <v>0</v>
      </c>
      <c r="S181" s="19">
        <f t="shared" si="4"/>
        <v>0</v>
      </c>
      <c r="T181" s="19">
        <f t="shared" si="5"/>
        <v>0</v>
      </c>
      <c r="U181" s="19">
        <f t="shared" si="6"/>
        <v>0</v>
      </c>
      <c r="V181" s="19">
        <f t="shared" si="7"/>
        <v>0</v>
      </c>
      <c r="W181" s="19">
        <f t="shared" si="8"/>
        <v>0</v>
      </c>
      <c r="X181" s="20">
        <f t="shared" si="9"/>
        <v>0</v>
      </c>
      <c r="Y181" s="20">
        <f t="shared" si="10"/>
        <v>0</v>
      </c>
    </row>
    <row r="182" spans="1:25" ht="15.75" customHeight="1">
      <c r="A182" s="14" t="s">
        <v>374</v>
      </c>
      <c r="B182" s="15" t="s">
        <v>375</v>
      </c>
      <c r="C182" s="16">
        <v>0</v>
      </c>
      <c r="D182" s="16">
        <v>0</v>
      </c>
      <c r="E182" s="17">
        <v>0</v>
      </c>
      <c r="F182" s="18">
        <v>0</v>
      </c>
      <c r="G182" s="18">
        <v>0</v>
      </c>
      <c r="H182" s="36">
        <v>0</v>
      </c>
      <c r="I182" s="17">
        <v>0</v>
      </c>
      <c r="J182" s="17">
        <f t="shared" si="0"/>
        <v>0</v>
      </c>
      <c r="K182" s="37">
        <v>0</v>
      </c>
      <c r="L182" s="17">
        <v>0</v>
      </c>
      <c r="M182" s="17">
        <v>0</v>
      </c>
      <c r="N182" s="17">
        <f t="shared" si="1"/>
        <v>0</v>
      </c>
      <c r="O182" s="17">
        <f t="shared" si="2"/>
        <v>0</v>
      </c>
      <c r="P182" s="3"/>
      <c r="Q182" s="19">
        <f t="shared" si="3"/>
        <v>0</v>
      </c>
      <c r="R182" s="19">
        <v>0</v>
      </c>
      <c r="S182" s="19">
        <f t="shared" si="4"/>
        <v>0</v>
      </c>
      <c r="T182" s="19">
        <f t="shared" si="5"/>
        <v>0</v>
      </c>
      <c r="U182" s="19">
        <f t="shared" si="6"/>
        <v>0</v>
      </c>
      <c r="V182" s="19">
        <f t="shared" si="7"/>
        <v>0</v>
      </c>
      <c r="W182" s="19">
        <f t="shared" si="8"/>
        <v>0</v>
      </c>
      <c r="X182" s="20">
        <f t="shared" si="9"/>
        <v>0</v>
      </c>
      <c r="Y182" s="20">
        <f t="shared" si="10"/>
        <v>0</v>
      </c>
    </row>
    <row r="183" spans="1:25" ht="15.75" customHeight="1">
      <c r="A183" s="14" t="s">
        <v>376</v>
      </c>
      <c r="B183" s="15" t="s">
        <v>377</v>
      </c>
      <c r="C183" s="16">
        <v>4500</v>
      </c>
      <c r="D183" s="16">
        <v>4500</v>
      </c>
      <c r="E183" s="17">
        <v>1</v>
      </c>
      <c r="F183" s="18">
        <v>0</v>
      </c>
      <c r="G183" s="18">
        <v>0</v>
      </c>
      <c r="H183" s="36">
        <v>0</v>
      </c>
      <c r="I183" s="17">
        <v>0</v>
      </c>
      <c r="J183" s="17">
        <f t="shared" si="0"/>
        <v>1</v>
      </c>
      <c r="K183" s="37">
        <v>1</v>
      </c>
      <c r="L183" s="17">
        <v>0</v>
      </c>
      <c r="M183" s="17">
        <v>0</v>
      </c>
      <c r="N183" s="17">
        <f t="shared" si="1"/>
        <v>1</v>
      </c>
      <c r="O183" s="17">
        <f t="shared" si="2"/>
        <v>0</v>
      </c>
      <c r="P183" s="3"/>
      <c r="Q183" s="19">
        <f t="shared" si="3"/>
        <v>4500</v>
      </c>
      <c r="R183" s="19">
        <v>0</v>
      </c>
      <c r="S183" s="19">
        <f t="shared" si="4"/>
        <v>0</v>
      </c>
      <c r="T183" s="19">
        <f t="shared" si="5"/>
        <v>0</v>
      </c>
      <c r="U183" s="19">
        <f t="shared" si="6"/>
        <v>0</v>
      </c>
      <c r="V183" s="19">
        <f t="shared" si="7"/>
        <v>0</v>
      </c>
      <c r="W183" s="19">
        <f t="shared" si="8"/>
        <v>4500</v>
      </c>
      <c r="X183" s="20">
        <f t="shared" si="9"/>
        <v>4500</v>
      </c>
      <c r="Y183" s="20">
        <f t="shared" si="10"/>
        <v>0</v>
      </c>
    </row>
    <row r="184" spans="1:25" ht="15.75" customHeight="1">
      <c r="A184" s="14" t="s">
        <v>378</v>
      </c>
      <c r="B184" s="15" t="s">
        <v>379</v>
      </c>
      <c r="C184" s="16">
        <v>1860</v>
      </c>
      <c r="D184" s="16">
        <v>1860</v>
      </c>
      <c r="E184" s="17">
        <v>0</v>
      </c>
      <c r="F184" s="18">
        <v>0</v>
      </c>
      <c r="G184" s="18">
        <v>0</v>
      </c>
      <c r="H184" s="39">
        <v>0</v>
      </c>
      <c r="I184" s="17">
        <v>0</v>
      </c>
      <c r="J184" s="17">
        <f t="shared" si="0"/>
        <v>0</v>
      </c>
      <c r="K184" s="37">
        <v>0</v>
      </c>
      <c r="L184" s="17">
        <v>0</v>
      </c>
      <c r="M184" s="17">
        <v>0</v>
      </c>
      <c r="N184" s="17">
        <f t="shared" si="1"/>
        <v>0</v>
      </c>
      <c r="O184" s="17">
        <f t="shared" si="2"/>
        <v>0</v>
      </c>
      <c r="P184" s="3"/>
      <c r="Q184" s="19">
        <f t="shared" si="3"/>
        <v>0</v>
      </c>
      <c r="R184" s="19">
        <v>0</v>
      </c>
      <c r="S184" s="19">
        <f t="shared" si="4"/>
        <v>0</v>
      </c>
      <c r="T184" s="19">
        <f t="shared" si="5"/>
        <v>0</v>
      </c>
      <c r="U184" s="19">
        <f t="shared" si="6"/>
        <v>0</v>
      </c>
      <c r="V184" s="19">
        <f t="shared" si="7"/>
        <v>0</v>
      </c>
      <c r="W184" s="19">
        <f t="shared" si="8"/>
        <v>0</v>
      </c>
      <c r="X184" s="20">
        <f t="shared" si="9"/>
        <v>0</v>
      </c>
      <c r="Y184" s="20">
        <f t="shared" si="10"/>
        <v>0</v>
      </c>
    </row>
    <row r="185" spans="1:25" ht="15.75" customHeight="1">
      <c r="A185" s="14" t="s">
        <v>380</v>
      </c>
      <c r="B185" s="15" t="s">
        <v>381</v>
      </c>
      <c r="C185" s="16">
        <v>1780</v>
      </c>
      <c r="D185" s="16">
        <v>1780</v>
      </c>
      <c r="E185" s="17">
        <v>1</v>
      </c>
      <c r="F185" s="18">
        <v>0</v>
      </c>
      <c r="G185" s="18">
        <v>0</v>
      </c>
      <c r="H185" s="36">
        <v>0</v>
      </c>
      <c r="I185" s="17">
        <v>0</v>
      </c>
      <c r="J185" s="17">
        <f t="shared" si="0"/>
        <v>1</v>
      </c>
      <c r="K185" s="37">
        <v>1</v>
      </c>
      <c r="L185" s="17">
        <v>0</v>
      </c>
      <c r="M185" s="17">
        <v>0</v>
      </c>
      <c r="N185" s="17">
        <f t="shared" si="1"/>
        <v>1</v>
      </c>
      <c r="O185" s="17">
        <f t="shared" si="2"/>
        <v>0</v>
      </c>
      <c r="P185" s="3"/>
      <c r="Q185" s="19">
        <f t="shared" si="3"/>
        <v>1780</v>
      </c>
      <c r="R185" s="19">
        <v>0</v>
      </c>
      <c r="S185" s="19">
        <f t="shared" si="4"/>
        <v>0</v>
      </c>
      <c r="T185" s="19">
        <f t="shared" si="5"/>
        <v>0</v>
      </c>
      <c r="U185" s="19">
        <f t="shared" si="6"/>
        <v>0</v>
      </c>
      <c r="V185" s="19">
        <f t="shared" si="7"/>
        <v>0</v>
      </c>
      <c r="W185" s="19">
        <f t="shared" si="8"/>
        <v>1780</v>
      </c>
      <c r="X185" s="20">
        <f t="shared" si="9"/>
        <v>1780</v>
      </c>
      <c r="Y185" s="20">
        <f t="shared" si="10"/>
        <v>0</v>
      </c>
    </row>
    <row r="186" spans="1:25" ht="15.75" customHeight="1">
      <c r="A186" s="14" t="s">
        <v>382</v>
      </c>
      <c r="B186" s="15" t="s">
        <v>383</v>
      </c>
      <c r="C186" s="16">
        <v>530</v>
      </c>
      <c r="D186" s="16">
        <v>530</v>
      </c>
      <c r="E186" s="17">
        <v>4</v>
      </c>
      <c r="F186" s="18">
        <v>0</v>
      </c>
      <c r="G186" s="18">
        <v>0</v>
      </c>
      <c r="H186" s="36">
        <v>0</v>
      </c>
      <c r="I186" s="17">
        <v>0</v>
      </c>
      <c r="J186" s="17">
        <f t="shared" si="0"/>
        <v>4</v>
      </c>
      <c r="K186" s="37">
        <v>4</v>
      </c>
      <c r="L186" s="17">
        <v>0</v>
      </c>
      <c r="M186" s="17">
        <v>0</v>
      </c>
      <c r="N186" s="17">
        <f t="shared" si="1"/>
        <v>4</v>
      </c>
      <c r="O186" s="17">
        <f t="shared" si="2"/>
        <v>0</v>
      </c>
      <c r="P186" s="3"/>
      <c r="Q186" s="19">
        <f t="shared" si="3"/>
        <v>2120</v>
      </c>
      <c r="R186" s="19">
        <v>0</v>
      </c>
      <c r="S186" s="19">
        <f t="shared" si="4"/>
        <v>0</v>
      </c>
      <c r="T186" s="19">
        <f t="shared" si="5"/>
        <v>0</v>
      </c>
      <c r="U186" s="19">
        <f t="shared" si="6"/>
        <v>0</v>
      </c>
      <c r="V186" s="19">
        <f t="shared" si="7"/>
        <v>0</v>
      </c>
      <c r="W186" s="19">
        <f t="shared" si="8"/>
        <v>2120</v>
      </c>
      <c r="X186" s="20">
        <f t="shared" si="9"/>
        <v>2120</v>
      </c>
      <c r="Y186" s="20">
        <f t="shared" si="10"/>
        <v>0</v>
      </c>
    </row>
    <row r="187" spans="1:25" ht="15.75" customHeight="1">
      <c r="A187" s="14" t="s">
        <v>384</v>
      </c>
      <c r="B187" s="15" t="s">
        <v>385</v>
      </c>
      <c r="C187" s="16">
        <v>250</v>
      </c>
      <c r="D187" s="16">
        <v>250</v>
      </c>
      <c r="E187" s="17">
        <v>2</v>
      </c>
      <c r="F187" s="18">
        <v>0</v>
      </c>
      <c r="G187" s="18">
        <v>0</v>
      </c>
      <c r="H187" s="36">
        <v>0</v>
      </c>
      <c r="I187" s="17">
        <v>0</v>
      </c>
      <c r="J187" s="17">
        <f t="shared" si="0"/>
        <v>2</v>
      </c>
      <c r="K187" s="37">
        <v>2</v>
      </c>
      <c r="L187" s="17">
        <v>0</v>
      </c>
      <c r="M187" s="17">
        <v>0</v>
      </c>
      <c r="N187" s="17">
        <f t="shared" si="1"/>
        <v>2</v>
      </c>
      <c r="O187" s="17">
        <f t="shared" si="2"/>
        <v>0</v>
      </c>
      <c r="P187" s="3"/>
      <c r="Q187" s="19">
        <f t="shared" si="3"/>
        <v>500</v>
      </c>
      <c r="R187" s="19">
        <v>0</v>
      </c>
      <c r="S187" s="19">
        <f t="shared" si="4"/>
        <v>0</v>
      </c>
      <c r="T187" s="19">
        <f t="shared" si="5"/>
        <v>0</v>
      </c>
      <c r="U187" s="19">
        <f t="shared" si="6"/>
        <v>0</v>
      </c>
      <c r="V187" s="19">
        <f t="shared" si="7"/>
        <v>0</v>
      </c>
      <c r="W187" s="19">
        <f t="shared" si="8"/>
        <v>500</v>
      </c>
      <c r="X187" s="20">
        <f t="shared" si="9"/>
        <v>500</v>
      </c>
      <c r="Y187" s="20">
        <f t="shared" si="10"/>
        <v>0</v>
      </c>
    </row>
    <row r="188" spans="1:25" ht="15.75" customHeight="1">
      <c r="A188" s="14" t="s">
        <v>386</v>
      </c>
      <c r="B188" s="15" t="s">
        <v>387</v>
      </c>
      <c r="C188" s="16">
        <v>517.89</v>
      </c>
      <c r="D188" s="16">
        <v>517.89</v>
      </c>
      <c r="E188" s="17">
        <v>50</v>
      </c>
      <c r="F188" s="18">
        <v>0</v>
      </c>
      <c r="G188" s="18">
        <v>0</v>
      </c>
      <c r="H188" s="36">
        <v>0</v>
      </c>
      <c r="I188" s="17">
        <v>0</v>
      </c>
      <c r="J188" s="17">
        <f t="shared" si="0"/>
        <v>50</v>
      </c>
      <c r="K188" s="37">
        <v>50</v>
      </c>
      <c r="L188" s="17">
        <v>0</v>
      </c>
      <c r="M188" s="17">
        <v>0</v>
      </c>
      <c r="N188" s="17">
        <f t="shared" si="1"/>
        <v>50</v>
      </c>
      <c r="O188" s="17">
        <f t="shared" si="2"/>
        <v>0</v>
      </c>
      <c r="P188" s="3"/>
      <c r="Q188" s="19">
        <f t="shared" si="3"/>
        <v>25894.5</v>
      </c>
      <c r="R188" s="19">
        <v>0</v>
      </c>
      <c r="S188" s="19">
        <f t="shared" si="4"/>
        <v>0</v>
      </c>
      <c r="T188" s="19">
        <f t="shared" si="5"/>
        <v>0</v>
      </c>
      <c r="U188" s="19">
        <f t="shared" si="6"/>
        <v>0</v>
      </c>
      <c r="V188" s="19">
        <f t="shared" si="7"/>
        <v>0</v>
      </c>
      <c r="W188" s="19">
        <f t="shared" si="8"/>
        <v>25894.5</v>
      </c>
      <c r="X188" s="20">
        <f t="shared" si="9"/>
        <v>25894.5</v>
      </c>
      <c r="Y188" s="20">
        <f t="shared" si="10"/>
        <v>0</v>
      </c>
    </row>
    <row r="189" spans="1:25" ht="15.75" customHeight="1">
      <c r="A189" s="14" t="s">
        <v>388</v>
      </c>
      <c r="B189" s="15" t="s">
        <v>389</v>
      </c>
      <c r="C189" s="16">
        <v>70</v>
      </c>
      <c r="D189" s="16">
        <v>70</v>
      </c>
      <c r="E189" s="17">
        <v>4</v>
      </c>
      <c r="F189" s="18">
        <v>0</v>
      </c>
      <c r="G189" s="18">
        <v>0</v>
      </c>
      <c r="H189" s="36">
        <v>0</v>
      </c>
      <c r="I189" s="17">
        <v>0</v>
      </c>
      <c r="J189" s="17">
        <f t="shared" si="0"/>
        <v>4</v>
      </c>
      <c r="K189" s="37">
        <v>4</v>
      </c>
      <c r="L189" s="17">
        <v>0</v>
      </c>
      <c r="M189" s="17">
        <v>0</v>
      </c>
      <c r="N189" s="17">
        <f t="shared" si="1"/>
        <v>4</v>
      </c>
      <c r="O189" s="17">
        <f t="shared" si="2"/>
        <v>0</v>
      </c>
      <c r="P189" s="3"/>
      <c r="Q189" s="19">
        <f t="shared" si="3"/>
        <v>280</v>
      </c>
      <c r="R189" s="19">
        <v>0</v>
      </c>
      <c r="S189" s="19">
        <f t="shared" si="4"/>
        <v>0</v>
      </c>
      <c r="T189" s="19">
        <f t="shared" si="5"/>
        <v>0</v>
      </c>
      <c r="U189" s="19">
        <f t="shared" si="6"/>
        <v>0</v>
      </c>
      <c r="V189" s="19">
        <f t="shared" si="7"/>
        <v>0</v>
      </c>
      <c r="W189" s="19">
        <f t="shared" si="8"/>
        <v>280</v>
      </c>
      <c r="X189" s="20">
        <f t="shared" si="9"/>
        <v>280</v>
      </c>
      <c r="Y189" s="20">
        <f t="shared" si="10"/>
        <v>0</v>
      </c>
    </row>
    <row r="190" spans="1:25" ht="15.75" customHeight="1">
      <c r="A190" s="14" t="s">
        <v>390</v>
      </c>
      <c r="B190" s="15" t="s">
        <v>391</v>
      </c>
      <c r="C190" s="16">
        <v>0</v>
      </c>
      <c r="D190" s="16">
        <v>0</v>
      </c>
      <c r="E190" s="17">
        <v>0</v>
      </c>
      <c r="F190" s="18">
        <v>0</v>
      </c>
      <c r="G190" s="18">
        <v>0</v>
      </c>
      <c r="H190" s="36">
        <v>0</v>
      </c>
      <c r="I190" s="17">
        <v>0</v>
      </c>
      <c r="J190" s="17">
        <f t="shared" si="0"/>
        <v>0</v>
      </c>
      <c r="K190" s="37">
        <v>0</v>
      </c>
      <c r="L190" s="17">
        <v>0</v>
      </c>
      <c r="M190" s="17">
        <v>0</v>
      </c>
      <c r="N190" s="17">
        <f t="shared" si="1"/>
        <v>0</v>
      </c>
      <c r="O190" s="17">
        <f t="shared" si="2"/>
        <v>0</v>
      </c>
      <c r="P190" s="3"/>
      <c r="Q190" s="19">
        <f t="shared" si="3"/>
        <v>0</v>
      </c>
      <c r="R190" s="19">
        <v>0</v>
      </c>
      <c r="S190" s="19">
        <f t="shared" si="4"/>
        <v>0</v>
      </c>
      <c r="T190" s="19">
        <f t="shared" si="5"/>
        <v>0</v>
      </c>
      <c r="U190" s="19">
        <f t="shared" si="6"/>
        <v>0</v>
      </c>
      <c r="V190" s="19">
        <f t="shared" si="7"/>
        <v>0</v>
      </c>
      <c r="W190" s="19">
        <f t="shared" si="8"/>
        <v>0</v>
      </c>
      <c r="X190" s="20">
        <f t="shared" si="9"/>
        <v>0</v>
      </c>
      <c r="Y190" s="20">
        <f t="shared" si="10"/>
        <v>0</v>
      </c>
    </row>
    <row r="191" spans="1:25" ht="15.75" customHeight="1">
      <c r="A191" s="14" t="s">
        <v>392</v>
      </c>
      <c r="B191" s="15" t="s">
        <v>393</v>
      </c>
      <c r="C191" s="16">
        <v>690</v>
      </c>
      <c r="D191" s="16">
        <v>690</v>
      </c>
      <c r="E191" s="17">
        <v>1</v>
      </c>
      <c r="F191" s="18">
        <v>0</v>
      </c>
      <c r="G191" s="18">
        <v>0</v>
      </c>
      <c r="H191" s="36">
        <v>0</v>
      </c>
      <c r="I191" s="17">
        <v>0</v>
      </c>
      <c r="J191" s="17">
        <f t="shared" si="0"/>
        <v>1</v>
      </c>
      <c r="K191" s="37">
        <v>1</v>
      </c>
      <c r="L191" s="17">
        <v>0</v>
      </c>
      <c r="M191" s="17">
        <v>0</v>
      </c>
      <c r="N191" s="17">
        <f t="shared" si="1"/>
        <v>1</v>
      </c>
      <c r="O191" s="17">
        <f t="shared" si="2"/>
        <v>0</v>
      </c>
      <c r="P191" s="3"/>
      <c r="Q191" s="19">
        <f t="shared" si="3"/>
        <v>690</v>
      </c>
      <c r="R191" s="19">
        <v>0</v>
      </c>
      <c r="S191" s="19">
        <f t="shared" si="4"/>
        <v>0</v>
      </c>
      <c r="T191" s="19">
        <f t="shared" si="5"/>
        <v>0</v>
      </c>
      <c r="U191" s="19">
        <f t="shared" si="6"/>
        <v>0</v>
      </c>
      <c r="V191" s="19">
        <f t="shared" si="7"/>
        <v>0</v>
      </c>
      <c r="W191" s="19">
        <f t="shared" si="8"/>
        <v>690</v>
      </c>
      <c r="X191" s="20">
        <f t="shared" si="9"/>
        <v>690</v>
      </c>
      <c r="Y191" s="20">
        <f t="shared" si="10"/>
        <v>0</v>
      </c>
    </row>
    <row r="192" spans="1:25" ht="15.75" customHeight="1">
      <c r="A192" s="14" t="s">
        <v>394</v>
      </c>
      <c r="B192" s="15" t="s">
        <v>395</v>
      </c>
      <c r="C192" s="16">
        <v>0</v>
      </c>
      <c r="D192" s="16">
        <v>0</v>
      </c>
      <c r="E192" s="17">
        <v>0</v>
      </c>
      <c r="F192" s="18">
        <v>0</v>
      </c>
      <c r="G192" s="18">
        <v>0</v>
      </c>
      <c r="H192" s="36">
        <v>0</v>
      </c>
      <c r="I192" s="17">
        <v>0</v>
      </c>
      <c r="J192" s="17">
        <f t="shared" si="0"/>
        <v>0</v>
      </c>
      <c r="K192" s="37">
        <v>0</v>
      </c>
      <c r="L192" s="17">
        <v>0</v>
      </c>
      <c r="M192" s="17">
        <v>0</v>
      </c>
      <c r="N192" s="17">
        <f t="shared" si="1"/>
        <v>0</v>
      </c>
      <c r="O192" s="17">
        <f t="shared" si="2"/>
        <v>0</v>
      </c>
      <c r="P192" s="3"/>
      <c r="Q192" s="19">
        <f t="shared" si="3"/>
        <v>0</v>
      </c>
      <c r="R192" s="19">
        <v>0</v>
      </c>
      <c r="S192" s="19">
        <f t="shared" si="4"/>
        <v>0</v>
      </c>
      <c r="T192" s="19">
        <f t="shared" si="5"/>
        <v>0</v>
      </c>
      <c r="U192" s="19">
        <f t="shared" si="6"/>
        <v>0</v>
      </c>
      <c r="V192" s="19">
        <f t="shared" si="7"/>
        <v>0</v>
      </c>
      <c r="W192" s="19">
        <f t="shared" si="8"/>
        <v>0</v>
      </c>
      <c r="X192" s="20">
        <f t="shared" si="9"/>
        <v>0</v>
      </c>
      <c r="Y192" s="20">
        <f t="shared" si="10"/>
        <v>0</v>
      </c>
    </row>
    <row r="193" spans="1:25" ht="15.75" customHeight="1">
      <c r="A193" s="14" t="s">
        <v>396</v>
      </c>
      <c r="B193" s="15" t="s">
        <v>397</v>
      </c>
      <c r="C193" s="16">
        <v>60</v>
      </c>
      <c r="D193" s="16">
        <v>60</v>
      </c>
      <c r="E193" s="17">
        <v>9</v>
      </c>
      <c r="F193" s="18">
        <v>0</v>
      </c>
      <c r="G193" s="18">
        <v>0</v>
      </c>
      <c r="H193" s="36">
        <v>5</v>
      </c>
      <c r="I193" s="17">
        <v>0</v>
      </c>
      <c r="J193" s="17">
        <f t="shared" si="0"/>
        <v>4</v>
      </c>
      <c r="K193" s="37">
        <v>4</v>
      </c>
      <c r="L193" s="17">
        <v>0</v>
      </c>
      <c r="M193" s="17">
        <v>0</v>
      </c>
      <c r="N193" s="17">
        <f t="shared" si="1"/>
        <v>4</v>
      </c>
      <c r="O193" s="17">
        <f t="shared" si="2"/>
        <v>0</v>
      </c>
      <c r="P193" s="3"/>
      <c r="Q193" s="19">
        <f t="shared" si="3"/>
        <v>540</v>
      </c>
      <c r="R193" s="19">
        <v>0</v>
      </c>
      <c r="S193" s="19">
        <f t="shared" si="4"/>
        <v>0</v>
      </c>
      <c r="T193" s="19">
        <f t="shared" si="5"/>
        <v>0</v>
      </c>
      <c r="U193" s="19">
        <f t="shared" si="6"/>
        <v>300</v>
      </c>
      <c r="V193" s="19">
        <f t="shared" si="7"/>
        <v>0</v>
      </c>
      <c r="W193" s="19">
        <f t="shared" si="8"/>
        <v>240</v>
      </c>
      <c r="X193" s="20">
        <f t="shared" si="9"/>
        <v>240</v>
      </c>
      <c r="Y193" s="20">
        <f t="shared" si="10"/>
        <v>0</v>
      </c>
    </row>
    <row r="194" spans="1:25" ht="15.75" customHeight="1">
      <c r="A194" s="14" t="s">
        <v>398</v>
      </c>
      <c r="B194" s="15" t="s">
        <v>399</v>
      </c>
      <c r="C194" s="16">
        <v>620</v>
      </c>
      <c r="D194" s="16">
        <v>620</v>
      </c>
      <c r="E194" s="17">
        <v>0</v>
      </c>
      <c r="F194" s="18">
        <v>0</v>
      </c>
      <c r="G194" s="18">
        <v>0</v>
      </c>
      <c r="H194" s="36">
        <v>0</v>
      </c>
      <c r="I194" s="17">
        <v>0</v>
      </c>
      <c r="J194" s="17">
        <f t="shared" si="0"/>
        <v>0</v>
      </c>
      <c r="K194" s="37">
        <v>0</v>
      </c>
      <c r="L194" s="17">
        <v>0</v>
      </c>
      <c r="M194" s="17">
        <v>0</v>
      </c>
      <c r="N194" s="17">
        <f t="shared" si="1"/>
        <v>0</v>
      </c>
      <c r="O194" s="17">
        <f t="shared" si="2"/>
        <v>0</v>
      </c>
      <c r="P194" s="3"/>
      <c r="Q194" s="19">
        <f t="shared" si="3"/>
        <v>0</v>
      </c>
      <c r="R194" s="19">
        <v>0</v>
      </c>
      <c r="S194" s="19">
        <f t="shared" si="4"/>
        <v>0</v>
      </c>
      <c r="T194" s="19">
        <f t="shared" si="5"/>
        <v>0</v>
      </c>
      <c r="U194" s="19">
        <f t="shared" si="6"/>
        <v>0</v>
      </c>
      <c r="V194" s="19">
        <f t="shared" si="7"/>
        <v>0</v>
      </c>
      <c r="W194" s="19">
        <f t="shared" si="8"/>
        <v>0</v>
      </c>
      <c r="X194" s="20">
        <f t="shared" si="9"/>
        <v>0</v>
      </c>
      <c r="Y194" s="20">
        <f t="shared" si="10"/>
        <v>0</v>
      </c>
    </row>
    <row r="195" spans="1:25" ht="15.75" customHeight="1">
      <c r="A195" s="14" t="s">
        <v>400</v>
      </c>
      <c r="B195" s="15" t="s">
        <v>401</v>
      </c>
      <c r="C195" s="16">
        <v>390</v>
      </c>
      <c r="D195" s="16">
        <v>390</v>
      </c>
      <c r="E195" s="17">
        <v>3</v>
      </c>
      <c r="F195" s="18">
        <v>0</v>
      </c>
      <c r="G195" s="18">
        <v>0</v>
      </c>
      <c r="H195" s="36">
        <v>0</v>
      </c>
      <c r="I195" s="17">
        <v>0</v>
      </c>
      <c r="J195" s="17">
        <f t="shared" si="0"/>
        <v>3</v>
      </c>
      <c r="K195" s="37">
        <v>3</v>
      </c>
      <c r="L195" s="17">
        <v>0</v>
      </c>
      <c r="M195" s="17">
        <v>0</v>
      </c>
      <c r="N195" s="17">
        <f t="shared" si="1"/>
        <v>3</v>
      </c>
      <c r="O195" s="17">
        <f t="shared" si="2"/>
        <v>0</v>
      </c>
      <c r="P195" s="3"/>
      <c r="Q195" s="19">
        <f t="shared" si="3"/>
        <v>1170</v>
      </c>
      <c r="R195" s="19">
        <v>0</v>
      </c>
      <c r="S195" s="19">
        <f t="shared" si="4"/>
        <v>0</v>
      </c>
      <c r="T195" s="19">
        <f t="shared" si="5"/>
        <v>0</v>
      </c>
      <c r="U195" s="19">
        <f t="shared" si="6"/>
        <v>0</v>
      </c>
      <c r="V195" s="19">
        <f t="shared" si="7"/>
        <v>0</v>
      </c>
      <c r="W195" s="19">
        <f t="shared" si="8"/>
        <v>1170</v>
      </c>
      <c r="X195" s="20">
        <f t="shared" si="9"/>
        <v>1170</v>
      </c>
      <c r="Y195" s="20">
        <f t="shared" si="10"/>
        <v>0</v>
      </c>
    </row>
    <row r="196" spans="1:25" ht="15.75" customHeight="1">
      <c r="A196" s="14" t="s">
        <v>402</v>
      </c>
      <c r="B196" s="15" t="s">
        <v>403</v>
      </c>
      <c r="C196" s="16">
        <v>320</v>
      </c>
      <c r="D196" s="16">
        <v>320</v>
      </c>
      <c r="E196" s="17">
        <v>0</v>
      </c>
      <c r="F196" s="18">
        <v>0</v>
      </c>
      <c r="G196" s="18">
        <v>0</v>
      </c>
      <c r="H196" s="36">
        <v>0</v>
      </c>
      <c r="I196" s="17">
        <v>0</v>
      </c>
      <c r="J196" s="17">
        <f t="shared" si="0"/>
        <v>0</v>
      </c>
      <c r="K196" s="37">
        <v>0</v>
      </c>
      <c r="L196" s="17">
        <v>0</v>
      </c>
      <c r="M196" s="17">
        <v>0</v>
      </c>
      <c r="N196" s="17">
        <f t="shared" si="1"/>
        <v>0</v>
      </c>
      <c r="O196" s="17">
        <f t="shared" si="2"/>
        <v>0</v>
      </c>
      <c r="P196" s="3"/>
      <c r="Q196" s="19">
        <f t="shared" si="3"/>
        <v>0</v>
      </c>
      <c r="R196" s="19">
        <v>0</v>
      </c>
      <c r="S196" s="19">
        <f t="shared" si="4"/>
        <v>0</v>
      </c>
      <c r="T196" s="19">
        <f t="shared" si="5"/>
        <v>0</v>
      </c>
      <c r="U196" s="19">
        <f t="shared" si="6"/>
        <v>0</v>
      </c>
      <c r="V196" s="19">
        <f t="shared" si="7"/>
        <v>0</v>
      </c>
      <c r="W196" s="19">
        <f t="shared" si="8"/>
        <v>0</v>
      </c>
      <c r="X196" s="20">
        <f t="shared" si="9"/>
        <v>0</v>
      </c>
      <c r="Y196" s="20">
        <f t="shared" si="10"/>
        <v>0</v>
      </c>
    </row>
    <row r="197" spans="1:25" ht="15.75" customHeight="1">
      <c r="A197" s="14" t="s">
        <v>404</v>
      </c>
      <c r="B197" s="15" t="s">
        <v>405</v>
      </c>
      <c r="C197" s="16">
        <v>80</v>
      </c>
      <c r="D197" s="16">
        <v>80</v>
      </c>
      <c r="E197" s="17">
        <v>1</v>
      </c>
      <c r="F197" s="18">
        <v>0</v>
      </c>
      <c r="G197" s="18">
        <v>0</v>
      </c>
      <c r="H197" s="36">
        <v>0</v>
      </c>
      <c r="I197" s="17">
        <v>0</v>
      </c>
      <c r="J197" s="17">
        <f t="shared" si="0"/>
        <v>1</v>
      </c>
      <c r="K197" s="37">
        <v>1</v>
      </c>
      <c r="L197" s="17">
        <v>0</v>
      </c>
      <c r="M197" s="17">
        <v>0</v>
      </c>
      <c r="N197" s="17">
        <f t="shared" si="1"/>
        <v>1</v>
      </c>
      <c r="O197" s="17">
        <f t="shared" si="2"/>
        <v>0</v>
      </c>
      <c r="P197" s="3"/>
      <c r="Q197" s="19">
        <f t="shared" si="3"/>
        <v>80</v>
      </c>
      <c r="R197" s="19">
        <v>0</v>
      </c>
      <c r="S197" s="19">
        <f t="shared" si="4"/>
        <v>0</v>
      </c>
      <c r="T197" s="19">
        <f t="shared" si="5"/>
        <v>0</v>
      </c>
      <c r="U197" s="19">
        <f t="shared" si="6"/>
        <v>0</v>
      </c>
      <c r="V197" s="19">
        <f t="shared" si="7"/>
        <v>0</v>
      </c>
      <c r="W197" s="19">
        <f t="shared" si="8"/>
        <v>80</v>
      </c>
      <c r="X197" s="20">
        <f t="shared" si="9"/>
        <v>80</v>
      </c>
      <c r="Y197" s="20">
        <f t="shared" si="10"/>
        <v>0</v>
      </c>
    </row>
    <row r="198" spans="1:25" ht="15.75" customHeight="1">
      <c r="A198" s="14" t="s">
        <v>406</v>
      </c>
      <c r="B198" s="15" t="s">
        <v>407</v>
      </c>
      <c r="C198" s="16">
        <v>251.92</v>
      </c>
      <c r="D198" s="16">
        <v>251.92</v>
      </c>
      <c r="E198" s="17">
        <v>2</v>
      </c>
      <c r="F198" s="18">
        <v>0</v>
      </c>
      <c r="G198" s="18">
        <v>0</v>
      </c>
      <c r="H198" s="36">
        <v>0</v>
      </c>
      <c r="I198" s="17">
        <v>0</v>
      </c>
      <c r="J198" s="17">
        <f t="shared" si="0"/>
        <v>2</v>
      </c>
      <c r="K198" s="37">
        <v>2</v>
      </c>
      <c r="L198" s="17">
        <v>0</v>
      </c>
      <c r="M198" s="17">
        <v>0</v>
      </c>
      <c r="N198" s="17">
        <f t="shared" si="1"/>
        <v>2</v>
      </c>
      <c r="O198" s="17">
        <f t="shared" si="2"/>
        <v>0</v>
      </c>
      <c r="P198" s="3"/>
      <c r="Q198" s="19">
        <f t="shared" si="3"/>
        <v>503.84</v>
      </c>
      <c r="R198" s="19">
        <v>0</v>
      </c>
      <c r="S198" s="19">
        <f t="shared" si="4"/>
        <v>0</v>
      </c>
      <c r="T198" s="19">
        <f t="shared" si="5"/>
        <v>0</v>
      </c>
      <c r="U198" s="19">
        <f t="shared" si="6"/>
        <v>0</v>
      </c>
      <c r="V198" s="19">
        <f t="shared" si="7"/>
        <v>0</v>
      </c>
      <c r="W198" s="19">
        <f t="shared" si="8"/>
        <v>503.84</v>
      </c>
      <c r="X198" s="20">
        <f t="shared" si="9"/>
        <v>503.84</v>
      </c>
      <c r="Y198" s="20">
        <f t="shared" si="10"/>
        <v>0</v>
      </c>
    </row>
    <row r="199" spans="1:25" ht="15.75" customHeight="1">
      <c r="A199" s="14" t="s">
        <v>408</v>
      </c>
      <c r="B199" s="15" t="s">
        <v>409</v>
      </c>
      <c r="C199" s="16">
        <v>3400</v>
      </c>
      <c r="D199" s="16">
        <v>3400</v>
      </c>
      <c r="E199" s="17">
        <v>1</v>
      </c>
      <c r="F199" s="18">
        <v>0</v>
      </c>
      <c r="G199" s="18">
        <v>0</v>
      </c>
      <c r="H199" s="36">
        <v>0</v>
      </c>
      <c r="I199" s="17">
        <v>0</v>
      </c>
      <c r="J199" s="17">
        <f t="shared" si="0"/>
        <v>1</v>
      </c>
      <c r="K199" s="37">
        <v>1</v>
      </c>
      <c r="L199" s="17">
        <v>0</v>
      </c>
      <c r="M199" s="17">
        <v>0</v>
      </c>
      <c r="N199" s="17">
        <f t="shared" si="1"/>
        <v>1</v>
      </c>
      <c r="O199" s="17">
        <f t="shared" si="2"/>
        <v>0</v>
      </c>
      <c r="P199" s="3"/>
      <c r="Q199" s="19">
        <f t="shared" si="3"/>
        <v>3400</v>
      </c>
      <c r="R199" s="19">
        <v>0</v>
      </c>
      <c r="S199" s="19">
        <f t="shared" si="4"/>
        <v>0</v>
      </c>
      <c r="T199" s="19">
        <f t="shared" si="5"/>
        <v>0</v>
      </c>
      <c r="U199" s="19">
        <f t="shared" si="6"/>
        <v>0</v>
      </c>
      <c r="V199" s="19">
        <f t="shared" si="7"/>
        <v>0</v>
      </c>
      <c r="W199" s="19">
        <f t="shared" si="8"/>
        <v>3400</v>
      </c>
      <c r="X199" s="20">
        <f t="shared" si="9"/>
        <v>3400</v>
      </c>
      <c r="Y199" s="20">
        <f t="shared" si="10"/>
        <v>0</v>
      </c>
    </row>
    <row r="200" spans="1:25" ht="15.75" customHeight="1">
      <c r="A200" s="14" t="s">
        <v>410</v>
      </c>
      <c r="B200" s="15" t="s">
        <v>411</v>
      </c>
      <c r="C200" s="16">
        <v>6665.36</v>
      </c>
      <c r="D200" s="16">
        <v>6665.36</v>
      </c>
      <c r="E200" s="17">
        <v>0</v>
      </c>
      <c r="F200" s="18">
        <v>0</v>
      </c>
      <c r="G200" s="18">
        <v>0</v>
      </c>
      <c r="H200" s="36">
        <v>0</v>
      </c>
      <c r="I200" s="17">
        <v>0</v>
      </c>
      <c r="J200" s="17">
        <f t="shared" si="0"/>
        <v>0</v>
      </c>
      <c r="K200" s="37">
        <v>0</v>
      </c>
      <c r="L200" s="17">
        <v>0</v>
      </c>
      <c r="M200" s="17">
        <v>0</v>
      </c>
      <c r="N200" s="17">
        <f t="shared" si="1"/>
        <v>0</v>
      </c>
      <c r="O200" s="17">
        <f t="shared" si="2"/>
        <v>0</v>
      </c>
      <c r="P200" s="3"/>
      <c r="Q200" s="19">
        <f t="shared" si="3"/>
        <v>0</v>
      </c>
      <c r="R200" s="19">
        <v>0</v>
      </c>
      <c r="S200" s="19">
        <f t="shared" si="4"/>
        <v>0</v>
      </c>
      <c r="T200" s="19">
        <f t="shared" si="5"/>
        <v>0</v>
      </c>
      <c r="U200" s="19">
        <f t="shared" si="6"/>
        <v>0</v>
      </c>
      <c r="V200" s="19">
        <f t="shared" si="7"/>
        <v>0</v>
      </c>
      <c r="W200" s="19">
        <f t="shared" si="8"/>
        <v>0</v>
      </c>
      <c r="X200" s="20">
        <f t="shared" si="9"/>
        <v>0</v>
      </c>
      <c r="Y200" s="20">
        <f t="shared" si="10"/>
        <v>0</v>
      </c>
    </row>
    <row r="201" spans="1:25" ht="15.75" customHeight="1">
      <c r="A201" s="14" t="s">
        <v>412</v>
      </c>
      <c r="B201" s="15" t="s">
        <v>413</v>
      </c>
      <c r="C201" s="16">
        <v>0</v>
      </c>
      <c r="D201" s="16">
        <v>0</v>
      </c>
      <c r="E201" s="17">
        <v>0</v>
      </c>
      <c r="F201" s="18">
        <v>0</v>
      </c>
      <c r="G201" s="18">
        <v>0</v>
      </c>
      <c r="H201" s="36">
        <v>0</v>
      </c>
      <c r="I201" s="17">
        <v>0</v>
      </c>
      <c r="J201" s="17">
        <f t="shared" si="0"/>
        <v>0</v>
      </c>
      <c r="K201" s="37">
        <v>0</v>
      </c>
      <c r="L201" s="17">
        <v>0</v>
      </c>
      <c r="M201" s="17">
        <v>0</v>
      </c>
      <c r="N201" s="17">
        <f t="shared" si="1"/>
        <v>0</v>
      </c>
      <c r="O201" s="17">
        <f t="shared" si="2"/>
        <v>0</v>
      </c>
      <c r="P201" s="3"/>
      <c r="Q201" s="19">
        <f t="shared" si="3"/>
        <v>0</v>
      </c>
      <c r="R201" s="19">
        <v>0</v>
      </c>
      <c r="S201" s="19">
        <f t="shared" si="4"/>
        <v>0</v>
      </c>
      <c r="T201" s="19">
        <f t="shared" si="5"/>
        <v>0</v>
      </c>
      <c r="U201" s="19">
        <f t="shared" si="6"/>
        <v>0</v>
      </c>
      <c r="V201" s="19">
        <f t="shared" si="7"/>
        <v>0</v>
      </c>
      <c r="W201" s="19">
        <f t="shared" si="8"/>
        <v>0</v>
      </c>
      <c r="X201" s="20">
        <f t="shared" si="9"/>
        <v>0</v>
      </c>
      <c r="Y201" s="20">
        <f t="shared" si="10"/>
        <v>0</v>
      </c>
    </row>
    <row r="202" spans="1:25" ht="15.75" customHeight="1">
      <c r="A202" s="14" t="s">
        <v>414</v>
      </c>
      <c r="B202" s="15" t="s">
        <v>415</v>
      </c>
      <c r="C202" s="16">
        <v>68</v>
      </c>
      <c r="D202" s="16">
        <v>68</v>
      </c>
      <c r="E202" s="17">
        <v>50</v>
      </c>
      <c r="F202" s="18">
        <v>0</v>
      </c>
      <c r="G202" s="18">
        <v>0</v>
      </c>
      <c r="H202" s="36">
        <v>25</v>
      </c>
      <c r="I202" s="17">
        <v>0</v>
      </c>
      <c r="J202" s="17">
        <f t="shared" si="0"/>
        <v>25</v>
      </c>
      <c r="K202" s="37">
        <v>25</v>
      </c>
      <c r="L202" s="17">
        <v>0</v>
      </c>
      <c r="M202" s="17">
        <v>0</v>
      </c>
      <c r="N202" s="17">
        <f t="shared" si="1"/>
        <v>25</v>
      </c>
      <c r="O202" s="17">
        <f t="shared" si="2"/>
        <v>0</v>
      </c>
      <c r="P202" s="3"/>
      <c r="Q202" s="19">
        <f t="shared" si="3"/>
        <v>3400</v>
      </c>
      <c r="R202" s="19">
        <v>0</v>
      </c>
      <c r="S202" s="19">
        <f t="shared" si="4"/>
        <v>0</v>
      </c>
      <c r="T202" s="19">
        <f t="shared" si="5"/>
        <v>0</v>
      </c>
      <c r="U202" s="19">
        <f t="shared" si="6"/>
        <v>1700</v>
      </c>
      <c r="V202" s="19">
        <f t="shared" si="7"/>
        <v>0</v>
      </c>
      <c r="W202" s="19">
        <f t="shared" si="8"/>
        <v>1700</v>
      </c>
      <c r="X202" s="20">
        <f t="shared" si="9"/>
        <v>1700</v>
      </c>
      <c r="Y202" s="20">
        <f t="shared" si="10"/>
        <v>0</v>
      </c>
    </row>
    <row r="203" spans="1:25" ht="15.75" customHeight="1">
      <c r="A203" s="14" t="s">
        <v>416</v>
      </c>
      <c r="B203" s="15" t="s">
        <v>417</v>
      </c>
      <c r="C203" s="16">
        <v>60</v>
      </c>
      <c r="D203" s="16">
        <v>60</v>
      </c>
      <c r="E203" s="17">
        <v>25</v>
      </c>
      <c r="F203" s="18">
        <v>0</v>
      </c>
      <c r="G203" s="18">
        <v>0</v>
      </c>
      <c r="H203" s="36">
        <v>0</v>
      </c>
      <c r="I203" s="17">
        <v>0</v>
      </c>
      <c r="J203" s="17">
        <f t="shared" si="0"/>
        <v>25</v>
      </c>
      <c r="K203" s="37">
        <v>25</v>
      </c>
      <c r="L203" s="17">
        <v>0</v>
      </c>
      <c r="M203" s="17">
        <v>0</v>
      </c>
      <c r="N203" s="17">
        <f t="shared" si="1"/>
        <v>25</v>
      </c>
      <c r="O203" s="17">
        <f t="shared" si="2"/>
        <v>0</v>
      </c>
      <c r="P203" s="3"/>
      <c r="Q203" s="19">
        <f t="shared" si="3"/>
        <v>1500</v>
      </c>
      <c r="R203" s="19">
        <v>0</v>
      </c>
      <c r="S203" s="19">
        <f t="shared" si="4"/>
        <v>0</v>
      </c>
      <c r="T203" s="19">
        <f t="shared" si="5"/>
        <v>0</v>
      </c>
      <c r="U203" s="19">
        <f t="shared" si="6"/>
        <v>0</v>
      </c>
      <c r="V203" s="19">
        <f t="shared" si="7"/>
        <v>0</v>
      </c>
      <c r="W203" s="19">
        <f t="shared" si="8"/>
        <v>1500</v>
      </c>
      <c r="X203" s="20">
        <f t="shared" si="9"/>
        <v>1500</v>
      </c>
      <c r="Y203" s="20">
        <f t="shared" si="10"/>
        <v>0</v>
      </c>
    </row>
    <row r="204" spans="1:25" ht="15.75" customHeight="1">
      <c r="A204" s="14" t="s">
        <v>418</v>
      </c>
      <c r="B204" s="15" t="s">
        <v>419</v>
      </c>
      <c r="C204" s="16">
        <v>3900</v>
      </c>
      <c r="D204" s="16">
        <v>3900</v>
      </c>
      <c r="E204" s="17">
        <v>1</v>
      </c>
      <c r="F204" s="18">
        <v>0</v>
      </c>
      <c r="G204" s="18">
        <v>0</v>
      </c>
      <c r="H204" s="36">
        <v>0</v>
      </c>
      <c r="I204" s="17">
        <v>0</v>
      </c>
      <c r="J204" s="17">
        <f t="shared" si="0"/>
        <v>1</v>
      </c>
      <c r="K204" s="37">
        <v>1</v>
      </c>
      <c r="L204" s="17">
        <v>0</v>
      </c>
      <c r="M204" s="17">
        <v>0</v>
      </c>
      <c r="N204" s="17">
        <f t="shared" si="1"/>
        <v>1</v>
      </c>
      <c r="O204" s="17">
        <f t="shared" si="2"/>
        <v>0</v>
      </c>
      <c r="P204" s="3"/>
      <c r="Q204" s="19">
        <f t="shared" si="3"/>
        <v>3900</v>
      </c>
      <c r="R204" s="19">
        <v>0</v>
      </c>
      <c r="S204" s="19">
        <f t="shared" si="4"/>
        <v>0</v>
      </c>
      <c r="T204" s="19">
        <f t="shared" si="5"/>
        <v>0</v>
      </c>
      <c r="U204" s="19">
        <f t="shared" si="6"/>
        <v>0</v>
      </c>
      <c r="V204" s="19">
        <f t="shared" si="7"/>
        <v>0</v>
      </c>
      <c r="W204" s="19">
        <f t="shared" si="8"/>
        <v>3900</v>
      </c>
      <c r="X204" s="20">
        <f t="shared" si="9"/>
        <v>3900</v>
      </c>
      <c r="Y204" s="20">
        <f t="shared" si="10"/>
        <v>0</v>
      </c>
    </row>
    <row r="205" spans="1:25" ht="15.75" customHeight="1">
      <c r="A205" s="14" t="s">
        <v>420</v>
      </c>
      <c r="B205" s="15" t="s">
        <v>421</v>
      </c>
      <c r="C205" s="16">
        <v>0</v>
      </c>
      <c r="D205" s="16">
        <v>0</v>
      </c>
      <c r="E205" s="17">
        <v>0</v>
      </c>
      <c r="F205" s="18">
        <v>0</v>
      </c>
      <c r="G205" s="18">
        <v>0</v>
      </c>
      <c r="H205" s="36">
        <v>0</v>
      </c>
      <c r="I205" s="17">
        <v>0</v>
      </c>
      <c r="J205" s="17">
        <f t="shared" si="0"/>
        <v>0</v>
      </c>
      <c r="K205" s="37">
        <v>0</v>
      </c>
      <c r="L205" s="17">
        <v>0</v>
      </c>
      <c r="M205" s="17">
        <v>0</v>
      </c>
      <c r="N205" s="17">
        <f t="shared" si="1"/>
        <v>0</v>
      </c>
      <c r="O205" s="17">
        <f t="shared" si="2"/>
        <v>0</v>
      </c>
      <c r="P205" s="3"/>
      <c r="Q205" s="19">
        <f t="shared" si="3"/>
        <v>0</v>
      </c>
      <c r="R205" s="19">
        <v>0</v>
      </c>
      <c r="S205" s="19">
        <f t="shared" si="4"/>
        <v>0</v>
      </c>
      <c r="T205" s="19">
        <f t="shared" si="5"/>
        <v>0</v>
      </c>
      <c r="U205" s="19">
        <f t="shared" si="6"/>
        <v>0</v>
      </c>
      <c r="V205" s="19">
        <f t="shared" si="7"/>
        <v>0</v>
      </c>
      <c r="W205" s="19">
        <f t="shared" si="8"/>
        <v>0</v>
      </c>
      <c r="X205" s="20">
        <f t="shared" si="9"/>
        <v>0</v>
      </c>
      <c r="Y205" s="20">
        <f t="shared" si="10"/>
        <v>0</v>
      </c>
    </row>
    <row r="206" spans="1:25" ht="15.75" customHeight="1">
      <c r="A206" s="14" t="s">
        <v>422</v>
      </c>
      <c r="B206" s="15" t="s">
        <v>423</v>
      </c>
      <c r="C206" s="16">
        <v>0</v>
      </c>
      <c r="D206" s="16">
        <v>0</v>
      </c>
      <c r="E206" s="17">
        <v>0</v>
      </c>
      <c r="F206" s="18">
        <v>0</v>
      </c>
      <c r="G206" s="18">
        <v>0</v>
      </c>
      <c r="H206" s="36">
        <v>0</v>
      </c>
      <c r="I206" s="17">
        <v>0</v>
      </c>
      <c r="J206" s="17">
        <f t="shared" si="0"/>
        <v>0</v>
      </c>
      <c r="K206" s="37">
        <v>0</v>
      </c>
      <c r="L206" s="17">
        <v>0</v>
      </c>
      <c r="M206" s="17">
        <v>0</v>
      </c>
      <c r="N206" s="17">
        <f t="shared" si="1"/>
        <v>0</v>
      </c>
      <c r="O206" s="17">
        <f t="shared" si="2"/>
        <v>0</v>
      </c>
      <c r="P206" s="3"/>
      <c r="Q206" s="19">
        <f t="shared" si="3"/>
        <v>0</v>
      </c>
      <c r="R206" s="19">
        <v>0</v>
      </c>
      <c r="S206" s="19">
        <f t="shared" si="4"/>
        <v>0</v>
      </c>
      <c r="T206" s="19">
        <f t="shared" si="5"/>
        <v>0</v>
      </c>
      <c r="U206" s="19">
        <f t="shared" si="6"/>
        <v>0</v>
      </c>
      <c r="V206" s="19">
        <f t="shared" si="7"/>
        <v>0</v>
      </c>
      <c r="W206" s="19">
        <f t="shared" si="8"/>
        <v>0</v>
      </c>
      <c r="X206" s="20">
        <f t="shared" si="9"/>
        <v>0</v>
      </c>
      <c r="Y206" s="20">
        <f t="shared" si="10"/>
        <v>0</v>
      </c>
    </row>
    <row r="207" spans="1:25" ht="15.75" customHeight="1">
      <c r="A207" s="14" t="s">
        <v>424</v>
      </c>
      <c r="B207" s="15" t="s">
        <v>425</v>
      </c>
      <c r="C207" s="16">
        <v>0</v>
      </c>
      <c r="D207" s="16">
        <v>0</v>
      </c>
      <c r="E207" s="17">
        <v>0</v>
      </c>
      <c r="F207" s="18">
        <v>0</v>
      </c>
      <c r="G207" s="18">
        <v>0</v>
      </c>
      <c r="H207" s="36">
        <v>0</v>
      </c>
      <c r="I207" s="17">
        <v>0</v>
      </c>
      <c r="J207" s="17">
        <f t="shared" si="0"/>
        <v>0</v>
      </c>
      <c r="K207" s="37">
        <v>0</v>
      </c>
      <c r="L207" s="17">
        <v>0</v>
      </c>
      <c r="M207" s="17">
        <v>0</v>
      </c>
      <c r="N207" s="17">
        <f t="shared" si="1"/>
        <v>0</v>
      </c>
      <c r="O207" s="17">
        <f t="shared" si="2"/>
        <v>0</v>
      </c>
      <c r="P207" s="3"/>
      <c r="Q207" s="19">
        <f t="shared" si="3"/>
        <v>0</v>
      </c>
      <c r="R207" s="19">
        <v>0</v>
      </c>
      <c r="S207" s="19">
        <f t="shared" si="4"/>
        <v>0</v>
      </c>
      <c r="T207" s="19">
        <f t="shared" si="5"/>
        <v>0</v>
      </c>
      <c r="U207" s="19">
        <f t="shared" si="6"/>
        <v>0</v>
      </c>
      <c r="V207" s="19">
        <f t="shared" si="7"/>
        <v>0</v>
      </c>
      <c r="W207" s="19">
        <f t="shared" si="8"/>
        <v>0</v>
      </c>
      <c r="X207" s="20">
        <f t="shared" si="9"/>
        <v>0</v>
      </c>
      <c r="Y207" s="20">
        <f t="shared" si="10"/>
        <v>0</v>
      </c>
    </row>
    <row r="208" spans="1:25" ht="15.75" customHeight="1">
      <c r="A208" s="14" t="s">
        <v>426</v>
      </c>
      <c r="B208" s="15" t="s">
        <v>427</v>
      </c>
      <c r="C208" s="16">
        <v>0</v>
      </c>
      <c r="D208" s="16">
        <v>0</v>
      </c>
      <c r="E208" s="17">
        <v>0</v>
      </c>
      <c r="F208" s="18">
        <v>0</v>
      </c>
      <c r="G208" s="18">
        <v>0</v>
      </c>
      <c r="H208" s="36">
        <v>0</v>
      </c>
      <c r="I208" s="17">
        <v>0</v>
      </c>
      <c r="J208" s="17">
        <f t="shared" si="0"/>
        <v>0</v>
      </c>
      <c r="K208" s="37">
        <v>0</v>
      </c>
      <c r="L208" s="17">
        <v>0</v>
      </c>
      <c r="M208" s="17">
        <v>0</v>
      </c>
      <c r="N208" s="17">
        <f t="shared" si="1"/>
        <v>0</v>
      </c>
      <c r="O208" s="17">
        <f t="shared" si="2"/>
        <v>0</v>
      </c>
      <c r="P208" s="3"/>
      <c r="Q208" s="19">
        <f t="shared" si="3"/>
        <v>0</v>
      </c>
      <c r="R208" s="19">
        <v>0</v>
      </c>
      <c r="S208" s="19">
        <f t="shared" si="4"/>
        <v>0</v>
      </c>
      <c r="T208" s="19">
        <f t="shared" si="5"/>
        <v>0</v>
      </c>
      <c r="U208" s="19">
        <f t="shared" si="6"/>
        <v>0</v>
      </c>
      <c r="V208" s="19">
        <f t="shared" si="7"/>
        <v>0</v>
      </c>
      <c r="W208" s="19">
        <f t="shared" si="8"/>
        <v>0</v>
      </c>
      <c r="X208" s="20">
        <f t="shared" si="9"/>
        <v>0</v>
      </c>
      <c r="Y208" s="20">
        <f t="shared" si="10"/>
        <v>0</v>
      </c>
    </row>
    <row r="209" spans="1:25" ht="15.75" customHeight="1">
      <c r="A209" s="14" t="s">
        <v>428</v>
      </c>
      <c r="B209" s="15" t="s">
        <v>429</v>
      </c>
      <c r="C209" s="16">
        <v>0</v>
      </c>
      <c r="D209" s="16">
        <v>0</v>
      </c>
      <c r="E209" s="17">
        <v>0</v>
      </c>
      <c r="F209" s="18">
        <v>0</v>
      </c>
      <c r="G209" s="18">
        <v>0</v>
      </c>
      <c r="H209" s="36">
        <v>0</v>
      </c>
      <c r="I209" s="17">
        <v>0</v>
      </c>
      <c r="J209" s="17">
        <f t="shared" si="0"/>
        <v>0</v>
      </c>
      <c r="K209" s="37">
        <v>0</v>
      </c>
      <c r="L209" s="17">
        <v>0</v>
      </c>
      <c r="M209" s="17">
        <v>0</v>
      </c>
      <c r="N209" s="17">
        <f t="shared" si="1"/>
        <v>0</v>
      </c>
      <c r="O209" s="17">
        <f t="shared" si="2"/>
        <v>0</v>
      </c>
      <c r="P209" s="3"/>
      <c r="Q209" s="19">
        <f t="shared" si="3"/>
        <v>0</v>
      </c>
      <c r="R209" s="19">
        <v>0</v>
      </c>
      <c r="S209" s="19">
        <f t="shared" si="4"/>
        <v>0</v>
      </c>
      <c r="T209" s="19">
        <f t="shared" si="5"/>
        <v>0</v>
      </c>
      <c r="U209" s="19">
        <f t="shared" si="6"/>
        <v>0</v>
      </c>
      <c r="V209" s="19">
        <f t="shared" si="7"/>
        <v>0</v>
      </c>
      <c r="W209" s="19">
        <f t="shared" si="8"/>
        <v>0</v>
      </c>
      <c r="X209" s="20">
        <f t="shared" si="9"/>
        <v>0</v>
      </c>
      <c r="Y209" s="20">
        <f t="shared" si="10"/>
        <v>0</v>
      </c>
    </row>
    <row r="210" spans="1:25" ht="15.75" customHeight="1">
      <c r="A210" s="14" t="s">
        <v>430</v>
      </c>
      <c r="B210" s="15" t="s">
        <v>431</v>
      </c>
      <c r="C210" s="16">
        <v>0</v>
      </c>
      <c r="D210" s="16">
        <v>0</v>
      </c>
      <c r="E210" s="17">
        <v>0</v>
      </c>
      <c r="F210" s="18">
        <v>0</v>
      </c>
      <c r="G210" s="18">
        <v>0</v>
      </c>
      <c r="H210" s="36">
        <v>0</v>
      </c>
      <c r="I210" s="17">
        <v>0</v>
      </c>
      <c r="J210" s="17">
        <f t="shared" si="0"/>
        <v>0</v>
      </c>
      <c r="K210" s="37">
        <v>0</v>
      </c>
      <c r="L210" s="17">
        <v>0</v>
      </c>
      <c r="M210" s="17">
        <v>0</v>
      </c>
      <c r="N210" s="17">
        <f t="shared" si="1"/>
        <v>0</v>
      </c>
      <c r="O210" s="17">
        <f t="shared" si="2"/>
        <v>0</v>
      </c>
      <c r="P210" s="3"/>
      <c r="Q210" s="19">
        <f t="shared" si="3"/>
        <v>0</v>
      </c>
      <c r="R210" s="19">
        <v>0</v>
      </c>
      <c r="S210" s="19">
        <f t="shared" si="4"/>
        <v>0</v>
      </c>
      <c r="T210" s="19">
        <f t="shared" si="5"/>
        <v>0</v>
      </c>
      <c r="U210" s="19">
        <f t="shared" si="6"/>
        <v>0</v>
      </c>
      <c r="V210" s="19">
        <f t="shared" si="7"/>
        <v>0</v>
      </c>
      <c r="W210" s="19">
        <f t="shared" si="8"/>
        <v>0</v>
      </c>
      <c r="X210" s="20">
        <f t="shared" si="9"/>
        <v>0</v>
      </c>
      <c r="Y210" s="20">
        <f t="shared" si="10"/>
        <v>0</v>
      </c>
    </row>
    <row r="211" spans="1:25" ht="15.75" customHeight="1">
      <c r="A211" s="14" t="s">
        <v>432</v>
      </c>
      <c r="B211" s="15" t="s">
        <v>433</v>
      </c>
      <c r="C211" s="16">
        <v>0</v>
      </c>
      <c r="D211" s="16">
        <v>0</v>
      </c>
      <c r="E211" s="17">
        <v>0</v>
      </c>
      <c r="F211" s="18">
        <v>0</v>
      </c>
      <c r="G211" s="18">
        <v>0</v>
      </c>
      <c r="H211" s="36">
        <v>0</v>
      </c>
      <c r="I211" s="17">
        <v>0</v>
      </c>
      <c r="J211" s="17">
        <f t="shared" si="0"/>
        <v>0</v>
      </c>
      <c r="K211" s="37">
        <v>0</v>
      </c>
      <c r="L211" s="17">
        <v>0</v>
      </c>
      <c r="M211" s="17">
        <v>0</v>
      </c>
      <c r="N211" s="17">
        <f t="shared" si="1"/>
        <v>0</v>
      </c>
      <c r="O211" s="17">
        <f t="shared" si="2"/>
        <v>0</v>
      </c>
      <c r="P211" s="3"/>
      <c r="Q211" s="19">
        <f t="shared" si="3"/>
        <v>0</v>
      </c>
      <c r="R211" s="19">
        <v>0</v>
      </c>
      <c r="S211" s="19">
        <f t="shared" si="4"/>
        <v>0</v>
      </c>
      <c r="T211" s="19">
        <f t="shared" si="5"/>
        <v>0</v>
      </c>
      <c r="U211" s="19">
        <f t="shared" si="6"/>
        <v>0</v>
      </c>
      <c r="V211" s="19">
        <f t="shared" si="7"/>
        <v>0</v>
      </c>
      <c r="W211" s="19">
        <f t="shared" si="8"/>
        <v>0</v>
      </c>
      <c r="X211" s="20">
        <f t="shared" si="9"/>
        <v>0</v>
      </c>
      <c r="Y211" s="20">
        <f t="shared" si="10"/>
        <v>0</v>
      </c>
    </row>
    <row r="212" spans="1:25" ht="15.75" customHeight="1">
      <c r="A212" s="14" t="s">
        <v>434</v>
      </c>
      <c r="B212" s="15" t="s">
        <v>435</v>
      </c>
      <c r="C212" s="16">
        <v>406</v>
      </c>
      <c r="D212" s="16">
        <v>406</v>
      </c>
      <c r="E212" s="17">
        <v>4</v>
      </c>
      <c r="F212" s="18">
        <v>0</v>
      </c>
      <c r="G212" s="18">
        <v>0</v>
      </c>
      <c r="H212" s="36">
        <v>0</v>
      </c>
      <c r="I212" s="17">
        <v>0</v>
      </c>
      <c r="J212" s="17">
        <f t="shared" si="0"/>
        <v>4</v>
      </c>
      <c r="K212" s="37">
        <v>0</v>
      </c>
      <c r="L212" s="17">
        <v>0</v>
      </c>
      <c r="M212" s="17">
        <v>4</v>
      </c>
      <c r="N212" s="17">
        <f t="shared" si="1"/>
        <v>4</v>
      </c>
      <c r="O212" s="17">
        <f t="shared" si="2"/>
        <v>0</v>
      </c>
      <c r="P212" s="3"/>
      <c r="Q212" s="19">
        <f t="shared" si="3"/>
        <v>1624</v>
      </c>
      <c r="R212" s="19">
        <v>0</v>
      </c>
      <c r="S212" s="19">
        <f t="shared" si="4"/>
        <v>0</v>
      </c>
      <c r="T212" s="19">
        <f t="shared" si="5"/>
        <v>0</v>
      </c>
      <c r="U212" s="19">
        <f t="shared" si="6"/>
        <v>0</v>
      </c>
      <c r="V212" s="19">
        <f t="shared" si="7"/>
        <v>0</v>
      </c>
      <c r="W212" s="19">
        <f t="shared" si="8"/>
        <v>1624</v>
      </c>
      <c r="X212" s="20">
        <f t="shared" si="9"/>
        <v>1624</v>
      </c>
      <c r="Y212" s="20">
        <f t="shared" si="10"/>
        <v>0</v>
      </c>
    </row>
    <row r="213" spans="1:25" ht="15.75" customHeight="1">
      <c r="A213" s="14" t="s">
        <v>436</v>
      </c>
      <c r="B213" s="15" t="s">
        <v>437</v>
      </c>
      <c r="C213" s="16">
        <v>630</v>
      </c>
      <c r="D213" s="16">
        <v>630</v>
      </c>
      <c r="E213" s="17">
        <v>0</v>
      </c>
      <c r="F213" s="18">
        <v>0</v>
      </c>
      <c r="G213" s="18">
        <v>0</v>
      </c>
      <c r="H213" s="36">
        <v>0</v>
      </c>
      <c r="I213" s="17">
        <v>0</v>
      </c>
      <c r="J213" s="17">
        <f t="shared" si="0"/>
        <v>0</v>
      </c>
      <c r="K213" s="37">
        <v>0</v>
      </c>
      <c r="L213" s="17">
        <v>0</v>
      </c>
      <c r="M213" s="17">
        <v>0</v>
      </c>
      <c r="N213" s="17">
        <f t="shared" si="1"/>
        <v>0</v>
      </c>
      <c r="O213" s="17">
        <f t="shared" si="2"/>
        <v>0</v>
      </c>
      <c r="P213" s="3"/>
      <c r="Q213" s="19">
        <f t="shared" si="3"/>
        <v>0</v>
      </c>
      <c r="R213" s="19">
        <v>0</v>
      </c>
      <c r="S213" s="19">
        <f t="shared" si="4"/>
        <v>0</v>
      </c>
      <c r="T213" s="19">
        <f t="shared" si="5"/>
        <v>0</v>
      </c>
      <c r="U213" s="19">
        <f t="shared" si="6"/>
        <v>0</v>
      </c>
      <c r="V213" s="19">
        <f t="shared" si="7"/>
        <v>0</v>
      </c>
      <c r="W213" s="19">
        <f t="shared" si="8"/>
        <v>0</v>
      </c>
      <c r="X213" s="20">
        <f t="shared" si="9"/>
        <v>0</v>
      </c>
      <c r="Y213" s="20">
        <f t="shared" si="10"/>
        <v>0</v>
      </c>
    </row>
    <row r="214" spans="1:25" ht="15.75" customHeight="1">
      <c r="A214" s="14" t="s">
        <v>438</v>
      </c>
      <c r="B214" s="15" t="s">
        <v>439</v>
      </c>
      <c r="C214" s="16">
        <v>520</v>
      </c>
      <c r="D214" s="16">
        <v>520</v>
      </c>
      <c r="E214" s="17">
        <v>2</v>
      </c>
      <c r="F214" s="18">
        <v>0</v>
      </c>
      <c r="G214" s="18">
        <v>0</v>
      </c>
      <c r="H214" s="36">
        <v>0</v>
      </c>
      <c r="I214" s="17">
        <v>0</v>
      </c>
      <c r="J214" s="17">
        <f t="shared" si="0"/>
        <v>2</v>
      </c>
      <c r="K214" s="37">
        <v>0</v>
      </c>
      <c r="L214" s="17">
        <v>0</v>
      </c>
      <c r="M214" s="17">
        <v>2</v>
      </c>
      <c r="N214" s="17">
        <f t="shared" si="1"/>
        <v>2</v>
      </c>
      <c r="O214" s="17">
        <f t="shared" si="2"/>
        <v>0</v>
      </c>
      <c r="P214" s="3"/>
      <c r="Q214" s="19">
        <f t="shared" si="3"/>
        <v>1040</v>
      </c>
      <c r="R214" s="19">
        <v>0</v>
      </c>
      <c r="S214" s="19">
        <f t="shared" si="4"/>
        <v>0</v>
      </c>
      <c r="T214" s="19">
        <f t="shared" si="5"/>
        <v>0</v>
      </c>
      <c r="U214" s="19">
        <f t="shared" si="6"/>
        <v>0</v>
      </c>
      <c r="V214" s="19">
        <f t="shared" si="7"/>
        <v>0</v>
      </c>
      <c r="W214" s="19">
        <f t="shared" si="8"/>
        <v>1040</v>
      </c>
      <c r="X214" s="20">
        <f t="shared" si="9"/>
        <v>1040</v>
      </c>
      <c r="Y214" s="20">
        <f t="shared" si="10"/>
        <v>0</v>
      </c>
    </row>
    <row r="215" spans="1:25" ht="15.75" customHeight="1">
      <c r="A215" s="14" t="s">
        <v>440</v>
      </c>
      <c r="B215" s="15" t="s">
        <v>441</v>
      </c>
      <c r="C215" s="16">
        <v>93</v>
      </c>
      <c r="D215" s="16">
        <v>93</v>
      </c>
      <c r="E215" s="17">
        <v>0</v>
      </c>
      <c r="F215" s="18">
        <v>0</v>
      </c>
      <c r="G215" s="18">
        <v>0</v>
      </c>
      <c r="H215" s="36">
        <v>0</v>
      </c>
      <c r="I215" s="17">
        <v>0</v>
      </c>
      <c r="J215" s="17">
        <f t="shared" si="0"/>
        <v>0</v>
      </c>
      <c r="K215" s="37">
        <v>0</v>
      </c>
      <c r="L215" s="17">
        <v>0</v>
      </c>
      <c r="M215" s="17">
        <v>0</v>
      </c>
      <c r="N215" s="17">
        <f t="shared" si="1"/>
        <v>0</v>
      </c>
      <c r="O215" s="17">
        <f t="shared" si="2"/>
        <v>0</v>
      </c>
      <c r="P215" s="3"/>
      <c r="Q215" s="19">
        <f t="shared" si="3"/>
        <v>0</v>
      </c>
      <c r="R215" s="19">
        <v>0</v>
      </c>
      <c r="S215" s="19">
        <f t="shared" si="4"/>
        <v>0</v>
      </c>
      <c r="T215" s="19">
        <f t="shared" si="5"/>
        <v>0</v>
      </c>
      <c r="U215" s="19">
        <f t="shared" si="6"/>
        <v>0</v>
      </c>
      <c r="V215" s="19">
        <f t="shared" si="7"/>
        <v>0</v>
      </c>
      <c r="W215" s="19">
        <f t="shared" si="8"/>
        <v>0</v>
      </c>
      <c r="X215" s="20">
        <f t="shared" si="9"/>
        <v>0</v>
      </c>
      <c r="Y215" s="20">
        <f t="shared" si="10"/>
        <v>0</v>
      </c>
    </row>
    <row r="216" spans="1:25" ht="15.75" customHeight="1">
      <c r="A216" s="14" t="s">
        <v>442</v>
      </c>
      <c r="B216" s="15" t="s">
        <v>443</v>
      </c>
      <c r="C216" s="16">
        <v>46.34</v>
      </c>
      <c r="D216" s="16">
        <v>46.34</v>
      </c>
      <c r="E216" s="17">
        <v>1</v>
      </c>
      <c r="F216" s="18">
        <v>0</v>
      </c>
      <c r="G216" s="18">
        <v>0</v>
      </c>
      <c r="H216" s="36">
        <v>1</v>
      </c>
      <c r="I216" s="17">
        <v>0</v>
      </c>
      <c r="J216" s="17">
        <f t="shared" si="0"/>
        <v>0</v>
      </c>
      <c r="K216" s="37">
        <v>0</v>
      </c>
      <c r="L216" s="17">
        <v>0</v>
      </c>
      <c r="M216" s="17">
        <v>0</v>
      </c>
      <c r="N216" s="17">
        <f t="shared" si="1"/>
        <v>0</v>
      </c>
      <c r="O216" s="17">
        <f t="shared" si="2"/>
        <v>0</v>
      </c>
      <c r="P216" s="3"/>
      <c r="Q216" s="19">
        <f t="shared" si="3"/>
        <v>46.34</v>
      </c>
      <c r="R216" s="19">
        <v>0</v>
      </c>
      <c r="S216" s="19">
        <f t="shared" si="4"/>
        <v>0</v>
      </c>
      <c r="T216" s="19">
        <f t="shared" si="5"/>
        <v>0</v>
      </c>
      <c r="U216" s="19">
        <f t="shared" si="6"/>
        <v>46.34</v>
      </c>
      <c r="V216" s="19">
        <f t="shared" si="7"/>
        <v>0</v>
      </c>
      <c r="W216" s="19">
        <f t="shared" si="8"/>
        <v>0</v>
      </c>
      <c r="X216" s="20">
        <f t="shared" si="9"/>
        <v>0</v>
      </c>
      <c r="Y216" s="20">
        <f t="shared" si="10"/>
        <v>0</v>
      </c>
    </row>
    <row r="217" spans="1:25" ht="15.75" customHeight="1">
      <c r="A217" s="14" t="s">
        <v>444</v>
      </c>
      <c r="B217" s="15" t="s">
        <v>445</v>
      </c>
      <c r="C217" s="16">
        <v>570</v>
      </c>
      <c r="D217" s="16">
        <v>570</v>
      </c>
      <c r="E217" s="17">
        <v>1</v>
      </c>
      <c r="F217" s="18">
        <v>0</v>
      </c>
      <c r="G217" s="18">
        <v>0</v>
      </c>
      <c r="H217" s="36">
        <v>0</v>
      </c>
      <c r="I217" s="17">
        <v>0</v>
      </c>
      <c r="J217" s="17">
        <f t="shared" si="0"/>
        <v>1</v>
      </c>
      <c r="K217" s="37">
        <v>1</v>
      </c>
      <c r="L217" s="17">
        <v>0</v>
      </c>
      <c r="M217" s="17">
        <v>0</v>
      </c>
      <c r="N217" s="17">
        <f t="shared" si="1"/>
        <v>1</v>
      </c>
      <c r="O217" s="17">
        <f t="shared" si="2"/>
        <v>0</v>
      </c>
      <c r="P217" s="3"/>
      <c r="Q217" s="19">
        <f t="shared" si="3"/>
        <v>570</v>
      </c>
      <c r="R217" s="19">
        <v>0</v>
      </c>
      <c r="S217" s="19">
        <f t="shared" si="4"/>
        <v>0</v>
      </c>
      <c r="T217" s="19">
        <f t="shared" si="5"/>
        <v>0</v>
      </c>
      <c r="U217" s="19">
        <f t="shared" si="6"/>
        <v>0</v>
      </c>
      <c r="V217" s="19">
        <f t="shared" si="7"/>
        <v>0</v>
      </c>
      <c r="W217" s="19">
        <f t="shared" si="8"/>
        <v>570</v>
      </c>
      <c r="X217" s="20">
        <f t="shared" si="9"/>
        <v>570</v>
      </c>
      <c r="Y217" s="20">
        <f t="shared" si="10"/>
        <v>0</v>
      </c>
    </row>
    <row r="218" spans="1:25" ht="15.75" customHeight="1">
      <c r="A218" s="14" t="s">
        <v>446</v>
      </c>
      <c r="B218" s="15" t="s">
        <v>447</v>
      </c>
      <c r="C218" s="16">
        <v>2520</v>
      </c>
      <c r="D218" s="16">
        <v>2520</v>
      </c>
      <c r="E218" s="17">
        <v>1</v>
      </c>
      <c r="F218" s="18">
        <v>0</v>
      </c>
      <c r="G218" s="18">
        <v>0</v>
      </c>
      <c r="H218" s="36">
        <v>0</v>
      </c>
      <c r="I218" s="17">
        <v>0</v>
      </c>
      <c r="J218" s="17">
        <f t="shared" si="0"/>
        <v>1</v>
      </c>
      <c r="K218" s="37">
        <v>1</v>
      </c>
      <c r="L218" s="17">
        <v>0</v>
      </c>
      <c r="M218" s="17">
        <v>0</v>
      </c>
      <c r="N218" s="17">
        <f t="shared" si="1"/>
        <v>1</v>
      </c>
      <c r="O218" s="17">
        <f t="shared" si="2"/>
        <v>0</v>
      </c>
      <c r="P218" s="3"/>
      <c r="Q218" s="19">
        <f t="shared" si="3"/>
        <v>2520</v>
      </c>
      <c r="R218" s="19">
        <v>0</v>
      </c>
      <c r="S218" s="19">
        <f t="shared" si="4"/>
        <v>0</v>
      </c>
      <c r="T218" s="19">
        <f t="shared" si="5"/>
        <v>0</v>
      </c>
      <c r="U218" s="19">
        <f t="shared" si="6"/>
        <v>0</v>
      </c>
      <c r="V218" s="19">
        <f t="shared" si="7"/>
        <v>0</v>
      </c>
      <c r="W218" s="19">
        <f t="shared" si="8"/>
        <v>2520</v>
      </c>
      <c r="X218" s="20">
        <f t="shared" si="9"/>
        <v>2520</v>
      </c>
      <c r="Y218" s="20">
        <f t="shared" si="10"/>
        <v>0</v>
      </c>
    </row>
    <row r="219" spans="1:25" ht="15.75" customHeight="1">
      <c r="A219" s="14" t="s">
        <v>448</v>
      </c>
      <c r="B219" s="15" t="s">
        <v>449</v>
      </c>
      <c r="C219" s="16">
        <v>1380</v>
      </c>
      <c r="D219" s="16">
        <v>1380</v>
      </c>
      <c r="E219" s="17">
        <v>4</v>
      </c>
      <c r="F219" s="18">
        <v>0</v>
      </c>
      <c r="G219" s="18">
        <v>0</v>
      </c>
      <c r="H219" s="36">
        <v>0</v>
      </c>
      <c r="I219" s="17">
        <v>0</v>
      </c>
      <c r="J219" s="17">
        <f t="shared" si="0"/>
        <v>4</v>
      </c>
      <c r="K219" s="37">
        <v>4</v>
      </c>
      <c r="L219" s="17">
        <v>0</v>
      </c>
      <c r="M219" s="17">
        <v>0</v>
      </c>
      <c r="N219" s="17">
        <f t="shared" si="1"/>
        <v>4</v>
      </c>
      <c r="O219" s="17">
        <f t="shared" si="2"/>
        <v>0</v>
      </c>
      <c r="P219" s="3"/>
      <c r="Q219" s="19">
        <f t="shared" si="3"/>
        <v>5520</v>
      </c>
      <c r="R219" s="19">
        <v>0</v>
      </c>
      <c r="S219" s="19">
        <f t="shared" si="4"/>
        <v>0</v>
      </c>
      <c r="T219" s="19">
        <f t="shared" si="5"/>
        <v>0</v>
      </c>
      <c r="U219" s="19">
        <f t="shared" si="6"/>
        <v>0</v>
      </c>
      <c r="V219" s="19">
        <f t="shared" si="7"/>
        <v>0</v>
      </c>
      <c r="W219" s="19">
        <f t="shared" si="8"/>
        <v>5520</v>
      </c>
      <c r="X219" s="20">
        <f t="shared" si="9"/>
        <v>5520</v>
      </c>
      <c r="Y219" s="20">
        <f t="shared" si="10"/>
        <v>0</v>
      </c>
    </row>
    <row r="220" spans="1:25" ht="15.75" customHeight="1">
      <c r="A220" s="14" t="s">
        <v>450</v>
      </c>
      <c r="B220" s="15" t="s">
        <v>451</v>
      </c>
      <c r="C220" s="16">
        <v>1380</v>
      </c>
      <c r="D220" s="16">
        <v>1380</v>
      </c>
      <c r="E220" s="17">
        <v>2</v>
      </c>
      <c r="F220" s="18">
        <v>0</v>
      </c>
      <c r="G220" s="18">
        <v>0</v>
      </c>
      <c r="H220" s="36">
        <v>1</v>
      </c>
      <c r="I220" s="17">
        <v>0</v>
      </c>
      <c r="J220" s="17">
        <f t="shared" si="0"/>
        <v>1</v>
      </c>
      <c r="K220" s="37">
        <v>1</v>
      </c>
      <c r="L220" s="17">
        <v>0</v>
      </c>
      <c r="M220" s="17">
        <v>0</v>
      </c>
      <c r="N220" s="17">
        <f t="shared" si="1"/>
        <v>1</v>
      </c>
      <c r="O220" s="17">
        <f t="shared" si="2"/>
        <v>0</v>
      </c>
      <c r="P220" s="3"/>
      <c r="Q220" s="19">
        <f t="shared" si="3"/>
        <v>2760</v>
      </c>
      <c r="R220" s="19">
        <v>0</v>
      </c>
      <c r="S220" s="19">
        <f t="shared" si="4"/>
        <v>0</v>
      </c>
      <c r="T220" s="19">
        <f t="shared" si="5"/>
        <v>0</v>
      </c>
      <c r="U220" s="19">
        <f t="shared" si="6"/>
        <v>1380</v>
      </c>
      <c r="V220" s="19">
        <f t="shared" si="7"/>
        <v>0</v>
      </c>
      <c r="W220" s="19">
        <f t="shared" si="8"/>
        <v>1380</v>
      </c>
      <c r="X220" s="20">
        <f t="shared" si="9"/>
        <v>1380</v>
      </c>
      <c r="Y220" s="20">
        <f t="shared" si="10"/>
        <v>0</v>
      </c>
    </row>
    <row r="221" spans="1:25" ht="15.75" customHeight="1">
      <c r="A221" s="14" t="s">
        <v>452</v>
      </c>
      <c r="B221" s="15" t="s">
        <v>453</v>
      </c>
      <c r="C221" s="16">
        <v>16.82</v>
      </c>
      <c r="D221" s="16">
        <v>16.82</v>
      </c>
      <c r="E221" s="17">
        <v>50</v>
      </c>
      <c r="F221" s="18">
        <v>0</v>
      </c>
      <c r="G221" s="18">
        <v>0</v>
      </c>
      <c r="H221" s="36">
        <v>20</v>
      </c>
      <c r="I221" s="17">
        <v>0</v>
      </c>
      <c r="J221" s="17">
        <f t="shared" si="0"/>
        <v>30</v>
      </c>
      <c r="K221" s="37">
        <v>30</v>
      </c>
      <c r="L221" s="17">
        <v>0</v>
      </c>
      <c r="M221" s="17">
        <v>0</v>
      </c>
      <c r="N221" s="17">
        <f t="shared" si="1"/>
        <v>30</v>
      </c>
      <c r="O221" s="17">
        <f t="shared" si="2"/>
        <v>0</v>
      </c>
      <c r="P221" s="3"/>
      <c r="Q221" s="19">
        <f t="shared" si="3"/>
        <v>841</v>
      </c>
      <c r="R221" s="19">
        <v>0</v>
      </c>
      <c r="S221" s="19">
        <f t="shared" si="4"/>
        <v>0</v>
      </c>
      <c r="T221" s="19">
        <f t="shared" si="5"/>
        <v>0</v>
      </c>
      <c r="U221" s="19">
        <f t="shared" si="6"/>
        <v>336.4</v>
      </c>
      <c r="V221" s="19">
        <f t="shared" si="7"/>
        <v>0</v>
      </c>
      <c r="W221" s="19">
        <f t="shared" si="8"/>
        <v>504.6</v>
      </c>
      <c r="X221" s="20">
        <f t="shared" si="9"/>
        <v>504.6</v>
      </c>
      <c r="Y221" s="20">
        <f t="shared" si="10"/>
        <v>0</v>
      </c>
    </row>
    <row r="222" spans="1:25" ht="15.75" customHeight="1">
      <c r="A222" s="14" t="s">
        <v>454</v>
      </c>
      <c r="B222" s="15" t="s">
        <v>455</v>
      </c>
      <c r="C222" s="16">
        <v>16.82</v>
      </c>
      <c r="D222" s="16">
        <v>16.82</v>
      </c>
      <c r="E222" s="17">
        <v>50</v>
      </c>
      <c r="F222" s="18">
        <v>0</v>
      </c>
      <c r="G222" s="18">
        <v>0</v>
      </c>
      <c r="H222" s="36">
        <v>20</v>
      </c>
      <c r="I222" s="17">
        <v>0</v>
      </c>
      <c r="J222" s="17">
        <f t="shared" si="0"/>
        <v>30</v>
      </c>
      <c r="K222" s="37">
        <v>30</v>
      </c>
      <c r="L222" s="17">
        <v>0</v>
      </c>
      <c r="M222" s="17">
        <v>0</v>
      </c>
      <c r="N222" s="17">
        <f t="shared" si="1"/>
        <v>30</v>
      </c>
      <c r="O222" s="17">
        <f t="shared" si="2"/>
        <v>0</v>
      </c>
      <c r="P222" s="3"/>
      <c r="Q222" s="19">
        <f t="shared" si="3"/>
        <v>841</v>
      </c>
      <c r="R222" s="19">
        <v>0</v>
      </c>
      <c r="S222" s="19">
        <f t="shared" si="4"/>
        <v>0</v>
      </c>
      <c r="T222" s="19">
        <f t="shared" si="5"/>
        <v>0</v>
      </c>
      <c r="U222" s="19">
        <f t="shared" si="6"/>
        <v>336.4</v>
      </c>
      <c r="V222" s="19">
        <f t="shared" si="7"/>
        <v>0</v>
      </c>
      <c r="W222" s="19">
        <f t="shared" si="8"/>
        <v>504.6</v>
      </c>
      <c r="X222" s="20">
        <f t="shared" si="9"/>
        <v>504.6</v>
      </c>
      <c r="Y222" s="20">
        <f t="shared" si="10"/>
        <v>0</v>
      </c>
    </row>
    <row r="223" spans="1:25" ht="15.75" customHeight="1">
      <c r="A223" s="14" t="s">
        <v>456</v>
      </c>
      <c r="B223" s="15" t="s">
        <v>457</v>
      </c>
      <c r="C223" s="16">
        <v>16.82</v>
      </c>
      <c r="D223" s="16">
        <v>16.82</v>
      </c>
      <c r="E223" s="17">
        <v>50</v>
      </c>
      <c r="F223" s="18">
        <v>0</v>
      </c>
      <c r="G223" s="18">
        <v>0</v>
      </c>
      <c r="H223" s="36">
        <v>20</v>
      </c>
      <c r="I223" s="17">
        <v>0</v>
      </c>
      <c r="J223" s="17">
        <f t="shared" si="0"/>
        <v>30</v>
      </c>
      <c r="K223" s="37">
        <v>30</v>
      </c>
      <c r="L223" s="17">
        <v>0</v>
      </c>
      <c r="M223" s="17">
        <v>0</v>
      </c>
      <c r="N223" s="17">
        <f t="shared" si="1"/>
        <v>30</v>
      </c>
      <c r="O223" s="17">
        <f t="shared" si="2"/>
        <v>0</v>
      </c>
      <c r="P223" s="3"/>
      <c r="Q223" s="19">
        <f t="shared" si="3"/>
        <v>841</v>
      </c>
      <c r="R223" s="19">
        <v>0</v>
      </c>
      <c r="S223" s="19">
        <f t="shared" si="4"/>
        <v>0</v>
      </c>
      <c r="T223" s="19">
        <f t="shared" si="5"/>
        <v>0</v>
      </c>
      <c r="U223" s="19">
        <f t="shared" si="6"/>
        <v>336.4</v>
      </c>
      <c r="V223" s="19">
        <f t="shared" si="7"/>
        <v>0</v>
      </c>
      <c r="W223" s="19">
        <f t="shared" si="8"/>
        <v>504.6</v>
      </c>
      <c r="X223" s="20">
        <f t="shared" si="9"/>
        <v>504.6</v>
      </c>
      <c r="Y223" s="20">
        <f t="shared" si="10"/>
        <v>0</v>
      </c>
    </row>
    <row r="224" spans="1:25" ht="15.75" customHeight="1">
      <c r="A224" s="14" t="s">
        <v>458</v>
      </c>
      <c r="B224" s="15" t="s">
        <v>459</v>
      </c>
      <c r="C224" s="16">
        <v>15.6</v>
      </c>
      <c r="D224" s="16">
        <v>15.6</v>
      </c>
      <c r="E224" s="17">
        <v>50</v>
      </c>
      <c r="F224" s="18">
        <v>0</v>
      </c>
      <c r="G224" s="18">
        <v>0</v>
      </c>
      <c r="H224" s="36">
        <v>20</v>
      </c>
      <c r="I224" s="17">
        <v>0</v>
      </c>
      <c r="J224" s="17">
        <f t="shared" si="0"/>
        <v>30</v>
      </c>
      <c r="K224" s="37">
        <v>30</v>
      </c>
      <c r="L224" s="17">
        <v>0</v>
      </c>
      <c r="M224" s="17">
        <v>0</v>
      </c>
      <c r="N224" s="17">
        <f t="shared" si="1"/>
        <v>30</v>
      </c>
      <c r="O224" s="17">
        <f t="shared" si="2"/>
        <v>0</v>
      </c>
      <c r="P224" s="3"/>
      <c r="Q224" s="19">
        <f t="shared" si="3"/>
        <v>780</v>
      </c>
      <c r="R224" s="19">
        <v>0</v>
      </c>
      <c r="S224" s="19">
        <f t="shared" si="4"/>
        <v>0</v>
      </c>
      <c r="T224" s="19">
        <f t="shared" si="5"/>
        <v>0</v>
      </c>
      <c r="U224" s="19">
        <f t="shared" si="6"/>
        <v>312</v>
      </c>
      <c r="V224" s="19">
        <f t="shared" si="7"/>
        <v>0</v>
      </c>
      <c r="W224" s="19">
        <f t="shared" si="8"/>
        <v>468</v>
      </c>
      <c r="X224" s="20">
        <f t="shared" si="9"/>
        <v>468</v>
      </c>
      <c r="Y224" s="20">
        <f t="shared" si="10"/>
        <v>0</v>
      </c>
    </row>
    <row r="225" spans="1:25" ht="15.75" customHeight="1">
      <c r="A225" s="14" t="s">
        <v>460</v>
      </c>
      <c r="B225" s="15" t="s">
        <v>461</v>
      </c>
      <c r="C225" s="16">
        <v>15.6</v>
      </c>
      <c r="D225" s="16">
        <v>15.6</v>
      </c>
      <c r="E225" s="17">
        <v>50</v>
      </c>
      <c r="F225" s="18">
        <v>0</v>
      </c>
      <c r="G225" s="18">
        <v>0</v>
      </c>
      <c r="H225" s="36">
        <v>20</v>
      </c>
      <c r="I225" s="17">
        <v>0</v>
      </c>
      <c r="J225" s="17">
        <f t="shared" si="0"/>
        <v>30</v>
      </c>
      <c r="K225" s="37">
        <v>30</v>
      </c>
      <c r="L225" s="17">
        <v>0</v>
      </c>
      <c r="M225" s="17">
        <v>0</v>
      </c>
      <c r="N225" s="17">
        <f t="shared" si="1"/>
        <v>30</v>
      </c>
      <c r="O225" s="17">
        <f t="shared" si="2"/>
        <v>0</v>
      </c>
      <c r="P225" s="3"/>
      <c r="Q225" s="19">
        <f t="shared" si="3"/>
        <v>780</v>
      </c>
      <c r="R225" s="19">
        <v>0</v>
      </c>
      <c r="S225" s="19">
        <f t="shared" si="4"/>
        <v>0</v>
      </c>
      <c r="T225" s="19">
        <f t="shared" si="5"/>
        <v>0</v>
      </c>
      <c r="U225" s="19">
        <f t="shared" si="6"/>
        <v>312</v>
      </c>
      <c r="V225" s="19">
        <f t="shared" si="7"/>
        <v>0</v>
      </c>
      <c r="W225" s="19">
        <f t="shared" si="8"/>
        <v>468</v>
      </c>
      <c r="X225" s="20">
        <f t="shared" si="9"/>
        <v>468</v>
      </c>
      <c r="Y225" s="20">
        <f t="shared" si="10"/>
        <v>0</v>
      </c>
    </row>
    <row r="226" spans="1:25" ht="15.75" customHeight="1">
      <c r="A226" s="14" t="s">
        <v>462</v>
      </c>
      <c r="B226" s="15" t="s">
        <v>463</v>
      </c>
      <c r="C226" s="16">
        <v>15.6</v>
      </c>
      <c r="D226" s="16">
        <v>15.6</v>
      </c>
      <c r="E226" s="17">
        <v>50</v>
      </c>
      <c r="F226" s="18">
        <v>0</v>
      </c>
      <c r="G226" s="18">
        <v>0</v>
      </c>
      <c r="H226" s="36">
        <v>20</v>
      </c>
      <c r="I226" s="17">
        <v>0</v>
      </c>
      <c r="J226" s="17">
        <f t="shared" si="0"/>
        <v>30</v>
      </c>
      <c r="K226" s="37">
        <v>30</v>
      </c>
      <c r="L226" s="17">
        <v>0</v>
      </c>
      <c r="M226" s="17">
        <v>0</v>
      </c>
      <c r="N226" s="17">
        <f t="shared" si="1"/>
        <v>30</v>
      </c>
      <c r="O226" s="17">
        <f t="shared" si="2"/>
        <v>0</v>
      </c>
      <c r="P226" s="3"/>
      <c r="Q226" s="19">
        <f t="shared" si="3"/>
        <v>780</v>
      </c>
      <c r="R226" s="19">
        <v>0</v>
      </c>
      <c r="S226" s="19">
        <f t="shared" si="4"/>
        <v>0</v>
      </c>
      <c r="T226" s="19">
        <f t="shared" si="5"/>
        <v>0</v>
      </c>
      <c r="U226" s="19">
        <f t="shared" si="6"/>
        <v>312</v>
      </c>
      <c r="V226" s="19">
        <f t="shared" si="7"/>
        <v>0</v>
      </c>
      <c r="W226" s="19">
        <f t="shared" si="8"/>
        <v>468</v>
      </c>
      <c r="X226" s="20">
        <f t="shared" si="9"/>
        <v>468</v>
      </c>
      <c r="Y226" s="20">
        <f t="shared" si="10"/>
        <v>0</v>
      </c>
    </row>
    <row r="227" spans="1:25" ht="15.75" customHeight="1">
      <c r="A227" s="14" t="s">
        <v>464</v>
      </c>
      <c r="B227" s="15" t="s">
        <v>465</v>
      </c>
      <c r="C227" s="16">
        <v>940</v>
      </c>
      <c r="D227" s="16">
        <v>940</v>
      </c>
      <c r="E227" s="17">
        <v>1</v>
      </c>
      <c r="F227" s="18">
        <v>0</v>
      </c>
      <c r="G227" s="18">
        <v>0</v>
      </c>
      <c r="H227" s="36">
        <v>0</v>
      </c>
      <c r="I227" s="17">
        <v>0</v>
      </c>
      <c r="J227" s="17">
        <f t="shared" si="0"/>
        <v>1</v>
      </c>
      <c r="K227" s="37">
        <v>1</v>
      </c>
      <c r="L227" s="17">
        <v>0</v>
      </c>
      <c r="M227" s="17">
        <v>0</v>
      </c>
      <c r="N227" s="17">
        <f t="shared" si="1"/>
        <v>1</v>
      </c>
      <c r="O227" s="17">
        <f t="shared" si="2"/>
        <v>0</v>
      </c>
      <c r="P227" s="3"/>
      <c r="Q227" s="19">
        <f t="shared" si="3"/>
        <v>940</v>
      </c>
      <c r="R227" s="19">
        <v>0</v>
      </c>
      <c r="S227" s="19">
        <f t="shared" si="4"/>
        <v>0</v>
      </c>
      <c r="T227" s="19">
        <f t="shared" si="5"/>
        <v>0</v>
      </c>
      <c r="U227" s="19">
        <f t="shared" si="6"/>
        <v>0</v>
      </c>
      <c r="V227" s="19">
        <f t="shared" si="7"/>
        <v>0</v>
      </c>
      <c r="W227" s="19">
        <f t="shared" si="8"/>
        <v>940</v>
      </c>
      <c r="X227" s="20">
        <f t="shared" si="9"/>
        <v>940</v>
      </c>
      <c r="Y227" s="20">
        <f t="shared" si="10"/>
        <v>0</v>
      </c>
    </row>
    <row r="228" spans="1:25" ht="15.75" customHeight="1">
      <c r="A228" s="14" t="s">
        <v>466</v>
      </c>
      <c r="B228" s="15" t="s">
        <v>467</v>
      </c>
      <c r="C228" s="16">
        <v>290</v>
      </c>
      <c r="D228" s="16">
        <v>290</v>
      </c>
      <c r="E228" s="17">
        <v>0</v>
      </c>
      <c r="F228" s="18">
        <v>0</v>
      </c>
      <c r="G228" s="18">
        <v>0</v>
      </c>
      <c r="H228" s="36">
        <v>0</v>
      </c>
      <c r="I228" s="17">
        <v>0</v>
      </c>
      <c r="J228" s="17">
        <f t="shared" si="0"/>
        <v>0</v>
      </c>
      <c r="K228" s="37">
        <v>0</v>
      </c>
      <c r="L228" s="17">
        <v>0</v>
      </c>
      <c r="M228" s="17">
        <v>0</v>
      </c>
      <c r="N228" s="17">
        <f t="shared" si="1"/>
        <v>0</v>
      </c>
      <c r="O228" s="17">
        <f t="shared" si="2"/>
        <v>0</v>
      </c>
      <c r="P228" s="3"/>
      <c r="Q228" s="19">
        <f t="shared" si="3"/>
        <v>0</v>
      </c>
      <c r="R228" s="19">
        <v>0</v>
      </c>
      <c r="S228" s="19">
        <f t="shared" si="4"/>
        <v>0</v>
      </c>
      <c r="T228" s="19">
        <f t="shared" si="5"/>
        <v>0</v>
      </c>
      <c r="U228" s="19">
        <f t="shared" si="6"/>
        <v>0</v>
      </c>
      <c r="V228" s="19">
        <f t="shared" si="7"/>
        <v>0</v>
      </c>
      <c r="W228" s="19">
        <f t="shared" si="8"/>
        <v>0</v>
      </c>
      <c r="X228" s="20">
        <f t="shared" si="9"/>
        <v>0</v>
      </c>
      <c r="Y228" s="20">
        <f t="shared" si="10"/>
        <v>0</v>
      </c>
    </row>
    <row r="229" spans="1:25" ht="15.75" customHeight="1">
      <c r="A229" s="14" t="s">
        <v>468</v>
      </c>
      <c r="B229" s="15" t="s">
        <v>469</v>
      </c>
      <c r="C229" s="16">
        <v>999</v>
      </c>
      <c r="D229" s="16">
        <v>999</v>
      </c>
      <c r="E229" s="17">
        <v>0</v>
      </c>
      <c r="F229" s="18">
        <v>0</v>
      </c>
      <c r="G229" s="18">
        <v>0</v>
      </c>
      <c r="H229" s="36">
        <v>0</v>
      </c>
      <c r="I229" s="17">
        <v>0</v>
      </c>
      <c r="J229" s="17">
        <f t="shared" si="0"/>
        <v>0</v>
      </c>
      <c r="K229" s="37">
        <v>0</v>
      </c>
      <c r="L229" s="17">
        <v>0</v>
      </c>
      <c r="M229" s="17">
        <v>0</v>
      </c>
      <c r="N229" s="17">
        <f t="shared" si="1"/>
        <v>0</v>
      </c>
      <c r="O229" s="17">
        <f t="shared" si="2"/>
        <v>0</v>
      </c>
      <c r="P229" s="3"/>
      <c r="Q229" s="19">
        <f t="shared" si="3"/>
        <v>0</v>
      </c>
      <c r="R229" s="19">
        <v>0</v>
      </c>
      <c r="S229" s="19">
        <f t="shared" si="4"/>
        <v>0</v>
      </c>
      <c r="T229" s="19">
        <f t="shared" si="5"/>
        <v>0</v>
      </c>
      <c r="U229" s="19">
        <f t="shared" si="6"/>
        <v>0</v>
      </c>
      <c r="V229" s="19">
        <f t="shared" si="7"/>
        <v>0</v>
      </c>
      <c r="W229" s="19">
        <f t="shared" si="8"/>
        <v>0</v>
      </c>
      <c r="X229" s="20">
        <f t="shared" si="9"/>
        <v>0</v>
      </c>
      <c r="Y229" s="20">
        <f t="shared" si="10"/>
        <v>0</v>
      </c>
    </row>
    <row r="230" spans="1:25" ht="15.75" customHeight="1">
      <c r="A230" s="14" t="s">
        <v>470</v>
      </c>
      <c r="B230" s="15" t="s">
        <v>471</v>
      </c>
      <c r="C230" s="16">
        <v>1458.35</v>
      </c>
      <c r="D230" s="16">
        <v>1458.35</v>
      </c>
      <c r="E230" s="17">
        <v>0</v>
      </c>
      <c r="F230" s="18">
        <v>0</v>
      </c>
      <c r="G230" s="18">
        <v>0</v>
      </c>
      <c r="H230" s="36">
        <v>0</v>
      </c>
      <c r="I230" s="17">
        <v>0</v>
      </c>
      <c r="J230" s="17">
        <f t="shared" si="0"/>
        <v>0</v>
      </c>
      <c r="K230" s="37">
        <v>0</v>
      </c>
      <c r="L230" s="17">
        <v>0</v>
      </c>
      <c r="M230" s="17">
        <v>0</v>
      </c>
      <c r="N230" s="17">
        <f t="shared" si="1"/>
        <v>0</v>
      </c>
      <c r="O230" s="17">
        <f t="shared" si="2"/>
        <v>0</v>
      </c>
      <c r="P230" s="3"/>
      <c r="Q230" s="19">
        <f t="shared" si="3"/>
        <v>0</v>
      </c>
      <c r="R230" s="19">
        <v>0</v>
      </c>
      <c r="S230" s="19">
        <f t="shared" si="4"/>
        <v>0</v>
      </c>
      <c r="T230" s="19">
        <f t="shared" si="5"/>
        <v>0</v>
      </c>
      <c r="U230" s="19">
        <f t="shared" si="6"/>
        <v>0</v>
      </c>
      <c r="V230" s="19">
        <f t="shared" si="7"/>
        <v>0</v>
      </c>
      <c r="W230" s="19">
        <f t="shared" si="8"/>
        <v>0</v>
      </c>
      <c r="X230" s="20">
        <f t="shared" si="9"/>
        <v>0</v>
      </c>
      <c r="Y230" s="20">
        <f t="shared" si="10"/>
        <v>0</v>
      </c>
    </row>
    <row r="231" spans="1:25" ht="15.75" customHeight="1">
      <c r="A231" s="14" t="s">
        <v>472</v>
      </c>
      <c r="B231" s="15" t="s">
        <v>473</v>
      </c>
      <c r="C231" s="16">
        <v>0</v>
      </c>
      <c r="D231" s="16">
        <v>0</v>
      </c>
      <c r="E231" s="17">
        <v>0</v>
      </c>
      <c r="F231" s="18">
        <v>0</v>
      </c>
      <c r="G231" s="18">
        <v>0</v>
      </c>
      <c r="H231" s="36">
        <v>0</v>
      </c>
      <c r="I231" s="17">
        <v>0</v>
      </c>
      <c r="J231" s="17">
        <f t="shared" si="0"/>
        <v>0</v>
      </c>
      <c r="K231" s="37">
        <v>0</v>
      </c>
      <c r="L231" s="17">
        <v>0</v>
      </c>
      <c r="M231" s="17">
        <v>0</v>
      </c>
      <c r="N231" s="17">
        <f t="shared" si="1"/>
        <v>0</v>
      </c>
      <c r="O231" s="17">
        <f t="shared" si="2"/>
        <v>0</v>
      </c>
      <c r="P231" s="3"/>
      <c r="Q231" s="19">
        <f t="shared" si="3"/>
        <v>0</v>
      </c>
      <c r="R231" s="19">
        <v>0</v>
      </c>
      <c r="S231" s="19">
        <f t="shared" si="4"/>
        <v>0</v>
      </c>
      <c r="T231" s="19">
        <f t="shared" si="5"/>
        <v>0</v>
      </c>
      <c r="U231" s="19">
        <f t="shared" si="6"/>
        <v>0</v>
      </c>
      <c r="V231" s="19">
        <f t="shared" si="7"/>
        <v>0</v>
      </c>
      <c r="W231" s="19">
        <f t="shared" si="8"/>
        <v>0</v>
      </c>
      <c r="X231" s="20">
        <f t="shared" si="9"/>
        <v>0</v>
      </c>
      <c r="Y231" s="20">
        <f t="shared" si="10"/>
        <v>0</v>
      </c>
    </row>
    <row r="232" spans="1:25" ht="15.75" customHeight="1">
      <c r="A232" s="14" t="s">
        <v>474</v>
      </c>
      <c r="B232" s="15" t="s">
        <v>475</v>
      </c>
      <c r="C232" s="16">
        <v>985</v>
      </c>
      <c r="D232" s="16">
        <v>985</v>
      </c>
      <c r="E232" s="17">
        <v>1</v>
      </c>
      <c r="F232" s="18">
        <v>0</v>
      </c>
      <c r="G232" s="18">
        <v>0</v>
      </c>
      <c r="H232" s="36">
        <v>0</v>
      </c>
      <c r="I232" s="17">
        <v>0</v>
      </c>
      <c r="J232" s="17">
        <f t="shared" si="0"/>
        <v>1</v>
      </c>
      <c r="K232" s="37">
        <v>0</v>
      </c>
      <c r="L232" s="17">
        <v>0</v>
      </c>
      <c r="M232" s="17">
        <v>1</v>
      </c>
      <c r="N232" s="17">
        <f t="shared" si="1"/>
        <v>1</v>
      </c>
      <c r="O232" s="17">
        <f t="shared" si="2"/>
        <v>0</v>
      </c>
      <c r="P232" s="3"/>
      <c r="Q232" s="19">
        <f t="shared" si="3"/>
        <v>985</v>
      </c>
      <c r="R232" s="19">
        <v>0</v>
      </c>
      <c r="S232" s="19">
        <f t="shared" si="4"/>
        <v>0</v>
      </c>
      <c r="T232" s="19">
        <f t="shared" si="5"/>
        <v>0</v>
      </c>
      <c r="U232" s="19">
        <f t="shared" si="6"/>
        <v>0</v>
      </c>
      <c r="V232" s="19">
        <f t="shared" si="7"/>
        <v>0</v>
      </c>
      <c r="W232" s="19">
        <f t="shared" si="8"/>
        <v>985</v>
      </c>
      <c r="X232" s="20">
        <f t="shared" si="9"/>
        <v>985</v>
      </c>
      <c r="Y232" s="20">
        <f t="shared" si="10"/>
        <v>0</v>
      </c>
    </row>
    <row r="233" spans="1:25" ht="15.75" customHeight="1">
      <c r="A233" s="14" t="s">
        <v>476</v>
      </c>
      <c r="B233" s="15" t="s">
        <v>477</v>
      </c>
      <c r="C233" s="16">
        <v>0</v>
      </c>
      <c r="D233" s="16">
        <v>0</v>
      </c>
      <c r="E233" s="17">
        <v>0</v>
      </c>
      <c r="F233" s="18">
        <v>0</v>
      </c>
      <c r="G233" s="18">
        <v>0</v>
      </c>
      <c r="H233" s="36">
        <v>0</v>
      </c>
      <c r="I233" s="17">
        <v>0</v>
      </c>
      <c r="J233" s="17">
        <f t="shared" si="0"/>
        <v>0</v>
      </c>
      <c r="K233" s="37">
        <v>0</v>
      </c>
      <c r="L233" s="17">
        <v>0</v>
      </c>
      <c r="M233" s="17">
        <v>0</v>
      </c>
      <c r="N233" s="17">
        <f t="shared" si="1"/>
        <v>0</v>
      </c>
      <c r="O233" s="17">
        <f t="shared" si="2"/>
        <v>0</v>
      </c>
      <c r="P233" s="3"/>
      <c r="Q233" s="19">
        <f t="shared" si="3"/>
        <v>0</v>
      </c>
      <c r="R233" s="19">
        <v>0</v>
      </c>
      <c r="S233" s="19">
        <f t="shared" si="4"/>
        <v>0</v>
      </c>
      <c r="T233" s="19">
        <f t="shared" si="5"/>
        <v>0</v>
      </c>
      <c r="U233" s="19">
        <f t="shared" si="6"/>
        <v>0</v>
      </c>
      <c r="V233" s="19">
        <f t="shared" si="7"/>
        <v>0</v>
      </c>
      <c r="W233" s="19">
        <f t="shared" si="8"/>
        <v>0</v>
      </c>
      <c r="X233" s="20">
        <f t="shared" si="9"/>
        <v>0</v>
      </c>
      <c r="Y233" s="20">
        <f t="shared" si="10"/>
        <v>0</v>
      </c>
    </row>
    <row r="234" spans="1:25" ht="15.75" customHeight="1">
      <c r="A234" s="14" t="s">
        <v>478</v>
      </c>
      <c r="B234" s="15" t="s">
        <v>479</v>
      </c>
      <c r="C234" s="16">
        <v>0</v>
      </c>
      <c r="D234" s="16">
        <v>0</v>
      </c>
      <c r="E234" s="17">
        <v>0</v>
      </c>
      <c r="F234" s="18">
        <v>0</v>
      </c>
      <c r="G234" s="18">
        <v>0</v>
      </c>
      <c r="H234" s="36">
        <v>0</v>
      </c>
      <c r="I234" s="17">
        <v>0</v>
      </c>
      <c r="J234" s="17">
        <f t="shared" si="0"/>
        <v>0</v>
      </c>
      <c r="K234" s="37">
        <v>0</v>
      </c>
      <c r="L234" s="17">
        <v>0</v>
      </c>
      <c r="M234" s="17">
        <v>0</v>
      </c>
      <c r="N234" s="17">
        <f t="shared" si="1"/>
        <v>0</v>
      </c>
      <c r="O234" s="17">
        <f t="shared" si="2"/>
        <v>0</v>
      </c>
      <c r="P234" s="3"/>
      <c r="Q234" s="19">
        <f t="shared" si="3"/>
        <v>0</v>
      </c>
      <c r="R234" s="19">
        <v>0</v>
      </c>
      <c r="S234" s="19">
        <f t="shared" si="4"/>
        <v>0</v>
      </c>
      <c r="T234" s="19">
        <f t="shared" si="5"/>
        <v>0</v>
      </c>
      <c r="U234" s="19">
        <f t="shared" si="6"/>
        <v>0</v>
      </c>
      <c r="V234" s="19">
        <f t="shared" si="7"/>
        <v>0</v>
      </c>
      <c r="W234" s="19">
        <f t="shared" si="8"/>
        <v>0</v>
      </c>
      <c r="X234" s="20">
        <f t="shared" si="9"/>
        <v>0</v>
      </c>
      <c r="Y234" s="20">
        <f t="shared" si="10"/>
        <v>0</v>
      </c>
    </row>
    <row r="235" spans="1:25" ht="22.5" customHeight="1">
      <c r="A235" s="14" t="s">
        <v>480</v>
      </c>
      <c r="B235" s="15" t="s">
        <v>481</v>
      </c>
      <c r="C235" s="16">
        <v>841</v>
      </c>
      <c r="D235" s="16">
        <v>841</v>
      </c>
      <c r="E235" s="17">
        <v>1</v>
      </c>
      <c r="F235" s="18">
        <v>0</v>
      </c>
      <c r="G235" s="18">
        <v>0</v>
      </c>
      <c r="H235" s="36">
        <v>0</v>
      </c>
      <c r="I235" s="17">
        <v>0</v>
      </c>
      <c r="J235" s="17">
        <f t="shared" si="0"/>
        <v>1</v>
      </c>
      <c r="K235" s="37">
        <v>1</v>
      </c>
      <c r="L235" s="17">
        <v>0</v>
      </c>
      <c r="M235" s="17">
        <v>0</v>
      </c>
      <c r="N235" s="17">
        <f t="shared" si="1"/>
        <v>1</v>
      </c>
      <c r="O235" s="17">
        <f t="shared" si="2"/>
        <v>0</v>
      </c>
      <c r="P235" s="3"/>
      <c r="Q235" s="19">
        <f t="shared" si="3"/>
        <v>841</v>
      </c>
      <c r="R235" s="19">
        <v>0</v>
      </c>
      <c r="S235" s="19">
        <f t="shared" si="4"/>
        <v>0</v>
      </c>
      <c r="T235" s="19">
        <f t="shared" si="5"/>
        <v>0</v>
      </c>
      <c r="U235" s="19">
        <f t="shared" si="6"/>
        <v>0</v>
      </c>
      <c r="V235" s="19">
        <f t="shared" si="7"/>
        <v>0</v>
      </c>
      <c r="W235" s="19">
        <f t="shared" si="8"/>
        <v>841</v>
      </c>
      <c r="X235" s="20">
        <f t="shared" si="9"/>
        <v>841</v>
      </c>
      <c r="Y235" s="20">
        <f t="shared" si="10"/>
        <v>0</v>
      </c>
    </row>
    <row r="236" spans="1:25" ht="15.75" customHeight="1">
      <c r="A236" s="14" t="s">
        <v>482</v>
      </c>
      <c r="B236" s="15" t="s">
        <v>483</v>
      </c>
      <c r="C236" s="16">
        <v>0</v>
      </c>
      <c r="D236" s="16">
        <v>0</v>
      </c>
      <c r="E236" s="17">
        <v>0</v>
      </c>
      <c r="F236" s="18">
        <v>0</v>
      </c>
      <c r="G236" s="18">
        <v>0</v>
      </c>
      <c r="H236" s="36">
        <v>0</v>
      </c>
      <c r="I236" s="17">
        <v>0</v>
      </c>
      <c r="J236" s="17">
        <f t="shared" si="0"/>
        <v>0</v>
      </c>
      <c r="K236" s="37">
        <v>0</v>
      </c>
      <c r="L236" s="17">
        <v>0</v>
      </c>
      <c r="M236" s="17">
        <v>0</v>
      </c>
      <c r="N236" s="17">
        <f t="shared" si="1"/>
        <v>0</v>
      </c>
      <c r="O236" s="17">
        <f t="shared" si="2"/>
        <v>0</v>
      </c>
      <c r="P236" s="3"/>
      <c r="Q236" s="19">
        <f t="shared" si="3"/>
        <v>0</v>
      </c>
      <c r="R236" s="19">
        <v>0</v>
      </c>
      <c r="S236" s="19">
        <f t="shared" si="4"/>
        <v>0</v>
      </c>
      <c r="T236" s="19">
        <f t="shared" si="5"/>
        <v>0</v>
      </c>
      <c r="U236" s="19">
        <f t="shared" si="6"/>
        <v>0</v>
      </c>
      <c r="V236" s="19">
        <f t="shared" si="7"/>
        <v>0</v>
      </c>
      <c r="W236" s="19">
        <f t="shared" si="8"/>
        <v>0</v>
      </c>
      <c r="X236" s="20">
        <f t="shared" si="9"/>
        <v>0</v>
      </c>
      <c r="Y236" s="20">
        <f t="shared" si="10"/>
        <v>0</v>
      </c>
    </row>
    <row r="237" spans="1:25" ht="15.75" customHeight="1">
      <c r="A237" s="14" t="s">
        <v>484</v>
      </c>
      <c r="B237" s="15" t="s">
        <v>485</v>
      </c>
      <c r="C237" s="16">
        <v>3410</v>
      </c>
      <c r="D237" s="16">
        <v>3410</v>
      </c>
      <c r="E237" s="17">
        <v>0</v>
      </c>
      <c r="F237" s="18">
        <v>0</v>
      </c>
      <c r="G237" s="18">
        <v>0</v>
      </c>
      <c r="H237" s="36">
        <v>0</v>
      </c>
      <c r="I237" s="17">
        <v>0</v>
      </c>
      <c r="J237" s="17">
        <f t="shared" si="0"/>
        <v>0</v>
      </c>
      <c r="K237" s="37">
        <v>0</v>
      </c>
      <c r="L237" s="17">
        <v>0</v>
      </c>
      <c r="M237" s="17">
        <v>0</v>
      </c>
      <c r="N237" s="17">
        <f t="shared" si="1"/>
        <v>0</v>
      </c>
      <c r="O237" s="17">
        <f t="shared" si="2"/>
        <v>0</v>
      </c>
      <c r="P237" s="3"/>
      <c r="Q237" s="19">
        <f t="shared" si="3"/>
        <v>0</v>
      </c>
      <c r="R237" s="19">
        <v>0</v>
      </c>
      <c r="S237" s="19">
        <f t="shared" si="4"/>
        <v>0</v>
      </c>
      <c r="T237" s="19">
        <f t="shared" si="5"/>
        <v>0</v>
      </c>
      <c r="U237" s="19">
        <f t="shared" si="6"/>
        <v>0</v>
      </c>
      <c r="V237" s="19">
        <f t="shared" si="7"/>
        <v>0</v>
      </c>
      <c r="W237" s="19">
        <f t="shared" si="8"/>
        <v>0</v>
      </c>
      <c r="X237" s="20">
        <f t="shared" si="9"/>
        <v>0</v>
      </c>
      <c r="Y237" s="20">
        <f t="shared" si="10"/>
        <v>0</v>
      </c>
    </row>
    <row r="238" spans="1:25" ht="15.75" customHeight="1">
      <c r="A238" s="14" t="s">
        <v>486</v>
      </c>
      <c r="B238" s="15" t="s">
        <v>487</v>
      </c>
      <c r="C238" s="16">
        <v>99</v>
      </c>
      <c r="D238" s="16">
        <v>99</v>
      </c>
      <c r="E238" s="17">
        <v>1</v>
      </c>
      <c r="F238" s="18">
        <v>0</v>
      </c>
      <c r="G238" s="18">
        <v>0</v>
      </c>
      <c r="H238" s="36">
        <v>0</v>
      </c>
      <c r="I238" s="17">
        <v>0</v>
      </c>
      <c r="J238" s="17">
        <f t="shared" si="0"/>
        <v>1</v>
      </c>
      <c r="K238" s="37">
        <v>1</v>
      </c>
      <c r="L238" s="17">
        <v>0</v>
      </c>
      <c r="M238" s="17">
        <v>0</v>
      </c>
      <c r="N238" s="17">
        <f t="shared" si="1"/>
        <v>1</v>
      </c>
      <c r="O238" s="17">
        <f t="shared" si="2"/>
        <v>0</v>
      </c>
      <c r="P238" s="3"/>
      <c r="Q238" s="19">
        <f t="shared" si="3"/>
        <v>99</v>
      </c>
      <c r="R238" s="19">
        <v>0</v>
      </c>
      <c r="S238" s="19">
        <f t="shared" si="4"/>
        <v>0</v>
      </c>
      <c r="T238" s="19">
        <f t="shared" si="5"/>
        <v>0</v>
      </c>
      <c r="U238" s="19">
        <f t="shared" si="6"/>
        <v>0</v>
      </c>
      <c r="V238" s="19">
        <f t="shared" si="7"/>
        <v>0</v>
      </c>
      <c r="W238" s="19">
        <f t="shared" si="8"/>
        <v>99</v>
      </c>
      <c r="X238" s="20">
        <f t="shared" si="9"/>
        <v>99</v>
      </c>
      <c r="Y238" s="20">
        <f t="shared" si="10"/>
        <v>0</v>
      </c>
    </row>
    <row r="239" spans="1:25" ht="15.75" customHeight="1">
      <c r="A239" s="14" t="s">
        <v>488</v>
      </c>
      <c r="B239" s="15" t="s">
        <v>489</v>
      </c>
      <c r="C239" s="16">
        <v>113.5</v>
      </c>
      <c r="D239" s="16">
        <v>113.5</v>
      </c>
      <c r="E239" s="17">
        <v>3</v>
      </c>
      <c r="F239" s="18">
        <v>0</v>
      </c>
      <c r="G239" s="18">
        <v>0</v>
      </c>
      <c r="H239" s="36">
        <v>0</v>
      </c>
      <c r="I239" s="17">
        <v>0</v>
      </c>
      <c r="J239" s="17">
        <f t="shared" si="0"/>
        <v>3</v>
      </c>
      <c r="K239" s="37">
        <v>3</v>
      </c>
      <c r="L239" s="17">
        <v>0</v>
      </c>
      <c r="M239" s="17">
        <v>0</v>
      </c>
      <c r="N239" s="17">
        <f t="shared" si="1"/>
        <v>3</v>
      </c>
      <c r="O239" s="17">
        <f t="shared" si="2"/>
        <v>0</v>
      </c>
      <c r="P239" s="3"/>
      <c r="Q239" s="19">
        <f t="shared" si="3"/>
        <v>340.5</v>
      </c>
      <c r="R239" s="19">
        <v>0</v>
      </c>
      <c r="S239" s="19">
        <f t="shared" si="4"/>
        <v>0</v>
      </c>
      <c r="T239" s="19">
        <f t="shared" si="5"/>
        <v>0</v>
      </c>
      <c r="U239" s="19">
        <f t="shared" si="6"/>
        <v>0</v>
      </c>
      <c r="V239" s="19">
        <f t="shared" si="7"/>
        <v>0</v>
      </c>
      <c r="W239" s="19">
        <f t="shared" si="8"/>
        <v>340.5</v>
      </c>
      <c r="X239" s="20">
        <f t="shared" si="9"/>
        <v>340.5</v>
      </c>
      <c r="Y239" s="20">
        <f t="shared" si="10"/>
        <v>0</v>
      </c>
    </row>
    <row r="240" spans="1:25" ht="15.75" customHeight="1">
      <c r="A240" s="14" t="s">
        <v>490</v>
      </c>
      <c r="B240" s="15" t="s">
        <v>491</v>
      </c>
      <c r="C240" s="16">
        <v>1536</v>
      </c>
      <c r="D240" s="16">
        <v>1536</v>
      </c>
      <c r="E240" s="17">
        <v>3</v>
      </c>
      <c r="F240" s="18">
        <v>0</v>
      </c>
      <c r="G240" s="18">
        <v>0</v>
      </c>
      <c r="H240" s="36">
        <v>1</v>
      </c>
      <c r="I240" s="17">
        <v>0</v>
      </c>
      <c r="J240" s="17">
        <f t="shared" si="0"/>
        <v>2</v>
      </c>
      <c r="K240" s="37">
        <v>2</v>
      </c>
      <c r="L240" s="17">
        <v>0</v>
      </c>
      <c r="M240" s="17">
        <v>0</v>
      </c>
      <c r="N240" s="17">
        <f t="shared" si="1"/>
        <v>2</v>
      </c>
      <c r="O240" s="17">
        <f t="shared" si="2"/>
        <v>0</v>
      </c>
      <c r="P240" s="3"/>
      <c r="Q240" s="19">
        <f t="shared" si="3"/>
        <v>4608</v>
      </c>
      <c r="R240" s="19">
        <v>0</v>
      </c>
      <c r="S240" s="19">
        <f t="shared" si="4"/>
        <v>0</v>
      </c>
      <c r="T240" s="19">
        <f t="shared" si="5"/>
        <v>0</v>
      </c>
      <c r="U240" s="19">
        <f t="shared" si="6"/>
        <v>1536</v>
      </c>
      <c r="V240" s="19">
        <f t="shared" si="7"/>
        <v>0</v>
      </c>
      <c r="W240" s="19">
        <f t="shared" si="8"/>
        <v>3072</v>
      </c>
      <c r="X240" s="20">
        <f t="shared" si="9"/>
        <v>3072</v>
      </c>
      <c r="Y240" s="20">
        <f t="shared" si="10"/>
        <v>0</v>
      </c>
    </row>
    <row r="241" spans="1:25" ht="15.75" customHeight="1">
      <c r="A241" s="14" t="s">
        <v>492</v>
      </c>
      <c r="B241" s="15" t="s">
        <v>493</v>
      </c>
      <c r="C241" s="16">
        <v>757.98</v>
      </c>
      <c r="D241" s="16">
        <v>757.98</v>
      </c>
      <c r="E241" s="17">
        <v>1</v>
      </c>
      <c r="F241" s="18">
        <v>0</v>
      </c>
      <c r="G241" s="18">
        <v>0</v>
      </c>
      <c r="H241" s="36">
        <v>0</v>
      </c>
      <c r="I241" s="17">
        <v>0</v>
      </c>
      <c r="J241" s="17">
        <f t="shared" si="0"/>
        <v>1</v>
      </c>
      <c r="K241" s="37">
        <v>1</v>
      </c>
      <c r="L241" s="17">
        <v>0</v>
      </c>
      <c r="M241" s="17">
        <v>0</v>
      </c>
      <c r="N241" s="17">
        <f t="shared" si="1"/>
        <v>1</v>
      </c>
      <c r="O241" s="17">
        <f t="shared" si="2"/>
        <v>0</v>
      </c>
      <c r="P241" s="3"/>
      <c r="Q241" s="19">
        <f t="shared" si="3"/>
        <v>757.98</v>
      </c>
      <c r="R241" s="19">
        <v>0</v>
      </c>
      <c r="S241" s="19">
        <f t="shared" si="4"/>
        <v>0</v>
      </c>
      <c r="T241" s="19">
        <f t="shared" si="5"/>
        <v>0</v>
      </c>
      <c r="U241" s="19">
        <f t="shared" si="6"/>
        <v>0</v>
      </c>
      <c r="V241" s="19">
        <f t="shared" si="7"/>
        <v>0</v>
      </c>
      <c r="W241" s="19">
        <f t="shared" si="8"/>
        <v>757.98</v>
      </c>
      <c r="X241" s="20">
        <f t="shared" si="9"/>
        <v>757.98</v>
      </c>
      <c r="Y241" s="20">
        <f t="shared" si="10"/>
        <v>0</v>
      </c>
    </row>
    <row r="242" spans="1:25" ht="15.75" customHeight="1">
      <c r="A242" s="14" t="s">
        <v>494</v>
      </c>
      <c r="B242" s="15" t="s">
        <v>495</v>
      </c>
      <c r="C242" s="16">
        <v>36.5</v>
      </c>
      <c r="D242" s="16">
        <v>36.5</v>
      </c>
      <c r="E242" s="17">
        <v>4</v>
      </c>
      <c r="F242" s="18">
        <v>0</v>
      </c>
      <c r="G242" s="18">
        <v>0</v>
      </c>
      <c r="H242" s="36">
        <v>4</v>
      </c>
      <c r="I242" s="17">
        <v>0</v>
      </c>
      <c r="J242" s="17">
        <f t="shared" si="0"/>
        <v>0</v>
      </c>
      <c r="K242" s="37">
        <v>0</v>
      </c>
      <c r="L242" s="17">
        <v>0</v>
      </c>
      <c r="M242" s="17">
        <v>0</v>
      </c>
      <c r="N242" s="17">
        <f t="shared" si="1"/>
        <v>0</v>
      </c>
      <c r="O242" s="17">
        <f t="shared" si="2"/>
        <v>0</v>
      </c>
      <c r="P242" s="3"/>
      <c r="Q242" s="19">
        <f t="shared" si="3"/>
        <v>146</v>
      </c>
      <c r="R242" s="19">
        <v>0</v>
      </c>
      <c r="S242" s="19">
        <f t="shared" si="4"/>
        <v>0</v>
      </c>
      <c r="T242" s="19">
        <f t="shared" si="5"/>
        <v>0</v>
      </c>
      <c r="U242" s="19">
        <f t="shared" si="6"/>
        <v>146</v>
      </c>
      <c r="V242" s="19">
        <f t="shared" si="7"/>
        <v>0</v>
      </c>
      <c r="W242" s="19">
        <f t="shared" si="8"/>
        <v>0</v>
      </c>
      <c r="X242" s="20">
        <f t="shared" si="9"/>
        <v>0</v>
      </c>
      <c r="Y242" s="20">
        <f t="shared" si="10"/>
        <v>0</v>
      </c>
    </row>
    <row r="243" spans="1:25" ht="15.75" customHeight="1">
      <c r="A243" s="14" t="s">
        <v>496</v>
      </c>
      <c r="B243" s="15" t="s">
        <v>497</v>
      </c>
      <c r="C243" s="16">
        <v>36.5</v>
      </c>
      <c r="D243" s="16">
        <v>36.5</v>
      </c>
      <c r="E243" s="17">
        <v>5</v>
      </c>
      <c r="F243" s="18">
        <v>0</v>
      </c>
      <c r="G243" s="18">
        <v>0</v>
      </c>
      <c r="H243" s="36">
        <v>5</v>
      </c>
      <c r="I243" s="17">
        <v>0</v>
      </c>
      <c r="J243" s="17">
        <f t="shared" si="0"/>
        <v>0</v>
      </c>
      <c r="K243" s="37">
        <v>0</v>
      </c>
      <c r="L243" s="17">
        <v>0</v>
      </c>
      <c r="M243" s="17">
        <v>0</v>
      </c>
      <c r="N243" s="17">
        <f t="shared" si="1"/>
        <v>0</v>
      </c>
      <c r="O243" s="17">
        <f t="shared" si="2"/>
        <v>0</v>
      </c>
      <c r="P243" s="3"/>
      <c r="Q243" s="19">
        <f t="shared" si="3"/>
        <v>182.5</v>
      </c>
      <c r="R243" s="19">
        <v>0</v>
      </c>
      <c r="S243" s="19">
        <f t="shared" si="4"/>
        <v>0</v>
      </c>
      <c r="T243" s="19">
        <f t="shared" si="5"/>
        <v>0</v>
      </c>
      <c r="U243" s="19">
        <f t="shared" si="6"/>
        <v>182.5</v>
      </c>
      <c r="V243" s="19">
        <f t="shared" si="7"/>
        <v>0</v>
      </c>
      <c r="W243" s="19">
        <f t="shared" si="8"/>
        <v>0</v>
      </c>
      <c r="X243" s="20">
        <f t="shared" si="9"/>
        <v>0</v>
      </c>
      <c r="Y243" s="20">
        <f t="shared" si="10"/>
        <v>0</v>
      </c>
    </row>
    <row r="244" spans="1:25" ht="15.75" customHeight="1">
      <c r="A244" s="14" t="s">
        <v>498</v>
      </c>
      <c r="B244" s="15" t="s">
        <v>499</v>
      </c>
      <c r="C244" s="16">
        <v>0</v>
      </c>
      <c r="D244" s="16">
        <v>0</v>
      </c>
      <c r="E244" s="17">
        <v>0</v>
      </c>
      <c r="F244" s="18">
        <v>0</v>
      </c>
      <c r="G244" s="18">
        <v>0</v>
      </c>
      <c r="H244" s="36">
        <v>0</v>
      </c>
      <c r="I244" s="17">
        <v>0</v>
      </c>
      <c r="J244" s="17">
        <f t="shared" si="0"/>
        <v>0</v>
      </c>
      <c r="K244" s="37">
        <v>0</v>
      </c>
      <c r="L244" s="17">
        <v>0</v>
      </c>
      <c r="M244" s="17">
        <v>0</v>
      </c>
      <c r="N244" s="17">
        <f t="shared" si="1"/>
        <v>0</v>
      </c>
      <c r="O244" s="17">
        <f t="shared" si="2"/>
        <v>0</v>
      </c>
      <c r="P244" s="3"/>
      <c r="Q244" s="19">
        <f t="shared" si="3"/>
        <v>0</v>
      </c>
      <c r="R244" s="19">
        <v>0</v>
      </c>
      <c r="S244" s="19">
        <f t="shared" si="4"/>
        <v>0</v>
      </c>
      <c r="T244" s="19">
        <f t="shared" si="5"/>
        <v>0</v>
      </c>
      <c r="U244" s="19">
        <f t="shared" si="6"/>
        <v>0</v>
      </c>
      <c r="V244" s="19">
        <f t="shared" si="7"/>
        <v>0</v>
      </c>
      <c r="W244" s="19">
        <f t="shared" si="8"/>
        <v>0</v>
      </c>
      <c r="X244" s="20">
        <f t="shared" si="9"/>
        <v>0</v>
      </c>
      <c r="Y244" s="20">
        <f t="shared" si="10"/>
        <v>0</v>
      </c>
    </row>
    <row r="245" spans="1:25" ht="15.75" customHeight="1">
      <c r="A245" s="14" t="s">
        <v>500</v>
      </c>
      <c r="B245" s="15" t="s">
        <v>501</v>
      </c>
      <c r="C245" s="16">
        <v>46.5</v>
      </c>
      <c r="D245" s="16">
        <v>46.5</v>
      </c>
      <c r="E245" s="17">
        <v>10</v>
      </c>
      <c r="F245" s="18">
        <v>0</v>
      </c>
      <c r="G245" s="18">
        <v>0</v>
      </c>
      <c r="H245" s="36">
        <v>0</v>
      </c>
      <c r="I245" s="17">
        <v>0</v>
      </c>
      <c r="J245" s="17">
        <f t="shared" si="0"/>
        <v>10</v>
      </c>
      <c r="K245" s="37">
        <v>10</v>
      </c>
      <c r="L245" s="17">
        <v>0</v>
      </c>
      <c r="M245" s="17">
        <v>0</v>
      </c>
      <c r="N245" s="17">
        <f t="shared" si="1"/>
        <v>10</v>
      </c>
      <c r="O245" s="17">
        <f t="shared" si="2"/>
        <v>0</v>
      </c>
      <c r="P245" s="3"/>
      <c r="Q245" s="19">
        <f t="shared" si="3"/>
        <v>465</v>
      </c>
      <c r="R245" s="19">
        <v>0</v>
      </c>
      <c r="S245" s="19">
        <f t="shared" si="4"/>
        <v>0</v>
      </c>
      <c r="T245" s="19">
        <f t="shared" si="5"/>
        <v>0</v>
      </c>
      <c r="U245" s="19">
        <f t="shared" si="6"/>
        <v>0</v>
      </c>
      <c r="V245" s="19">
        <f t="shared" si="7"/>
        <v>0</v>
      </c>
      <c r="W245" s="19">
        <f t="shared" si="8"/>
        <v>465</v>
      </c>
      <c r="X245" s="20">
        <f t="shared" si="9"/>
        <v>465</v>
      </c>
      <c r="Y245" s="20">
        <f t="shared" si="10"/>
        <v>0</v>
      </c>
    </row>
    <row r="246" spans="1:25" ht="15.75" customHeight="1">
      <c r="A246" s="14" t="s">
        <v>502</v>
      </c>
      <c r="B246" s="15" t="s">
        <v>503</v>
      </c>
      <c r="C246" s="16">
        <v>120</v>
      </c>
      <c r="D246" s="16">
        <v>120</v>
      </c>
      <c r="E246" s="17">
        <v>8</v>
      </c>
      <c r="F246" s="18">
        <v>0</v>
      </c>
      <c r="G246" s="18">
        <v>0</v>
      </c>
      <c r="H246" s="36">
        <v>6</v>
      </c>
      <c r="I246" s="17">
        <v>0</v>
      </c>
      <c r="J246" s="17">
        <f t="shared" si="0"/>
        <v>2</v>
      </c>
      <c r="K246" s="37">
        <v>2</v>
      </c>
      <c r="L246" s="17">
        <v>0</v>
      </c>
      <c r="M246" s="17">
        <v>0</v>
      </c>
      <c r="N246" s="17">
        <f t="shared" si="1"/>
        <v>2</v>
      </c>
      <c r="O246" s="17">
        <f t="shared" si="2"/>
        <v>0</v>
      </c>
      <c r="P246" s="3"/>
      <c r="Q246" s="19">
        <f t="shared" si="3"/>
        <v>960</v>
      </c>
      <c r="R246" s="19">
        <v>0</v>
      </c>
      <c r="S246" s="19">
        <f t="shared" si="4"/>
        <v>0</v>
      </c>
      <c r="T246" s="19">
        <f t="shared" si="5"/>
        <v>0</v>
      </c>
      <c r="U246" s="19">
        <f t="shared" si="6"/>
        <v>720</v>
      </c>
      <c r="V246" s="19">
        <f t="shared" si="7"/>
        <v>0</v>
      </c>
      <c r="W246" s="19">
        <f t="shared" si="8"/>
        <v>240</v>
      </c>
      <c r="X246" s="20">
        <f t="shared" si="9"/>
        <v>240</v>
      </c>
      <c r="Y246" s="20">
        <f t="shared" si="10"/>
        <v>0</v>
      </c>
    </row>
    <row r="247" spans="1:25" ht="15.75" customHeight="1">
      <c r="A247" s="14" t="s">
        <v>504</v>
      </c>
      <c r="B247" s="15" t="s">
        <v>505</v>
      </c>
      <c r="C247" s="16">
        <v>130</v>
      </c>
      <c r="D247" s="16">
        <v>130</v>
      </c>
      <c r="E247" s="17">
        <v>28</v>
      </c>
      <c r="F247" s="18">
        <v>0</v>
      </c>
      <c r="G247" s="18">
        <v>0</v>
      </c>
      <c r="H247" s="36">
        <v>12</v>
      </c>
      <c r="I247" s="17">
        <v>0</v>
      </c>
      <c r="J247" s="17">
        <f t="shared" si="0"/>
        <v>16</v>
      </c>
      <c r="K247" s="37">
        <v>16</v>
      </c>
      <c r="L247" s="17">
        <v>0</v>
      </c>
      <c r="M247" s="17">
        <v>0</v>
      </c>
      <c r="N247" s="17">
        <f t="shared" si="1"/>
        <v>16</v>
      </c>
      <c r="O247" s="17">
        <f t="shared" si="2"/>
        <v>0</v>
      </c>
      <c r="P247" s="3"/>
      <c r="Q247" s="19">
        <f t="shared" si="3"/>
        <v>3640</v>
      </c>
      <c r="R247" s="19">
        <v>0</v>
      </c>
      <c r="S247" s="19">
        <f t="shared" si="4"/>
        <v>0</v>
      </c>
      <c r="T247" s="19">
        <f t="shared" si="5"/>
        <v>0</v>
      </c>
      <c r="U247" s="19">
        <f t="shared" si="6"/>
        <v>1560</v>
      </c>
      <c r="V247" s="19">
        <f t="shared" si="7"/>
        <v>0</v>
      </c>
      <c r="W247" s="19">
        <f t="shared" si="8"/>
        <v>2080</v>
      </c>
      <c r="X247" s="20">
        <f t="shared" si="9"/>
        <v>2080</v>
      </c>
      <c r="Y247" s="20">
        <f t="shared" si="10"/>
        <v>0</v>
      </c>
    </row>
    <row r="248" spans="1:25" ht="15.75" customHeight="1">
      <c r="A248" s="14" t="s">
        <v>506</v>
      </c>
      <c r="B248" s="15" t="s">
        <v>507</v>
      </c>
      <c r="C248" s="16">
        <v>120</v>
      </c>
      <c r="D248" s="16">
        <v>120</v>
      </c>
      <c r="E248" s="17">
        <v>2</v>
      </c>
      <c r="F248" s="18">
        <v>0</v>
      </c>
      <c r="G248" s="18">
        <v>0</v>
      </c>
      <c r="H248" s="36">
        <v>2</v>
      </c>
      <c r="I248" s="17">
        <v>0</v>
      </c>
      <c r="J248" s="17">
        <f t="shared" si="0"/>
        <v>0</v>
      </c>
      <c r="K248" s="37">
        <v>0</v>
      </c>
      <c r="L248" s="17">
        <v>0</v>
      </c>
      <c r="M248" s="17">
        <v>0</v>
      </c>
      <c r="N248" s="17">
        <f t="shared" si="1"/>
        <v>0</v>
      </c>
      <c r="O248" s="17">
        <f t="shared" si="2"/>
        <v>0</v>
      </c>
      <c r="P248" s="3"/>
      <c r="Q248" s="19">
        <f t="shared" si="3"/>
        <v>240</v>
      </c>
      <c r="R248" s="19">
        <v>0</v>
      </c>
      <c r="S248" s="19">
        <f t="shared" si="4"/>
        <v>0</v>
      </c>
      <c r="T248" s="19">
        <f t="shared" si="5"/>
        <v>0</v>
      </c>
      <c r="U248" s="19">
        <f t="shared" si="6"/>
        <v>240</v>
      </c>
      <c r="V248" s="19">
        <f t="shared" si="7"/>
        <v>0</v>
      </c>
      <c r="W248" s="19">
        <f t="shared" si="8"/>
        <v>0</v>
      </c>
      <c r="X248" s="20">
        <f t="shared" si="9"/>
        <v>0</v>
      </c>
      <c r="Y248" s="20">
        <f t="shared" si="10"/>
        <v>0</v>
      </c>
    </row>
    <row r="249" spans="1:25" ht="15.75" customHeight="1">
      <c r="A249" s="14" t="s">
        <v>508</v>
      </c>
      <c r="B249" s="15" t="s">
        <v>509</v>
      </c>
      <c r="C249" s="16">
        <v>720</v>
      </c>
      <c r="D249" s="16">
        <v>720</v>
      </c>
      <c r="E249" s="17">
        <v>2</v>
      </c>
      <c r="F249" s="18">
        <v>0</v>
      </c>
      <c r="G249" s="18">
        <v>0</v>
      </c>
      <c r="H249" s="36">
        <v>0</v>
      </c>
      <c r="I249" s="17">
        <v>0</v>
      </c>
      <c r="J249" s="17">
        <f t="shared" si="0"/>
        <v>2</v>
      </c>
      <c r="K249" s="37">
        <v>2</v>
      </c>
      <c r="L249" s="17">
        <v>0</v>
      </c>
      <c r="M249" s="17">
        <v>0</v>
      </c>
      <c r="N249" s="17">
        <f t="shared" si="1"/>
        <v>2</v>
      </c>
      <c r="O249" s="17">
        <f t="shared" si="2"/>
        <v>0</v>
      </c>
      <c r="P249" s="3"/>
      <c r="Q249" s="19">
        <f t="shared" si="3"/>
        <v>1440</v>
      </c>
      <c r="R249" s="19">
        <v>0</v>
      </c>
      <c r="S249" s="19">
        <f t="shared" si="4"/>
        <v>0</v>
      </c>
      <c r="T249" s="19">
        <f t="shared" si="5"/>
        <v>0</v>
      </c>
      <c r="U249" s="19">
        <f t="shared" si="6"/>
        <v>0</v>
      </c>
      <c r="V249" s="19">
        <f t="shared" si="7"/>
        <v>0</v>
      </c>
      <c r="W249" s="19">
        <f t="shared" si="8"/>
        <v>1440</v>
      </c>
      <c r="X249" s="20">
        <f t="shared" si="9"/>
        <v>1440</v>
      </c>
      <c r="Y249" s="20">
        <f t="shared" si="10"/>
        <v>0</v>
      </c>
    </row>
    <row r="250" spans="1:25" ht="15.75" customHeight="1">
      <c r="A250" s="14" t="s">
        <v>510</v>
      </c>
      <c r="B250" s="15" t="s">
        <v>511</v>
      </c>
      <c r="C250" s="16">
        <v>2151.2199999999998</v>
      </c>
      <c r="D250" s="16">
        <v>2151.2199999999998</v>
      </c>
      <c r="E250" s="17">
        <v>1</v>
      </c>
      <c r="F250" s="18">
        <v>0</v>
      </c>
      <c r="G250" s="18">
        <v>0</v>
      </c>
      <c r="H250" s="36">
        <v>0</v>
      </c>
      <c r="I250" s="17">
        <v>0</v>
      </c>
      <c r="J250" s="17">
        <f t="shared" si="0"/>
        <v>1</v>
      </c>
      <c r="K250" s="37">
        <v>1</v>
      </c>
      <c r="L250" s="17">
        <v>0</v>
      </c>
      <c r="M250" s="17">
        <v>0</v>
      </c>
      <c r="N250" s="17">
        <f t="shared" si="1"/>
        <v>1</v>
      </c>
      <c r="O250" s="17">
        <f t="shared" si="2"/>
        <v>0</v>
      </c>
      <c r="P250" s="3"/>
      <c r="Q250" s="19">
        <f t="shared" si="3"/>
        <v>2151.2199999999998</v>
      </c>
      <c r="R250" s="19">
        <v>0</v>
      </c>
      <c r="S250" s="19">
        <f t="shared" si="4"/>
        <v>0</v>
      </c>
      <c r="T250" s="19">
        <f t="shared" si="5"/>
        <v>0</v>
      </c>
      <c r="U250" s="19">
        <f t="shared" si="6"/>
        <v>0</v>
      </c>
      <c r="V250" s="19">
        <f t="shared" si="7"/>
        <v>0</v>
      </c>
      <c r="W250" s="19">
        <f t="shared" si="8"/>
        <v>2151.2199999999998</v>
      </c>
      <c r="X250" s="20">
        <f t="shared" si="9"/>
        <v>2151.2199999999998</v>
      </c>
      <c r="Y250" s="20">
        <f t="shared" si="10"/>
        <v>0</v>
      </c>
    </row>
    <row r="251" spans="1:25" ht="15.75" customHeight="1">
      <c r="A251" s="14" t="s">
        <v>512</v>
      </c>
      <c r="B251" s="15" t="s">
        <v>513</v>
      </c>
      <c r="C251" s="16">
        <v>215.76</v>
      </c>
      <c r="D251" s="16">
        <v>215.76</v>
      </c>
      <c r="E251" s="17">
        <v>1</v>
      </c>
      <c r="F251" s="18">
        <v>0</v>
      </c>
      <c r="G251" s="18">
        <v>0</v>
      </c>
      <c r="H251" s="36">
        <v>0</v>
      </c>
      <c r="I251" s="17">
        <v>0</v>
      </c>
      <c r="J251" s="17">
        <f t="shared" si="0"/>
        <v>1</v>
      </c>
      <c r="K251" s="40">
        <v>1</v>
      </c>
      <c r="L251" s="18">
        <v>0</v>
      </c>
      <c r="M251" s="17">
        <v>0</v>
      </c>
      <c r="N251" s="18">
        <f t="shared" si="1"/>
        <v>1</v>
      </c>
      <c r="O251" s="17">
        <f t="shared" si="2"/>
        <v>0</v>
      </c>
      <c r="P251" s="3"/>
      <c r="Q251" s="19">
        <f t="shared" si="3"/>
        <v>215.76</v>
      </c>
      <c r="R251" s="19">
        <v>0</v>
      </c>
      <c r="S251" s="19">
        <f t="shared" si="4"/>
        <v>0</v>
      </c>
      <c r="T251" s="19">
        <f t="shared" si="5"/>
        <v>0</v>
      </c>
      <c r="U251" s="19">
        <f t="shared" si="6"/>
        <v>0</v>
      </c>
      <c r="V251" s="19">
        <f t="shared" si="7"/>
        <v>0</v>
      </c>
      <c r="W251" s="19">
        <f t="shared" si="8"/>
        <v>215.76</v>
      </c>
      <c r="X251" s="20">
        <f t="shared" si="9"/>
        <v>215.76</v>
      </c>
      <c r="Y251" s="20">
        <f t="shared" si="10"/>
        <v>0</v>
      </c>
    </row>
    <row r="252" spans="1:25" ht="15.75" customHeight="1">
      <c r="A252" s="14" t="s">
        <v>514</v>
      </c>
      <c r="B252" s="15" t="s">
        <v>515</v>
      </c>
      <c r="C252" s="16">
        <v>182.12</v>
      </c>
      <c r="D252" s="16">
        <v>182.12</v>
      </c>
      <c r="E252" s="17">
        <v>1</v>
      </c>
      <c r="F252" s="18">
        <v>0</v>
      </c>
      <c r="G252" s="18">
        <v>0</v>
      </c>
      <c r="H252" s="36">
        <v>0</v>
      </c>
      <c r="I252" s="17">
        <v>0</v>
      </c>
      <c r="J252" s="17">
        <f t="shared" si="0"/>
        <v>1</v>
      </c>
      <c r="K252" s="40">
        <v>1</v>
      </c>
      <c r="L252" s="18">
        <v>0</v>
      </c>
      <c r="M252" s="17">
        <v>0</v>
      </c>
      <c r="N252" s="18">
        <f t="shared" si="1"/>
        <v>1</v>
      </c>
      <c r="O252" s="17">
        <f t="shared" si="2"/>
        <v>0</v>
      </c>
      <c r="P252" s="3"/>
      <c r="Q252" s="19">
        <f t="shared" si="3"/>
        <v>182.12</v>
      </c>
      <c r="R252" s="19">
        <v>0</v>
      </c>
      <c r="S252" s="19">
        <f t="shared" si="4"/>
        <v>0</v>
      </c>
      <c r="T252" s="19">
        <f t="shared" si="5"/>
        <v>0</v>
      </c>
      <c r="U252" s="19">
        <f t="shared" si="6"/>
        <v>0</v>
      </c>
      <c r="V252" s="19">
        <f t="shared" si="7"/>
        <v>0</v>
      </c>
      <c r="W252" s="19">
        <f t="shared" si="8"/>
        <v>182.12</v>
      </c>
      <c r="X252" s="20">
        <f t="shared" si="9"/>
        <v>182.12</v>
      </c>
      <c r="Y252" s="20">
        <f t="shared" si="10"/>
        <v>0</v>
      </c>
    </row>
    <row r="253" spans="1:25" ht="15.75" customHeight="1">
      <c r="A253" s="14" t="s">
        <v>516</v>
      </c>
      <c r="B253" s="15" t="s">
        <v>517</v>
      </c>
      <c r="C253" s="16">
        <v>192.56</v>
      </c>
      <c r="D253" s="16">
        <v>192.56</v>
      </c>
      <c r="E253" s="17">
        <v>1</v>
      </c>
      <c r="F253" s="18">
        <v>0</v>
      </c>
      <c r="G253" s="18">
        <v>0</v>
      </c>
      <c r="H253" s="36">
        <v>0</v>
      </c>
      <c r="I253" s="17">
        <v>0</v>
      </c>
      <c r="J253" s="17">
        <f t="shared" si="0"/>
        <v>1</v>
      </c>
      <c r="K253" s="40">
        <v>1</v>
      </c>
      <c r="L253" s="18">
        <v>0</v>
      </c>
      <c r="M253" s="17">
        <v>0</v>
      </c>
      <c r="N253" s="18">
        <f t="shared" si="1"/>
        <v>1</v>
      </c>
      <c r="O253" s="17">
        <f t="shared" si="2"/>
        <v>0</v>
      </c>
      <c r="P253" s="3"/>
      <c r="Q253" s="19">
        <f t="shared" si="3"/>
        <v>192.56</v>
      </c>
      <c r="R253" s="19">
        <v>0</v>
      </c>
      <c r="S253" s="19">
        <f t="shared" si="4"/>
        <v>0</v>
      </c>
      <c r="T253" s="19">
        <f t="shared" si="5"/>
        <v>0</v>
      </c>
      <c r="U253" s="19">
        <f t="shared" si="6"/>
        <v>0</v>
      </c>
      <c r="V253" s="19">
        <f t="shared" si="7"/>
        <v>0</v>
      </c>
      <c r="W253" s="19">
        <f t="shared" si="8"/>
        <v>192.56</v>
      </c>
      <c r="X253" s="20">
        <f t="shared" si="9"/>
        <v>192.56</v>
      </c>
      <c r="Y253" s="20">
        <f t="shared" si="10"/>
        <v>0</v>
      </c>
    </row>
    <row r="254" spans="1:25" ht="15.75" customHeight="1">
      <c r="A254" s="14" t="s">
        <v>518</v>
      </c>
      <c r="B254" s="15" t="s">
        <v>519</v>
      </c>
      <c r="C254" s="16">
        <v>1983.6</v>
      </c>
      <c r="D254" s="16">
        <v>1983.6</v>
      </c>
      <c r="E254" s="17">
        <v>1</v>
      </c>
      <c r="F254" s="18">
        <v>0</v>
      </c>
      <c r="G254" s="18">
        <v>0</v>
      </c>
      <c r="H254" s="36">
        <v>0</v>
      </c>
      <c r="I254" s="17">
        <v>0</v>
      </c>
      <c r="J254" s="17">
        <f t="shared" si="0"/>
        <v>1</v>
      </c>
      <c r="K254" s="40">
        <v>1</v>
      </c>
      <c r="L254" s="18">
        <v>0</v>
      </c>
      <c r="M254" s="17">
        <v>0</v>
      </c>
      <c r="N254" s="18">
        <f t="shared" si="1"/>
        <v>1</v>
      </c>
      <c r="O254" s="17">
        <f t="shared" si="2"/>
        <v>0</v>
      </c>
      <c r="P254" s="3"/>
      <c r="Q254" s="19">
        <f t="shared" si="3"/>
        <v>1983.6</v>
      </c>
      <c r="R254" s="19">
        <v>0</v>
      </c>
      <c r="S254" s="19">
        <f t="shared" si="4"/>
        <v>0</v>
      </c>
      <c r="T254" s="19">
        <f t="shared" si="5"/>
        <v>0</v>
      </c>
      <c r="U254" s="19">
        <f t="shared" si="6"/>
        <v>0</v>
      </c>
      <c r="V254" s="19">
        <f t="shared" si="7"/>
        <v>0</v>
      </c>
      <c r="W254" s="19">
        <f t="shared" si="8"/>
        <v>1983.6</v>
      </c>
      <c r="X254" s="20">
        <f t="shared" si="9"/>
        <v>1983.6</v>
      </c>
      <c r="Y254" s="20">
        <f t="shared" si="10"/>
        <v>0</v>
      </c>
    </row>
    <row r="255" spans="1:25" ht="15.75" customHeight="1">
      <c r="A255" s="14" t="s">
        <v>520</v>
      </c>
      <c r="B255" s="15" t="s">
        <v>521</v>
      </c>
      <c r="C255" s="16">
        <v>0</v>
      </c>
      <c r="D255" s="16">
        <v>0</v>
      </c>
      <c r="E255" s="17">
        <v>0</v>
      </c>
      <c r="F255" s="18">
        <v>0</v>
      </c>
      <c r="G255" s="18">
        <v>0</v>
      </c>
      <c r="H255" s="36">
        <v>0</v>
      </c>
      <c r="I255" s="17">
        <v>0</v>
      </c>
      <c r="J255" s="17">
        <f t="shared" si="0"/>
        <v>0</v>
      </c>
      <c r="K255" s="40">
        <v>0</v>
      </c>
      <c r="L255" s="18">
        <v>0</v>
      </c>
      <c r="M255" s="17">
        <v>0</v>
      </c>
      <c r="N255" s="18">
        <f t="shared" si="1"/>
        <v>0</v>
      </c>
      <c r="O255" s="17">
        <f t="shared" si="2"/>
        <v>0</v>
      </c>
      <c r="P255" s="3"/>
      <c r="Q255" s="19">
        <f t="shared" si="3"/>
        <v>0</v>
      </c>
      <c r="R255" s="19">
        <v>0</v>
      </c>
      <c r="S255" s="19">
        <f t="shared" si="4"/>
        <v>0</v>
      </c>
      <c r="T255" s="19">
        <f t="shared" si="5"/>
        <v>0</v>
      </c>
      <c r="U255" s="19">
        <f t="shared" si="6"/>
        <v>0</v>
      </c>
      <c r="V255" s="19">
        <f t="shared" si="7"/>
        <v>0</v>
      </c>
      <c r="W255" s="19">
        <f t="shared" si="8"/>
        <v>0</v>
      </c>
      <c r="X255" s="20">
        <f t="shared" si="9"/>
        <v>0</v>
      </c>
      <c r="Y255" s="20">
        <f t="shared" si="10"/>
        <v>0</v>
      </c>
    </row>
    <row r="256" spans="1:25" ht="15.75" customHeight="1">
      <c r="A256" s="14" t="s">
        <v>522</v>
      </c>
      <c r="B256" s="15" t="s">
        <v>523</v>
      </c>
      <c r="C256" s="16">
        <v>723.8</v>
      </c>
      <c r="D256" s="16">
        <v>723.8</v>
      </c>
      <c r="E256" s="17">
        <v>2</v>
      </c>
      <c r="F256" s="18">
        <v>0</v>
      </c>
      <c r="G256" s="18">
        <v>0</v>
      </c>
      <c r="H256" s="36">
        <v>0</v>
      </c>
      <c r="I256" s="17">
        <v>0</v>
      </c>
      <c r="J256" s="17">
        <f t="shared" si="0"/>
        <v>2</v>
      </c>
      <c r="K256" s="40">
        <v>2</v>
      </c>
      <c r="L256" s="18">
        <v>0</v>
      </c>
      <c r="M256" s="17">
        <v>0</v>
      </c>
      <c r="N256" s="18">
        <f t="shared" si="1"/>
        <v>2</v>
      </c>
      <c r="O256" s="17">
        <f t="shared" si="2"/>
        <v>0</v>
      </c>
      <c r="P256" s="3"/>
      <c r="Q256" s="19">
        <f t="shared" si="3"/>
        <v>1447.6</v>
      </c>
      <c r="R256" s="19">
        <v>0</v>
      </c>
      <c r="S256" s="19">
        <f t="shared" si="4"/>
        <v>0</v>
      </c>
      <c r="T256" s="19">
        <f t="shared" si="5"/>
        <v>0</v>
      </c>
      <c r="U256" s="19">
        <f t="shared" si="6"/>
        <v>0</v>
      </c>
      <c r="V256" s="19">
        <f t="shared" si="7"/>
        <v>0</v>
      </c>
      <c r="W256" s="19">
        <f t="shared" si="8"/>
        <v>1447.6</v>
      </c>
      <c r="X256" s="20">
        <f t="shared" si="9"/>
        <v>1447.6</v>
      </c>
      <c r="Y256" s="20">
        <f t="shared" si="10"/>
        <v>0</v>
      </c>
    </row>
    <row r="257" spans="1:25" ht="15.75" customHeight="1">
      <c r="A257" s="14" t="s">
        <v>524</v>
      </c>
      <c r="B257" s="15" t="s">
        <v>525</v>
      </c>
      <c r="C257" s="16">
        <v>460</v>
      </c>
      <c r="D257" s="16">
        <v>460</v>
      </c>
      <c r="E257" s="17">
        <v>2</v>
      </c>
      <c r="F257" s="18">
        <v>0</v>
      </c>
      <c r="G257" s="18">
        <v>0</v>
      </c>
      <c r="H257" s="36">
        <v>0</v>
      </c>
      <c r="I257" s="17">
        <v>0</v>
      </c>
      <c r="J257" s="17">
        <f t="shared" si="0"/>
        <v>2</v>
      </c>
      <c r="K257" s="40">
        <v>1</v>
      </c>
      <c r="L257" s="18">
        <v>0</v>
      </c>
      <c r="M257" s="17">
        <v>1</v>
      </c>
      <c r="N257" s="18">
        <f t="shared" si="1"/>
        <v>2</v>
      </c>
      <c r="O257" s="17">
        <f t="shared" si="2"/>
        <v>0</v>
      </c>
      <c r="P257" s="3"/>
      <c r="Q257" s="19">
        <f t="shared" si="3"/>
        <v>920</v>
      </c>
      <c r="R257" s="19">
        <v>0</v>
      </c>
      <c r="S257" s="19">
        <f t="shared" si="4"/>
        <v>0</v>
      </c>
      <c r="T257" s="19">
        <f t="shared" si="5"/>
        <v>0</v>
      </c>
      <c r="U257" s="19">
        <f t="shared" si="6"/>
        <v>0</v>
      </c>
      <c r="V257" s="19">
        <f t="shared" si="7"/>
        <v>0</v>
      </c>
      <c r="W257" s="19">
        <f t="shared" si="8"/>
        <v>920</v>
      </c>
      <c r="X257" s="20">
        <f t="shared" si="9"/>
        <v>920</v>
      </c>
      <c r="Y257" s="20">
        <f t="shared" si="10"/>
        <v>0</v>
      </c>
    </row>
    <row r="258" spans="1:25" ht="15.75" customHeight="1">
      <c r="A258" s="14" t="s">
        <v>526</v>
      </c>
      <c r="B258" s="15" t="s">
        <v>527</v>
      </c>
      <c r="C258" s="16">
        <v>0</v>
      </c>
      <c r="D258" s="16">
        <v>0</v>
      </c>
      <c r="E258" s="17">
        <v>0</v>
      </c>
      <c r="F258" s="18">
        <v>0</v>
      </c>
      <c r="G258" s="18">
        <v>0</v>
      </c>
      <c r="H258" s="36">
        <v>0</v>
      </c>
      <c r="I258" s="17">
        <v>0</v>
      </c>
      <c r="J258" s="17">
        <f t="shared" si="0"/>
        <v>0</v>
      </c>
      <c r="K258" s="40">
        <v>0</v>
      </c>
      <c r="L258" s="18">
        <v>0</v>
      </c>
      <c r="M258" s="17">
        <v>0</v>
      </c>
      <c r="N258" s="18">
        <f t="shared" si="1"/>
        <v>0</v>
      </c>
      <c r="O258" s="17">
        <f t="shared" si="2"/>
        <v>0</v>
      </c>
      <c r="P258" s="3"/>
      <c r="Q258" s="19">
        <f t="shared" si="3"/>
        <v>0</v>
      </c>
      <c r="R258" s="19">
        <v>0</v>
      </c>
      <c r="S258" s="19">
        <f t="shared" si="4"/>
        <v>0</v>
      </c>
      <c r="T258" s="19">
        <f t="shared" si="5"/>
        <v>0</v>
      </c>
      <c r="U258" s="19">
        <f t="shared" si="6"/>
        <v>0</v>
      </c>
      <c r="V258" s="19">
        <f t="shared" si="7"/>
        <v>0</v>
      </c>
      <c r="W258" s="19">
        <f t="shared" si="8"/>
        <v>0</v>
      </c>
      <c r="X258" s="20">
        <f t="shared" si="9"/>
        <v>0</v>
      </c>
      <c r="Y258" s="20">
        <f t="shared" si="10"/>
        <v>0</v>
      </c>
    </row>
    <row r="259" spans="1:25" ht="15.75" customHeight="1">
      <c r="A259" s="14" t="s">
        <v>528</v>
      </c>
      <c r="B259" s="15" t="s">
        <v>529</v>
      </c>
      <c r="C259" s="16">
        <v>4700</v>
      </c>
      <c r="D259" s="16">
        <v>4700</v>
      </c>
      <c r="E259" s="17">
        <v>0</v>
      </c>
      <c r="F259" s="18">
        <v>0</v>
      </c>
      <c r="G259" s="18">
        <v>0</v>
      </c>
      <c r="H259" s="36">
        <v>0</v>
      </c>
      <c r="I259" s="17">
        <v>0</v>
      </c>
      <c r="J259" s="17">
        <f t="shared" si="0"/>
        <v>0</v>
      </c>
      <c r="K259" s="40">
        <v>0</v>
      </c>
      <c r="L259" s="18">
        <v>0</v>
      </c>
      <c r="M259" s="17">
        <v>0</v>
      </c>
      <c r="N259" s="18">
        <f t="shared" si="1"/>
        <v>0</v>
      </c>
      <c r="O259" s="17">
        <f t="shared" si="2"/>
        <v>0</v>
      </c>
      <c r="P259" s="3"/>
      <c r="Q259" s="19">
        <f t="shared" si="3"/>
        <v>0</v>
      </c>
      <c r="R259" s="19">
        <v>0</v>
      </c>
      <c r="S259" s="19">
        <f t="shared" si="4"/>
        <v>0</v>
      </c>
      <c r="T259" s="19">
        <f t="shared" si="5"/>
        <v>0</v>
      </c>
      <c r="U259" s="19">
        <f t="shared" si="6"/>
        <v>0</v>
      </c>
      <c r="V259" s="19">
        <f t="shared" si="7"/>
        <v>0</v>
      </c>
      <c r="W259" s="19">
        <f t="shared" si="8"/>
        <v>0</v>
      </c>
      <c r="X259" s="20">
        <f t="shared" si="9"/>
        <v>0</v>
      </c>
      <c r="Y259" s="20">
        <f t="shared" si="10"/>
        <v>0</v>
      </c>
    </row>
    <row r="260" spans="1:25" ht="15.75" customHeight="1">
      <c r="A260" s="14" t="s">
        <v>530</v>
      </c>
      <c r="B260" s="15" t="s">
        <v>531</v>
      </c>
      <c r="C260" s="16">
        <v>9600</v>
      </c>
      <c r="D260" s="16">
        <v>9600</v>
      </c>
      <c r="E260" s="17">
        <v>1</v>
      </c>
      <c r="F260" s="18">
        <v>0</v>
      </c>
      <c r="G260" s="18">
        <v>0</v>
      </c>
      <c r="H260" s="36">
        <v>0</v>
      </c>
      <c r="I260" s="17">
        <v>0</v>
      </c>
      <c r="J260" s="17">
        <f t="shared" si="0"/>
        <v>1</v>
      </c>
      <c r="K260" s="40">
        <v>1</v>
      </c>
      <c r="L260" s="18">
        <v>0</v>
      </c>
      <c r="M260" s="18">
        <v>0</v>
      </c>
      <c r="N260" s="18">
        <f t="shared" si="1"/>
        <v>1</v>
      </c>
      <c r="O260" s="17">
        <f t="shared" si="2"/>
        <v>0</v>
      </c>
      <c r="P260" s="3"/>
      <c r="Q260" s="19">
        <f t="shared" si="3"/>
        <v>9600</v>
      </c>
      <c r="R260" s="19">
        <v>0</v>
      </c>
      <c r="S260" s="19">
        <f t="shared" si="4"/>
        <v>0</v>
      </c>
      <c r="T260" s="19">
        <f t="shared" si="5"/>
        <v>0</v>
      </c>
      <c r="U260" s="19">
        <f t="shared" si="6"/>
        <v>0</v>
      </c>
      <c r="V260" s="19">
        <f t="shared" si="7"/>
        <v>0</v>
      </c>
      <c r="W260" s="19">
        <f t="shared" si="8"/>
        <v>9600</v>
      </c>
      <c r="X260" s="20">
        <f t="shared" si="9"/>
        <v>9600</v>
      </c>
      <c r="Y260" s="20">
        <f t="shared" si="10"/>
        <v>0</v>
      </c>
    </row>
    <row r="261" spans="1:25" ht="15.75" customHeight="1">
      <c r="A261" s="14" t="s">
        <v>532</v>
      </c>
      <c r="B261" s="15" t="s">
        <v>533</v>
      </c>
      <c r="C261" s="16">
        <v>652.5</v>
      </c>
      <c r="D261" s="16">
        <v>652.5</v>
      </c>
      <c r="E261" s="17">
        <v>3</v>
      </c>
      <c r="F261" s="18">
        <v>0</v>
      </c>
      <c r="G261" s="18">
        <v>0</v>
      </c>
      <c r="H261" s="36">
        <v>0</v>
      </c>
      <c r="I261" s="17">
        <v>0</v>
      </c>
      <c r="J261" s="17">
        <f t="shared" si="0"/>
        <v>3</v>
      </c>
      <c r="K261" s="40">
        <v>3</v>
      </c>
      <c r="L261" s="18">
        <v>0</v>
      </c>
      <c r="M261" s="17">
        <v>0</v>
      </c>
      <c r="N261" s="18">
        <f t="shared" si="1"/>
        <v>3</v>
      </c>
      <c r="O261" s="17">
        <f t="shared" si="2"/>
        <v>0</v>
      </c>
      <c r="P261" s="3"/>
      <c r="Q261" s="19">
        <f t="shared" si="3"/>
        <v>1957.5</v>
      </c>
      <c r="R261" s="19">
        <v>0</v>
      </c>
      <c r="S261" s="19">
        <f t="shared" si="4"/>
        <v>0</v>
      </c>
      <c r="T261" s="19">
        <f t="shared" si="5"/>
        <v>0</v>
      </c>
      <c r="U261" s="19">
        <f t="shared" si="6"/>
        <v>0</v>
      </c>
      <c r="V261" s="19">
        <f t="shared" si="7"/>
        <v>0</v>
      </c>
      <c r="W261" s="19">
        <f t="shared" si="8"/>
        <v>1957.5</v>
      </c>
      <c r="X261" s="20">
        <f t="shared" si="9"/>
        <v>1957.5</v>
      </c>
      <c r="Y261" s="20">
        <f t="shared" si="10"/>
        <v>0</v>
      </c>
    </row>
    <row r="262" spans="1:25" ht="15.75" customHeight="1">
      <c r="A262" s="14" t="s">
        <v>534</v>
      </c>
      <c r="B262" s="15" t="s">
        <v>535</v>
      </c>
      <c r="C262" s="16">
        <v>652.5</v>
      </c>
      <c r="D262" s="16">
        <v>652.5</v>
      </c>
      <c r="E262" s="17">
        <v>3</v>
      </c>
      <c r="F262" s="18">
        <v>0</v>
      </c>
      <c r="G262" s="18">
        <v>0</v>
      </c>
      <c r="H262" s="36">
        <v>0</v>
      </c>
      <c r="I262" s="17">
        <v>0</v>
      </c>
      <c r="J262" s="17">
        <f t="shared" ref="J262:J304" si="11">E262+F262+G262-H262-I262</f>
        <v>3</v>
      </c>
      <c r="K262" s="40">
        <v>3</v>
      </c>
      <c r="L262" s="18">
        <v>0</v>
      </c>
      <c r="M262" s="17">
        <v>0</v>
      </c>
      <c r="N262" s="18">
        <f t="shared" ref="N262:N304" si="12">K262+L262+M262</f>
        <v>3</v>
      </c>
      <c r="O262" s="17">
        <f t="shared" ref="O262:O304" si="13">N262-J262</f>
        <v>0</v>
      </c>
      <c r="P262" s="3"/>
      <c r="Q262" s="19">
        <f t="shared" ref="Q262:Q304" si="14">C262*E262</f>
        <v>1957.5</v>
      </c>
      <c r="R262" s="19">
        <v>0</v>
      </c>
      <c r="S262" s="19">
        <f t="shared" ref="S262:S304" si="15">D262*F262</f>
        <v>0</v>
      </c>
      <c r="T262" s="19">
        <f t="shared" ref="T262:T304" si="16">D262*G262</f>
        <v>0</v>
      </c>
      <c r="U262" s="19">
        <f t="shared" ref="U262:U304" si="17">D262*H262</f>
        <v>0</v>
      </c>
      <c r="V262" s="19">
        <f t="shared" ref="V262:V304" si="18">D262*I262</f>
        <v>0</v>
      </c>
      <c r="W262" s="19">
        <f t="shared" ref="W262:W304" si="19">Q262+R262+S262+T262-U262-V262</f>
        <v>1957.5</v>
      </c>
      <c r="X262" s="20">
        <f t="shared" ref="X262:X304" si="20">J262*D262</f>
        <v>1957.5</v>
      </c>
      <c r="Y262" s="20">
        <f t="shared" ref="Y262:Y304" si="21">X262-W262</f>
        <v>0</v>
      </c>
    </row>
    <row r="263" spans="1:25" ht="15.75" customHeight="1">
      <c r="A263" s="14" t="s">
        <v>536</v>
      </c>
      <c r="B263" s="15" t="s">
        <v>537</v>
      </c>
      <c r="C263" s="16">
        <v>652.5</v>
      </c>
      <c r="D263" s="16">
        <v>652.5</v>
      </c>
      <c r="E263" s="17">
        <v>3</v>
      </c>
      <c r="F263" s="18">
        <v>0</v>
      </c>
      <c r="G263" s="18">
        <v>0</v>
      </c>
      <c r="H263" s="36">
        <v>0</v>
      </c>
      <c r="I263" s="17">
        <v>0</v>
      </c>
      <c r="J263" s="17">
        <f t="shared" si="11"/>
        <v>3</v>
      </c>
      <c r="K263" s="40">
        <v>3</v>
      </c>
      <c r="L263" s="18">
        <v>0</v>
      </c>
      <c r="M263" s="17">
        <v>0</v>
      </c>
      <c r="N263" s="18">
        <f t="shared" si="12"/>
        <v>3</v>
      </c>
      <c r="O263" s="17">
        <f t="shared" si="13"/>
        <v>0</v>
      </c>
      <c r="P263" s="3"/>
      <c r="Q263" s="19">
        <f t="shared" si="14"/>
        <v>1957.5</v>
      </c>
      <c r="R263" s="19">
        <v>0</v>
      </c>
      <c r="S263" s="19">
        <f t="shared" si="15"/>
        <v>0</v>
      </c>
      <c r="T263" s="19">
        <f t="shared" si="16"/>
        <v>0</v>
      </c>
      <c r="U263" s="19">
        <f t="shared" si="17"/>
        <v>0</v>
      </c>
      <c r="V263" s="19">
        <f t="shared" si="18"/>
        <v>0</v>
      </c>
      <c r="W263" s="19">
        <f t="shared" si="19"/>
        <v>1957.5</v>
      </c>
      <c r="X263" s="20">
        <f t="shared" si="20"/>
        <v>1957.5</v>
      </c>
      <c r="Y263" s="20">
        <f t="shared" si="21"/>
        <v>0</v>
      </c>
    </row>
    <row r="264" spans="1:25" ht="15.75" customHeight="1">
      <c r="A264" s="14" t="s">
        <v>538</v>
      </c>
      <c r="B264" s="15" t="s">
        <v>539</v>
      </c>
      <c r="C264" s="16">
        <v>652</v>
      </c>
      <c r="D264" s="16">
        <v>652</v>
      </c>
      <c r="E264" s="17">
        <v>3</v>
      </c>
      <c r="F264" s="18">
        <v>0</v>
      </c>
      <c r="G264" s="18">
        <v>0</v>
      </c>
      <c r="H264" s="36">
        <v>0</v>
      </c>
      <c r="I264" s="17">
        <v>0</v>
      </c>
      <c r="J264" s="17">
        <f t="shared" si="11"/>
        <v>3</v>
      </c>
      <c r="K264" s="40">
        <v>3</v>
      </c>
      <c r="L264" s="18">
        <v>0</v>
      </c>
      <c r="M264" s="17">
        <v>0</v>
      </c>
      <c r="N264" s="18">
        <f t="shared" si="12"/>
        <v>3</v>
      </c>
      <c r="O264" s="17">
        <f t="shared" si="13"/>
        <v>0</v>
      </c>
      <c r="P264" s="3"/>
      <c r="Q264" s="19">
        <f t="shared" si="14"/>
        <v>1956</v>
      </c>
      <c r="R264" s="19">
        <v>0</v>
      </c>
      <c r="S264" s="19">
        <f t="shared" si="15"/>
        <v>0</v>
      </c>
      <c r="T264" s="19">
        <f t="shared" si="16"/>
        <v>0</v>
      </c>
      <c r="U264" s="19">
        <f t="shared" si="17"/>
        <v>0</v>
      </c>
      <c r="V264" s="19">
        <f t="shared" si="18"/>
        <v>0</v>
      </c>
      <c r="W264" s="19">
        <f t="shared" si="19"/>
        <v>1956</v>
      </c>
      <c r="X264" s="20">
        <f t="shared" si="20"/>
        <v>1956</v>
      </c>
      <c r="Y264" s="20">
        <f t="shared" si="21"/>
        <v>0</v>
      </c>
    </row>
    <row r="265" spans="1:25" ht="15.75" customHeight="1">
      <c r="A265" s="14" t="s">
        <v>540</v>
      </c>
      <c r="B265" s="15" t="s">
        <v>541</v>
      </c>
      <c r="C265" s="16">
        <v>1320.89</v>
      </c>
      <c r="D265" s="16">
        <v>1320.89</v>
      </c>
      <c r="E265" s="17">
        <v>0</v>
      </c>
      <c r="F265" s="18">
        <v>0</v>
      </c>
      <c r="G265" s="18">
        <v>0</v>
      </c>
      <c r="H265" s="36">
        <v>0</v>
      </c>
      <c r="I265" s="17">
        <v>0</v>
      </c>
      <c r="J265" s="17">
        <f t="shared" si="11"/>
        <v>0</v>
      </c>
      <c r="K265" s="40">
        <v>0</v>
      </c>
      <c r="L265" s="18">
        <v>0</v>
      </c>
      <c r="M265" s="17">
        <v>0</v>
      </c>
      <c r="N265" s="18">
        <f t="shared" si="12"/>
        <v>0</v>
      </c>
      <c r="O265" s="17">
        <f t="shared" si="13"/>
        <v>0</v>
      </c>
      <c r="P265" s="3"/>
      <c r="Q265" s="19">
        <f t="shared" si="14"/>
        <v>0</v>
      </c>
      <c r="R265" s="19">
        <v>0</v>
      </c>
      <c r="S265" s="19">
        <f t="shared" si="15"/>
        <v>0</v>
      </c>
      <c r="T265" s="19">
        <f t="shared" si="16"/>
        <v>0</v>
      </c>
      <c r="U265" s="19">
        <f t="shared" si="17"/>
        <v>0</v>
      </c>
      <c r="V265" s="19">
        <f t="shared" si="18"/>
        <v>0</v>
      </c>
      <c r="W265" s="19">
        <f t="shared" si="19"/>
        <v>0</v>
      </c>
      <c r="X265" s="20">
        <f t="shared" si="20"/>
        <v>0</v>
      </c>
      <c r="Y265" s="20">
        <f t="shared" si="21"/>
        <v>0</v>
      </c>
    </row>
    <row r="266" spans="1:25" ht="15.75" customHeight="1">
      <c r="A266" s="14" t="s">
        <v>542</v>
      </c>
      <c r="B266" s="15" t="s">
        <v>543</v>
      </c>
      <c r="C266" s="16">
        <v>2086.2600000000002</v>
      </c>
      <c r="D266" s="16">
        <v>2086.2600000000002</v>
      </c>
      <c r="E266" s="17">
        <v>3</v>
      </c>
      <c r="F266" s="18">
        <v>0</v>
      </c>
      <c r="G266" s="18">
        <v>0</v>
      </c>
      <c r="H266" s="36">
        <v>0</v>
      </c>
      <c r="I266" s="17">
        <v>0</v>
      </c>
      <c r="J266" s="17">
        <f t="shared" si="11"/>
        <v>3</v>
      </c>
      <c r="K266" s="40">
        <v>3</v>
      </c>
      <c r="L266" s="18">
        <v>0</v>
      </c>
      <c r="M266" s="17">
        <v>0</v>
      </c>
      <c r="N266" s="18">
        <f t="shared" si="12"/>
        <v>3</v>
      </c>
      <c r="O266" s="17">
        <f t="shared" si="13"/>
        <v>0</v>
      </c>
      <c r="P266" s="3"/>
      <c r="Q266" s="19">
        <f t="shared" si="14"/>
        <v>6258.7800000000007</v>
      </c>
      <c r="R266" s="19">
        <v>0</v>
      </c>
      <c r="S266" s="19">
        <f t="shared" si="15"/>
        <v>0</v>
      </c>
      <c r="T266" s="19">
        <f t="shared" si="16"/>
        <v>0</v>
      </c>
      <c r="U266" s="19">
        <f t="shared" si="17"/>
        <v>0</v>
      </c>
      <c r="V266" s="19">
        <f t="shared" si="18"/>
        <v>0</v>
      </c>
      <c r="W266" s="19">
        <f t="shared" si="19"/>
        <v>6258.7800000000007</v>
      </c>
      <c r="X266" s="20">
        <f t="shared" si="20"/>
        <v>6258.7800000000007</v>
      </c>
      <c r="Y266" s="20">
        <f t="shared" si="21"/>
        <v>0</v>
      </c>
    </row>
    <row r="267" spans="1:25" ht="15.75" customHeight="1">
      <c r="A267" s="14" t="s">
        <v>544</v>
      </c>
      <c r="B267" s="15" t="s">
        <v>545</v>
      </c>
      <c r="C267" s="16">
        <v>1462.18</v>
      </c>
      <c r="D267" s="16">
        <v>1462.18</v>
      </c>
      <c r="E267" s="17">
        <v>0</v>
      </c>
      <c r="F267" s="18">
        <v>0</v>
      </c>
      <c r="G267" s="18">
        <v>0</v>
      </c>
      <c r="H267" s="36">
        <v>0</v>
      </c>
      <c r="I267" s="17">
        <v>0</v>
      </c>
      <c r="J267" s="17">
        <f t="shared" si="11"/>
        <v>0</v>
      </c>
      <c r="K267" s="40">
        <v>0</v>
      </c>
      <c r="L267" s="18">
        <v>0</v>
      </c>
      <c r="M267" s="17">
        <v>0</v>
      </c>
      <c r="N267" s="18">
        <f t="shared" si="12"/>
        <v>0</v>
      </c>
      <c r="O267" s="17">
        <f t="shared" si="13"/>
        <v>0</v>
      </c>
      <c r="P267" s="3"/>
      <c r="Q267" s="19">
        <f t="shared" si="14"/>
        <v>0</v>
      </c>
      <c r="R267" s="19">
        <v>0</v>
      </c>
      <c r="S267" s="19">
        <f t="shared" si="15"/>
        <v>0</v>
      </c>
      <c r="T267" s="19">
        <f t="shared" si="16"/>
        <v>0</v>
      </c>
      <c r="U267" s="19">
        <f t="shared" si="17"/>
        <v>0</v>
      </c>
      <c r="V267" s="19">
        <f t="shared" si="18"/>
        <v>0</v>
      </c>
      <c r="W267" s="19">
        <f t="shared" si="19"/>
        <v>0</v>
      </c>
      <c r="X267" s="20">
        <f t="shared" si="20"/>
        <v>0</v>
      </c>
      <c r="Y267" s="20">
        <f t="shared" si="21"/>
        <v>0</v>
      </c>
    </row>
    <row r="268" spans="1:25" ht="15.75" customHeight="1">
      <c r="A268" s="14" t="s">
        <v>546</v>
      </c>
      <c r="B268" s="15" t="s">
        <v>547</v>
      </c>
      <c r="C268" s="16">
        <v>1981.28</v>
      </c>
      <c r="D268" s="16">
        <v>1981.28</v>
      </c>
      <c r="E268" s="17">
        <v>0</v>
      </c>
      <c r="F268" s="18">
        <v>0</v>
      </c>
      <c r="G268" s="18">
        <v>0</v>
      </c>
      <c r="H268" s="36">
        <v>0</v>
      </c>
      <c r="I268" s="17">
        <v>0</v>
      </c>
      <c r="J268" s="17">
        <f t="shared" si="11"/>
        <v>0</v>
      </c>
      <c r="K268" s="40">
        <v>0</v>
      </c>
      <c r="L268" s="18">
        <v>0</v>
      </c>
      <c r="M268" s="17">
        <v>0</v>
      </c>
      <c r="N268" s="18">
        <f t="shared" si="12"/>
        <v>0</v>
      </c>
      <c r="O268" s="17">
        <f t="shared" si="13"/>
        <v>0</v>
      </c>
      <c r="P268" s="3"/>
      <c r="Q268" s="19">
        <f t="shared" si="14"/>
        <v>0</v>
      </c>
      <c r="R268" s="19">
        <v>0</v>
      </c>
      <c r="S268" s="19">
        <f t="shared" si="15"/>
        <v>0</v>
      </c>
      <c r="T268" s="19">
        <f t="shared" si="16"/>
        <v>0</v>
      </c>
      <c r="U268" s="19">
        <f t="shared" si="17"/>
        <v>0</v>
      </c>
      <c r="V268" s="19">
        <f t="shared" si="18"/>
        <v>0</v>
      </c>
      <c r="W268" s="19">
        <f t="shared" si="19"/>
        <v>0</v>
      </c>
      <c r="X268" s="20">
        <f t="shared" si="20"/>
        <v>0</v>
      </c>
      <c r="Y268" s="20">
        <f t="shared" si="21"/>
        <v>0</v>
      </c>
    </row>
    <row r="269" spans="1:25" ht="15.75" customHeight="1">
      <c r="A269" s="14" t="s">
        <v>548</v>
      </c>
      <c r="B269" s="15" t="s">
        <v>549</v>
      </c>
      <c r="C269" s="16">
        <v>630</v>
      </c>
      <c r="D269" s="16">
        <v>630</v>
      </c>
      <c r="E269" s="17">
        <v>3</v>
      </c>
      <c r="F269" s="18">
        <v>0</v>
      </c>
      <c r="G269" s="18">
        <v>0</v>
      </c>
      <c r="H269" s="36">
        <v>0</v>
      </c>
      <c r="I269" s="17">
        <v>0</v>
      </c>
      <c r="J269" s="17">
        <f t="shared" si="11"/>
        <v>3</v>
      </c>
      <c r="K269" s="40">
        <v>3</v>
      </c>
      <c r="L269" s="18">
        <v>0</v>
      </c>
      <c r="M269" s="17">
        <v>0</v>
      </c>
      <c r="N269" s="18">
        <f t="shared" si="12"/>
        <v>3</v>
      </c>
      <c r="O269" s="17">
        <f t="shared" si="13"/>
        <v>0</v>
      </c>
      <c r="P269" s="3"/>
      <c r="Q269" s="19">
        <f t="shared" si="14"/>
        <v>1890</v>
      </c>
      <c r="R269" s="19">
        <v>0</v>
      </c>
      <c r="S269" s="19">
        <f t="shared" si="15"/>
        <v>0</v>
      </c>
      <c r="T269" s="19">
        <f t="shared" si="16"/>
        <v>0</v>
      </c>
      <c r="U269" s="19">
        <f t="shared" si="17"/>
        <v>0</v>
      </c>
      <c r="V269" s="19">
        <f t="shared" si="18"/>
        <v>0</v>
      </c>
      <c r="W269" s="19">
        <f t="shared" si="19"/>
        <v>1890</v>
      </c>
      <c r="X269" s="20">
        <f t="shared" si="20"/>
        <v>1890</v>
      </c>
      <c r="Y269" s="20">
        <f t="shared" si="21"/>
        <v>0</v>
      </c>
    </row>
    <row r="270" spans="1:25" ht="15.75" customHeight="1">
      <c r="A270" s="14" t="s">
        <v>550</v>
      </c>
      <c r="B270" s="15" t="s">
        <v>551</v>
      </c>
      <c r="C270" s="16">
        <v>60</v>
      </c>
      <c r="D270" s="16">
        <v>60</v>
      </c>
      <c r="E270" s="17">
        <v>191</v>
      </c>
      <c r="F270" s="18">
        <v>0</v>
      </c>
      <c r="G270" s="18">
        <v>0</v>
      </c>
      <c r="H270" s="36">
        <v>4</v>
      </c>
      <c r="I270" s="17">
        <v>0</v>
      </c>
      <c r="J270" s="17">
        <f t="shared" si="11"/>
        <v>187</v>
      </c>
      <c r="K270" s="40">
        <v>87</v>
      </c>
      <c r="L270" s="18">
        <v>100</v>
      </c>
      <c r="M270" s="17">
        <v>0</v>
      </c>
      <c r="N270" s="18">
        <f t="shared" si="12"/>
        <v>187</v>
      </c>
      <c r="O270" s="17">
        <f t="shared" si="13"/>
        <v>0</v>
      </c>
      <c r="P270" s="3"/>
      <c r="Q270" s="19">
        <f t="shared" si="14"/>
        <v>11460</v>
      </c>
      <c r="R270" s="19">
        <v>0</v>
      </c>
      <c r="S270" s="19">
        <f t="shared" si="15"/>
        <v>0</v>
      </c>
      <c r="T270" s="19">
        <f t="shared" si="16"/>
        <v>0</v>
      </c>
      <c r="U270" s="19">
        <f t="shared" si="17"/>
        <v>240</v>
      </c>
      <c r="V270" s="19">
        <f t="shared" si="18"/>
        <v>0</v>
      </c>
      <c r="W270" s="19">
        <f t="shared" si="19"/>
        <v>11220</v>
      </c>
      <c r="X270" s="20">
        <f t="shared" si="20"/>
        <v>11220</v>
      </c>
      <c r="Y270" s="20">
        <f t="shared" si="21"/>
        <v>0</v>
      </c>
    </row>
    <row r="271" spans="1:25" ht="15.75" customHeight="1">
      <c r="A271" s="14" t="s">
        <v>552</v>
      </c>
      <c r="B271" s="15" t="s">
        <v>553</v>
      </c>
      <c r="C271" s="16">
        <v>120</v>
      </c>
      <c r="D271" s="16">
        <v>120</v>
      </c>
      <c r="E271" s="17">
        <v>1</v>
      </c>
      <c r="F271" s="18">
        <v>0</v>
      </c>
      <c r="G271" s="18">
        <v>0</v>
      </c>
      <c r="H271" s="36">
        <v>0</v>
      </c>
      <c r="I271" s="17">
        <v>0</v>
      </c>
      <c r="J271" s="17">
        <f t="shared" si="11"/>
        <v>1</v>
      </c>
      <c r="K271" s="40">
        <v>1</v>
      </c>
      <c r="L271" s="18">
        <v>0</v>
      </c>
      <c r="M271" s="17">
        <v>0</v>
      </c>
      <c r="N271" s="18">
        <f t="shared" si="12"/>
        <v>1</v>
      </c>
      <c r="O271" s="17">
        <f t="shared" si="13"/>
        <v>0</v>
      </c>
      <c r="P271" s="3"/>
      <c r="Q271" s="19">
        <f t="shared" si="14"/>
        <v>120</v>
      </c>
      <c r="R271" s="19">
        <v>0</v>
      </c>
      <c r="S271" s="19">
        <f t="shared" si="15"/>
        <v>0</v>
      </c>
      <c r="T271" s="19">
        <f t="shared" si="16"/>
        <v>0</v>
      </c>
      <c r="U271" s="19">
        <f t="shared" si="17"/>
        <v>0</v>
      </c>
      <c r="V271" s="19">
        <f t="shared" si="18"/>
        <v>0</v>
      </c>
      <c r="W271" s="19">
        <f t="shared" si="19"/>
        <v>120</v>
      </c>
      <c r="X271" s="20">
        <f t="shared" si="20"/>
        <v>120</v>
      </c>
      <c r="Y271" s="20">
        <f t="shared" si="21"/>
        <v>0</v>
      </c>
    </row>
    <row r="272" spans="1:25" ht="15.75" customHeight="1">
      <c r="A272" s="14" t="s">
        <v>554</v>
      </c>
      <c r="B272" s="15" t="s">
        <v>555</v>
      </c>
      <c r="C272" s="16">
        <v>0</v>
      </c>
      <c r="D272" s="16">
        <v>0</v>
      </c>
      <c r="E272" s="17">
        <v>0</v>
      </c>
      <c r="F272" s="18">
        <v>0</v>
      </c>
      <c r="G272" s="18">
        <v>0</v>
      </c>
      <c r="H272" s="36">
        <v>0</v>
      </c>
      <c r="I272" s="17">
        <v>0</v>
      </c>
      <c r="J272" s="17">
        <f t="shared" si="11"/>
        <v>0</v>
      </c>
      <c r="K272" s="40">
        <v>0</v>
      </c>
      <c r="L272" s="18">
        <v>0</v>
      </c>
      <c r="M272" s="17">
        <v>0</v>
      </c>
      <c r="N272" s="18">
        <f t="shared" si="12"/>
        <v>0</v>
      </c>
      <c r="O272" s="17">
        <f t="shared" si="13"/>
        <v>0</v>
      </c>
      <c r="P272" s="3"/>
      <c r="Q272" s="19">
        <f t="shared" si="14"/>
        <v>0</v>
      </c>
      <c r="R272" s="19">
        <v>0</v>
      </c>
      <c r="S272" s="19">
        <f t="shared" si="15"/>
        <v>0</v>
      </c>
      <c r="T272" s="19">
        <f t="shared" si="16"/>
        <v>0</v>
      </c>
      <c r="U272" s="19">
        <f t="shared" si="17"/>
        <v>0</v>
      </c>
      <c r="V272" s="19">
        <f t="shared" si="18"/>
        <v>0</v>
      </c>
      <c r="W272" s="19">
        <f t="shared" si="19"/>
        <v>0</v>
      </c>
      <c r="X272" s="20">
        <f t="shared" si="20"/>
        <v>0</v>
      </c>
      <c r="Y272" s="20">
        <f t="shared" si="21"/>
        <v>0</v>
      </c>
    </row>
    <row r="273" spans="1:25" ht="15.75" customHeight="1">
      <c r="A273" s="14" t="s">
        <v>556</v>
      </c>
      <c r="B273" s="15" t="s">
        <v>557</v>
      </c>
      <c r="C273" s="16">
        <v>48.28</v>
      </c>
      <c r="D273" s="16">
        <v>48.28</v>
      </c>
      <c r="E273" s="17">
        <v>0</v>
      </c>
      <c r="F273" s="18">
        <v>0</v>
      </c>
      <c r="G273" s="18">
        <v>0</v>
      </c>
      <c r="H273" s="36">
        <v>0</v>
      </c>
      <c r="I273" s="17">
        <v>0</v>
      </c>
      <c r="J273" s="17">
        <f t="shared" si="11"/>
        <v>0</v>
      </c>
      <c r="K273" s="40">
        <v>0</v>
      </c>
      <c r="L273" s="18">
        <v>0</v>
      </c>
      <c r="M273" s="17">
        <v>0</v>
      </c>
      <c r="N273" s="18">
        <f t="shared" si="12"/>
        <v>0</v>
      </c>
      <c r="O273" s="17">
        <f t="shared" si="13"/>
        <v>0</v>
      </c>
      <c r="P273" s="3"/>
      <c r="Q273" s="19">
        <f t="shared" si="14"/>
        <v>0</v>
      </c>
      <c r="R273" s="19">
        <v>0</v>
      </c>
      <c r="S273" s="19">
        <f t="shared" si="15"/>
        <v>0</v>
      </c>
      <c r="T273" s="19">
        <f t="shared" si="16"/>
        <v>0</v>
      </c>
      <c r="U273" s="19">
        <f t="shared" si="17"/>
        <v>0</v>
      </c>
      <c r="V273" s="19">
        <f t="shared" si="18"/>
        <v>0</v>
      </c>
      <c r="W273" s="19">
        <f t="shared" si="19"/>
        <v>0</v>
      </c>
      <c r="X273" s="20">
        <f t="shared" si="20"/>
        <v>0</v>
      </c>
      <c r="Y273" s="20">
        <f t="shared" si="21"/>
        <v>0</v>
      </c>
    </row>
    <row r="274" spans="1:25" ht="15.75" customHeight="1">
      <c r="A274" s="14" t="s">
        <v>558</v>
      </c>
      <c r="B274" s="15" t="s">
        <v>559</v>
      </c>
      <c r="C274" s="16">
        <v>0</v>
      </c>
      <c r="D274" s="16">
        <v>0</v>
      </c>
      <c r="E274" s="17">
        <v>0</v>
      </c>
      <c r="F274" s="18">
        <v>0</v>
      </c>
      <c r="G274" s="18">
        <v>0</v>
      </c>
      <c r="H274" s="36">
        <v>0</v>
      </c>
      <c r="I274" s="17">
        <v>0</v>
      </c>
      <c r="J274" s="17">
        <f t="shared" si="11"/>
        <v>0</v>
      </c>
      <c r="K274" s="40">
        <v>0</v>
      </c>
      <c r="L274" s="18">
        <v>0</v>
      </c>
      <c r="M274" s="17">
        <v>0</v>
      </c>
      <c r="N274" s="18">
        <f t="shared" si="12"/>
        <v>0</v>
      </c>
      <c r="O274" s="17">
        <f t="shared" si="13"/>
        <v>0</v>
      </c>
      <c r="P274" s="3"/>
      <c r="Q274" s="19">
        <f t="shared" si="14"/>
        <v>0</v>
      </c>
      <c r="R274" s="19">
        <v>0</v>
      </c>
      <c r="S274" s="19">
        <f t="shared" si="15"/>
        <v>0</v>
      </c>
      <c r="T274" s="19">
        <f t="shared" si="16"/>
        <v>0</v>
      </c>
      <c r="U274" s="19">
        <f t="shared" si="17"/>
        <v>0</v>
      </c>
      <c r="V274" s="19">
        <f t="shared" si="18"/>
        <v>0</v>
      </c>
      <c r="W274" s="19">
        <f t="shared" si="19"/>
        <v>0</v>
      </c>
      <c r="X274" s="20">
        <f t="shared" si="20"/>
        <v>0</v>
      </c>
      <c r="Y274" s="20">
        <f t="shared" si="21"/>
        <v>0</v>
      </c>
    </row>
    <row r="275" spans="1:25" ht="15.75" customHeight="1">
      <c r="A275" s="14" t="s">
        <v>560</v>
      </c>
      <c r="B275" s="15" t="s">
        <v>561</v>
      </c>
      <c r="C275" s="16">
        <v>2250</v>
      </c>
      <c r="D275" s="16">
        <v>2250</v>
      </c>
      <c r="E275" s="17">
        <v>1</v>
      </c>
      <c r="F275" s="18">
        <v>0</v>
      </c>
      <c r="G275" s="18">
        <v>0</v>
      </c>
      <c r="H275" s="36">
        <v>1</v>
      </c>
      <c r="I275" s="17">
        <v>0</v>
      </c>
      <c r="J275" s="17">
        <f t="shared" si="11"/>
        <v>0</v>
      </c>
      <c r="K275" s="40">
        <v>0</v>
      </c>
      <c r="L275" s="18">
        <v>0</v>
      </c>
      <c r="M275" s="17">
        <v>0</v>
      </c>
      <c r="N275" s="18">
        <f t="shared" si="12"/>
        <v>0</v>
      </c>
      <c r="O275" s="17">
        <f t="shared" si="13"/>
        <v>0</v>
      </c>
      <c r="P275" s="3"/>
      <c r="Q275" s="19">
        <f t="shared" si="14"/>
        <v>2250</v>
      </c>
      <c r="R275" s="19">
        <v>0</v>
      </c>
      <c r="S275" s="19">
        <f t="shared" si="15"/>
        <v>0</v>
      </c>
      <c r="T275" s="19">
        <f t="shared" si="16"/>
        <v>0</v>
      </c>
      <c r="U275" s="19">
        <f t="shared" si="17"/>
        <v>2250</v>
      </c>
      <c r="V275" s="19">
        <f t="shared" si="18"/>
        <v>0</v>
      </c>
      <c r="W275" s="19">
        <f t="shared" si="19"/>
        <v>0</v>
      </c>
      <c r="X275" s="20">
        <f t="shared" si="20"/>
        <v>0</v>
      </c>
      <c r="Y275" s="20">
        <f t="shared" si="21"/>
        <v>0</v>
      </c>
    </row>
    <row r="276" spans="1:25" ht="15.75" customHeight="1">
      <c r="A276" s="14" t="s">
        <v>562</v>
      </c>
      <c r="B276" s="15" t="s">
        <v>563</v>
      </c>
      <c r="C276" s="16">
        <v>473</v>
      </c>
      <c r="D276" s="16">
        <v>473</v>
      </c>
      <c r="E276" s="17">
        <v>0</v>
      </c>
      <c r="F276" s="18">
        <v>0</v>
      </c>
      <c r="G276" s="18">
        <v>0</v>
      </c>
      <c r="H276" s="36">
        <v>0</v>
      </c>
      <c r="I276" s="17">
        <v>0</v>
      </c>
      <c r="J276" s="17">
        <f t="shared" si="11"/>
        <v>0</v>
      </c>
      <c r="K276" s="40">
        <v>0</v>
      </c>
      <c r="L276" s="18">
        <v>0</v>
      </c>
      <c r="M276" s="17">
        <v>0</v>
      </c>
      <c r="N276" s="18">
        <f t="shared" si="12"/>
        <v>0</v>
      </c>
      <c r="O276" s="17">
        <f t="shared" si="13"/>
        <v>0</v>
      </c>
      <c r="P276" s="3"/>
      <c r="Q276" s="19">
        <f t="shared" si="14"/>
        <v>0</v>
      </c>
      <c r="R276" s="19">
        <v>0</v>
      </c>
      <c r="S276" s="19">
        <f t="shared" si="15"/>
        <v>0</v>
      </c>
      <c r="T276" s="19">
        <f t="shared" si="16"/>
        <v>0</v>
      </c>
      <c r="U276" s="19">
        <f t="shared" si="17"/>
        <v>0</v>
      </c>
      <c r="V276" s="19">
        <f t="shared" si="18"/>
        <v>0</v>
      </c>
      <c r="W276" s="19">
        <f t="shared" si="19"/>
        <v>0</v>
      </c>
      <c r="X276" s="20">
        <f t="shared" si="20"/>
        <v>0</v>
      </c>
      <c r="Y276" s="20">
        <f t="shared" si="21"/>
        <v>0</v>
      </c>
    </row>
    <row r="277" spans="1:25" ht="15.75" customHeight="1">
      <c r="A277" s="14" t="s">
        <v>564</v>
      </c>
      <c r="B277" s="15" t="s">
        <v>565</v>
      </c>
      <c r="C277" s="16">
        <v>0</v>
      </c>
      <c r="D277" s="16">
        <v>0</v>
      </c>
      <c r="E277" s="17">
        <v>0</v>
      </c>
      <c r="F277" s="18">
        <v>0</v>
      </c>
      <c r="G277" s="18">
        <v>0</v>
      </c>
      <c r="H277" s="36">
        <v>0</v>
      </c>
      <c r="I277" s="17">
        <v>0</v>
      </c>
      <c r="J277" s="17">
        <f t="shared" si="11"/>
        <v>0</v>
      </c>
      <c r="K277" s="40">
        <v>0</v>
      </c>
      <c r="L277" s="18">
        <v>0</v>
      </c>
      <c r="M277" s="17">
        <v>0</v>
      </c>
      <c r="N277" s="18">
        <f t="shared" si="12"/>
        <v>0</v>
      </c>
      <c r="O277" s="17">
        <f t="shared" si="13"/>
        <v>0</v>
      </c>
      <c r="P277" s="3"/>
      <c r="Q277" s="19">
        <f t="shared" si="14"/>
        <v>0</v>
      </c>
      <c r="R277" s="19">
        <v>0</v>
      </c>
      <c r="S277" s="19">
        <f t="shared" si="15"/>
        <v>0</v>
      </c>
      <c r="T277" s="19">
        <f t="shared" si="16"/>
        <v>0</v>
      </c>
      <c r="U277" s="19">
        <f t="shared" si="17"/>
        <v>0</v>
      </c>
      <c r="V277" s="19">
        <f t="shared" si="18"/>
        <v>0</v>
      </c>
      <c r="W277" s="19">
        <f t="shared" si="19"/>
        <v>0</v>
      </c>
      <c r="X277" s="20">
        <f t="shared" si="20"/>
        <v>0</v>
      </c>
      <c r="Y277" s="20">
        <f t="shared" si="21"/>
        <v>0</v>
      </c>
    </row>
    <row r="278" spans="1:25" ht="15.75" customHeight="1">
      <c r="A278" s="14" t="s">
        <v>566</v>
      </c>
      <c r="B278" s="15" t="s">
        <v>567</v>
      </c>
      <c r="C278" s="16">
        <v>1850</v>
      </c>
      <c r="D278" s="16">
        <v>1850</v>
      </c>
      <c r="E278" s="17">
        <v>0</v>
      </c>
      <c r="F278" s="18">
        <v>0</v>
      </c>
      <c r="G278" s="18">
        <v>0</v>
      </c>
      <c r="H278" s="36">
        <v>0</v>
      </c>
      <c r="I278" s="17">
        <v>0</v>
      </c>
      <c r="J278" s="17">
        <f t="shared" si="11"/>
        <v>0</v>
      </c>
      <c r="K278" s="40">
        <v>0</v>
      </c>
      <c r="L278" s="18">
        <v>0</v>
      </c>
      <c r="M278" s="17">
        <v>0</v>
      </c>
      <c r="N278" s="18">
        <f t="shared" si="12"/>
        <v>0</v>
      </c>
      <c r="O278" s="17">
        <f t="shared" si="13"/>
        <v>0</v>
      </c>
      <c r="P278" s="3"/>
      <c r="Q278" s="19">
        <f t="shared" si="14"/>
        <v>0</v>
      </c>
      <c r="R278" s="19">
        <v>0</v>
      </c>
      <c r="S278" s="19">
        <f t="shared" si="15"/>
        <v>0</v>
      </c>
      <c r="T278" s="19">
        <f t="shared" si="16"/>
        <v>0</v>
      </c>
      <c r="U278" s="19">
        <f t="shared" si="17"/>
        <v>0</v>
      </c>
      <c r="V278" s="19">
        <f t="shared" si="18"/>
        <v>0</v>
      </c>
      <c r="W278" s="19">
        <f t="shared" si="19"/>
        <v>0</v>
      </c>
      <c r="X278" s="20">
        <f t="shared" si="20"/>
        <v>0</v>
      </c>
      <c r="Y278" s="20">
        <f t="shared" si="21"/>
        <v>0</v>
      </c>
    </row>
    <row r="279" spans="1:25" ht="15.75" customHeight="1">
      <c r="A279" s="14" t="s">
        <v>568</v>
      </c>
      <c r="B279" s="15" t="s">
        <v>569</v>
      </c>
      <c r="C279" s="16">
        <v>108.9</v>
      </c>
      <c r="D279" s="16">
        <v>108.9</v>
      </c>
      <c r="E279" s="17">
        <v>0</v>
      </c>
      <c r="F279" s="18">
        <v>0</v>
      </c>
      <c r="G279" s="18">
        <v>0</v>
      </c>
      <c r="H279" s="36">
        <v>0</v>
      </c>
      <c r="I279" s="17">
        <v>0</v>
      </c>
      <c r="J279" s="17">
        <f t="shared" si="11"/>
        <v>0</v>
      </c>
      <c r="K279" s="40">
        <v>0</v>
      </c>
      <c r="L279" s="18">
        <v>0</v>
      </c>
      <c r="M279" s="17">
        <v>0</v>
      </c>
      <c r="N279" s="18">
        <f t="shared" si="12"/>
        <v>0</v>
      </c>
      <c r="O279" s="17">
        <f t="shared" si="13"/>
        <v>0</v>
      </c>
      <c r="P279" s="3"/>
      <c r="Q279" s="19">
        <f t="shared" si="14"/>
        <v>0</v>
      </c>
      <c r="R279" s="19">
        <v>0</v>
      </c>
      <c r="S279" s="19">
        <f t="shared" si="15"/>
        <v>0</v>
      </c>
      <c r="T279" s="19">
        <f t="shared" si="16"/>
        <v>0</v>
      </c>
      <c r="U279" s="19">
        <f t="shared" si="17"/>
        <v>0</v>
      </c>
      <c r="V279" s="19">
        <f t="shared" si="18"/>
        <v>0</v>
      </c>
      <c r="W279" s="19">
        <f t="shared" si="19"/>
        <v>0</v>
      </c>
      <c r="X279" s="20">
        <f t="shared" si="20"/>
        <v>0</v>
      </c>
      <c r="Y279" s="20">
        <f t="shared" si="21"/>
        <v>0</v>
      </c>
    </row>
    <row r="280" spans="1:25" ht="15.75" customHeight="1">
      <c r="A280" s="14" t="s">
        <v>570</v>
      </c>
      <c r="B280" s="15" t="s">
        <v>571</v>
      </c>
      <c r="C280" s="16">
        <v>0</v>
      </c>
      <c r="D280" s="16">
        <v>0</v>
      </c>
      <c r="E280" s="17">
        <v>0</v>
      </c>
      <c r="F280" s="18">
        <v>0</v>
      </c>
      <c r="G280" s="18">
        <v>0</v>
      </c>
      <c r="H280" s="36">
        <v>0</v>
      </c>
      <c r="I280" s="17">
        <v>0</v>
      </c>
      <c r="J280" s="17">
        <f t="shared" si="11"/>
        <v>0</v>
      </c>
      <c r="K280" s="40">
        <v>0</v>
      </c>
      <c r="L280" s="18">
        <v>0</v>
      </c>
      <c r="M280" s="17">
        <v>0</v>
      </c>
      <c r="N280" s="18">
        <f t="shared" si="12"/>
        <v>0</v>
      </c>
      <c r="O280" s="17">
        <f t="shared" si="13"/>
        <v>0</v>
      </c>
      <c r="P280" s="3"/>
      <c r="Q280" s="19">
        <f t="shared" si="14"/>
        <v>0</v>
      </c>
      <c r="R280" s="19">
        <v>0</v>
      </c>
      <c r="S280" s="19">
        <f t="shared" si="15"/>
        <v>0</v>
      </c>
      <c r="T280" s="19">
        <f t="shared" si="16"/>
        <v>0</v>
      </c>
      <c r="U280" s="19">
        <f t="shared" si="17"/>
        <v>0</v>
      </c>
      <c r="V280" s="19">
        <f t="shared" si="18"/>
        <v>0</v>
      </c>
      <c r="W280" s="19">
        <f t="shared" si="19"/>
        <v>0</v>
      </c>
      <c r="X280" s="20">
        <f t="shared" si="20"/>
        <v>0</v>
      </c>
      <c r="Y280" s="20">
        <f t="shared" si="21"/>
        <v>0</v>
      </c>
    </row>
    <row r="281" spans="1:25" ht="15.75" customHeight="1">
      <c r="A281" s="14" t="s">
        <v>572</v>
      </c>
      <c r="B281" s="15" t="s">
        <v>573</v>
      </c>
      <c r="C281" s="16">
        <v>12.18</v>
      </c>
      <c r="D281" s="16">
        <v>12.18</v>
      </c>
      <c r="E281" s="17">
        <v>50</v>
      </c>
      <c r="F281" s="18">
        <v>0</v>
      </c>
      <c r="G281" s="18">
        <v>0</v>
      </c>
      <c r="H281" s="36">
        <v>0</v>
      </c>
      <c r="I281" s="17">
        <v>0</v>
      </c>
      <c r="J281" s="17">
        <f t="shared" si="11"/>
        <v>50</v>
      </c>
      <c r="K281" s="40">
        <v>50</v>
      </c>
      <c r="L281" s="18">
        <v>0</v>
      </c>
      <c r="M281" s="17">
        <v>0</v>
      </c>
      <c r="N281" s="18">
        <f t="shared" si="12"/>
        <v>50</v>
      </c>
      <c r="O281" s="17">
        <f t="shared" si="13"/>
        <v>0</v>
      </c>
      <c r="P281" s="3"/>
      <c r="Q281" s="19">
        <f t="shared" si="14"/>
        <v>609</v>
      </c>
      <c r="R281" s="19">
        <v>0</v>
      </c>
      <c r="S281" s="19">
        <f t="shared" si="15"/>
        <v>0</v>
      </c>
      <c r="T281" s="19">
        <f t="shared" si="16"/>
        <v>0</v>
      </c>
      <c r="U281" s="19">
        <f t="shared" si="17"/>
        <v>0</v>
      </c>
      <c r="V281" s="19">
        <f t="shared" si="18"/>
        <v>0</v>
      </c>
      <c r="W281" s="19">
        <f t="shared" si="19"/>
        <v>609</v>
      </c>
      <c r="X281" s="20">
        <f t="shared" si="20"/>
        <v>609</v>
      </c>
      <c r="Y281" s="20">
        <f t="shared" si="21"/>
        <v>0</v>
      </c>
    </row>
    <row r="282" spans="1:25" ht="15.75" customHeight="1">
      <c r="A282" s="14" t="s">
        <v>574</v>
      </c>
      <c r="B282" s="15" t="s">
        <v>575</v>
      </c>
      <c r="C282" s="16">
        <v>12.18</v>
      </c>
      <c r="D282" s="16">
        <v>12.18</v>
      </c>
      <c r="E282" s="17">
        <v>50</v>
      </c>
      <c r="F282" s="18">
        <v>0</v>
      </c>
      <c r="G282" s="18">
        <v>0</v>
      </c>
      <c r="H282" s="36">
        <v>0</v>
      </c>
      <c r="I282" s="17">
        <v>0</v>
      </c>
      <c r="J282" s="17">
        <f t="shared" si="11"/>
        <v>50</v>
      </c>
      <c r="K282" s="40">
        <v>50</v>
      </c>
      <c r="L282" s="18">
        <v>0</v>
      </c>
      <c r="M282" s="17">
        <v>0</v>
      </c>
      <c r="N282" s="18">
        <f t="shared" si="12"/>
        <v>50</v>
      </c>
      <c r="O282" s="17">
        <f t="shared" si="13"/>
        <v>0</v>
      </c>
      <c r="P282" s="3"/>
      <c r="Q282" s="19">
        <f t="shared" si="14"/>
        <v>609</v>
      </c>
      <c r="R282" s="19">
        <v>0</v>
      </c>
      <c r="S282" s="19">
        <f t="shared" si="15"/>
        <v>0</v>
      </c>
      <c r="T282" s="19">
        <f t="shared" si="16"/>
        <v>0</v>
      </c>
      <c r="U282" s="19">
        <f t="shared" si="17"/>
        <v>0</v>
      </c>
      <c r="V282" s="19">
        <f t="shared" si="18"/>
        <v>0</v>
      </c>
      <c r="W282" s="19">
        <f t="shared" si="19"/>
        <v>609</v>
      </c>
      <c r="X282" s="20">
        <f t="shared" si="20"/>
        <v>609</v>
      </c>
      <c r="Y282" s="20">
        <f t="shared" si="21"/>
        <v>0</v>
      </c>
    </row>
    <row r="283" spans="1:25" ht="15.75" customHeight="1">
      <c r="A283" s="14" t="s">
        <v>576</v>
      </c>
      <c r="B283" s="15" t="s">
        <v>577</v>
      </c>
      <c r="C283" s="16">
        <v>820</v>
      </c>
      <c r="D283" s="16">
        <v>820</v>
      </c>
      <c r="E283" s="17">
        <v>2</v>
      </c>
      <c r="F283" s="18">
        <v>0</v>
      </c>
      <c r="G283" s="18">
        <v>0</v>
      </c>
      <c r="H283" s="36">
        <v>0</v>
      </c>
      <c r="I283" s="17">
        <v>0</v>
      </c>
      <c r="J283" s="17">
        <f t="shared" si="11"/>
        <v>2</v>
      </c>
      <c r="K283" s="40">
        <v>2</v>
      </c>
      <c r="L283" s="18">
        <v>0</v>
      </c>
      <c r="M283" s="17">
        <v>0</v>
      </c>
      <c r="N283" s="18">
        <f t="shared" si="12"/>
        <v>2</v>
      </c>
      <c r="O283" s="17">
        <f t="shared" si="13"/>
        <v>0</v>
      </c>
      <c r="P283" s="3"/>
      <c r="Q283" s="19">
        <f t="shared" si="14"/>
        <v>1640</v>
      </c>
      <c r="R283" s="19">
        <v>0</v>
      </c>
      <c r="S283" s="19">
        <f t="shared" si="15"/>
        <v>0</v>
      </c>
      <c r="T283" s="19">
        <f t="shared" si="16"/>
        <v>0</v>
      </c>
      <c r="U283" s="19">
        <f t="shared" si="17"/>
        <v>0</v>
      </c>
      <c r="V283" s="19">
        <f t="shared" si="18"/>
        <v>0</v>
      </c>
      <c r="W283" s="19">
        <f t="shared" si="19"/>
        <v>1640</v>
      </c>
      <c r="X283" s="20">
        <f t="shared" si="20"/>
        <v>1640</v>
      </c>
      <c r="Y283" s="20">
        <f t="shared" si="21"/>
        <v>0</v>
      </c>
    </row>
    <row r="284" spans="1:25" ht="15.75" customHeight="1">
      <c r="A284" s="14" t="s">
        <v>578</v>
      </c>
      <c r="B284" s="15" t="s">
        <v>579</v>
      </c>
      <c r="C284" s="16">
        <v>0</v>
      </c>
      <c r="D284" s="16">
        <v>0</v>
      </c>
      <c r="E284" s="17">
        <v>0</v>
      </c>
      <c r="F284" s="18">
        <v>0</v>
      </c>
      <c r="G284" s="18">
        <v>0</v>
      </c>
      <c r="H284" s="36">
        <v>0</v>
      </c>
      <c r="I284" s="17">
        <v>0</v>
      </c>
      <c r="J284" s="17">
        <f t="shared" si="11"/>
        <v>0</v>
      </c>
      <c r="K284" s="40">
        <v>0</v>
      </c>
      <c r="L284" s="18">
        <v>0</v>
      </c>
      <c r="M284" s="17">
        <v>0</v>
      </c>
      <c r="N284" s="18">
        <f t="shared" si="12"/>
        <v>0</v>
      </c>
      <c r="O284" s="17">
        <f t="shared" si="13"/>
        <v>0</v>
      </c>
      <c r="P284" s="3"/>
      <c r="Q284" s="19">
        <f t="shared" si="14"/>
        <v>0</v>
      </c>
      <c r="R284" s="19">
        <v>0</v>
      </c>
      <c r="S284" s="19">
        <f t="shared" si="15"/>
        <v>0</v>
      </c>
      <c r="T284" s="19">
        <f t="shared" si="16"/>
        <v>0</v>
      </c>
      <c r="U284" s="19">
        <f t="shared" si="17"/>
        <v>0</v>
      </c>
      <c r="V284" s="19">
        <f t="shared" si="18"/>
        <v>0</v>
      </c>
      <c r="W284" s="19">
        <f t="shared" si="19"/>
        <v>0</v>
      </c>
      <c r="X284" s="20">
        <f t="shared" si="20"/>
        <v>0</v>
      </c>
      <c r="Y284" s="20">
        <f t="shared" si="21"/>
        <v>0</v>
      </c>
    </row>
    <row r="285" spans="1:25" ht="15.75" customHeight="1">
      <c r="A285" s="23" t="s">
        <v>580</v>
      </c>
      <c r="B285" s="15" t="s">
        <v>581</v>
      </c>
      <c r="C285" s="16">
        <v>276.57</v>
      </c>
      <c r="D285" s="16">
        <v>276.57</v>
      </c>
      <c r="E285" s="17">
        <v>17</v>
      </c>
      <c r="F285" s="18">
        <v>0</v>
      </c>
      <c r="G285" s="18">
        <v>0</v>
      </c>
      <c r="H285" s="36">
        <v>0</v>
      </c>
      <c r="I285" s="17">
        <v>0</v>
      </c>
      <c r="J285" s="17">
        <f t="shared" si="11"/>
        <v>17</v>
      </c>
      <c r="K285" s="40">
        <v>17</v>
      </c>
      <c r="L285" s="18">
        <v>0</v>
      </c>
      <c r="M285" s="17">
        <v>0</v>
      </c>
      <c r="N285" s="18">
        <f t="shared" si="12"/>
        <v>17</v>
      </c>
      <c r="O285" s="17">
        <f t="shared" si="13"/>
        <v>0</v>
      </c>
      <c r="P285" s="3"/>
      <c r="Q285" s="19">
        <f t="shared" si="14"/>
        <v>4701.6899999999996</v>
      </c>
      <c r="R285" s="19">
        <v>0</v>
      </c>
      <c r="S285" s="19">
        <f t="shared" si="15"/>
        <v>0</v>
      </c>
      <c r="T285" s="19">
        <f t="shared" si="16"/>
        <v>0</v>
      </c>
      <c r="U285" s="19">
        <f t="shared" si="17"/>
        <v>0</v>
      </c>
      <c r="V285" s="19">
        <f t="shared" si="18"/>
        <v>0</v>
      </c>
      <c r="W285" s="19">
        <f t="shared" si="19"/>
        <v>4701.6899999999996</v>
      </c>
      <c r="X285" s="20">
        <f t="shared" si="20"/>
        <v>4701.6899999999996</v>
      </c>
      <c r="Y285" s="20">
        <f t="shared" si="21"/>
        <v>0</v>
      </c>
    </row>
    <row r="286" spans="1:25" ht="15.75" customHeight="1">
      <c r="A286" s="14" t="s">
        <v>582</v>
      </c>
      <c r="B286" s="15" t="s">
        <v>583</v>
      </c>
      <c r="C286" s="16">
        <v>34.53</v>
      </c>
      <c r="D286" s="16">
        <v>34.53</v>
      </c>
      <c r="E286" s="17">
        <v>1</v>
      </c>
      <c r="F286" s="18">
        <v>0</v>
      </c>
      <c r="G286" s="18">
        <v>0</v>
      </c>
      <c r="H286" s="36">
        <v>0</v>
      </c>
      <c r="I286" s="17">
        <v>0</v>
      </c>
      <c r="J286" s="17">
        <f t="shared" si="11"/>
        <v>1</v>
      </c>
      <c r="K286" s="40">
        <v>1</v>
      </c>
      <c r="L286" s="18">
        <v>0</v>
      </c>
      <c r="M286" s="17">
        <v>0</v>
      </c>
      <c r="N286" s="18">
        <f t="shared" si="12"/>
        <v>1</v>
      </c>
      <c r="O286" s="17">
        <f t="shared" si="13"/>
        <v>0</v>
      </c>
      <c r="P286" s="3"/>
      <c r="Q286" s="19">
        <f t="shared" si="14"/>
        <v>34.53</v>
      </c>
      <c r="R286" s="19">
        <v>0</v>
      </c>
      <c r="S286" s="19">
        <f t="shared" si="15"/>
        <v>0</v>
      </c>
      <c r="T286" s="19">
        <f t="shared" si="16"/>
        <v>0</v>
      </c>
      <c r="U286" s="19">
        <f t="shared" si="17"/>
        <v>0</v>
      </c>
      <c r="V286" s="19">
        <f t="shared" si="18"/>
        <v>0</v>
      </c>
      <c r="W286" s="19">
        <f t="shared" si="19"/>
        <v>34.53</v>
      </c>
      <c r="X286" s="20">
        <f t="shared" si="20"/>
        <v>34.53</v>
      </c>
      <c r="Y286" s="20">
        <f t="shared" si="21"/>
        <v>0</v>
      </c>
    </row>
    <row r="287" spans="1:25" ht="15.75" customHeight="1">
      <c r="A287" s="14" t="s">
        <v>584</v>
      </c>
      <c r="B287" s="15" t="s">
        <v>585</v>
      </c>
      <c r="C287" s="16">
        <v>94.83</v>
      </c>
      <c r="D287" s="16">
        <v>94.83</v>
      </c>
      <c r="E287" s="17">
        <v>1</v>
      </c>
      <c r="F287" s="18">
        <v>0</v>
      </c>
      <c r="G287" s="18">
        <v>0</v>
      </c>
      <c r="H287" s="36">
        <v>1</v>
      </c>
      <c r="I287" s="17">
        <v>0</v>
      </c>
      <c r="J287" s="17">
        <f t="shared" si="11"/>
        <v>0</v>
      </c>
      <c r="K287" s="40">
        <v>0</v>
      </c>
      <c r="L287" s="18">
        <v>0</v>
      </c>
      <c r="M287" s="17">
        <v>0</v>
      </c>
      <c r="N287" s="18">
        <f t="shared" si="12"/>
        <v>0</v>
      </c>
      <c r="O287" s="17">
        <f t="shared" si="13"/>
        <v>0</v>
      </c>
      <c r="P287" s="3"/>
      <c r="Q287" s="19">
        <f t="shared" si="14"/>
        <v>94.83</v>
      </c>
      <c r="R287" s="19">
        <v>0</v>
      </c>
      <c r="S287" s="19">
        <f t="shared" si="15"/>
        <v>0</v>
      </c>
      <c r="T287" s="19">
        <f t="shared" si="16"/>
        <v>0</v>
      </c>
      <c r="U287" s="19">
        <f t="shared" si="17"/>
        <v>94.83</v>
      </c>
      <c r="V287" s="19">
        <f t="shared" si="18"/>
        <v>0</v>
      </c>
      <c r="W287" s="19">
        <f t="shared" si="19"/>
        <v>0</v>
      </c>
      <c r="X287" s="20">
        <f t="shared" si="20"/>
        <v>0</v>
      </c>
      <c r="Y287" s="20">
        <f t="shared" si="21"/>
        <v>0</v>
      </c>
    </row>
    <row r="288" spans="1:25" ht="15.75" customHeight="1">
      <c r="A288" s="14" t="s">
        <v>586</v>
      </c>
      <c r="B288" s="15" t="s">
        <v>587</v>
      </c>
      <c r="C288" s="16">
        <v>168.1</v>
      </c>
      <c r="D288" s="16">
        <v>168.1</v>
      </c>
      <c r="E288" s="17">
        <v>1</v>
      </c>
      <c r="F288" s="18">
        <v>0</v>
      </c>
      <c r="G288" s="18">
        <v>0</v>
      </c>
      <c r="H288" s="36">
        <v>1</v>
      </c>
      <c r="I288" s="17">
        <v>0</v>
      </c>
      <c r="J288" s="17">
        <f t="shared" si="11"/>
        <v>0</v>
      </c>
      <c r="K288" s="40">
        <v>0</v>
      </c>
      <c r="L288" s="18">
        <v>0</v>
      </c>
      <c r="M288" s="17">
        <v>0</v>
      </c>
      <c r="N288" s="18">
        <f t="shared" si="12"/>
        <v>0</v>
      </c>
      <c r="O288" s="17">
        <f t="shared" si="13"/>
        <v>0</v>
      </c>
      <c r="P288" s="3"/>
      <c r="Q288" s="19">
        <f t="shared" si="14"/>
        <v>168.1</v>
      </c>
      <c r="R288" s="19">
        <v>0</v>
      </c>
      <c r="S288" s="19">
        <f t="shared" si="15"/>
        <v>0</v>
      </c>
      <c r="T288" s="19">
        <f t="shared" si="16"/>
        <v>0</v>
      </c>
      <c r="U288" s="19">
        <f t="shared" si="17"/>
        <v>168.1</v>
      </c>
      <c r="V288" s="19">
        <f t="shared" si="18"/>
        <v>0</v>
      </c>
      <c r="W288" s="19">
        <f t="shared" si="19"/>
        <v>0</v>
      </c>
      <c r="X288" s="20">
        <f t="shared" si="20"/>
        <v>0</v>
      </c>
      <c r="Y288" s="20">
        <f t="shared" si="21"/>
        <v>0</v>
      </c>
    </row>
    <row r="289" spans="1:25" ht="15.75" customHeight="1">
      <c r="A289" s="14" t="s">
        <v>588</v>
      </c>
      <c r="B289" s="15" t="s">
        <v>589</v>
      </c>
      <c r="C289" s="16">
        <v>652.5</v>
      </c>
      <c r="D289" s="16">
        <v>652.5</v>
      </c>
      <c r="E289" s="17">
        <v>5</v>
      </c>
      <c r="F289" s="18">
        <v>0</v>
      </c>
      <c r="G289" s="18">
        <v>0</v>
      </c>
      <c r="H289" s="36">
        <v>5</v>
      </c>
      <c r="I289" s="17">
        <v>0</v>
      </c>
      <c r="J289" s="17">
        <f t="shared" si="11"/>
        <v>0</v>
      </c>
      <c r="K289" s="40">
        <v>0</v>
      </c>
      <c r="L289" s="18">
        <v>0</v>
      </c>
      <c r="M289" s="17">
        <v>0</v>
      </c>
      <c r="N289" s="18">
        <f t="shared" si="12"/>
        <v>0</v>
      </c>
      <c r="O289" s="17">
        <f t="shared" si="13"/>
        <v>0</v>
      </c>
      <c r="P289" s="3"/>
      <c r="Q289" s="19">
        <f t="shared" si="14"/>
        <v>3262.5</v>
      </c>
      <c r="R289" s="19">
        <v>0</v>
      </c>
      <c r="S289" s="19">
        <f t="shared" si="15"/>
        <v>0</v>
      </c>
      <c r="T289" s="19">
        <f t="shared" si="16"/>
        <v>0</v>
      </c>
      <c r="U289" s="19">
        <f t="shared" si="17"/>
        <v>3262.5</v>
      </c>
      <c r="V289" s="19">
        <f t="shared" si="18"/>
        <v>0</v>
      </c>
      <c r="W289" s="19">
        <f t="shared" si="19"/>
        <v>0</v>
      </c>
      <c r="X289" s="20">
        <f t="shared" si="20"/>
        <v>0</v>
      </c>
      <c r="Y289" s="20">
        <f t="shared" si="21"/>
        <v>0</v>
      </c>
    </row>
    <row r="290" spans="1:25" ht="15.75" customHeight="1">
      <c r="A290" s="14" t="s">
        <v>590</v>
      </c>
      <c r="B290" s="15" t="s">
        <v>591</v>
      </c>
      <c r="C290" s="16">
        <v>507.5</v>
      </c>
      <c r="D290" s="16">
        <v>507.5</v>
      </c>
      <c r="E290" s="17">
        <v>2</v>
      </c>
      <c r="F290" s="18">
        <v>0</v>
      </c>
      <c r="G290" s="18">
        <v>0</v>
      </c>
      <c r="H290" s="36">
        <v>2</v>
      </c>
      <c r="I290" s="17">
        <v>0</v>
      </c>
      <c r="J290" s="17">
        <f t="shared" si="11"/>
        <v>0</v>
      </c>
      <c r="K290" s="40">
        <v>0</v>
      </c>
      <c r="L290" s="18">
        <v>0</v>
      </c>
      <c r="M290" s="17">
        <v>0</v>
      </c>
      <c r="N290" s="18">
        <f t="shared" si="12"/>
        <v>0</v>
      </c>
      <c r="O290" s="17">
        <f t="shared" si="13"/>
        <v>0</v>
      </c>
      <c r="P290" s="3"/>
      <c r="Q290" s="19">
        <f t="shared" si="14"/>
        <v>1015</v>
      </c>
      <c r="R290" s="19">
        <v>0</v>
      </c>
      <c r="S290" s="19">
        <f t="shared" si="15"/>
        <v>0</v>
      </c>
      <c r="T290" s="19">
        <f t="shared" si="16"/>
        <v>0</v>
      </c>
      <c r="U290" s="19">
        <f t="shared" si="17"/>
        <v>1015</v>
      </c>
      <c r="V290" s="19">
        <f t="shared" si="18"/>
        <v>0</v>
      </c>
      <c r="W290" s="19">
        <f t="shared" si="19"/>
        <v>0</v>
      </c>
      <c r="X290" s="20">
        <f t="shared" si="20"/>
        <v>0</v>
      </c>
      <c r="Y290" s="20">
        <f t="shared" si="21"/>
        <v>0</v>
      </c>
    </row>
    <row r="291" spans="1:25" ht="15.75" customHeight="1">
      <c r="A291" s="14" t="s">
        <v>592</v>
      </c>
      <c r="B291" s="15" t="s">
        <v>593</v>
      </c>
      <c r="C291" s="16">
        <v>0</v>
      </c>
      <c r="D291" s="16">
        <v>0</v>
      </c>
      <c r="E291" s="17">
        <v>0</v>
      </c>
      <c r="F291" s="18">
        <v>0</v>
      </c>
      <c r="G291" s="18">
        <v>0</v>
      </c>
      <c r="H291" s="36">
        <v>0</v>
      </c>
      <c r="I291" s="17">
        <v>0</v>
      </c>
      <c r="J291" s="17">
        <f t="shared" si="11"/>
        <v>0</v>
      </c>
      <c r="K291" s="40">
        <v>0</v>
      </c>
      <c r="L291" s="18">
        <v>0</v>
      </c>
      <c r="M291" s="17">
        <v>0</v>
      </c>
      <c r="N291" s="18">
        <f t="shared" si="12"/>
        <v>0</v>
      </c>
      <c r="O291" s="17">
        <f t="shared" si="13"/>
        <v>0</v>
      </c>
      <c r="P291" s="3"/>
      <c r="Q291" s="19">
        <f t="shared" si="14"/>
        <v>0</v>
      </c>
      <c r="R291" s="19">
        <v>0</v>
      </c>
      <c r="S291" s="19">
        <f t="shared" si="15"/>
        <v>0</v>
      </c>
      <c r="T291" s="19">
        <f t="shared" si="16"/>
        <v>0</v>
      </c>
      <c r="U291" s="19">
        <f t="shared" si="17"/>
        <v>0</v>
      </c>
      <c r="V291" s="19">
        <f t="shared" si="18"/>
        <v>0</v>
      </c>
      <c r="W291" s="19">
        <f t="shared" si="19"/>
        <v>0</v>
      </c>
      <c r="X291" s="20">
        <f t="shared" si="20"/>
        <v>0</v>
      </c>
      <c r="Y291" s="20">
        <f t="shared" si="21"/>
        <v>0</v>
      </c>
    </row>
    <row r="292" spans="1:25" ht="15.75" customHeight="1">
      <c r="A292" s="14" t="s">
        <v>594</v>
      </c>
      <c r="B292" s="15" t="s">
        <v>595</v>
      </c>
      <c r="C292" s="16">
        <v>19.510000000000002</v>
      </c>
      <c r="D292" s="16">
        <v>19.510000000000002</v>
      </c>
      <c r="E292" s="17">
        <v>0</v>
      </c>
      <c r="F292" s="18">
        <v>0</v>
      </c>
      <c r="G292" s="18">
        <v>0</v>
      </c>
      <c r="H292" s="36">
        <v>0</v>
      </c>
      <c r="I292" s="17">
        <v>0</v>
      </c>
      <c r="J292" s="17">
        <f t="shared" si="11"/>
        <v>0</v>
      </c>
      <c r="K292" s="40">
        <v>0</v>
      </c>
      <c r="L292" s="18">
        <v>0</v>
      </c>
      <c r="M292" s="17">
        <v>0</v>
      </c>
      <c r="N292" s="18">
        <f t="shared" si="12"/>
        <v>0</v>
      </c>
      <c r="O292" s="17">
        <f t="shared" si="13"/>
        <v>0</v>
      </c>
      <c r="P292" s="3"/>
      <c r="Q292" s="19">
        <f t="shared" si="14"/>
        <v>0</v>
      </c>
      <c r="R292" s="19">
        <v>0</v>
      </c>
      <c r="S292" s="19">
        <f t="shared" si="15"/>
        <v>0</v>
      </c>
      <c r="T292" s="19">
        <f t="shared" si="16"/>
        <v>0</v>
      </c>
      <c r="U292" s="19">
        <f t="shared" si="17"/>
        <v>0</v>
      </c>
      <c r="V292" s="19">
        <f t="shared" si="18"/>
        <v>0</v>
      </c>
      <c r="W292" s="19">
        <f t="shared" si="19"/>
        <v>0</v>
      </c>
      <c r="X292" s="20">
        <f t="shared" si="20"/>
        <v>0</v>
      </c>
      <c r="Y292" s="20">
        <f t="shared" si="21"/>
        <v>0</v>
      </c>
    </row>
    <row r="293" spans="1:25" ht="15.75" customHeight="1">
      <c r="A293" s="14" t="s">
        <v>596</v>
      </c>
      <c r="B293" s="15" t="s">
        <v>597</v>
      </c>
      <c r="C293" s="16">
        <v>142.65</v>
      </c>
      <c r="D293" s="16">
        <v>142.65</v>
      </c>
      <c r="E293" s="17">
        <v>2</v>
      </c>
      <c r="F293" s="18">
        <v>0</v>
      </c>
      <c r="G293" s="18">
        <v>0</v>
      </c>
      <c r="H293" s="36">
        <v>0</v>
      </c>
      <c r="I293" s="17">
        <v>0</v>
      </c>
      <c r="J293" s="17">
        <f t="shared" si="11"/>
        <v>2</v>
      </c>
      <c r="K293" s="40">
        <v>2</v>
      </c>
      <c r="L293" s="18">
        <v>0</v>
      </c>
      <c r="M293" s="17">
        <v>0</v>
      </c>
      <c r="N293" s="18">
        <f t="shared" si="12"/>
        <v>2</v>
      </c>
      <c r="O293" s="17">
        <f t="shared" si="13"/>
        <v>0</v>
      </c>
      <c r="P293" s="3"/>
      <c r="Q293" s="19">
        <f t="shared" si="14"/>
        <v>285.3</v>
      </c>
      <c r="R293" s="19">
        <v>0</v>
      </c>
      <c r="S293" s="19">
        <f t="shared" si="15"/>
        <v>0</v>
      </c>
      <c r="T293" s="19">
        <f t="shared" si="16"/>
        <v>0</v>
      </c>
      <c r="U293" s="19">
        <f t="shared" si="17"/>
        <v>0</v>
      </c>
      <c r="V293" s="19">
        <f t="shared" si="18"/>
        <v>0</v>
      </c>
      <c r="W293" s="19">
        <f t="shared" si="19"/>
        <v>285.3</v>
      </c>
      <c r="X293" s="20">
        <f t="shared" si="20"/>
        <v>285.3</v>
      </c>
      <c r="Y293" s="20">
        <f t="shared" si="21"/>
        <v>0</v>
      </c>
    </row>
    <row r="294" spans="1:25" ht="15.75" customHeight="1">
      <c r="A294" s="14" t="s">
        <v>598</v>
      </c>
      <c r="B294" s="15" t="s">
        <v>599</v>
      </c>
      <c r="C294" s="16">
        <v>7.05</v>
      </c>
      <c r="D294" s="16">
        <v>7.05</v>
      </c>
      <c r="E294" s="17">
        <v>0</v>
      </c>
      <c r="F294" s="18">
        <v>0</v>
      </c>
      <c r="G294" s="18">
        <v>0</v>
      </c>
      <c r="H294" s="36">
        <v>0</v>
      </c>
      <c r="I294" s="17">
        <v>0</v>
      </c>
      <c r="J294" s="17">
        <f t="shared" si="11"/>
        <v>0</v>
      </c>
      <c r="K294" s="40">
        <v>0</v>
      </c>
      <c r="L294" s="18">
        <v>0</v>
      </c>
      <c r="M294" s="17">
        <v>0</v>
      </c>
      <c r="N294" s="18">
        <f t="shared" si="12"/>
        <v>0</v>
      </c>
      <c r="O294" s="17">
        <f t="shared" si="13"/>
        <v>0</v>
      </c>
      <c r="P294" s="3"/>
      <c r="Q294" s="19">
        <f t="shared" si="14"/>
        <v>0</v>
      </c>
      <c r="R294" s="19">
        <v>0</v>
      </c>
      <c r="S294" s="19">
        <f t="shared" si="15"/>
        <v>0</v>
      </c>
      <c r="T294" s="19">
        <f t="shared" si="16"/>
        <v>0</v>
      </c>
      <c r="U294" s="19">
        <f t="shared" si="17"/>
        <v>0</v>
      </c>
      <c r="V294" s="19">
        <f t="shared" si="18"/>
        <v>0</v>
      </c>
      <c r="W294" s="19">
        <f t="shared" si="19"/>
        <v>0</v>
      </c>
      <c r="X294" s="20">
        <f t="shared" si="20"/>
        <v>0</v>
      </c>
      <c r="Y294" s="20">
        <f t="shared" si="21"/>
        <v>0</v>
      </c>
    </row>
    <row r="295" spans="1:25" ht="15.75" customHeight="1">
      <c r="A295" s="14" t="s">
        <v>600</v>
      </c>
      <c r="B295" s="15" t="s">
        <v>601</v>
      </c>
      <c r="C295" s="16">
        <v>522</v>
      </c>
      <c r="D295" s="16">
        <v>522</v>
      </c>
      <c r="E295" s="17">
        <v>18</v>
      </c>
      <c r="F295" s="18">
        <v>0</v>
      </c>
      <c r="G295" s="18">
        <v>0</v>
      </c>
      <c r="H295" s="36">
        <v>5</v>
      </c>
      <c r="I295" s="17">
        <v>0</v>
      </c>
      <c r="J295" s="17">
        <f t="shared" si="11"/>
        <v>13</v>
      </c>
      <c r="K295" s="40">
        <v>13</v>
      </c>
      <c r="L295" s="18">
        <v>0</v>
      </c>
      <c r="M295" s="17">
        <v>0</v>
      </c>
      <c r="N295" s="18">
        <f t="shared" si="12"/>
        <v>13</v>
      </c>
      <c r="O295" s="17">
        <f t="shared" si="13"/>
        <v>0</v>
      </c>
      <c r="P295" s="3"/>
      <c r="Q295" s="19">
        <f t="shared" si="14"/>
        <v>9396</v>
      </c>
      <c r="R295" s="19">
        <v>0</v>
      </c>
      <c r="S295" s="19">
        <f t="shared" si="15"/>
        <v>0</v>
      </c>
      <c r="T295" s="19">
        <f t="shared" si="16"/>
        <v>0</v>
      </c>
      <c r="U295" s="19">
        <f t="shared" si="17"/>
        <v>2610</v>
      </c>
      <c r="V295" s="19">
        <f t="shared" si="18"/>
        <v>0</v>
      </c>
      <c r="W295" s="19">
        <f t="shared" si="19"/>
        <v>6786</v>
      </c>
      <c r="X295" s="20">
        <f t="shared" si="20"/>
        <v>6786</v>
      </c>
      <c r="Y295" s="20">
        <f t="shared" si="21"/>
        <v>0</v>
      </c>
    </row>
    <row r="296" spans="1:25" ht="15.75" customHeight="1">
      <c r="A296" s="14" t="s">
        <v>602</v>
      </c>
      <c r="B296" s="15" t="s">
        <v>603</v>
      </c>
      <c r="C296" s="16">
        <v>30.91</v>
      </c>
      <c r="D296" s="16">
        <v>30.91</v>
      </c>
      <c r="E296" s="17">
        <v>0</v>
      </c>
      <c r="F296" s="18">
        <v>0</v>
      </c>
      <c r="G296" s="18">
        <v>0</v>
      </c>
      <c r="H296" s="36">
        <v>0</v>
      </c>
      <c r="I296" s="17">
        <v>0</v>
      </c>
      <c r="J296" s="17">
        <f t="shared" si="11"/>
        <v>0</v>
      </c>
      <c r="K296" s="40">
        <v>0</v>
      </c>
      <c r="L296" s="18">
        <v>0</v>
      </c>
      <c r="M296" s="17">
        <v>0</v>
      </c>
      <c r="N296" s="18">
        <f t="shared" si="12"/>
        <v>0</v>
      </c>
      <c r="O296" s="17">
        <f t="shared" si="13"/>
        <v>0</v>
      </c>
      <c r="P296" s="3"/>
      <c r="Q296" s="19">
        <f t="shared" si="14"/>
        <v>0</v>
      </c>
      <c r="R296" s="19">
        <v>0</v>
      </c>
      <c r="S296" s="19">
        <f t="shared" si="15"/>
        <v>0</v>
      </c>
      <c r="T296" s="19">
        <f t="shared" si="16"/>
        <v>0</v>
      </c>
      <c r="U296" s="19">
        <f t="shared" si="17"/>
        <v>0</v>
      </c>
      <c r="V296" s="19">
        <f t="shared" si="18"/>
        <v>0</v>
      </c>
      <c r="W296" s="19">
        <f t="shared" si="19"/>
        <v>0</v>
      </c>
      <c r="X296" s="20">
        <f t="shared" si="20"/>
        <v>0</v>
      </c>
      <c r="Y296" s="20">
        <f t="shared" si="21"/>
        <v>0</v>
      </c>
    </row>
    <row r="297" spans="1:25" ht="15.75" customHeight="1">
      <c r="A297" s="14" t="s">
        <v>604</v>
      </c>
      <c r="B297" s="15" t="s">
        <v>605</v>
      </c>
      <c r="C297" s="16">
        <v>570</v>
      </c>
      <c r="D297" s="16">
        <v>570</v>
      </c>
      <c r="E297" s="17">
        <v>4</v>
      </c>
      <c r="F297" s="18">
        <v>0</v>
      </c>
      <c r="G297" s="18">
        <v>0</v>
      </c>
      <c r="H297" s="36">
        <v>0</v>
      </c>
      <c r="I297" s="17">
        <v>0</v>
      </c>
      <c r="J297" s="17">
        <f t="shared" si="11"/>
        <v>4</v>
      </c>
      <c r="K297" s="40">
        <v>4</v>
      </c>
      <c r="L297" s="18">
        <v>0</v>
      </c>
      <c r="M297" s="17">
        <v>0</v>
      </c>
      <c r="N297" s="18">
        <f t="shared" si="12"/>
        <v>4</v>
      </c>
      <c r="O297" s="17">
        <f t="shared" si="13"/>
        <v>0</v>
      </c>
      <c r="P297" s="3"/>
      <c r="Q297" s="19">
        <f t="shared" si="14"/>
        <v>2280</v>
      </c>
      <c r="R297" s="19">
        <v>0</v>
      </c>
      <c r="S297" s="19">
        <f t="shared" si="15"/>
        <v>0</v>
      </c>
      <c r="T297" s="19">
        <f t="shared" si="16"/>
        <v>0</v>
      </c>
      <c r="U297" s="19">
        <f t="shared" si="17"/>
        <v>0</v>
      </c>
      <c r="V297" s="19">
        <f t="shared" si="18"/>
        <v>0</v>
      </c>
      <c r="W297" s="19">
        <f t="shared" si="19"/>
        <v>2280</v>
      </c>
      <c r="X297" s="20">
        <f t="shared" si="20"/>
        <v>2280</v>
      </c>
      <c r="Y297" s="20">
        <f t="shared" si="21"/>
        <v>0</v>
      </c>
    </row>
    <row r="298" spans="1:25" ht="15.75" customHeight="1">
      <c r="A298" s="14" t="s">
        <v>606</v>
      </c>
      <c r="B298" s="15" t="s">
        <v>607</v>
      </c>
      <c r="C298" s="16">
        <v>380</v>
      </c>
      <c r="D298" s="16">
        <v>380</v>
      </c>
      <c r="E298" s="17">
        <v>0</v>
      </c>
      <c r="F298" s="18">
        <v>0</v>
      </c>
      <c r="G298" s="18">
        <v>0</v>
      </c>
      <c r="H298" s="36">
        <v>0</v>
      </c>
      <c r="I298" s="17">
        <v>0</v>
      </c>
      <c r="J298" s="17">
        <f t="shared" si="11"/>
        <v>0</v>
      </c>
      <c r="K298" s="40">
        <v>0</v>
      </c>
      <c r="L298" s="18">
        <v>0</v>
      </c>
      <c r="M298" s="17">
        <v>0</v>
      </c>
      <c r="N298" s="18">
        <f t="shared" si="12"/>
        <v>0</v>
      </c>
      <c r="O298" s="17">
        <f t="shared" si="13"/>
        <v>0</v>
      </c>
      <c r="P298" s="3"/>
      <c r="Q298" s="19">
        <f t="shared" si="14"/>
        <v>0</v>
      </c>
      <c r="R298" s="19">
        <v>0</v>
      </c>
      <c r="S298" s="19">
        <f t="shared" si="15"/>
        <v>0</v>
      </c>
      <c r="T298" s="19">
        <f t="shared" si="16"/>
        <v>0</v>
      </c>
      <c r="U298" s="19">
        <f t="shared" si="17"/>
        <v>0</v>
      </c>
      <c r="V298" s="19">
        <f t="shared" si="18"/>
        <v>0</v>
      </c>
      <c r="W298" s="19">
        <f t="shared" si="19"/>
        <v>0</v>
      </c>
      <c r="X298" s="20">
        <f t="shared" si="20"/>
        <v>0</v>
      </c>
      <c r="Y298" s="20">
        <f t="shared" si="21"/>
        <v>0</v>
      </c>
    </row>
    <row r="299" spans="1:25" ht="15.75" customHeight="1">
      <c r="A299" s="14" t="s">
        <v>608</v>
      </c>
      <c r="B299" s="15" t="s">
        <v>609</v>
      </c>
      <c r="C299" s="16">
        <v>985</v>
      </c>
      <c r="D299" s="16">
        <v>985</v>
      </c>
      <c r="E299" s="17">
        <v>0</v>
      </c>
      <c r="F299" s="18">
        <v>0</v>
      </c>
      <c r="G299" s="18">
        <v>0</v>
      </c>
      <c r="H299" s="36">
        <v>0</v>
      </c>
      <c r="I299" s="17">
        <v>0</v>
      </c>
      <c r="J299" s="17">
        <f t="shared" si="11"/>
        <v>0</v>
      </c>
      <c r="K299" s="40">
        <v>0</v>
      </c>
      <c r="L299" s="18">
        <v>0</v>
      </c>
      <c r="M299" s="17">
        <v>0</v>
      </c>
      <c r="N299" s="18">
        <f t="shared" si="12"/>
        <v>0</v>
      </c>
      <c r="O299" s="17">
        <f t="shared" si="13"/>
        <v>0</v>
      </c>
      <c r="P299" s="3"/>
      <c r="Q299" s="19">
        <f t="shared" si="14"/>
        <v>0</v>
      </c>
      <c r="R299" s="19">
        <v>0</v>
      </c>
      <c r="S299" s="19">
        <f t="shared" si="15"/>
        <v>0</v>
      </c>
      <c r="T299" s="19">
        <f t="shared" si="16"/>
        <v>0</v>
      </c>
      <c r="U299" s="19">
        <f t="shared" si="17"/>
        <v>0</v>
      </c>
      <c r="V299" s="19">
        <f t="shared" si="18"/>
        <v>0</v>
      </c>
      <c r="W299" s="19">
        <f t="shared" si="19"/>
        <v>0</v>
      </c>
      <c r="X299" s="20">
        <f t="shared" si="20"/>
        <v>0</v>
      </c>
      <c r="Y299" s="20">
        <f t="shared" si="21"/>
        <v>0</v>
      </c>
    </row>
    <row r="300" spans="1:25" ht="15.75" customHeight="1">
      <c r="A300" s="14" t="s">
        <v>610</v>
      </c>
      <c r="B300" s="15" t="s">
        <v>611</v>
      </c>
      <c r="C300" s="16">
        <v>450</v>
      </c>
      <c r="D300" s="16">
        <v>450</v>
      </c>
      <c r="E300" s="17">
        <v>1</v>
      </c>
      <c r="F300" s="18">
        <v>0</v>
      </c>
      <c r="G300" s="18">
        <v>0</v>
      </c>
      <c r="H300" s="36">
        <v>0</v>
      </c>
      <c r="I300" s="17">
        <v>0</v>
      </c>
      <c r="J300" s="17">
        <f t="shared" si="11"/>
        <v>1</v>
      </c>
      <c r="K300" s="40">
        <v>1</v>
      </c>
      <c r="L300" s="18">
        <v>0</v>
      </c>
      <c r="M300" s="18">
        <v>0</v>
      </c>
      <c r="N300" s="18">
        <f t="shared" si="12"/>
        <v>1</v>
      </c>
      <c r="O300" s="17">
        <f t="shared" si="13"/>
        <v>0</v>
      </c>
      <c r="P300" s="3"/>
      <c r="Q300" s="19">
        <f t="shared" si="14"/>
        <v>450</v>
      </c>
      <c r="R300" s="19">
        <v>0</v>
      </c>
      <c r="S300" s="19">
        <f t="shared" si="15"/>
        <v>0</v>
      </c>
      <c r="T300" s="19">
        <f t="shared" si="16"/>
        <v>0</v>
      </c>
      <c r="U300" s="19">
        <f t="shared" si="17"/>
        <v>0</v>
      </c>
      <c r="V300" s="19">
        <f t="shared" si="18"/>
        <v>0</v>
      </c>
      <c r="W300" s="19">
        <f t="shared" si="19"/>
        <v>450</v>
      </c>
      <c r="X300" s="20">
        <f t="shared" si="20"/>
        <v>450</v>
      </c>
      <c r="Y300" s="20">
        <f t="shared" si="21"/>
        <v>0</v>
      </c>
    </row>
    <row r="301" spans="1:25" ht="15.75" customHeight="1">
      <c r="A301" s="14" t="s">
        <v>612</v>
      </c>
      <c r="B301" s="15" t="s">
        <v>613</v>
      </c>
      <c r="C301" s="16">
        <v>888</v>
      </c>
      <c r="D301" s="16">
        <v>888</v>
      </c>
      <c r="E301" s="17">
        <v>1</v>
      </c>
      <c r="F301" s="18">
        <v>0</v>
      </c>
      <c r="G301" s="18">
        <v>0</v>
      </c>
      <c r="H301" s="36">
        <v>0</v>
      </c>
      <c r="I301" s="17">
        <v>0</v>
      </c>
      <c r="J301" s="17">
        <f t="shared" si="11"/>
        <v>1</v>
      </c>
      <c r="K301" s="40">
        <v>1</v>
      </c>
      <c r="L301" s="18">
        <v>0</v>
      </c>
      <c r="M301" s="17">
        <v>0</v>
      </c>
      <c r="N301" s="18">
        <f t="shared" si="12"/>
        <v>1</v>
      </c>
      <c r="O301" s="17">
        <f t="shared" si="13"/>
        <v>0</v>
      </c>
      <c r="P301" s="3"/>
      <c r="Q301" s="19">
        <f t="shared" si="14"/>
        <v>888</v>
      </c>
      <c r="R301" s="19">
        <v>0</v>
      </c>
      <c r="S301" s="19">
        <f t="shared" si="15"/>
        <v>0</v>
      </c>
      <c r="T301" s="19">
        <f t="shared" si="16"/>
        <v>0</v>
      </c>
      <c r="U301" s="19">
        <f t="shared" si="17"/>
        <v>0</v>
      </c>
      <c r="V301" s="19">
        <f t="shared" si="18"/>
        <v>0</v>
      </c>
      <c r="W301" s="19">
        <f t="shared" si="19"/>
        <v>888</v>
      </c>
      <c r="X301" s="20">
        <f t="shared" si="20"/>
        <v>888</v>
      </c>
      <c r="Y301" s="20">
        <f t="shared" si="21"/>
        <v>0</v>
      </c>
    </row>
    <row r="302" spans="1:25" ht="15.75" customHeight="1">
      <c r="A302" s="14" t="s">
        <v>614</v>
      </c>
      <c r="B302" s="15" t="s">
        <v>615</v>
      </c>
      <c r="C302" s="16">
        <v>1204.43</v>
      </c>
      <c r="D302" s="16">
        <v>1204.43</v>
      </c>
      <c r="E302" s="17">
        <v>1</v>
      </c>
      <c r="F302" s="18">
        <v>0</v>
      </c>
      <c r="G302" s="18">
        <v>0</v>
      </c>
      <c r="H302" s="36">
        <v>0</v>
      </c>
      <c r="I302" s="17">
        <v>0</v>
      </c>
      <c r="J302" s="17">
        <f t="shared" si="11"/>
        <v>1</v>
      </c>
      <c r="K302" s="40">
        <v>1</v>
      </c>
      <c r="L302" s="18">
        <v>0</v>
      </c>
      <c r="M302" s="17">
        <v>0</v>
      </c>
      <c r="N302" s="18">
        <f t="shared" si="12"/>
        <v>1</v>
      </c>
      <c r="O302" s="17">
        <f t="shared" si="13"/>
        <v>0</v>
      </c>
      <c r="P302" s="3"/>
      <c r="Q302" s="19">
        <f t="shared" si="14"/>
        <v>1204.43</v>
      </c>
      <c r="R302" s="19">
        <v>0</v>
      </c>
      <c r="S302" s="19">
        <f t="shared" si="15"/>
        <v>0</v>
      </c>
      <c r="T302" s="19">
        <f t="shared" si="16"/>
        <v>0</v>
      </c>
      <c r="U302" s="19">
        <f t="shared" si="17"/>
        <v>0</v>
      </c>
      <c r="V302" s="19">
        <f t="shared" si="18"/>
        <v>0</v>
      </c>
      <c r="W302" s="19">
        <f t="shared" si="19"/>
        <v>1204.43</v>
      </c>
      <c r="X302" s="20">
        <f t="shared" si="20"/>
        <v>1204.43</v>
      </c>
      <c r="Y302" s="20">
        <f t="shared" si="21"/>
        <v>0</v>
      </c>
    </row>
    <row r="303" spans="1:25" ht="15.75" customHeight="1">
      <c r="A303" s="14" t="s">
        <v>616</v>
      </c>
      <c r="B303" s="15" t="s">
        <v>617</v>
      </c>
      <c r="C303" s="16">
        <v>890</v>
      </c>
      <c r="D303" s="16">
        <v>890</v>
      </c>
      <c r="E303" s="17">
        <v>2</v>
      </c>
      <c r="F303" s="18">
        <v>0</v>
      </c>
      <c r="G303" s="18">
        <v>0</v>
      </c>
      <c r="H303" s="36">
        <v>0</v>
      </c>
      <c r="I303" s="17">
        <v>0</v>
      </c>
      <c r="J303" s="17">
        <f t="shared" si="11"/>
        <v>2</v>
      </c>
      <c r="K303" s="40">
        <v>2</v>
      </c>
      <c r="L303" s="18">
        <v>0</v>
      </c>
      <c r="M303" s="17">
        <v>0</v>
      </c>
      <c r="N303" s="18">
        <f t="shared" si="12"/>
        <v>2</v>
      </c>
      <c r="O303" s="17">
        <f t="shared" si="13"/>
        <v>0</v>
      </c>
      <c r="P303" s="3"/>
      <c r="Q303" s="19">
        <f t="shared" si="14"/>
        <v>1780</v>
      </c>
      <c r="R303" s="19">
        <v>0</v>
      </c>
      <c r="S303" s="19">
        <f t="shared" si="15"/>
        <v>0</v>
      </c>
      <c r="T303" s="19">
        <f t="shared" si="16"/>
        <v>0</v>
      </c>
      <c r="U303" s="19">
        <f t="shared" si="17"/>
        <v>0</v>
      </c>
      <c r="V303" s="19">
        <f t="shared" si="18"/>
        <v>0</v>
      </c>
      <c r="W303" s="19">
        <f t="shared" si="19"/>
        <v>1780</v>
      </c>
      <c r="X303" s="20">
        <f t="shared" si="20"/>
        <v>1780</v>
      </c>
      <c r="Y303" s="20">
        <f t="shared" si="21"/>
        <v>0</v>
      </c>
    </row>
    <row r="304" spans="1:25" ht="15.75" customHeight="1">
      <c r="A304" s="14" t="s">
        <v>618</v>
      </c>
      <c r="B304" s="15" t="s">
        <v>619</v>
      </c>
      <c r="C304" s="16">
        <v>695</v>
      </c>
      <c r="D304" s="16">
        <v>695</v>
      </c>
      <c r="E304" s="17">
        <v>14</v>
      </c>
      <c r="F304" s="18">
        <v>0</v>
      </c>
      <c r="G304" s="18">
        <v>0</v>
      </c>
      <c r="H304" s="36">
        <v>0</v>
      </c>
      <c r="I304" s="17">
        <v>0</v>
      </c>
      <c r="J304" s="17">
        <f t="shared" si="11"/>
        <v>14</v>
      </c>
      <c r="K304" s="40">
        <v>14</v>
      </c>
      <c r="L304" s="18">
        <v>0</v>
      </c>
      <c r="M304" s="17">
        <v>0</v>
      </c>
      <c r="N304" s="18">
        <f t="shared" si="12"/>
        <v>14</v>
      </c>
      <c r="O304" s="17">
        <f t="shared" si="13"/>
        <v>0</v>
      </c>
      <c r="P304" s="3"/>
      <c r="Q304" s="19">
        <f t="shared" si="14"/>
        <v>9730</v>
      </c>
      <c r="R304" s="19">
        <v>0</v>
      </c>
      <c r="S304" s="19">
        <f t="shared" si="15"/>
        <v>0</v>
      </c>
      <c r="T304" s="19">
        <f t="shared" si="16"/>
        <v>0</v>
      </c>
      <c r="U304" s="19">
        <f t="shared" si="17"/>
        <v>0</v>
      </c>
      <c r="V304" s="19">
        <f t="shared" si="18"/>
        <v>0</v>
      </c>
      <c r="W304" s="19">
        <f t="shared" si="19"/>
        <v>9730</v>
      </c>
      <c r="X304" s="20">
        <f t="shared" si="20"/>
        <v>9730</v>
      </c>
      <c r="Y304" s="20">
        <f t="shared" si="21"/>
        <v>0</v>
      </c>
    </row>
    <row r="305" spans="1:26" ht="15.75" customHeight="1">
      <c r="A305" s="25" t="s">
        <v>16</v>
      </c>
      <c r="B305" s="25"/>
      <c r="C305" s="26"/>
      <c r="D305" s="26"/>
      <c r="E305" s="27">
        <f t="shared" ref="E305:O305" si="22">SUM(E7:E304)</f>
        <v>1630</v>
      </c>
      <c r="F305" s="27">
        <f t="shared" si="22"/>
        <v>0</v>
      </c>
      <c r="G305" s="27">
        <f t="shared" si="22"/>
        <v>0</v>
      </c>
      <c r="H305" s="27">
        <f t="shared" si="22"/>
        <v>260</v>
      </c>
      <c r="I305" s="27">
        <f t="shared" si="22"/>
        <v>0</v>
      </c>
      <c r="J305" s="27">
        <f t="shared" si="22"/>
        <v>1370</v>
      </c>
      <c r="K305" s="28">
        <f t="shared" si="22"/>
        <v>1218</v>
      </c>
      <c r="L305" s="28">
        <f t="shared" si="22"/>
        <v>104</v>
      </c>
      <c r="M305" s="28">
        <f t="shared" si="22"/>
        <v>51</v>
      </c>
      <c r="N305" s="28">
        <f t="shared" si="22"/>
        <v>1373</v>
      </c>
      <c r="O305" s="28">
        <f t="shared" si="22"/>
        <v>3</v>
      </c>
      <c r="P305" s="3"/>
      <c r="Q305" s="29">
        <f t="shared" ref="Q305:W305" si="23">SUM(Q7:Q304)</f>
        <v>407268.76</v>
      </c>
      <c r="R305" s="29">
        <f t="shared" si="23"/>
        <v>0</v>
      </c>
      <c r="S305" s="29">
        <f t="shared" si="23"/>
        <v>0</v>
      </c>
      <c r="T305" s="29">
        <f t="shared" si="23"/>
        <v>0</v>
      </c>
      <c r="U305" s="29">
        <f t="shared" si="23"/>
        <v>48149.19</v>
      </c>
      <c r="V305" s="29">
        <f t="shared" si="23"/>
        <v>0</v>
      </c>
      <c r="W305" s="29">
        <f t="shared" si="23"/>
        <v>359119.56999999989</v>
      </c>
      <c r="X305" s="30"/>
      <c r="Y305" s="30"/>
    </row>
    <row r="306" spans="1:26" ht="15.75" customHeight="1">
      <c r="A306" s="31"/>
      <c r="B306" s="32"/>
      <c r="C306" s="33"/>
      <c r="D306" s="34"/>
      <c r="E306" s="34"/>
      <c r="F306" s="10"/>
      <c r="G306" s="31"/>
      <c r="H306" s="31"/>
      <c r="I306" s="31"/>
      <c r="J306" s="31"/>
      <c r="K306" s="31"/>
      <c r="L306" s="31"/>
      <c r="M306" s="31"/>
      <c r="N306" s="31"/>
      <c r="O306" s="3"/>
      <c r="P306" s="3"/>
      <c r="Q306" s="3"/>
      <c r="R306" s="3"/>
      <c r="S306" s="3"/>
      <c r="T306" s="3"/>
      <c r="U306" s="3"/>
      <c r="V306" s="31"/>
      <c r="W306" s="31"/>
      <c r="X306" s="31"/>
      <c r="Y306" s="31"/>
      <c r="Z306" s="31"/>
    </row>
    <row r="307" spans="1:26" ht="15.75" customHeight="1"/>
    <row r="308" spans="1:26" ht="15.75" customHeight="1"/>
    <row r="309" spans="1:26" ht="15.75" customHeight="1"/>
    <row r="310" spans="1:26" ht="15.75" customHeight="1"/>
    <row r="311" spans="1:26" ht="15.75" customHeight="1"/>
    <row r="312" spans="1:26" ht="15.75" customHeight="1">
      <c r="O312" s="4"/>
    </row>
    <row r="313" spans="1:26" ht="15.75" customHeight="1">
      <c r="O313" s="4"/>
    </row>
    <row r="314" spans="1:26" ht="15.75" customHeight="1"/>
    <row r="315" spans="1:26" ht="15.75" customHeight="1"/>
    <row r="316" spans="1:26" ht="15.75" customHeight="1"/>
    <row r="317" spans="1:26" ht="15.75" customHeight="1"/>
    <row r="318" spans="1:26" ht="15.75" customHeight="1"/>
    <row r="319" spans="1:26" ht="15.75" customHeight="1"/>
    <row r="320" spans="1:2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6:Z305" xr:uid="{00000000-0009-0000-0000-000004000000}">
    <sortState xmlns:xlrd2="http://schemas.microsoft.com/office/spreadsheetml/2017/richdata2" ref="A6:Z305">
      <sortCondition ref="B6:B305"/>
    </sortState>
  </autoFilter>
  <mergeCells count="4">
    <mergeCell ref="A1:W1"/>
    <mergeCell ref="A2:W2"/>
    <mergeCell ref="A3:W3"/>
    <mergeCell ref="Q4:T4"/>
  </mergeCells>
  <pageMargins left="0.25" right="0.25" top="0.75" bottom="0.75" header="0" footer="0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0"/>
  <sheetViews>
    <sheetView topLeftCell="A4" zoomScale="85" zoomScaleNormal="85" workbookViewId="0">
      <pane ySplit="3" topLeftCell="A291" activePane="bottomLeft" state="frozen"/>
      <selection activeCell="A4" sqref="A4"/>
      <selection pane="bottomLeft" activeCell="K305" sqref="K305"/>
    </sheetView>
  </sheetViews>
  <sheetFormatPr baseColWidth="10" defaultColWidth="14.42578125" defaultRowHeight="15" customHeight="1"/>
  <cols>
    <col min="1" max="1" width="10.7109375" customWidth="1"/>
    <col min="2" max="2" width="31.28515625" customWidth="1"/>
    <col min="3" max="3" width="12.5703125" customWidth="1"/>
    <col min="4" max="4" width="13.7109375" customWidth="1"/>
    <col min="5" max="7" width="11.42578125" customWidth="1"/>
    <col min="8" max="8" width="12.7109375" customWidth="1"/>
    <col min="9" max="16" width="11.42578125" customWidth="1"/>
    <col min="17" max="17" width="14.85546875" customWidth="1"/>
    <col min="18" max="18" width="5" customWidth="1"/>
    <col min="19" max="19" width="13.7109375" customWidth="1"/>
    <col min="20" max="20" width="14.7109375" customWidth="1"/>
    <col min="21" max="24" width="11.42578125" customWidth="1"/>
    <col min="25" max="25" width="15.28515625" customWidth="1"/>
    <col min="26" max="27" width="11.42578125" hidden="1" customWidth="1"/>
    <col min="28" max="28" width="10.7109375" customWidth="1"/>
  </cols>
  <sheetData>
    <row r="1" spans="1:27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</row>
    <row r="2" spans="1:27">
      <c r="A2" s="255" t="s">
        <v>0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</row>
    <row r="3" spans="1:27">
      <c r="A3" s="253" t="s">
        <v>1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</row>
    <row r="4" spans="1:27">
      <c r="A4" s="1"/>
      <c r="B4" s="1"/>
      <c r="C4" s="2"/>
      <c r="D4" s="2"/>
      <c r="E4" s="2"/>
      <c r="F4" s="1"/>
      <c r="K4" s="1"/>
      <c r="L4" s="1"/>
      <c r="M4" s="1"/>
      <c r="N4" s="1"/>
      <c r="O4" s="1"/>
      <c r="P4" s="1"/>
      <c r="Q4" s="1"/>
      <c r="R4" s="3"/>
      <c r="S4" s="256">
        <v>46113</v>
      </c>
      <c r="T4" s="254"/>
      <c r="U4" s="254"/>
      <c r="V4" s="254"/>
      <c r="W4" s="4"/>
      <c r="X4" s="4"/>
      <c r="Y4" s="4"/>
    </row>
    <row r="5" spans="1:27" ht="14.25" customHeight="1">
      <c r="C5" s="4"/>
      <c r="D5" s="4"/>
      <c r="F5" s="3"/>
      <c r="G5" s="3"/>
      <c r="H5" s="3"/>
      <c r="I5" s="3"/>
      <c r="J5" s="3"/>
      <c r="K5" s="3"/>
      <c r="L5" s="3"/>
      <c r="M5" s="3"/>
      <c r="N5" s="5"/>
      <c r="O5" s="3"/>
      <c r="P5" s="3"/>
      <c r="Q5" s="6" t="s">
        <v>2</v>
      </c>
      <c r="R5" s="3"/>
      <c r="S5" s="4"/>
      <c r="T5" s="4"/>
      <c r="U5" s="4"/>
      <c r="V5" s="4"/>
      <c r="W5" s="4"/>
      <c r="X5" s="4"/>
      <c r="Y5" s="4"/>
    </row>
    <row r="6" spans="1:27" ht="38.25">
      <c r="A6" s="7" t="s">
        <v>3</v>
      </c>
      <c r="B6" s="7" t="s">
        <v>4</v>
      </c>
      <c r="C6" s="8" t="s">
        <v>5</v>
      </c>
      <c r="D6" s="8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9" t="s">
        <v>13</v>
      </c>
      <c r="L6" s="9"/>
      <c r="M6" s="9"/>
      <c r="N6" s="9" t="s">
        <v>14</v>
      </c>
      <c r="O6" s="9" t="s">
        <v>15</v>
      </c>
      <c r="P6" s="9" t="s">
        <v>16</v>
      </c>
      <c r="Q6" s="9" t="s">
        <v>17</v>
      </c>
      <c r="R6" s="10"/>
      <c r="S6" s="11" t="s">
        <v>18</v>
      </c>
      <c r="T6" s="11" t="s">
        <v>19</v>
      </c>
      <c r="U6" s="11" t="s">
        <v>20</v>
      </c>
      <c r="V6" s="11" t="s">
        <v>21</v>
      </c>
      <c r="W6" s="11" t="s">
        <v>22</v>
      </c>
      <c r="X6" s="11" t="s">
        <v>23</v>
      </c>
      <c r="Y6" s="11" t="s">
        <v>16</v>
      </c>
      <c r="Z6" s="13"/>
      <c r="AA6" s="13"/>
    </row>
    <row r="7" spans="1:27">
      <c r="A7" s="14" t="s">
        <v>24</v>
      </c>
      <c r="B7" s="15" t="s">
        <v>25</v>
      </c>
      <c r="C7" s="16">
        <v>125</v>
      </c>
      <c r="D7" s="16">
        <v>125</v>
      </c>
      <c r="E7" s="17">
        <v>5</v>
      </c>
      <c r="F7" s="18">
        <v>0</v>
      </c>
      <c r="G7" s="18">
        <v>0</v>
      </c>
      <c r="H7" s="18">
        <v>0</v>
      </c>
      <c r="I7" s="17">
        <v>0</v>
      </c>
      <c r="J7" s="17">
        <f t="shared" ref="J7:J70" si="0">E7+F7+G7-H7-I7</f>
        <v>5</v>
      </c>
      <c r="K7" s="17">
        <v>5</v>
      </c>
      <c r="L7" s="17">
        <v>5</v>
      </c>
      <c r="M7" s="17" t="b">
        <f>K7=L7</f>
        <v>1</v>
      </c>
      <c r="N7" s="17">
        <v>0</v>
      </c>
      <c r="O7" s="17">
        <v>0</v>
      </c>
      <c r="P7" s="17">
        <f t="shared" ref="P7:P70" si="1">K7+N7+O7</f>
        <v>5</v>
      </c>
      <c r="Q7" s="17">
        <f t="shared" ref="Q7:Q70" si="2">P7-J7</f>
        <v>0</v>
      </c>
      <c r="R7" s="3"/>
      <c r="S7" s="19">
        <f t="shared" ref="S7:S70" si="3">C7*E7</f>
        <v>625</v>
      </c>
      <c r="T7" s="19">
        <v>0</v>
      </c>
      <c r="U7" s="19">
        <f t="shared" ref="U7:U70" si="4">D7*F7</f>
        <v>0</v>
      </c>
      <c r="V7" s="19">
        <f t="shared" ref="V7:V70" si="5">D7*G7</f>
        <v>0</v>
      </c>
      <c r="W7" s="19">
        <f t="shared" ref="W7:W70" si="6">D7*H7</f>
        <v>0</v>
      </c>
      <c r="X7" s="19">
        <f t="shared" ref="X7:X70" si="7">D7*I7</f>
        <v>0</v>
      </c>
      <c r="Y7" s="19">
        <f t="shared" ref="Y7:Y70" si="8">S7+T7+U7+V7-W7-X7</f>
        <v>625</v>
      </c>
      <c r="Z7" s="20">
        <f t="shared" ref="Z7:Z70" si="9">J7*D7</f>
        <v>625</v>
      </c>
      <c r="AA7" s="20">
        <f t="shared" ref="AA7:AA70" si="10">Z7-Y7</f>
        <v>0</v>
      </c>
    </row>
    <row r="8" spans="1:27">
      <c r="A8" s="14" t="s">
        <v>26</v>
      </c>
      <c r="B8" s="15" t="s">
        <v>27</v>
      </c>
      <c r="C8" s="16">
        <v>325</v>
      </c>
      <c r="D8" s="16">
        <v>325</v>
      </c>
      <c r="E8" s="17">
        <v>0</v>
      </c>
      <c r="F8" s="18">
        <v>0</v>
      </c>
      <c r="G8" s="18">
        <v>0</v>
      </c>
      <c r="H8" s="18">
        <v>0</v>
      </c>
      <c r="I8" s="17">
        <v>0</v>
      </c>
      <c r="J8" s="17">
        <f t="shared" si="0"/>
        <v>0</v>
      </c>
      <c r="K8" s="17">
        <v>0</v>
      </c>
      <c r="L8" s="17">
        <v>0</v>
      </c>
      <c r="M8" s="17" t="b">
        <f t="shared" ref="M8:M71" si="11">K8=L8</f>
        <v>1</v>
      </c>
      <c r="N8" s="17">
        <v>0</v>
      </c>
      <c r="O8" s="17">
        <v>0</v>
      </c>
      <c r="P8" s="17">
        <f t="shared" si="1"/>
        <v>0</v>
      </c>
      <c r="Q8" s="17">
        <f t="shared" si="2"/>
        <v>0</v>
      </c>
      <c r="R8" s="3"/>
      <c r="S8" s="19">
        <f t="shared" si="3"/>
        <v>0</v>
      </c>
      <c r="T8" s="19">
        <v>0</v>
      </c>
      <c r="U8" s="19">
        <f t="shared" si="4"/>
        <v>0</v>
      </c>
      <c r="V8" s="19">
        <f t="shared" si="5"/>
        <v>0</v>
      </c>
      <c r="W8" s="19">
        <f t="shared" si="6"/>
        <v>0</v>
      </c>
      <c r="X8" s="19">
        <f t="shared" si="7"/>
        <v>0</v>
      </c>
      <c r="Y8" s="19">
        <f t="shared" si="8"/>
        <v>0</v>
      </c>
      <c r="Z8" s="20">
        <f t="shared" si="9"/>
        <v>0</v>
      </c>
      <c r="AA8" s="20">
        <f t="shared" si="10"/>
        <v>0</v>
      </c>
    </row>
    <row r="9" spans="1:27">
      <c r="A9" s="14" t="s">
        <v>28</v>
      </c>
      <c r="B9" s="15" t="s">
        <v>29</v>
      </c>
      <c r="C9" s="16">
        <v>105.56</v>
      </c>
      <c r="D9" s="16">
        <v>105.56</v>
      </c>
      <c r="E9" s="17">
        <v>0</v>
      </c>
      <c r="F9" s="18">
        <v>0</v>
      </c>
      <c r="G9" s="18">
        <v>0</v>
      </c>
      <c r="H9" s="18">
        <v>0</v>
      </c>
      <c r="I9" s="17">
        <v>0</v>
      </c>
      <c r="J9" s="17">
        <f t="shared" si="0"/>
        <v>0</v>
      </c>
      <c r="K9" s="17">
        <v>0</v>
      </c>
      <c r="L9" s="17">
        <v>0</v>
      </c>
      <c r="M9" s="17" t="b">
        <f t="shared" si="11"/>
        <v>1</v>
      </c>
      <c r="N9" s="17">
        <v>0</v>
      </c>
      <c r="O9" s="17">
        <v>0</v>
      </c>
      <c r="P9" s="17">
        <f t="shared" si="1"/>
        <v>0</v>
      </c>
      <c r="Q9" s="17">
        <f t="shared" si="2"/>
        <v>0</v>
      </c>
      <c r="R9" s="3"/>
      <c r="S9" s="19">
        <f t="shared" si="3"/>
        <v>0</v>
      </c>
      <c r="T9" s="19">
        <v>0</v>
      </c>
      <c r="U9" s="19">
        <f t="shared" si="4"/>
        <v>0</v>
      </c>
      <c r="V9" s="19">
        <f t="shared" si="5"/>
        <v>0</v>
      </c>
      <c r="W9" s="19">
        <f t="shared" si="6"/>
        <v>0</v>
      </c>
      <c r="X9" s="19">
        <f t="shared" si="7"/>
        <v>0</v>
      </c>
      <c r="Y9" s="19">
        <f t="shared" si="8"/>
        <v>0</v>
      </c>
      <c r="Z9" s="20">
        <f t="shared" si="9"/>
        <v>0</v>
      </c>
      <c r="AA9" s="20">
        <f t="shared" si="10"/>
        <v>0</v>
      </c>
    </row>
    <row r="10" spans="1:27">
      <c r="A10" s="14" t="s">
        <v>30</v>
      </c>
      <c r="B10" s="15" t="s">
        <v>31</v>
      </c>
      <c r="C10" s="16">
        <v>105.56</v>
      </c>
      <c r="D10" s="16">
        <v>105.56</v>
      </c>
      <c r="E10" s="17">
        <v>0</v>
      </c>
      <c r="F10" s="18">
        <v>0</v>
      </c>
      <c r="G10" s="18">
        <v>0</v>
      </c>
      <c r="H10" s="18">
        <v>0</v>
      </c>
      <c r="I10" s="17">
        <v>0</v>
      </c>
      <c r="J10" s="17">
        <f t="shared" si="0"/>
        <v>0</v>
      </c>
      <c r="K10" s="17">
        <v>0</v>
      </c>
      <c r="L10" s="17">
        <v>0</v>
      </c>
      <c r="M10" s="17" t="b">
        <f t="shared" si="11"/>
        <v>1</v>
      </c>
      <c r="N10" s="17">
        <v>0</v>
      </c>
      <c r="O10" s="17">
        <v>0</v>
      </c>
      <c r="P10" s="17">
        <f t="shared" si="1"/>
        <v>0</v>
      </c>
      <c r="Q10" s="17">
        <f t="shared" si="2"/>
        <v>0</v>
      </c>
      <c r="R10" s="3"/>
      <c r="S10" s="19">
        <f t="shared" si="3"/>
        <v>0</v>
      </c>
      <c r="T10" s="19">
        <v>0</v>
      </c>
      <c r="U10" s="19">
        <f t="shared" si="4"/>
        <v>0</v>
      </c>
      <c r="V10" s="19">
        <f t="shared" si="5"/>
        <v>0</v>
      </c>
      <c r="W10" s="19">
        <f t="shared" si="6"/>
        <v>0</v>
      </c>
      <c r="X10" s="19">
        <f t="shared" si="7"/>
        <v>0</v>
      </c>
      <c r="Y10" s="19">
        <f t="shared" si="8"/>
        <v>0</v>
      </c>
      <c r="Z10" s="20">
        <f t="shared" si="9"/>
        <v>0</v>
      </c>
      <c r="AA10" s="20">
        <f t="shared" si="10"/>
        <v>0</v>
      </c>
    </row>
    <row r="11" spans="1:27">
      <c r="A11" s="14" t="s">
        <v>32</v>
      </c>
      <c r="B11" s="15" t="s">
        <v>33</v>
      </c>
      <c r="C11" s="16">
        <v>325</v>
      </c>
      <c r="D11" s="16">
        <v>325</v>
      </c>
      <c r="E11" s="17">
        <v>0</v>
      </c>
      <c r="F11" s="18">
        <v>0</v>
      </c>
      <c r="G11" s="18">
        <v>0</v>
      </c>
      <c r="H11" s="18">
        <v>0</v>
      </c>
      <c r="I11" s="17">
        <v>0</v>
      </c>
      <c r="J11" s="17">
        <f t="shared" si="0"/>
        <v>0</v>
      </c>
      <c r="K11" s="17">
        <v>0</v>
      </c>
      <c r="L11" s="17">
        <v>0</v>
      </c>
      <c r="M11" s="17" t="b">
        <f t="shared" si="11"/>
        <v>1</v>
      </c>
      <c r="N11" s="17">
        <v>0</v>
      </c>
      <c r="O11" s="17">
        <v>0</v>
      </c>
      <c r="P11" s="17">
        <f t="shared" si="1"/>
        <v>0</v>
      </c>
      <c r="Q11" s="17">
        <f t="shared" si="2"/>
        <v>0</v>
      </c>
      <c r="R11" s="3"/>
      <c r="S11" s="19">
        <f t="shared" si="3"/>
        <v>0</v>
      </c>
      <c r="T11" s="19">
        <v>0</v>
      </c>
      <c r="U11" s="19">
        <f t="shared" si="4"/>
        <v>0</v>
      </c>
      <c r="V11" s="19">
        <f t="shared" si="5"/>
        <v>0</v>
      </c>
      <c r="W11" s="19">
        <f t="shared" si="6"/>
        <v>0</v>
      </c>
      <c r="X11" s="19">
        <f t="shared" si="7"/>
        <v>0</v>
      </c>
      <c r="Y11" s="19">
        <f t="shared" si="8"/>
        <v>0</v>
      </c>
      <c r="Z11" s="20">
        <f t="shared" si="9"/>
        <v>0</v>
      </c>
      <c r="AA11" s="20">
        <f t="shared" si="10"/>
        <v>0</v>
      </c>
    </row>
    <row r="12" spans="1:27">
      <c r="A12" s="14" t="s">
        <v>34</v>
      </c>
      <c r="B12" s="15" t="s">
        <v>35</v>
      </c>
      <c r="C12" s="16">
        <v>263.58</v>
      </c>
      <c r="D12" s="16">
        <v>263.58</v>
      </c>
      <c r="E12" s="17">
        <v>15</v>
      </c>
      <c r="F12" s="18">
        <v>0</v>
      </c>
      <c r="G12" s="18">
        <v>0</v>
      </c>
      <c r="H12" s="18">
        <v>0</v>
      </c>
      <c r="I12" s="17">
        <v>0</v>
      </c>
      <c r="J12" s="17">
        <f t="shared" si="0"/>
        <v>15</v>
      </c>
      <c r="K12" s="17">
        <v>15</v>
      </c>
      <c r="L12" s="17">
        <v>15</v>
      </c>
      <c r="M12" s="17" t="b">
        <f t="shared" si="11"/>
        <v>1</v>
      </c>
      <c r="N12" s="17">
        <v>0</v>
      </c>
      <c r="O12" s="17">
        <v>0</v>
      </c>
      <c r="P12" s="17">
        <f t="shared" si="1"/>
        <v>15</v>
      </c>
      <c r="Q12" s="17">
        <f t="shared" si="2"/>
        <v>0</v>
      </c>
      <c r="R12" s="3"/>
      <c r="S12" s="19">
        <f t="shared" si="3"/>
        <v>3953.7</v>
      </c>
      <c r="T12" s="19">
        <v>0</v>
      </c>
      <c r="U12" s="19">
        <f t="shared" si="4"/>
        <v>0</v>
      </c>
      <c r="V12" s="19">
        <f t="shared" si="5"/>
        <v>0</v>
      </c>
      <c r="W12" s="19">
        <f t="shared" si="6"/>
        <v>0</v>
      </c>
      <c r="X12" s="19">
        <f t="shared" si="7"/>
        <v>0</v>
      </c>
      <c r="Y12" s="19">
        <f t="shared" si="8"/>
        <v>3953.7</v>
      </c>
      <c r="Z12" s="20">
        <f t="shared" si="9"/>
        <v>3953.7</v>
      </c>
      <c r="AA12" s="20">
        <f t="shared" si="10"/>
        <v>0</v>
      </c>
    </row>
    <row r="13" spans="1:27">
      <c r="A13" s="14" t="s">
        <v>36</v>
      </c>
      <c r="B13" s="15" t="s">
        <v>37</v>
      </c>
      <c r="C13" s="16">
        <v>0</v>
      </c>
      <c r="D13" s="16">
        <v>0</v>
      </c>
      <c r="E13" s="17">
        <v>0</v>
      </c>
      <c r="F13" s="18">
        <v>0</v>
      </c>
      <c r="G13" s="18">
        <v>0</v>
      </c>
      <c r="H13" s="18">
        <v>0</v>
      </c>
      <c r="I13" s="17">
        <v>0</v>
      </c>
      <c r="J13" s="17">
        <f t="shared" si="0"/>
        <v>0</v>
      </c>
      <c r="K13" s="17">
        <v>0</v>
      </c>
      <c r="L13" s="17">
        <v>0</v>
      </c>
      <c r="M13" s="17" t="b">
        <f t="shared" si="11"/>
        <v>1</v>
      </c>
      <c r="N13" s="17">
        <v>0</v>
      </c>
      <c r="O13" s="17">
        <v>0</v>
      </c>
      <c r="P13" s="17">
        <f t="shared" si="1"/>
        <v>0</v>
      </c>
      <c r="Q13" s="17">
        <f t="shared" si="2"/>
        <v>0</v>
      </c>
      <c r="R13" s="3"/>
      <c r="S13" s="19">
        <f t="shared" si="3"/>
        <v>0</v>
      </c>
      <c r="T13" s="19">
        <v>0</v>
      </c>
      <c r="U13" s="19">
        <f t="shared" si="4"/>
        <v>0</v>
      </c>
      <c r="V13" s="19">
        <f t="shared" si="5"/>
        <v>0</v>
      </c>
      <c r="W13" s="19">
        <f t="shared" si="6"/>
        <v>0</v>
      </c>
      <c r="X13" s="19">
        <f t="shared" si="7"/>
        <v>0</v>
      </c>
      <c r="Y13" s="19">
        <f t="shared" si="8"/>
        <v>0</v>
      </c>
      <c r="Z13" s="20">
        <f t="shared" si="9"/>
        <v>0</v>
      </c>
      <c r="AA13" s="20">
        <f t="shared" si="10"/>
        <v>0</v>
      </c>
    </row>
    <row r="14" spans="1:27">
      <c r="A14" s="14" t="s">
        <v>38</v>
      </c>
      <c r="B14" s="15" t="s">
        <v>39</v>
      </c>
      <c r="C14" s="16">
        <v>1010</v>
      </c>
      <c r="D14" s="16">
        <v>1010</v>
      </c>
      <c r="E14" s="17">
        <v>1</v>
      </c>
      <c r="F14" s="18">
        <v>0</v>
      </c>
      <c r="G14" s="18">
        <v>0</v>
      </c>
      <c r="H14" s="18">
        <v>0</v>
      </c>
      <c r="I14" s="17">
        <v>0</v>
      </c>
      <c r="J14" s="17">
        <f t="shared" si="0"/>
        <v>1</v>
      </c>
      <c r="K14" s="17">
        <v>1</v>
      </c>
      <c r="L14" s="17">
        <v>1</v>
      </c>
      <c r="M14" s="17" t="b">
        <f t="shared" si="11"/>
        <v>1</v>
      </c>
      <c r="N14" s="17">
        <v>0</v>
      </c>
      <c r="O14" s="17">
        <v>0</v>
      </c>
      <c r="P14" s="17">
        <f t="shared" si="1"/>
        <v>1</v>
      </c>
      <c r="Q14" s="17">
        <f t="shared" si="2"/>
        <v>0</v>
      </c>
      <c r="R14" s="3"/>
      <c r="S14" s="19">
        <f t="shared" si="3"/>
        <v>1010</v>
      </c>
      <c r="T14" s="19">
        <v>0</v>
      </c>
      <c r="U14" s="19">
        <f t="shared" si="4"/>
        <v>0</v>
      </c>
      <c r="V14" s="19">
        <f t="shared" si="5"/>
        <v>0</v>
      </c>
      <c r="W14" s="19">
        <f t="shared" si="6"/>
        <v>0</v>
      </c>
      <c r="X14" s="19">
        <f t="shared" si="7"/>
        <v>0</v>
      </c>
      <c r="Y14" s="19">
        <f t="shared" si="8"/>
        <v>1010</v>
      </c>
      <c r="Z14" s="20">
        <f t="shared" si="9"/>
        <v>1010</v>
      </c>
      <c r="AA14" s="20">
        <f t="shared" si="10"/>
        <v>0</v>
      </c>
    </row>
    <row r="15" spans="1:27">
      <c r="A15" s="14" t="s">
        <v>40</v>
      </c>
      <c r="B15" s="15" t="s">
        <v>41</v>
      </c>
      <c r="C15" s="16">
        <v>320</v>
      </c>
      <c r="D15" s="16">
        <v>320</v>
      </c>
      <c r="E15" s="17">
        <v>2</v>
      </c>
      <c r="F15" s="18">
        <v>0</v>
      </c>
      <c r="G15" s="18">
        <v>0</v>
      </c>
      <c r="H15" s="18">
        <v>0</v>
      </c>
      <c r="I15" s="17">
        <v>0</v>
      </c>
      <c r="J15" s="17">
        <f t="shared" si="0"/>
        <v>2</v>
      </c>
      <c r="K15" s="17">
        <v>2</v>
      </c>
      <c r="L15" s="17">
        <v>2</v>
      </c>
      <c r="M15" s="17" t="b">
        <f t="shared" si="11"/>
        <v>1</v>
      </c>
      <c r="N15" s="17">
        <v>0</v>
      </c>
      <c r="O15" s="17">
        <v>0</v>
      </c>
      <c r="P15" s="17">
        <f t="shared" si="1"/>
        <v>2</v>
      </c>
      <c r="Q15" s="17">
        <f t="shared" si="2"/>
        <v>0</v>
      </c>
      <c r="R15" s="3"/>
      <c r="S15" s="19">
        <f t="shared" si="3"/>
        <v>640</v>
      </c>
      <c r="T15" s="19">
        <v>0</v>
      </c>
      <c r="U15" s="19">
        <f t="shared" si="4"/>
        <v>0</v>
      </c>
      <c r="V15" s="19">
        <f t="shared" si="5"/>
        <v>0</v>
      </c>
      <c r="W15" s="19">
        <f t="shared" si="6"/>
        <v>0</v>
      </c>
      <c r="X15" s="19">
        <f t="shared" si="7"/>
        <v>0</v>
      </c>
      <c r="Y15" s="19">
        <f t="shared" si="8"/>
        <v>640</v>
      </c>
      <c r="Z15" s="20">
        <f t="shared" si="9"/>
        <v>640</v>
      </c>
      <c r="AA15" s="20">
        <f t="shared" si="10"/>
        <v>0</v>
      </c>
    </row>
    <row r="16" spans="1:27">
      <c r="A16" s="14" t="s">
        <v>42</v>
      </c>
      <c r="B16" s="15" t="s">
        <v>43</v>
      </c>
      <c r="C16" s="16">
        <v>1</v>
      </c>
      <c r="D16" s="16">
        <v>1</v>
      </c>
      <c r="E16" s="17">
        <v>10</v>
      </c>
      <c r="F16" s="18">
        <v>0</v>
      </c>
      <c r="G16" s="18">
        <v>0</v>
      </c>
      <c r="H16" s="18">
        <v>0</v>
      </c>
      <c r="I16" s="17">
        <v>0</v>
      </c>
      <c r="J16" s="17">
        <f t="shared" si="0"/>
        <v>10</v>
      </c>
      <c r="K16" s="17">
        <v>10</v>
      </c>
      <c r="L16" s="17">
        <v>10</v>
      </c>
      <c r="M16" s="17" t="b">
        <f t="shared" si="11"/>
        <v>1</v>
      </c>
      <c r="N16" s="17">
        <v>0</v>
      </c>
      <c r="O16" s="17">
        <v>0</v>
      </c>
      <c r="P16" s="17">
        <f t="shared" si="1"/>
        <v>10</v>
      </c>
      <c r="Q16" s="17">
        <f t="shared" si="2"/>
        <v>0</v>
      </c>
      <c r="R16" s="3"/>
      <c r="S16" s="19">
        <f t="shared" si="3"/>
        <v>10</v>
      </c>
      <c r="T16" s="19">
        <v>0</v>
      </c>
      <c r="U16" s="19">
        <f t="shared" si="4"/>
        <v>0</v>
      </c>
      <c r="V16" s="19">
        <f t="shared" si="5"/>
        <v>0</v>
      </c>
      <c r="W16" s="19">
        <f t="shared" si="6"/>
        <v>0</v>
      </c>
      <c r="X16" s="19">
        <f t="shared" si="7"/>
        <v>0</v>
      </c>
      <c r="Y16" s="19">
        <f t="shared" si="8"/>
        <v>10</v>
      </c>
      <c r="Z16" s="20">
        <f t="shared" si="9"/>
        <v>10</v>
      </c>
      <c r="AA16" s="20">
        <f t="shared" si="10"/>
        <v>0</v>
      </c>
    </row>
    <row r="17" spans="1:27">
      <c r="A17" s="14" t="s">
        <v>44</v>
      </c>
      <c r="B17" s="15" t="s">
        <v>45</v>
      </c>
      <c r="C17" s="16">
        <v>217.5</v>
      </c>
      <c r="D17" s="16">
        <v>217.5</v>
      </c>
      <c r="E17" s="17">
        <v>4</v>
      </c>
      <c r="F17" s="18">
        <v>0</v>
      </c>
      <c r="G17" s="18">
        <v>0</v>
      </c>
      <c r="H17" s="18">
        <v>0</v>
      </c>
      <c r="I17" s="17">
        <v>0</v>
      </c>
      <c r="J17" s="17">
        <f t="shared" si="0"/>
        <v>4</v>
      </c>
      <c r="K17" s="17">
        <v>4</v>
      </c>
      <c r="L17" s="17">
        <v>4</v>
      </c>
      <c r="M17" s="17" t="b">
        <f t="shared" si="11"/>
        <v>1</v>
      </c>
      <c r="N17" s="17">
        <v>0</v>
      </c>
      <c r="O17" s="17">
        <v>0</v>
      </c>
      <c r="P17" s="17">
        <f t="shared" si="1"/>
        <v>4</v>
      </c>
      <c r="Q17" s="17">
        <f t="shared" si="2"/>
        <v>0</v>
      </c>
      <c r="R17" s="3"/>
      <c r="S17" s="19">
        <f t="shared" si="3"/>
        <v>870</v>
      </c>
      <c r="T17" s="19">
        <v>0</v>
      </c>
      <c r="U17" s="19">
        <f t="shared" si="4"/>
        <v>0</v>
      </c>
      <c r="V17" s="19">
        <f t="shared" si="5"/>
        <v>0</v>
      </c>
      <c r="W17" s="19">
        <f t="shared" si="6"/>
        <v>0</v>
      </c>
      <c r="X17" s="19">
        <f t="shared" si="7"/>
        <v>0</v>
      </c>
      <c r="Y17" s="19">
        <f t="shared" si="8"/>
        <v>870</v>
      </c>
      <c r="Z17" s="20">
        <f t="shared" si="9"/>
        <v>870</v>
      </c>
      <c r="AA17" s="20">
        <f t="shared" si="10"/>
        <v>0</v>
      </c>
    </row>
    <row r="18" spans="1:27">
      <c r="A18" s="14" t="s">
        <v>46</v>
      </c>
      <c r="B18" s="15" t="s">
        <v>47</v>
      </c>
      <c r="C18" s="16">
        <v>1193.5</v>
      </c>
      <c r="D18" s="16">
        <v>1193.5</v>
      </c>
      <c r="E18" s="17">
        <v>1</v>
      </c>
      <c r="F18" s="18">
        <v>0</v>
      </c>
      <c r="G18" s="18">
        <v>0</v>
      </c>
      <c r="H18" s="18">
        <v>0</v>
      </c>
      <c r="I18" s="17">
        <v>0</v>
      </c>
      <c r="J18" s="17">
        <f t="shared" si="0"/>
        <v>1</v>
      </c>
      <c r="K18" s="17">
        <v>1</v>
      </c>
      <c r="L18" s="17">
        <v>1</v>
      </c>
      <c r="M18" s="17" t="b">
        <f t="shared" si="11"/>
        <v>1</v>
      </c>
      <c r="N18" s="17">
        <v>0</v>
      </c>
      <c r="O18" s="17">
        <v>0</v>
      </c>
      <c r="P18" s="17">
        <f t="shared" si="1"/>
        <v>1</v>
      </c>
      <c r="Q18" s="17">
        <f t="shared" si="2"/>
        <v>0</v>
      </c>
      <c r="R18" s="3"/>
      <c r="S18" s="19">
        <f t="shared" si="3"/>
        <v>1193.5</v>
      </c>
      <c r="T18" s="19">
        <v>0</v>
      </c>
      <c r="U18" s="19">
        <f t="shared" si="4"/>
        <v>0</v>
      </c>
      <c r="V18" s="19">
        <f t="shared" si="5"/>
        <v>0</v>
      </c>
      <c r="W18" s="19">
        <f t="shared" si="6"/>
        <v>0</v>
      </c>
      <c r="X18" s="19">
        <f t="shared" si="7"/>
        <v>0</v>
      </c>
      <c r="Y18" s="19">
        <f t="shared" si="8"/>
        <v>1193.5</v>
      </c>
      <c r="Z18" s="20">
        <f t="shared" si="9"/>
        <v>1193.5</v>
      </c>
      <c r="AA18" s="20">
        <f t="shared" si="10"/>
        <v>0</v>
      </c>
    </row>
    <row r="19" spans="1:27">
      <c r="A19" s="14" t="s">
        <v>48</v>
      </c>
      <c r="B19" s="15" t="s">
        <v>49</v>
      </c>
      <c r="C19" s="16">
        <v>580</v>
      </c>
      <c r="D19" s="16">
        <v>580</v>
      </c>
      <c r="E19" s="17">
        <v>0</v>
      </c>
      <c r="F19" s="18">
        <v>0</v>
      </c>
      <c r="G19" s="18">
        <v>0</v>
      </c>
      <c r="H19" s="18">
        <v>0</v>
      </c>
      <c r="I19" s="17">
        <v>0</v>
      </c>
      <c r="J19" s="17">
        <f t="shared" si="0"/>
        <v>0</v>
      </c>
      <c r="K19" s="17">
        <v>0</v>
      </c>
      <c r="L19" s="17">
        <v>0</v>
      </c>
      <c r="M19" s="17" t="b">
        <f t="shared" si="11"/>
        <v>1</v>
      </c>
      <c r="N19" s="17">
        <v>0</v>
      </c>
      <c r="O19" s="17">
        <v>0</v>
      </c>
      <c r="P19" s="17">
        <f t="shared" si="1"/>
        <v>0</v>
      </c>
      <c r="Q19" s="17">
        <f t="shared" si="2"/>
        <v>0</v>
      </c>
      <c r="R19" s="3"/>
      <c r="S19" s="19">
        <f t="shared" si="3"/>
        <v>0</v>
      </c>
      <c r="T19" s="19">
        <v>0</v>
      </c>
      <c r="U19" s="19">
        <f t="shared" si="4"/>
        <v>0</v>
      </c>
      <c r="V19" s="19">
        <f t="shared" si="5"/>
        <v>0</v>
      </c>
      <c r="W19" s="19">
        <f t="shared" si="6"/>
        <v>0</v>
      </c>
      <c r="X19" s="19">
        <f t="shared" si="7"/>
        <v>0</v>
      </c>
      <c r="Y19" s="19">
        <f t="shared" si="8"/>
        <v>0</v>
      </c>
      <c r="Z19" s="20">
        <f t="shared" si="9"/>
        <v>0</v>
      </c>
      <c r="AA19" s="20">
        <f t="shared" si="10"/>
        <v>0</v>
      </c>
    </row>
    <row r="20" spans="1:27">
      <c r="A20" s="14" t="s">
        <v>50</v>
      </c>
      <c r="B20" s="15" t="s">
        <v>51</v>
      </c>
      <c r="C20" s="16">
        <v>700</v>
      </c>
      <c r="D20" s="16">
        <v>700</v>
      </c>
      <c r="E20" s="17">
        <v>2</v>
      </c>
      <c r="F20" s="18">
        <v>0</v>
      </c>
      <c r="G20" s="18">
        <v>0</v>
      </c>
      <c r="H20" s="18">
        <v>0</v>
      </c>
      <c r="I20" s="17">
        <v>0</v>
      </c>
      <c r="J20" s="17">
        <f t="shared" si="0"/>
        <v>2</v>
      </c>
      <c r="K20" s="17">
        <v>2</v>
      </c>
      <c r="L20" s="17">
        <v>2</v>
      </c>
      <c r="M20" s="17" t="b">
        <f t="shared" si="11"/>
        <v>1</v>
      </c>
      <c r="N20" s="17">
        <v>0</v>
      </c>
      <c r="O20" s="17">
        <v>0</v>
      </c>
      <c r="P20" s="17">
        <f t="shared" si="1"/>
        <v>2</v>
      </c>
      <c r="Q20" s="17">
        <f t="shared" si="2"/>
        <v>0</v>
      </c>
      <c r="R20" s="3"/>
      <c r="S20" s="19">
        <f t="shared" si="3"/>
        <v>1400</v>
      </c>
      <c r="T20" s="19">
        <v>0</v>
      </c>
      <c r="U20" s="19">
        <f t="shared" si="4"/>
        <v>0</v>
      </c>
      <c r="V20" s="19">
        <f t="shared" si="5"/>
        <v>0</v>
      </c>
      <c r="W20" s="19">
        <f t="shared" si="6"/>
        <v>0</v>
      </c>
      <c r="X20" s="19">
        <f t="shared" si="7"/>
        <v>0</v>
      </c>
      <c r="Y20" s="19">
        <f t="shared" si="8"/>
        <v>1400</v>
      </c>
      <c r="Z20" s="20">
        <f t="shared" si="9"/>
        <v>1400</v>
      </c>
      <c r="AA20" s="20">
        <f t="shared" si="10"/>
        <v>0</v>
      </c>
    </row>
    <row r="21" spans="1:27" ht="15.75" customHeight="1">
      <c r="A21" s="14" t="s">
        <v>52</v>
      </c>
      <c r="B21" s="15" t="s">
        <v>53</v>
      </c>
      <c r="C21" s="16">
        <v>1020</v>
      </c>
      <c r="D21" s="16">
        <v>1020</v>
      </c>
      <c r="E21" s="17">
        <v>1</v>
      </c>
      <c r="F21" s="18">
        <v>0</v>
      </c>
      <c r="G21" s="18">
        <v>0</v>
      </c>
      <c r="H21" s="18">
        <v>0</v>
      </c>
      <c r="I21" s="17">
        <v>0</v>
      </c>
      <c r="J21" s="17">
        <f t="shared" si="0"/>
        <v>1</v>
      </c>
      <c r="K21" s="17">
        <v>1</v>
      </c>
      <c r="L21" s="17">
        <v>1</v>
      </c>
      <c r="M21" s="17" t="b">
        <f t="shared" si="11"/>
        <v>1</v>
      </c>
      <c r="N21" s="17">
        <v>0</v>
      </c>
      <c r="O21" s="17">
        <v>0</v>
      </c>
      <c r="P21" s="17">
        <f t="shared" si="1"/>
        <v>1</v>
      </c>
      <c r="Q21" s="17">
        <f t="shared" si="2"/>
        <v>0</v>
      </c>
      <c r="R21" s="3"/>
      <c r="S21" s="19">
        <f t="shared" si="3"/>
        <v>1020</v>
      </c>
      <c r="T21" s="19">
        <v>0</v>
      </c>
      <c r="U21" s="19">
        <f t="shared" si="4"/>
        <v>0</v>
      </c>
      <c r="V21" s="19">
        <f t="shared" si="5"/>
        <v>0</v>
      </c>
      <c r="W21" s="19">
        <f t="shared" si="6"/>
        <v>0</v>
      </c>
      <c r="X21" s="19">
        <f t="shared" si="7"/>
        <v>0</v>
      </c>
      <c r="Y21" s="19">
        <f t="shared" si="8"/>
        <v>1020</v>
      </c>
      <c r="Z21" s="20">
        <f t="shared" si="9"/>
        <v>1020</v>
      </c>
      <c r="AA21" s="20">
        <f t="shared" si="10"/>
        <v>0</v>
      </c>
    </row>
    <row r="22" spans="1:27" ht="15.75" customHeight="1">
      <c r="A22" s="14" t="s">
        <v>54</v>
      </c>
      <c r="B22" s="15" t="s">
        <v>55</v>
      </c>
      <c r="C22" s="16">
        <v>253</v>
      </c>
      <c r="D22" s="16">
        <v>253</v>
      </c>
      <c r="E22" s="17">
        <v>0</v>
      </c>
      <c r="F22" s="18">
        <v>0</v>
      </c>
      <c r="G22" s="18">
        <v>0</v>
      </c>
      <c r="H22" s="18">
        <v>0</v>
      </c>
      <c r="I22" s="17">
        <v>0</v>
      </c>
      <c r="J22" s="17">
        <f t="shared" si="0"/>
        <v>0</v>
      </c>
      <c r="K22" s="17">
        <v>0</v>
      </c>
      <c r="L22" s="17">
        <v>0</v>
      </c>
      <c r="M22" s="17" t="b">
        <f t="shared" si="11"/>
        <v>1</v>
      </c>
      <c r="N22" s="17">
        <v>0</v>
      </c>
      <c r="O22" s="17">
        <v>0</v>
      </c>
      <c r="P22" s="17">
        <f t="shared" si="1"/>
        <v>0</v>
      </c>
      <c r="Q22" s="17">
        <f t="shared" si="2"/>
        <v>0</v>
      </c>
      <c r="R22" s="3"/>
      <c r="S22" s="19">
        <f t="shared" si="3"/>
        <v>0</v>
      </c>
      <c r="T22" s="19">
        <v>0</v>
      </c>
      <c r="U22" s="19">
        <f t="shared" si="4"/>
        <v>0</v>
      </c>
      <c r="V22" s="19">
        <f t="shared" si="5"/>
        <v>0</v>
      </c>
      <c r="W22" s="19">
        <f t="shared" si="6"/>
        <v>0</v>
      </c>
      <c r="X22" s="19">
        <f t="shared" si="7"/>
        <v>0</v>
      </c>
      <c r="Y22" s="19">
        <f t="shared" si="8"/>
        <v>0</v>
      </c>
      <c r="Z22" s="20">
        <f t="shared" si="9"/>
        <v>0</v>
      </c>
      <c r="AA22" s="20">
        <f t="shared" si="10"/>
        <v>0</v>
      </c>
    </row>
    <row r="23" spans="1:27" ht="15.75" customHeight="1">
      <c r="A23" s="14" t="s">
        <v>56</v>
      </c>
      <c r="B23" s="15" t="s">
        <v>57</v>
      </c>
      <c r="C23" s="16">
        <v>1222.73</v>
      </c>
      <c r="D23" s="16">
        <v>1222.73</v>
      </c>
      <c r="E23" s="17">
        <v>8</v>
      </c>
      <c r="F23" s="18">
        <v>0</v>
      </c>
      <c r="G23" s="18">
        <v>0</v>
      </c>
      <c r="H23" s="18">
        <v>0</v>
      </c>
      <c r="I23" s="17">
        <v>0</v>
      </c>
      <c r="J23" s="17">
        <f t="shared" si="0"/>
        <v>8</v>
      </c>
      <c r="K23" s="17">
        <v>7</v>
      </c>
      <c r="L23" s="17">
        <v>7</v>
      </c>
      <c r="M23" s="17" t="b">
        <f t="shared" si="11"/>
        <v>1</v>
      </c>
      <c r="N23" s="17">
        <v>0</v>
      </c>
      <c r="O23" s="17">
        <v>1</v>
      </c>
      <c r="P23" s="17">
        <f t="shared" si="1"/>
        <v>8</v>
      </c>
      <c r="Q23" s="17">
        <f t="shared" si="2"/>
        <v>0</v>
      </c>
      <c r="R23" s="3"/>
      <c r="S23" s="19">
        <f t="shared" si="3"/>
        <v>9781.84</v>
      </c>
      <c r="T23" s="19">
        <v>0</v>
      </c>
      <c r="U23" s="19">
        <f t="shared" si="4"/>
        <v>0</v>
      </c>
      <c r="V23" s="19">
        <f t="shared" si="5"/>
        <v>0</v>
      </c>
      <c r="W23" s="19">
        <f t="shared" si="6"/>
        <v>0</v>
      </c>
      <c r="X23" s="19">
        <f t="shared" si="7"/>
        <v>0</v>
      </c>
      <c r="Y23" s="19">
        <f t="shared" si="8"/>
        <v>9781.84</v>
      </c>
      <c r="Z23" s="20">
        <f t="shared" si="9"/>
        <v>9781.84</v>
      </c>
      <c r="AA23" s="20">
        <f t="shared" si="10"/>
        <v>0</v>
      </c>
    </row>
    <row r="24" spans="1:27" ht="15.75" customHeight="1">
      <c r="A24" s="14" t="s">
        <v>58</v>
      </c>
      <c r="B24" s="15" t="s">
        <v>59</v>
      </c>
      <c r="C24" s="16">
        <v>190.5</v>
      </c>
      <c r="D24" s="16">
        <v>190.5</v>
      </c>
      <c r="E24" s="17">
        <v>0</v>
      </c>
      <c r="F24" s="18">
        <v>0</v>
      </c>
      <c r="G24" s="18">
        <v>0</v>
      </c>
      <c r="H24" s="18">
        <v>0</v>
      </c>
      <c r="I24" s="17">
        <v>0</v>
      </c>
      <c r="J24" s="17">
        <f t="shared" si="0"/>
        <v>0</v>
      </c>
      <c r="K24" s="17">
        <v>0</v>
      </c>
      <c r="L24" s="17">
        <v>0</v>
      </c>
      <c r="M24" s="17" t="b">
        <f t="shared" si="11"/>
        <v>1</v>
      </c>
      <c r="N24" s="17">
        <v>0</v>
      </c>
      <c r="O24" s="17">
        <v>0</v>
      </c>
      <c r="P24" s="17">
        <f t="shared" si="1"/>
        <v>0</v>
      </c>
      <c r="Q24" s="17">
        <f t="shared" si="2"/>
        <v>0</v>
      </c>
      <c r="R24" s="3"/>
      <c r="S24" s="19">
        <f t="shared" si="3"/>
        <v>0</v>
      </c>
      <c r="T24" s="19">
        <v>0</v>
      </c>
      <c r="U24" s="19">
        <f t="shared" si="4"/>
        <v>0</v>
      </c>
      <c r="V24" s="19">
        <f t="shared" si="5"/>
        <v>0</v>
      </c>
      <c r="W24" s="19">
        <f t="shared" si="6"/>
        <v>0</v>
      </c>
      <c r="X24" s="19">
        <f t="shared" si="7"/>
        <v>0</v>
      </c>
      <c r="Y24" s="19">
        <f t="shared" si="8"/>
        <v>0</v>
      </c>
      <c r="Z24" s="20">
        <f t="shared" si="9"/>
        <v>0</v>
      </c>
      <c r="AA24" s="20">
        <f t="shared" si="10"/>
        <v>0</v>
      </c>
    </row>
    <row r="25" spans="1:27" ht="15.75" customHeight="1">
      <c r="A25" s="14" t="s">
        <v>60</v>
      </c>
      <c r="B25" s="15" t="s">
        <v>61</v>
      </c>
      <c r="C25" s="16">
        <v>440</v>
      </c>
      <c r="D25" s="16">
        <v>440</v>
      </c>
      <c r="E25" s="17">
        <v>0</v>
      </c>
      <c r="F25" s="18">
        <v>0</v>
      </c>
      <c r="G25" s="18">
        <v>0</v>
      </c>
      <c r="H25" s="18">
        <v>0</v>
      </c>
      <c r="I25" s="17">
        <v>0</v>
      </c>
      <c r="J25" s="17">
        <f t="shared" si="0"/>
        <v>0</v>
      </c>
      <c r="K25" s="17">
        <v>0</v>
      </c>
      <c r="L25" s="17">
        <v>0</v>
      </c>
      <c r="M25" s="17" t="b">
        <f t="shared" si="11"/>
        <v>1</v>
      </c>
      <c r="N25" s="17">
        <v>0</v>
      </c>
      <c r="O25" s="17">
        <v>0</v>
      </c>
      <c r="P25" s="17">
        <f t="shared" si="1"/>
        <v>0</v>
      </c>
      <c r="Q25" s="17">
        <f t="shared" si="2"/>
        <v>0</v>
      </c>
      <c r="R25" s="3"/>
      <c r="S25" s="19">
        <f t="shared" si="3"/>
        <v>0</v>
      </c>
      <c r="T25" s="19">
        <v>0</v>
      </c>
      <c r="U25" s="19">
        <f t="shared" si="4"/>
        <v>0</v>
      </c>
      <c r="V25" s="19">
        <f t="shared" si="5"/>
        <v>0</v>
      </c>
      <c r="W25" s="19">
        <f t="shared" si="6"/>
        <v>0</v>
      </c>
      <c r="X25" s="19">
        <f t="shared" si="7"/>
        <v>0</v>
      </c>
      <c r="Y25" s="19">
        <f t="shared" si="8"/>
        <v>0</v>
      </c>
      <c r="Z25" s="20">
        <f t="shared" si="9"/>
        <v>0</v>
      </c>
      <c r="AA25" s="20">
        <f t="shared" si="10"/>
        <v>0</v>
      </c>
    </row>
    <row r="26" spans="1:27" ht="15.75" customHeight="1">
      <c r="A26" s="14" t="s">
        <v>62</v>
      </c>
      <c r="B26" s="15" t="s">
        <v>63</v>
      </c>
      <c r="C26" s="16">
        <v>34.4</v>
      </c>
      <c r="D26" s="16">
        <v>34.4</v>
      </c>
      <c r="E26" s="17">
        <v>2</v>
      </c>
      <c r="F26" s="18">
        <v>0</v>
      </c>
      <c r="G26" s="18">
        <v>0</v>
      </c>
      <c r="H26" s="18">
        <v>0</v>
      </c>
      <c r="I26" s="17">
        <v>0</v>
      </c>
      <c r="J26" s="17">
        <f t="shared" si="0"/>
        <v>2</v>
      </c>
      <c r="K26" s="17">
        <v>2</v>
      </c>
      <c r="L26" s="17">
        <v>2</v>
      </c>
      <c r="M26" s="17" t="b">
        <f t="shared" si="11"/>
        <v>1</v>
      </c>
      <c r="N26" s="17">
        <v>0</v>
      </c>
      <c r="O26" s="17">
        <v>0</v>
      </c>
      <c r="P26" s="17">
        <f t="shared" si="1"/>
        <v>2</v>
      </c>
      <c r="Q26" s="17">
        <f t="shared" si="2"/>
        <v>0</v>
      </c>
      <c r="R26" s="3"/>
      <c r="S26" s="19">
        <f t="shared" si="3"/>
        <v>68.8</v>
      </c>
      <c r="T26" s="19">
        <v>0</v>
      </c>
      <c r="U26" s="19">
        <f t="shared" si="4"/>
        <v>0</v>
      </c>
      <c r="V26" s="19">
        <f t="shared" si="5"/>
        <v>0</v>
      </c>
      <c r="W26" s="19">
        <f t="shared" si="6"/>
        <v>0</v>
      </c>
      <c r="X26" s="19">
        <f t="shared" si="7"/>
        <v>0</v>
      </c>
      <c r="Y26" s="19">
        <f t="shared" si="8"/>
        <v>68.8</v>
      </c>
      <c r="Z26" s="20">
        <f t="shared" si="9"/>
        <v>68.8</v>
      </c>
      <c r="AA26" s="20">
        <f t="shared" si="10"/>
        <v>0</v>
      </c>
    </row>
    <row r="27" spans="1:27" ht="15.75" customHeight="1">
      <c r="A27" s="14" t="s">
        <v>64</v>
      </c>
      <c r="B27" s="15" t="s">
        <v>65</v>
      </c>
      <c r="C27" s="16">
        <v>34.479999999999997</v>
      </c>
      <c r="D27" s="16">
        <v>34.479999999999997</v>
      </c>
      <c r="E27" s="17">
        <v>2</v>
      </c>
      <c r="F27" s="18">
        <v>0</v>
      </c>
      <c r="G27" s="18">
        <v>0</v>
      </c>
      <c r="H27" s="18">
        <v>0</v>
      </c>
      <c r="I27" s="17">
        <v>0</v>
      </c>
      <c r="J27" s="17">
        <f t="shared" si="0"/>
        <v>2</v>
      </c>
      <c r="K27" s="17">
        <v>2</v>
      </c>
      <c r="L27" s="17">
        <v>2</v>
      </c>
      <c r="M27" s="17" t="b">
        <f t="shared" si="11"/>
        <v>1</v>
      </c>
      <c r="N27" s="17">
        <v>0</v>
      </c>
      <c r="O27" s="17">
        <v>0</v>
      </c>
      <c r="P27" s="17">
        <f t="shared" si="1"/>
        <v>2</v>
      </c>
      <c r="Q27" s="17">
        <f t="shared" si="2"/>
        <v>0</v>
      </c>
      <c r="R27" s="3"/>
      <c r="S27" s="19">
        <f t="shared" si="3"/>
        <v>68.959999999999994</v>
      </c>
      <c r="T27" s="19">
        <v>0</v>
      </c>
      <c r="U27" s="19">
        <f t="shared" si="4"/>
        <v>0</v>
      </c>
      <c r="V27" s="19">
        <f t="shared" si="5"/>
        <v>0</v>
      </c>
      <c r="W27" s="19">
        <f t="shared" si="6"/>
        <v>0</v>
      </c>
      <c r="X27" s="19">
        <f t="shared" si="7"/>
        <v>0</v>
      </c>
      <c r="Y27" s="19">
        <f t="shared" si="8"/>
        <v>68.959999999999994</v>
      </c>
      <c r="Z27" s="20">
        <f t="shared" si="9"/>
        <v>68.959999999999994</v>
      </c>
      <c r="AA27" s="20">
        <f t="shared" si="10"/>
        <v>0</v>
      </c>
    </row>
    <row r="28" spans="1:27" ht="15.75" customHeight="1">
      <c r="A28" s="14" t="s">
        <v>66</v>
      </c>
      <c r="B28" s="15" t="s">
        <v>67</v>
      </c>
      <c r="C28" s="16">
        <v>0</v>
      </c>
      <c r="D28" s="16">
        <v>0</v>
      </c>
      <c r="E28" s="17">
        <v>0</v>
      </c>
      <c r="F28" s="18">
        <v>0</v>
      </c>
      <c r="G28" s="18">
        <v>0</v>
      </c>
      <c r="H28" s="18">
        <v>0</v>
      </c>
      <c r="I28" s="17">
        <v>0</v>
      </c>
      <c r="J28" s="17">
        <f t="shared" si="0"/>
        <v>0</v>
      </c>
      <c r="K28" s="17">
        <v>0</v>
      </c>
      <c r="L28" s="17">
        <v>0</v>
      </c>
      <c r="M28" s="17" t="b">
        <f t="shared" si="11"/>
        <v>1</v>
      </c>
      <c r="N28" s="17">
        <v>0</v>
      </c>
      <c r="O28" s="17">
        <v>0</v>
      </c>
      <c r="P28" s="17">
        <f t="shared" si="1"/>
        <v>0</v>
      </c>
      <c r="Q28" s="17">
        <f t="shared" si="2"/>
        <v>0</v>
      </c>
      <c r="R28" s="3"/>
      <c r="S28" s="19">
        <f t="shared" si="3"/>
        <v>0</v>
      </c>
      <c r="T28" s="19">
        <v>0</v>
      </c>
      <c r="U28" s="19">
        <f t="shared" si="4"/>
        <v>0</v>
      </c>
      <c r="V28" s="19">
        <f t="shared" si="5"/>
        <v>0</v>
      </c>
      <c r="W28" s="19">
        <f t="shared" si="6"/>
        <v>0</v>
      </c>
      <c r="X28" s="19">
        <f t="shared" si="7"/>
        <v>0</v>
      </c>
      <c r="Y28" s="19">
        <f t="shared" si="8"/>
        <v>0</v>
      </c>
      <c r="Z28" s="20">
        <f t="shared" si="9"/>
        <v>0</v>
      </c>
      <c r="AA28" s="20">
        <f t="shared" si="10"/>
        <v>0</v>
      </c>
    </row>
    <row r="29" spans="1:27" ht="15.75" customHeight="1">
      <c r="A29" s="14" t="s">
        <v>68</v>
      </c>
      <c r="B29" s="15" t="s">
        <v>69</v>
      </c>
      <c r="C29" s="16">
        <v>4500</v>
      </c>
      <c r="D29" s="16">
        <v>4500</v>
      </c>
      <c r="E29" s="17">
        <v>0</v>
      </c>
      <c r="F29" s="18">
        <v>0</v>
      </c>
      <c r="G29" s="18">
        <v>0</v>
      </c>
      <c r="H29" s="18">
        <v>0</v>
      </c>
      <c r="I29" s="17">
        <v>0</v>
      </c>
      <c r="J29" s="17">
        <f t="shared" si="0"/>
        <v>0</v>
      </c>
      <c r="K29" s="17">
        <v>0</v>
      </c>
      <c r="L29" s="17">
        <v>0</v>
      </c>
      <c r="M29" s="17" t="b">
        <f t="shared" si="11"/>
        <v>1</v>
      </c>
      <c r="N29" s="17">
        <v>0</v>
      </c>
      <c r="O29" s="17">
        <v>0</v>
      </c>
      <c r="P29" s="17">
        <f t="shared" si="1"/>
        <v>0</v>
      </c>
      <c r="Q29" s="17">
        <f t="shared" si="2"/>
        <v>0</v>
      </c>
      <c r="R29" s="3"/>
      <c r="S29" s="19">
        <f t="shared" si="3"/>
        <v>0</v>
      </c>
      <c r="T29" s="19">
        <v>0</v>
      </c>
      <c r="U29" s="19">
        <f t="shared" si="4"/>
        <v>0</v>
      </c>
      <c r="V29" s="19">
        <f t="shared" si="5"/>
        <v>0</v>
      </c>
      <c r="W29" s="19">
        <f t="shared" si="6"/>
        <v>0</v>
      </c>
      <c r="X29" s="19">
        <f t="shared" si="7"/>
        <v>0</v>
      </c>
      <c r="Y29" s="19">
        <f t="shared" si="8"/>
        <v>0</v>
      </c>
      <c r="Z29" s="20">
        <f t="shared" si="9"/>
        <v>0</v>
      </c>
      <c r="AA29" s="20">
        <f t="shared" si="10"/>
        <v>0</v>
      </c>
    </row>
    <row r="30" spans="1:27" ht="15.75" customHeight="1">
      <c r="A30" s="14" t="s">
        <v>70</v>
      </c>
      <c r="B30" s="15" t="s">
        <v>71</v>
      </c>
      <c r="C30" s="16">
        <v>250</v>
      </c>
      <c r="D30" s="16">
        <v>250</v>
      </c>
      <c r="E30" s="17">
        <v>1</v>
      </c>
      <c r="F30" s="18">
        <v>0</v>
      </c>
      <c r="G30" s="18">
        <v>0</v>
      </c>
      <c r="H30" s="18">
        <v>0</v>
      </c>
      <c r="I30" s="17">
        <v>0</v>
      </c>
      <c r="J30" s="17">
        <f t="shared" si="0"/>
        <v>1</v>
      </c>
      <c r="K30" s="17">
        <v>1</v>
      </c>
      <c r="L30" s="17">
        <v>1</v>
      </c>
      <c r="M30" s="17" t="b">
        <f t="shared" si="11"/>
        <v>1</v>
      </c>
      <c r="N30" s="17">
        <v>0</v>
      </c>
      <c r="O30" s="17">
        <v>0</v>
      </c>
      <c r="P30" s="17">
        <f t="shared" si="1"/>
        <v>1</v>
      </c>
      <c r="Q30" s="17">
        <f t="shared" si="2"/>
        <v>0</v>
      </c>
      <c r="R30" s="3"/>
      <c r="S30" s="19">
        <f t="shared" si="3"/>
        <v>250</v>
      </c>
      <c r="T30" s="19">
        <v>0</v>
      </c>
      <c r="U30" s="19">
        <f t="shared" si="4"/>
        <v>0</v>
      </c>
      <c r="V30" s="19">
        <f t="shared" si="5"/>
        <v>0</v>
      </c>
      <c r="W30" s="19">
        <f t="shared" si="6"/>
        <v>0</v>
      </c>
      <c r="X30" s="19">
        <f t="shared" si="7"/>
        <v>0</v>
      </c>
      <c r="Y30" s="19">
        <f t="shared" si="8"/>
        <v>250</v>
      </c>
      <c r="Z30" s="20">
        <f t="shared" si="9"/>
        <v>250</v>
      </c>
      <c r="AA30" s="20">
        <f t="shared" si="10"/>
        <v>0</v>
      </c>
    </row>
    <row r="31" spans="1:27" ht="15.75" customHeight="1">
      <c r="A31" s="14" t="s">
        <v>72</v>
      </c>
      <c r="B31" s="15" t="s">
        <v>73</v>
      </c>
      <c r="C31" s="16">
        <v>420.61275000000001</v>
      </c>
      <c r="D31" s="16">
        <v>420.61275000000001</v>
      </c>
      <c r="E31" s="17">
        <v>0</v>
      </c>
      <c r="F31" s="18">
        <v>0</v>
      </c>
      <c r="G31" s="18">
        <v>0</v>
      </c>
      <c r="H31" s="18">
        <v>0</v>
      </c>
      <c r="I31" s="17">
        <v>0</v>
      </c>
      <c r="J31" s="17">
        <f t="shared" si="0"/>
        <v>0</v>
      </c>
      <c r="K31" s="17">
        <v>0</v>
      </c>
      <c r="L31" s="17">
        <v>0</v>
      </c>
      <c r="M31" s="17" t="b">
        <f t="shared" si="11"/>
        <v>1</v>
      </c>
      <c r="N31" s="17">
        <v>0</v>
      </c>
      <c r="O31" s="17">
        <v>0</v>
      </c>
      <c r="P31" s="17">
        <f t="shared" si="1"/>
        <v>0</v>
      </c>
      <c r="Q31" s="17">
        <f t="shared" si="2"/>
        <v>0</v>
      </c>
      <c r="R31" s="3"/>
      <c r="S31" s="19">
        <f t="shared" si="3"/>
        <v>0</v>
      </c>
      <c r="T31" s="19">
        <v>0</v>
      </c>
      <c r="U31" s="19">
        <f t="shared" si="4"/>
        <v>0</v>
      </c>
      <c r="V31" s="19">
        <f t="shared" si="5"/>
        <v>0</v>
      </c>
      <c r="W31" s="19">
        <f t="shared" si="6"/>
        <v>0</v>
      </c>
      <c r="X31" s="19">
        <f t="shared" si="7"/>
        <v>0</v>
      </c>
      <c r="Y31" s="19">
        <f t="shared" si="8"/>
        <v>0</v>
      </c>
      <c r="Z31" s="20">
        <f t="shared" si="9"/>
        <v>0</v>
      </c>
      <c r="AA31" s="20">
        <f t="shared" si="10"/>
        <v>0</v>
      </c>
    </row>
    <row r="32" spans="1:27" ht="15.75" customHeight="1">
      <c r="A32" s="14" t="s">
        <v>74</v>
      </c>
      <c r="B32" s="15" t="s">
        <v>75</v>
      </c>
      <c r="C32" s="16">
        <v>0</v>
      </c>
      <c r="D32" s="16">
        <v>0</v>
      </c>
      <c r="E32" s="17">
        <v>0</v>
      </c>
      <c r="F32" s="18">
        <v>0</v>
      </c>
      <c r="G32" s="18">
        <v>0</v>
      </c>
      <c r="H32" s="18">
        <v>0</v>
      </c>
      <c r="I32" s="17">
        <v>0</v>
      </c>
      <c r="J32" s="17">
        <f t="shared" si="0"/>
        <v>0</v>
      </c>
      <c r="K32" s="17">
        <v>0</v>
      </c>
      <c r="L32" s="17">
        <v>0</v>
      </c>
      <c r="M32" s="17" t="b">
        <f t="shared" si="11"/>
        <v>1</v>
      </c>
      <c r="N32" s="17">
        <v>0</v>
      </c>
      <c r="O32" s="17">
        <v>0</v>
      </c>
      <c r="P32" s="17">
        <f t="shared" si="1"/>
        <v>0</v>
      </c>
      <c r="Q32" s="17">
        <f t="shared" si="2"/>
        <v>0</v>
      </c>
      <c r="R32" s="3"/>
      <c r="S32" s="19">
        <f t="shared" si="3"/>
        <v>0</v>
      </c>
      <c r="T32" s="19">
        <v>0</v>
      </c>
      <c r="U32" s="19">
        <f t="shared" si="4"/>
        <v>0</v>
      </c>
      <c r="V32" s="19">
        <f t="shared" si="5"/>
        <v>0</v>
      </c>
      <c r="W32" s="19">
        <f t="shared" si="6"/>
        <v>0</v>
      </c>
      <c r="X32" s="19">
        <f t="shared" si="7"/>
        <v>0</v>
      </c>
      <c r="Y32" s="19">
        <f t="shared" si="8"/>
        <v>0</v>
      </c>
      <c r="Z32" s="20">
        <f t="shared" si="9"/>
        <v>0</v>
      </c>
      <c r="AA32" s="20">
        <f t="shared" si="10"/>
        <v>0</v>
      </c>
    </row>
    <row r="33" spans="1:27" ht="15.75" customHeight="1">
      <c r="A33" s="14" t="s">
        <v>76</v>
      </c>
      <c r="B33" s="15" t="s">
        <v>77</v>
      </c>
      <c r="C33" s="16">
        <v>0</v>
      </c>
      <c r="D33" s="16">
        <v>0</v>
      </c>
      <c r="E33" s="17">
        <v>0</v>
      </c>
      <c r="F33" s="18">
        <v>0</v>
      </c>
      <c r="G33" s="18">
        <v>0</v>
      </c>
      <c r="H33" s="18">
        <v>0</v>
      </c>
      <c r="I33" s="17">
        <v>0</v>
      </c>
      <c r="J33" s="17">
        <f t="shared" si="0"/>
        <v>0</v>
      </c>
      <c r="K33" s="17">
        <v>0</v>
      </c>
      <c r="L33" s="17">
        <v>0</v>
      </c>
      <c r="M33" s="17" t="b">
        <f t="shared" si="11"/>
        <v>1</v>
      </c>
      <c r="N33" s="17">
        <v>0</v>
      </c>
      <c r="O33" s="17">
        <v>0</v>
      </c>
      <c r="P33" s="17">
        <f t="shared" si="1"/>
        <v>0</v>
      </c>
      <c r="Q33" s="17">
        <f t="shared" si="2"/>
        <v>0</v>
      </c>
      <c r="R33" s="3"/>
      <c r="S33" s="19">
        <f t="shared" si="3"/>
        <v>0</v>
      </c>
      <c r="T33" s="19">
        <v>0</v>
      </c>
      <c r="U33" s="19">
        <f t="shared" si="4"/>
        <v>0</v>
      </c>
      <c r="V33" s="19">
        <f t="shared" si="5"/>
        <v>0</v>
      </c>
      <c r="W33" s="19">
        <f t="shared" si="6"/>
        <v>0</v>
      </c>
      <c r="X33" s="19">
        <f t="shared" si="7"/>
        <v>0</v>
      </c>
      <c r="Y33" s="19">
        <f t="shared" si="8"/>
        <v>0</v>
      </c>
      <c r="Z33" s="20">
        <f t="shared" si="9"/>
        <v>0</v>
      </c>
      <c r="AA33" s="20">
        <f t="shared" si="10"/>
        <v>0</v>
      </c>
    </row>
    <row r="34" spans="1:27" ht="15.75" customHeight="1">
      <c r="A34" s="14" t="s">
        <v>78</v>
      </c>
      <c r="B34" s="15" t="s">
        <v>79</v>
      </c>
      <c r="C34" s="16">
        <v>350</v>
      </c>
      <c r="D34" s="16">
        <v>350</v>
      </c>
      <c r="E34" s="17">
        <v>2</v>
      </c>
      <c r="F34" s="18">
        <v>0</v>
      </c>
      <c r="G34" s="18">
        <v>0</v>
      </c>
      <c r="H34" s="18">
        <v>0</v>
      </c>
      <c r="I34" s="17">
        <v>0</v>
      </c>
      <c r="J34" s="17">
        <f t="shared" si="0"/>
        <v>2</v>
      </c>
      <c r="K34" s="17">
        <v>2</v>
      </c>
      <c r="L34" s="17">
        <v>2</v>
      </c>
      <c r="M34" s="17" t="b">
        <f t="shared" si="11"/>
        <v>1</v>
      </c>
      <c r="N34" s="17">
        <v>0</v>
      </c>
      <c r="O34" s="17">
        <v>0</v>
      </c>
      <c r="P34" s="17">
        <f t="shared" si="1"/>
        <v>2</v>
      </c>
      <c r="Q34" s="17">
        <f t="shared" si="2"/>
        <v>0</v>
      </c>
      <c r="R34" s="3"/>
      <c r="S34" s="19">
        <f t="shared" si="3"/>
        <v>700</v>
      </c>
      <c r="T34" s="19">
        <v>0</v>
      </c>
      <c r="U34" s="19">
        <f t="shared" si="4"/>
        <v>0</v>
      </c>
      <c r="V34" s="19">
        <f t="shared" si="5"/>
        <v>0</v>
      </c>
      <c r="W34" s="19">
        <f t="shared" si="6"/>
        <v>0</v>
      </c>
      <c r="X34" s="19">
        <f t="shared" si="7"/>
        <v>0</v>
      </c>
      <c r="Y34" s="19">
        <f t="shared" si="8"/>
        <v>700</v>
      </c>
      <c r="Z34" s="20">
        <f t="shared" si="9"/>
        <v>700</v>
      </c>
      <c r="AA34" s="20">
        <f t="shared" si="10"/>
        <v>0</v>
      </c>
    </row>
    <row r="35" spans="1:27" ht="15.75" customHeight="1">
      <c r="A35" s="14" t="s">
        <v>80</v>
      </c>
      <c r="B35" s="15" t="s">
        <v>81</v>
      </c>
      <c r="C35" s="16">
        <v>0</v>
      </c>
      <c r="D35" s="16">
        <v>0</v>
      </c>
      <c r="E35" s="17">
        <v>0</v>
      </c>
      <c r="F35" s="18">
        <v>0</v>
      </c>
      <c r="G35" s="18">
        <v>0</v>
      </c>
      <c r="H35" s="18">
        <v>0</v>
      </c>
      <c r="I35" s="17">
        <v>0</v>
      </c>
      <c r="J35" s="17">
        <f t="shared" si="0"/>
        <v>0</v>
      </c>
      <c r="K35" s="17">
        <v>0</v>
      </c>
      <c r="L35" s="17">
        <v>0</v>
      </c>
      <c r="M35" s="17" t="b">
        <f t="shared" si="11"/>
        <v>1</v>
      </c>
      <c r="N35" s="17">
        <v>0</v>
      </c>
      <c r="O35" s="17">
        <v>0</v>
      </c>
      <c r="P35" s="17">
        <f t="shared" si="1"/>
        <v>0</v>
      </c>
      <c r="Q35" s="17">
        <f t="shared" si="2"/>
        <v>0</v>
      </c>
      <c r="R35" s="3"/>
      <c r="S35" s="19">
        <f t="shared" si="3"/>
        <v>0</v>
      </c>
      <c r="T35" s="19">
        <v>0</v>
      </c>
      <c r="U35" s="19">
        <f t="shared" si="4"/>
        <v>0</v>
      </c>
      <c r="V35" s="19">
        <f t="shared" si="5"/>
        <v>0</v>
      </c>
      <c r="W35" s="19">
        <f t="shared" si="6"/>
        <v>0</v>
      </c>
      <c r="X35" s="19">
        <f t="shared" si="7"/>
        <v>0</v>
      </c>
      <c r="Y35" s="19">
        <f t="shared" si="8"/>
        <v>0</v>
      </c>
      <c r="Z35" s="20">
        <f t="shared" si="9"/>
        <v>0</v>
      </c>
      <c r="AA35" s="20">
        <f t="shared" si="10"/>
        <v>0</v>
      </c>
    </row>
    <row r="36" spans="1:27" ht="15.75" customHeight="1">
      <c r="A36" s="14" t="s">
        <v>82</v>
      </c>
      <c r="B36" s="15" t="s">
        <v>83</v>
      </c>
      <c r="C36" s="16">
        <v>19</v>
      </c>
      <c r="D36" s="16">
        <v>19</v>
      </c>
      <c r="E36" s="17">
        <v>2</v>
      </c>
      <c r="F36" s="18">
        <v>0</v>
      </c>
      <c r="G36" s="18">
        <v>0</v>
      </c>
      <c r="H36" s="18">
        <v>0</v>
      </c>
      <c r="I36" s="17">
        <v>0</v>
      </c>
      <c r="J36" s="17">
        <f t="shared" si="0"/>
        <v>2</v>
      </c>
      <c r="K36" s="17">
        <v>2</v>
      </c>
      <c r="L36" s="17">
        <v>2</v>
      </c>
      <c r="M36" s="17" t="b">
        <f t="shared" si="11"/>
        <v>1</v>
      </c>
      <c r="N36" s="17">
        <v>0</v>
      </c>
      <c r="O36" s="17">
        <v>0</v>
      </c>
      <c r="P36" s="17">
        <f t="shared" si="1"/>
        <v>2</v>
      </c>
      <c r="Q36" s="17">
        <f t="shared" si="2"/>
        <v>0</v>
      </c>
      <c r="R36" s="3"/>
      <c r="S36" s="19">
        <f t="shared" si="3"/>
        <v>38</v>
      </c>
      <c r="T36" s="19">
        <v>0</v>
      </c>
      <c r="U36" s="19">
        <f t="shared" si="4"/>
        <v>0</v>
      </c>
      <c r="V36" s="19">
        <f t="shared" si="5"/>
        <v>0</v>
      </c>
      <c r="W36" s="19">
        <f t="shared" si="6"/>
        <v>0</v>
      </c>
      <c r="X36" s="19">
        <f t="shared" si="7"/>
        <v>0</v>
      </c>
      <c r="Y36" s="19">
        <f t="shared" si="8"/>
        <v>38</v>
      </c>
      <c r="Z36" s="20">
        <f t="shared" si="9"/>
        <v>38</v>
      </c>
      <c r="AA36" s="20">
        <f t="shared" si="10"/>
        <v>0</v>
      </c>
    </row>
    <row r="37" spans="1:27" ht="15.75" customHeight="1">
      <c r="A37" s="14" t="s">
        <v>84</v>
      </c>
      <c r="B37" s="15" t="s">
        <v>85</v>
      </c>
      <c r="C37" s="16">
        <v>262.36</v>
      </c>
      <c r="D37" s="16">
        <v>262.36</v>
      </c>
      <c r="E37" s="17">
        <v>3</v>
      </c>
      <c r="F37" s="18">
        <v>0</v>
      </c>
      <c r="G37" s="18">
        <v>0</v>
      </c>
      <c r="H37" s="18">
        <v>0</v>
      </c>
      <c r="I37" s="17">
        <v>0</v>
      </c>
      <c r="J37" s="17">
        <f t="shared" si="0"/>
        <v>3</v>
      </c>
      <c r="K37" s="17">
        <v>3</v>
      </c>
      <c r="L37" s="17">
        <v>3</v>
      </c>
      <c r="M37" s="17" t="b">
        <f t="shared" si="11"/>
        <v>1</v>
      </c>
      <c r="N37" s="17">
        <v>0</v>
      </c>
      <c r="O37" s="17">
        <v>0</v>
      </c>
      <c r="P37" s="17">
        <f t="shared" si="1"/>
        <v>3</v>
      </c>
      <c r="Q37" s="17">
        <f t="shared" si="2"/>
        <v>0</v>
      </c>
      <c r="R37" s="3"/>
      <c r="S37" s="19">
        <f t="shared" si="3"/>
        <v>787.08</v>
      </c>
      <c r="T37" s="19">
        <v>0</v>
      </c>
      <c r="U37" s="19">
        <f t="shared" si="4"/>
        <v>0</v>
      </c>
      <c r="V37" s="19">
        <f t="shared" si="5"/>
        <v>0</v>
      </c>
      <c r="W37" s="19">
        <f t="shared" si="6"/>
        <v>0</v>
      </c>
      <c r="X37" s="19">
        <f t="shared" si="7"/>
        <v>0</v>
      </c>
      <c r="Y37" s="19">
        <f t="shared" si="8"/>
        <v>787.08</v>
      </c>
      <c r="Z37" s="20">
        <f t="shared" si="9"/>
        <v>787.08</v>
      </c>
      <c r="AA37" s="20">
        <f t="shared" si="10"/>
        <v>0</v>
      </c>
    </row>
    <row r="38" spans="1:27" ht="15.75" customHeight="1">
      <c r="A38" s="14" t="s">
        <v>86</v>
      </c>
      <c r="B38" s="15" t="s">
        <v>87</v>
      </c>
      <c r="C38" s="16">
        <v>5590</v>
      </c>
      <c r="D38" s="16">
        <v>5590</v>
      </c>
      <c r="E38" s="17">
        <v>1</v>
      </c>
      <c r="F38" s="18">
        <v>0</v>
      </c>
      <c r="G38" s="18">
        <v>0</v>
      </c>
      <c r="H38" s="18">
        <v>0</v>
      </c>
      <c r="I38" s="17">
        <v>0</v>
      </c>
      <c r="J38" s="17">
        <f t="shared" si="0"/>
        <v>1</v>
      </c>
      <c r="K38" s="17">
        <v>1</v>
      </c>
      <c r="L38" s="17">
        <v>1</v>
      </c>
      <c r="M38" s="17" t="b">
        <f t="shared" si="11"/>
        <v>1</v>
      </c>
      <c r="N38" s="17">
        <v>0</v>
      </c>
      <c r="O38" s="17">
        <v>0</v>
      </c>
      <c r="P38" s="17">
        <f t="shared" si="1"/>
        <v>1</v>
      </c>
      <c r="Q38" s="17">
        <f t="shared" si="2"/>
        <v>0</v>
      </c>
      <c r="R38" s="3"/>
      <c r="S38" s="19">
        <f t="shared" si="3"/>
        <v>5590</v>
      </c>
      <c r="T38" s="19">
        <v>0</v>
      </c>
      <c r="U38" s="19">
        <f t="shared" si="4"/>
        <v>0</v>
      </c>
      <c r="V38" s="19">
        <f t="shared" si="5"/>
        <v>0</v>
      </c>
      <c r="W38" s="19">
        <f t="shared" si="6"/>
        <v>0</v>
      </c>
      <c r="X38" s="19">
        <f t="shared" si="7"/>
        <v>0</v>
      </c>
      <c r="Y38" s="19">
        <f t="shared" si="8"/>
        <v>5590</v>
      </c>
      <c r="Z38" s="20">
        <f t="shared" si="9"/>
        <v>5590</v>
      </c>
      <c r="AA38" s="20">
        <f t="shared" si="10"/>
        <v>0</v>
      </c>
    </row>
    <row r="39" spans="1:27" ht="14.25" customHeight="1">
      <c r="A39" s="14" t="s">
        <v>88</v>
      </c>
      <c r="B39" s="15" t="s">
        <v>89</v>
      </c>
      <c r="C39" s="16">
        <v>1250</v>
      </c>
      <c r="D39" s="16">
        <v>1250</v>
      </c>
      <c r="E39" s="17">
        <v>3</v>
      </c>
      <c r="F39" s="18">
        <v>0</v>
      </c>
      <c r="G39" s="18">
        <v>0</v>
      </c>
      <c r="H39" s="18">
        <v>0</v>
      </c>
      <c r="I39" s="17">
        <v>0</v>
      </c>
      <c r="J39" s="17">
        <f t="shared" si="0"/>
        <v>3</v>
      </c>
      <c r="K39" s="17">
        <v>3</v>
      </c>
      <c r="L39" s="17">
        <v>3</v>
      </c>
      <c r="M39" s="17" t="b">
        <f t="shared" si="11"/>
        <v>1</v>
      </c>
      <c r="N39" s="17">
        <v>0</v>
      </c>
      <c r="O39" s="17">
        <v>0</v>
      </c>
      <c r="P39" s="17">
        <f t="shared" si="1"/>
        <v>3</v>
      </c>
      <c r="Q39" s="17">
        <f t="shared" si="2"/>
        <v>0</v>
      </c>
      <c r="R39" s="3"/>
      <c r="S39" s="19">
        <f t="shared" si="3"/>
        <v>3750</v>
      </c>
      <c r="T39" s="19">
        <v>0</v>
      </c>
      <c r="U39" s="19">
        <f t="shared" si="4"/>
        <v>0</v>
      </c>
      <c r="V39" s="19">
        <f t="shared" si="5"/>
        <v>0</v>
      </c>
      <c r="W39" s="19">
        <f t="shared" si="6"/>
        <v>0</v>
      </c>
      <c r="X39" s="19">
        <f t="shared" si="7"/>
        <v>0</v>
      </c>
      <c r="Y39" s="19">
        <f t="shared" si="8"/>
        <v>3750</v>
      </c>
      <c r="Z39" s="20">
        <f t="shared" si="9"/>
        <v>3750</v>
      </c>
      <c r="AA39" s="20">
        <f t="shared" si="10"/>
        <v>0</v>
      </c>
    </row>
    <row r="40" spans="1:27" ht="15.75" customHeight="1">
      <c r="A40" s="14" t="s">
        <v>90</v>
      </c>
      <c r="B40" s="15" t="s">
        <v>91</v>
      </c>
      <c r="C40" s="16">
        <v>760</v>
      </c>
      <c r="D40" s="16">
        <v>760</v>
      </c>
      <c r="E40" s="17">
        <v>2</v>
      </c>
      <c r="F40" s="18">
        <v>0</v>
      </c>
      <c r="G40" s="18">
        <v>0</v>
      </c>
      <c r="H40" s="18">
        <v>0</v>
      </c>
      <c r="I40" s="17">
        <v>0</v>
      </c>
      <c r="J40" s="17">
        <f t="shared" si="0"/>
        <v>2</v>
      </c>
      <c r="K40" s="17">
        <v>2</v>
      </c>
      <c r="L40" s="17">
        <v>2</v>
      </c>
      <c r="M40" s="17" t="b">
        <f t="shared" si="11"/>
        <v>1</v>
      </c>
      <c r="N40" s="17">
        <v>0</v>
      </c>
      <c r="O40" s="17">
        <v>0</v>
      </c>
      <c r="P40" s="17">
        <f t="shared" si="1"/>
        <v>2</v>
      </c>
      <c r="Q40" s="17">
        <f t="shared" si="2"/>
        <v>0</v>
      </c>
      <c r="R40" s="3"/>
      <c r="S40" s="19">
        <f t="shared" si="3"/>
        <v>1520</v>
      </c>
      <c r="T40" s="19">
        <v>0</v>
      </c>
      <c r="U40" s="19">
        <f t="shared" si="4"/>
        <v>0</v>
      </c>
      <c r="V40" s="19">
        <f t="shared" si="5"/>
        <v>0</v>
      </c>
      <c r="W40" s="19">
        <f t="shared" si="6"/>
        <v>0</v>
      </c>
      <c r="X40" s="19">
        <f t="shared" si="7"/>
        <v>0</v>
      </c>
      <c r="Y40" s="19">
        <f t="shared" si="8"/>
        <v>1520</v>
      </c>
      <c r="Z40" s="20">
        <f t="shared" si="9"/>
        <v>1520</v>
      </c>
      <c r="AA40" s="20">
        <f t="shared" si="10"/>
        <v>0</v>
      </c>
    </row>
    <row r="41" spans="1:27" ht="15.75" customHeight="1">
      <c r="A41" s="14" t="s">
        <v>92</v>
      </c>
      <c r="B41" s="15" t="s">
        <v>93</v>
      </c>
      <c r="C41" s="16">
        <v>755</v>
      </c>
      <c r="D41" s="16">
        <v>755</v>
      </c>
      <c r="E41" s="17">
        <v>2</v>
      </c>
      <c r="F41" s="18">
        <v>0</v>
      </c>
      <c r="G41" s="18">
        <v>0</v>
      </c>
      <c r="H41" s="18">
        <v>0</v>
      </c>
      <c r="I41" s="17">
        <v>0</v>
      </c>
      <c r="J41" s="17">
        <f t="shared" si="0"/>
        <v>2</v>
      </c>
      <c r="K41" s="17">
        <v>2</v>
      </c>
      <c r="L41" s="17">
        <v>2</v>
      </c>
      <c r="M41" s="17" t="b">
        <f t="shared" si="11"/>
        <v>1</v>
      </c>
      <c r="N41" s="17">
        <v>0</v>
      </c>
      <c r="O41" s="17">
        <v>0</v>
      </c>
      <c r="P41" s="17">
        <f t="shared" si="1"/>
        <v>2</v>
      </c>
      <c r="Q41" s="17">
        <f t="shared" si="2"/>
        <v>0</v>
      </c>
      <c r="R41" s="3"/>
      <c r="S41" s="19">
        <f t="shared" si="3"/>
        <v>1510</v>
      </c>
      <c r="T41" s="19">
        <v>0</v>
      </c>
      <c r="U41" s="19">
        <f t="shared" si="4"/>
        <v>0</v>
      </c>
      <c r="V41" s="19">
        <f t="shared" si="5"/>
        <v>0</v>
      </c>
      <c r="W41" s="19">
        <f t="shared" si="6"/>
        <v>0</v>
      </c>
      <c r="X41" s="19">
        <f t="shared" si="7"/>
        <v>0</v>
      </c>
      <c r="Y41" s="19">
        <f t="shared" si="8"/>
        <v>1510</v>
      </c>
      <c r="Z41" s="20">
        <f t="shared" si="9"/>
        <v>1510</v>
      </c>
      <c r="AA41" s="20">
        <f t="shared" si="10"/>
        <v>0</v>
      </c>
    </row>
    <row r="42" spans="1:27" ht="15.75" customHeight="1">
      <c r="A42" s="14" t="s">
        <v>94</v>
      </c>
      <c r="B42" s="15" t="s">
        <v>95</v>
      </c>
      <c r="C42" s="16">
        <v>0</v>
      </c>
      <c r="D42" s="16">
        <v>0</v>
      </c>
      <c r="E42" s="17">
        <v>0</v>
      </c>
      <c r="F42" s="18">
        <v>0</v>
      </c>
      <c r="G42" s="18">
        <v>0</v>
      </c>
      <c r="H42" s="18">
        <v>0</v>
      </c>
      <c r="I42" s="17">
        <v>0</v>
      </c>
      <c r="J42" s="17">
        <f t="shared" si="0"/>
        <v>0</v>
      </c>
      <c r="K42" s="17">
        <v>0</v>
      </c>
      <c r="L42" s="17">
        <v>0</v>
      </c>
      <c r="M42" s="17" t="b">
        <f t="shared" si="11"/>
        <v>1</v>
      </c>
      <c r="N42" s="17">
        <v>0</v>
      </c>
      <c r="O42" s="17">
        <v>0</v>
      </c>
      <c r="P42" s="17">
        <f t="shared" si="1"/>
        <v>0</v>
      </c>
      <c r="Q42" s="17">
        <f t="shared" si="2"/>
        <v>0</v>
      </c>
      <c r="R42" s="3"/>
      <c r="S42" s="19">
        <f t="shared" si="3"/>
        <v>0</v>
      </c>
      <c r="T42" s="19">
        <v>0</v>
      </c>
      <c r="U42" s="19">
        <f t="shared" si="4"/>
        <v>0</v>
      </c>
      <c r="V42" s="19">
        <f t="shared" si="5"/>
        <v>0</v>
      </c>
      <c r="W42" s="19">
        <f t="shared" si="6"/>
        <v>0</v>
      </c>
      <c r="X42" s="19">
        <f t="shared" si="7"/>
        <v>0</v>
      </c>
      <c r="Y42" s="19">
        <f t="shared" si="8"/>
        <v>0</v>
      </c>
      <c r="Z42" s="20">
        <f t="shared" si="9"/>
        <v>0</v>
      </c>
      <c r="AA42" s="20">
        <f t="shared" si="10"/>
        <v>0</v>
      </c>
    </row>
    <row r="43" spans="1:27" ht="15.75" customHeight="1">
      <c r="A43" s="14" t="s">
        <v>96</v>
      </c>
      <c r="B43" s="15" t="s">
        <v>97</v>
      </c>
      <c r="C43" s="16">
        <v>610</v>
      </c>
      <c r="D43" s="16">
        <v>610</v>
      </c>
      <c r="E43" s="17">
        <v>2</v>
      </c>
      <c r="F43" s="18">
        <v>0</v>
      </c>
      <c r="G43" s="18">
        <v>0</v>
      </c>
      <c r="H43" s="18">
        <v>0</v>
      </c>
      <c r="I43" s="17">
        <v>0</v>
      </c>
      <c r="J43" s="17">
        <f t="shared" si="0"/>
        <v>2</v>
      </c>
      <c r="K43" s="17">
        <v>2</v>
      </c>
      <c r="L43" s="17">
        <v>2</v>
      </c>
      <c r="M43" s="17" t="b">
        <f t="shared" si="11"/>
        <v>1</v>
      </c>
      <c r="N43" s="17">
        <v>0</v>
      </c>
      <c r="O43" s="17">
        <v>0</v>
      </c>
      <c r="P43" s="17">
        <f t="shared" si="1"/>
        <v>2</v>
      </c>
      <c r="Q43" s="17">
        <f t="shared" si="2"/>
        <v>0</v>
      </c>
      <c r="R43" s="3"/>
      <c r="S43" s="19">
        <f t="shared" si="3"/>
        <v>1220</v>
      </c>
      <c r="T43" s="19">
        <v>0</v>
      </c>
      <c r="U43" s="19">
        <f t="shared" si="4"/>
        <v>0</v>
      </c>
      <c r="V43" s="19">
        <f t="shared" si="5"/>
        <v>0</v>
      </c>
      <c r="W43" s="19">
        <f t="shared" si="6"/>
        <v>0</v>
      </c>
      <c r="X43" s="19">
        <f t="shared" si="7"/>
        <v>0</v>
      </c>
      <c r="Y43" s="19">
        <f t="shared" si="8"/>
        <v>1220</v>
      </c>
      <c r="Z43" s="20">
        <f t="shared" si="9"/>
        <v>1220</v>
      </c>
      <c r="AA43" s="20">
        <f t="shared" si="10"/>
        <v>0</v>
      </c>
    </row>
    <row r="44" spans="1:27" ht="15.75" customHeight="1">
      <c r="A44" s="14" t="s">
        <v>98</v>
      </c>
      <c r="B44" s="15" t="s">
        <v>99</v>
      </c>
      <c r="C44" s="16">
        <v>780</v>
      </c>
      <c r="D44" s="16">
        <v>780</v>
      </c>
      <c r="E44" s="17">
        <v>3</v>
      </c>
      <c r="F44" s="18">
        <v>0</v>
      </c>
      <c r="G44" s="18">
        <v>0</v>
      </c>
      <c r="H44" s="18">
        <v>0</v>
      </c>
      <c r="I44" s="17">
        <v>0</v>
      </c>
      <c r="J44" s="17">
        <f t="shared" si="0"/>
        <v>3</v>
      </c>
      <c r="K44" s="17">
        <v>3</v>
      </c>
      <c r="L44" s="17">
        <v>3</v>
      </c>
      <c r="M44" s="17" t="b">
        <f t="shared" si="11"/>
        <v>1</v>
      </c>
      <c r="N44" s="17">
        <v>0</v>
      </c>
      <c r="O44" s="17">
        <v>0</v>
      </c>
      <c r="P44" s="17">
        <f t="shared" si="1"/>
        <v>3</v>
      </c>
      <c r="Q44" s="17">
        <f t="shared" si="2"/>
        <v>0</v>
      </c>
      <c r="R44" s="3"/>
      <c r="S44" s="19">
        <f t="shared" si="3"/>
        <v>2340</v>
      </c>
      <c r="T44" s="19">
        <v>0</v>
      </c>
      <c r="U44" s="19">
        <f t="shared" si="4"/>
        <v>0</v>
      </c>
      <c r="V44" s="19">
        <f t="shared" si="5"/>
        <v>0</v>
      </c>
      <c r="W44" s="19">
        <f t="shared" si="6"/>
        <v>0</v>
      </c>
      <c r="X44" s="19">
        <f t="shared" si="7"/>
        <v>0</v>
      </c>
      <c r="Y44" s="19">
        <f t="shared" si="8"/>
        <v>2340</v>
      </c>
      <c r="Z44" s="20">
        <f t="shared" si="9"/>
        <v>2340</v>
      </c>
      <c r="AA44" s="20">
        <f t="shared" si="10"/>
        <v>0</v>
      </c>
    </row>
    <row r="45" spans="1:27" ht="15.75" customHeight="1">
      <c r="A45" s="14" t="s">
        <v>100</v>
      </c>
      <c r="B45" s="15" t="s">
        <v>101</v>
      </c>
      <c r="C45" s="16">
        <v>960</v>
      </c>
      <c r="D45" s="16">
        <v>960</v>
      </c>
      <c r="E45" s="17">
        <v>3</v>
      </c>
      <c r="F45" s="18">
        <v>0</v>
      </c>
      <c r="G45" s="18">
        <v>0</v>
      </c>
      <c r="H45" s="18">
        <v>0</v>
      </c>
      <c r="I45" s="17">
        <v>0</v>
      </c>
      <c r="J45" s="17">
        <f t="shared" si="0"/>
        <v>3</v>
      </c>
      <c r="K45" s="17">
        <v>3</v>
      </c>
      <c r="L45" s="17">
        <v>3</v>
      </c>
      <c r="M45" s="17" t="b">
        <f t="shared" si="11"/>
        <v>1</v>
      </c>
      <c r="N45" s="17">
        <v>0</v>
      </c>
      <c r="O45" s="17">
        <v>0</v>
      </c>
      <c r="P45" s="17">
        <f t="shared" si="1"/>
        <v>3</v>
      </c>
      <c r="Q45" s="17">
        <f t="shared" si="2"/>
        <v>0</v>
      </c>
      <c r="R45" s="3"/>
      <c r="S45" s="19">
        <f t="shared" si="3"/>
        <v>2880</v>
      </c>
      <c r="T45" s="19">
        <v>0</v>
      </c>
      <c r="U45" s="19">
        <f t="shared" si="4"/>
        <v>0</v>
      </c>
      <c r="V45" s="19">
        <f t="shared" si="5"/>
        <v>0</v>
      </c>
      <c r="W45" s="19">
        <f t="shared" si="6"/>
        <v>0</v>
      </c>
      <c r="X45" s="19">
        <f t="shared" si="7"/>
        <v>0</v>
      </c>
      <c r="Y45" s="19">
        <f t="shared" si="8"/>
        <v>2880</v>
      </c>
      <c r="Z45" s="20">
        <f t="shared" si="9"/>
        <v>2880</v>
      </c>
      <c r="AA45" s="20">
        <f t="shared" si="10"/>
        <v>0</v>
      </c>
    </row>
    <row r="46" spans="1:27" ht="15.75" customHeight="1">
      <c r="A46" s="14" t="s">
        <v>102</v>
      </c>
      <c r="B46" s="15" t="s">
        <v>103</v>
      </c>
      <c r="C46" s="16">
        <v>8.6</v>
      </c>
      <c r="D46" s="16">
        <v>8.6</v>
      </c>
      <c r="E46" s="17">
        <v>50</v>
      </c>
      <c r="F46" s="18">
        <v>0</v>
      </c>
      <c r="G46" s="18">
        <v>0</v>
      </c>
      <c r="H46" s="18">
        <v>0</v>
      </c>
      <c r="I46" s="17">
        <v>0</v>
      </c>
      <c r="J46" s="17">
        <f t="shared" si="0"/>
        <v>50</v>
      </c>
      <c r="K46" s="17">
        <v>50</v>
      </c>
      <c r="L46" s="17">
        <v>50</v>
      </c>
      <c r="M46" s="17" t="b">
        <f t="shared" si="11"/>
        <v>1</v>
      </c>
      <c r="N46" s="17">
        <v>0</v>
      </c>
      <c r="O46" s="17">
        <v>0</v>
      </c>
      <c r="P46" s="17">
        <f t="shared" si="1"/>
        <v>50</v>
      </c>
      <c r="Q46" s="17">
        <f t="shared" si="2"/>
        <v>0</v>
      </c>
      <c r="R46" s="3"/>
      <c r="S46" s="19">
        <f t="shared" si="3"/>
        <v>430</v>
      </c>
      <c r="T46" s="19">
        <v>0</v>
      </c>
      <c r="U46" s="19">
        <f t="shared" si="4"/>
        <v>0</v>
      </c>
      <c r="V46" s="19">
        <f t="shared" si="5"/>
        <v>0</v>
      </c>
      <c r="W46" s="19">
        <f t="shared" si="6"/>
        <v>0</v>
      </c>
      <c r="X46" s="19">
        <f t="shared" si="7"/>
        <v>0</v>
      </c>
      <c r="Y46" s="19">
        <f t="shared" si="8"/>
        <v>430</v>
      </c>
      <c r="Z46" s="20">
        <f t="shared" si="9"/>
        <v>430</v>
      </c>
      <c r="AA46" s="20">
        <f t="shared" si="10"/>
        <v>0</v>
      </c>
    </row>
    <row r="47" spans="1:27" ht="15.75" customHeight="1">
      <c r="A47" s="14" t="s">
        <v>104</v>
      </c>
      <c r="B47" s="15" t="s">
        <v>105</v>
      </c>
      <c r="C47" s="16">
        <v>1120</v>
      </c>
      <c r="D47" s="16">
        <v>1120</v>
      </c>
      <c r="E47" s="17">
        <v>1</v>
      </c>
      <c r="F47" s="18">
        <v>0</v>
      </c>
      <c r="G47" s="18">
        <v>0</v>
      </c>
      <c r="H47" s="18">
        <v>0</v>
      </c>
      <c r="I47" s="17">
        <v>0</v>
      </c>
      <c r="J47" s="17">
        <f t="shared" si="0"/>
        <v>1</v>
      </c>
      <c r="K47" s="17">
        <v>1</v>
      </c>
      <c r="L47" s="17">
        <v>1</v>
      </c>
      <c r="M47" s="17" t="b">
        <f t="shared" si="11"/>
        <v>1</v>
      </c>
      <c r="N47" s="17">
        <v>0</v>
      </c>
      <c r="O47" s="17">
        <v>0</v>
      </c>
      <c r="P47" s="17">
        <f t="shared" si="1"/>
        <v>1</v>
      </c>
      <c r="Q47" s="17">
        <f t="shared" si="2"/>
        <v>0</v>
      </c>
      <c r="R47" s="3"/>
      <c r="S47" s="19">
        <f t="shared" si="3"/>
        <v>1120</v>
      </c>
      <c r="T47" s="19">
        <v>0</v>
      </c>
      <c r="U47" s="19">
        <f t="shared" si="4"/>
        <v>0</v>
      </c>
      <c r="V47" s="19">
        <f t="shared" si="5"/>
        <v>0</v>
      </c>
      <c r="W47" s="19">
        <f t="shared" si="6"/>
        <v>0</v>
      </c>
      <c r="X47" s="19">
        <f t="shared" si="7"/>
        <v>0</v>
      </c>
      <c r="Y47" s="19">
        <f t="shared" si="8"/>
        <v>1120</v>
      </c>
      <c r="Z47" s="20">
        <f t="shared" si="9"/>
        <v>1120</v>
      </c>
      <c r="AA47" s="20">
        <f t="shared" si="10"/>
        <v>0</v>
      </c>
    </row>
    <row r="48" spans="1:27" ht="15.75" customHeight="1">
      <c r="A48" s="14" t="s">
        <v>106</v>
      </c>
      <c r="B48" s="15" t="s">
        <v>107</v>
      </c>
      <c r="C48" s="16">
        <v>1949.99</v>
      </c>
      <c r="D48" s="16">
        <v>1949.99</v>
      </c>
      <c r="E48" s="17">
        <v>2</v>
      </c>
      <c r="F48" s="18">
        <v>0</v>
      </c>
      <c r="G48" s="18">
        <v>0</v>
      </c>
      <c r="H48" s="18">
        <v>0</v>
      </c>
      <c r="I48" s="17">
        <v>0</v>
      </c>
      <c r="J48" s="17">
        <f t="shared" si="0"/>
        <v>2</v>
      </c>
      <c r="K48" s="17">
        <v>2</v>
      </c>
      <c r="L48" s="17">
        <v>2</v>
      </c>
      <c r="M48" s="17" t="b">
        <f t="shared" si="11"/>
        <v>1</v>
      </c>
      <c r="N48" s="17">
        <v>0</v>
      </c>
      <c r="O48" s="17">
        <v>0</v>
      </c>
      <c r="P48" s="17">
        <f t="shared" si="1"/>
        <v>2</v>
      </c>
      <c r="Q48" s="17">
        <f t="shared" si="2"/>
        <v>0</v>
      </c>
      <c r="R48" s="3"/>
      <c r="S48" s="19">
        <f t="shared" si="3"/>
        <v>3899.98</v>
      </c>
      <c r="T48" s="19">
        <v>0</v>
      </c>
      <c r="U48" s="19">
        <f t="shared" si="4"/>
        <v>0</v>
      </c>
      <c r="V48" s="19">
        <f t="shared" si="5"/>
        <v>0</v>
      </c>
      <c r="W48" s="19">
        <f t="shared" si="6"/>
        <v>0</v>
      </c>
      <c r="X48" s="19">
        <f t="shared" si="7"/>
        <v>0</v>
      </c>
      <c r="Y48" s="19">
        <f t="shared" si="8"/>
        <v>3899.98</v>
      </c>
      <c r="Z48" s="20">
        <f t="shared" si="9"/>
        <v>3899.98</v>
      </c>
      <c r="AA48" s="20">
        <f t="shared" si="10"/>
        <v>0</v>
      </c>
    </row>
    <row r="49" spans="1:27" ht="15.75" customHeight="1">
      <c r="A49" s="14" t="s">
        <v>108</v>
      </c>
      <c r="B49" s="15" t="s">
        <v>109</v>
      </c>
      <c r="C49" s="16">
        <v>0</v>
      </c>
      <c r="D49" s="16">
        <v>0</v>
      </c>
      <c r="E49" s="17">
        <v>0</v>
      </c>
      <c r="F49" s="18">
        <v>0</v>
      </c>
      <c r="G49" s="18">
        <v>0</v>
      </c>
      <c r="H49" s="18">
        <v>0</v>
      </c>
      <c r="I49" s="17">
        <v>0</v>
      </c>
      <c r="J49" s="17">
        <f t="shared" si="0"/>
        <v>0</v>
      </c>
      <c r="K49" s="17">
        <v>0</v>
      </c>
      <c r="L49" s="17">
        <v>0</v>
      </c>
      <c r="M49" s="17" t="b">
        <f t="shared" si="11"/>
        <v>1</v>
      </c>
      <c r="N49" s="17">
        <v>0</v>
      </c>
      <c r="O49" s="17">
        <v>0</v>
      </c>
      <c r="P49" s="17">
        <f t="shared" si="1"/>
        <v>0</v>
      </c>
      <c r="Q49" s="17">
        <f t="shared" si="2"/>
        <v>0</v>
      </c>
      <c r="R49" s="3"/>
      <c r="S49" s="19">
        <f t="shared" si="3"/>
        <v>0</v>
      </c>
      <c r="T49" s="19">
        <v>0</v>
      </c>
      <c r="U49" s="19">
        <f t="shared" si="4"/>
        <v>0</v>
      </c>
      <c r="V49" s="19">
        <f t="shared" si="5"/>
        <v>0</v>
      </c>
      <c r="W49" s="19">
        <f t="shared" si="6"/>
        <v>0</v>
      </c>
      <c r="X49" s="19">
        <f t="shared" si="7"/>
        <v>0</v>
      </c>
      <c r="Y49" s="19">
        <f t="shared" si="8"/>
        <v>0</v>
      </c>
      <c r="Z49" s="20">
        <f t="shared" si="9"/>
        <v>0</v>
      </c>
      <c r="AA49" s="20">
        <f t="shared" si="10"/>
        <v>0</v>
      </c>
    </row>
    <row r="50" spans="1:27" ht="15.75" customHeight="1">
      <c r="A50" s="14" t="s">
        <v>110</v>
      </c>
      <c r="B50" s="15" t="s">
        <v>111</v>
      </c>
      <c r="C50" s="16">
        <v>480</v>
      </c>
      <c r="D50" s="16">
        <v>480</v>
      </c>
      <c r="E50" s="17">
        <v>0</v>
      </c>
      <c r="F50" s="18">
        <v>0</v>
      </c>
      <c r="G50" s="18">
        <v>0</v>
      </c>
      <c r="H50" s="18">
        <v>0</v>
      </c>
      <c r="I50" s="17">
        <v>0</v>
      </c>
      <c r="J50" s="17">
        <f t="shared" si="0"/>
        <v>0</v>
      </c>
      <c r="K50" s="17">
        <v>0</v>
      </c>
      <c r="L50" s="17">
        <v>0</v>
      </c>
      <c r="M50" s="17" t="b">
        <f t="shared" si="11"/>
        <v>1</v>
      </c>
      <c r="N50" s="17">
        <v>0</v>
      </c>
      <c r="O50" s="17">
        <v>0</v>
      </c>
      <c r="P50" s="17">
        <f t="shared" si="1"/>
        <v>0</v>
      </c>
      <c r="Q50" s="17">
        <f t="shared" si="2"/>
        <v>0</v>
      </c>
      <c r="R50" s="3"/>
      <c r="S50" s="19">
        <f t="shared" si="3"/>
        <v>0</v>
      </c>
      <c r="T50" s="19">
        <v>0</v>
      </c>
      <c r="U50" s="19">
        <f t="shared" si="4"/>
        <v>0</v>
      </c>
      <c r="V50" s="19">
        <f t="shared" si="5"/>
        <v>0</v>
      </c>
      <c r="W50" s="19">
        <f t="shared" si="6"/>
        <v>0</v>
      </c>
      <c r="X50" s="19">
        <f t="shared" si="7"/>
        <v>0</v>
      </c>
      <c r="Y50" s="19">
        <f t="shared" si="8"/>
        <v>0</v>
      </c>
      <c r="Z50" s="20">
        <f t="shared" si="9"/>
        <v>0</v>
      </c>
      <c r="AA50" s="20">
        <f t="shared" si="10"/>
        <v>0</v>
      </c>
    </row>
    <row r="51" spans="1:27" ht="15.75" customHeight="1">
      <c r="A51" s="14" t="s">
        <v>112</v>
      </c>
      <c r="B51" s="15" t="s">
        <v>113</v>
      </c>
      <c r="C51" s="16">
        <v>310</v>
      </c>
      <c r="D51" s="16">
        <v>310</v>
      </c>
      <c r="E51" s="17">
        <v>1</v>
      </c>
      <c r="F51" s="18">
        <v>0</v>
      </c>
      <c r="G51" s="18">
        <v>0</v>
      </c>
      <c r="H51" s="18">
        <v>0</v>
      </c>
      <c r="I51" s="17">
        <v>0</v>
      </c>
      <c r="J51" s="17">
        <f t="shared" si="0"/>
        <v>1</v>
      </c>
      <c r="K51" s="17">
        <v>1</v>
      </c>
      <c r="L51" s="17">
        <v>1</v>
      </c>
      <c r="M51" s="17" t="b">
        <f t="shared" si="11"/>
        <v>1</v>
      </c>
      <c r="N51" s="17">
        <v>0</v>
      </c>
      <c r="O51" s="17">
        <v>0</v>
      </c>
      <c r="P51" s="17">
        <f t="shared" si="1"/>
        <v>1</v>
      </c>
      <c r="Q51" s="17">
        <f t="shared" si="2"/>
        <v>0</v>
      </c>
      <c r="R51" s="3"/>
      <c r="S51" s="19">
        <f t="shared" si="3"/>
        <v>310</v>
      </c>
      <c r="T51" s="19">
        <v>0</v>
      </c>
      <c r="U51" s="19">
        <f t="shared" si="4"/>
        <v>0</v>
      </c>
      <c r="V51" s="19">
        <f t="shared" si="5"/>
        <v>0</v>
      </c>
      <c r="W51" s="19">
        <f t="shared" si="6"/>
        <v>0</v>
      </c>
      <c r="X51" s="19">
        <f t="shared" si="7"/>
        <v>0</v>
      </c>
      <c r="Y51" s="19">
        <f t="shared" si="8"/>
        <v>310</v>
      </c>
      <c r="Z51" s="20">
        <f t="shared" si="9"/>
        <v>310</v>
      </c>
      <c r="AA51" s="20">
        <f t="shared" si="10"/>
        <v>0</v>
      </c>
    </row>
    <row r="52" spans="1:27" ht="15.75" customHeight="1">
      <c r="A52" s="14" t="s">
        <v>114</v>
      </c>
      <c r="B52" s="15" t="s">
        <v>115</v>
      </c>
      <c r="C52" s="16">
        <v>2.46</v>
      </c>
      <c r="D52" s="16">
        <v>2.46</v>
      </c>
      <c r="E52" s="17">
        <v>100</v>
      </c>
      <c r="F52" s="18">
        <v>0</v>
      </c>
      <c r="G52" s="18">
        <v>0</v>
      </c>
      <c r="H52" s="18">
        <v>0</v>
      </c>
      <c r="I52" s="17">
        <v>0</v>
      </c>
      <c r="J52" s="17">
        <f t="shared" si="0"/>
        <v>100</v>
      </c>
      <c r="K52" s="17">
        <v>100</v>
      </c>
      <c r="L52" s="17">
        <v>100</v>
      </c>
      <c r="M52" s="17" t="b">
        <f t="shared" si="11"/>
        <v>1</v>
      </c>
      <c r="N52" s="17">
        <v>0</v>
      </c>
      <c r="O52" s="17">
        <v>0</v>
      </c>
      <c r="P52" s="17">
        <f t="shared" si="1"/>
        <v>100</v>
      </c>
      <c r="Q52" s="17">
        <f t="shared" si="2"/>
        <v>0</v>
      </c>
      <c r="R52" s="3"/>
      <c r="S52" s="19">
        <f t="shared" si="3"/>
        <v>246</v>
      </c>
      <c r="T52" s="19">
        <v>0</v>
      </c>
      <c r="U52" s="19">
        <f t="shared" si="4"/>
        <v>0</v>
      </c>
      <c r="V52" s="19">
        <f t="shared" si="5"/>
        <v>0</v>
      </c>
      <c r="W52" s="19">
        <f t="shared" si="6"/>
        <v>0</v>
      </c>
      <c r="X52" s="19">
        <f t="shared" si="7"/>
        <v>0</v>
      </c>
      <c r="Y52" s="19">
        <f t="shared" si="8"/>
        <v>246</v>
      </c>
      <c r="Z52" s="20">
        <f t="shared" si="9"/>
        <v>246</v>
      </c>
      <c r="AA52" s="20">
        <f t="shared" si="10"/>
        <v>0</v>
      </c>
    </row>
    <row r="53" spans="1:27" ht="15.75" customHeight="1">
      <c r="A53" s="14" t="s">
        <v>116</v>
      </c>
      <c r="B53" s="15" t="s">
        <v>117</v>
      </c>
      <c r="C53" s="16">
        <v>625.82000000000005</v>
      </c>
      <c r="D53" s="16">
        <v>625.82000000000005</v>
      </c>
      <c r="E53" s="17">
        <v>2</v>
      </c>
      <c r="F53" s="18">
        <v>0</v>
      </c>
      <c r="G53" s="18">
        <v>0</v>
      </c>
      <c r="H53" s="18">
        <v>0</v>
      </c>
      <c r="I53" s="17">
        <v>0</v>
      </c>
      <c r="J53" s="17">
        <f t="shared" si="0"/>
        <v>2</v>
      </c>
      <c r="K53" s="17">
        <v>2</v>
      </c>
      <c r="L53" s="17">
        <v>2</v>
      </c>
      <c r="M53" s="17" t="b">
        <f t="shared" si="11"/>
        <v>1</v>
      </c>
      <c r="N53" s="17">
        <v>0</v>
      </c>
      <c r="O53" s="17">
        <v>0</v>
      </c>
      <c r="P53" s="17">
        <f t="shared" si="1"/>
        <v>2</v>
      </c>
      <c r="Q53" s="17">
        <f t="shared" si="2"/>
        <v>0</v>
      </c>
      <c r="R53" s="3"/>
      <c r="S53" s="19">
        <f t="shared" si="3"/>
        <v>1251.6400000000001</v>
      </c>
      <c r="T53" s="19">
        <v>0</v>
      </c>
      <c r="U53" s="19">
        <f t="shared" si="4"/>
        <v>0</v>
      </c>
      <c r="V53" s="19">
        <f t="shared" si="5"/>
        <v>0</v>
      </c>
      <c r="W53" s="19">
        <f t="shared" si="6"/>
        <v>0</v>
      </c>
      <c r="X53" s="19">
        <f t="shared" si="7"/>
        <v>0</v>
      </c>
      <c r="Y53" s="19">
        <f t="shared" si="8"/>
        <v>1251.6400000000001</v>
      </c>
      <c r="Z53" s="20">
        <f t="shared" si="9"/>
        <v>1251.6400000000001</v>
      </c>
      <c r="AA53" s="20">
        <f t="shared" si="10"/>
        <v>0</v>
      </c>
    </row>
    <row r="54" spans="1:27" ht="15.75" customHeight="1">
      <c r="A54" s="14" t="s">
        <v>118</v>
      </c>
      <c r="B54" s="15" t="s">
        <v>119</v>
      </c>
      <c r="C54" s="16">
        <v>625.82000000000005</v>
      </c>
      <c r="D54" s="16">
        <v>625.82000000000005</v>
      </c>
      <c r="E54" s="17">
        <v>2</v>
      </c>
      <c r="F54" s="18">
        <v>0</v>
      </c>
      <c r="G54" s="18">
        <v>0</v>
      </c>
      <c r="H54" s="18">
        <v>0</v>
      </c>
      <c r="I54" s="17">
        <v>0</v>
      </c>
      <c r="J54" s="17">
        <f t="shared" si="0"/>
        <v>2</v>
      </c>
      <c r="K54" s="17">
        <v>2</v>
      </c>
      <c r="L54" s="17">
        <v>2</v>
      </c>
      <c r="M54" s="17" t="b">
        <f t="shared" si="11"/>
        <v>1</v>
      </c>
      <c r="N54" s="17">
        <v>0</v>
      </c>
      <c r="O54" s="17">
        <v>0</v>
      </c>
      <c r="P54" s="17">
        <f t="shared" si="1"/>
        <v>2</v>
      </c>
      <c r="Q54" s="17">
        <f t="shared" si="2"/>
        <v>0</v>
      </c>
      <c r="R54" s="3"/>
      <c r="S54" s="19">
        <f t="shared" si="3"/>
        <v>1251.6400000000001</v>
      </c>
      <c r="T54" s="19">
        <v>0</v>
      </c>
      <c r="U54" s="19">
        <f t="shared" si="4"/>
        <v>0</v>
      </c>
      <c r="V54" s="19">
        <f t="shared" si="5"/>
        <v>0</v>
      </c>
      <c r="W54" s="19">
        <f t="shared" si="6"/>
        <v>0</v>
      </c>
      <c r="X54" s="19">
        <f t="shared" si="7"/>
        <v>0</v>
      </c>
      <c r="Y54" s="19">
        <f t="shared" si="8"/>
        <v>1251.6400000000001</v>
      </c>
      <c r="Z54" s="20">
        <f t="shared" si="9"/>
        <v>1251.6400000000001</v>
      </c>
      <c r="AA54" s="20">
        <f t="shared" si="10"/>
        <v>0</v>
      </c>
    </row>
    <row r="55" spans="1:27" ht="15.75" customHeight="1">
      <c r="A55" s="14" t="s">
        <v>120</v>
      </c>
      <c r="B55" s="15" t="s">
        <v>121</v>
      </c>
      <c r="C55" s="16">
        <v>625.82000000000005</v>
      </c>
      <c r="D55" s="16">
        <v>625.82000000000005</v>
      </c>
      <c r="E55" s="17">
        <v>2</v>
      </c>
      <c r="F55" s="18">
        <v>0</v>
      </c>
      <c r="G55" s="18">
        <v>0</v>
      </c>
      <c r="H55" s="18">
        <v>0</v>
      </c>
      <c r="I55" s="17">
        <v>0</v>
      </c>
      <c r="J55" s="17">
        <f t="shared" si="0"/>
        <v>2</v>
      </c>
      <c r="K55" s="17">
        <v>2</v>
      </c>
      <c r="L55" s="17">
        <v>2</v>
      </c>
      <c r="M55" s="17" t="b">
        <f t="shared" si="11"/>
        <v>1</v>
      </c>
      <c r="N55" s="17">
        <v>0</v>
      </c>
      <c r="O55" s="17">
        <v>0</v>
      </c>
      <c r="P55" s="17">
        <f t="shared" si="1"/>
        <v>2</v>
      </c>
      <c r="Q55" s="17">
        <f t="shared" si="2"/>
        <v>0</v>
      </c>
      <c r="R55" s="3"/>
      <c r="S55" s="19">
        <f t="shared" si="3"/>
        <v>1251.6400000000001</v>
      </c>
      <c r="T55" s="19">
        <v>0</v>
      </c>
      <c r="U55" s="19">
        <f t="shared" si="4"/>
        <v>0</v>
      </c>
      <c r="V55" s="19">
        <f t="shared" si="5"/>
        <v>0</v>
      </c>
      <c r="W55" s="19">
        <f t="shared" si="6"/>
        <v>0</v>
      </c>
      <c r="X55" s="19">
        <f t="shared" si="7"/>
        <v>0</v>
      </c>
      <c r="Y55" s="19">
        <f t="shared" si="8"/>
        <v>1251.6400000000001</v>
      </c>
      <c r="Z55" s="20">
        <f t="shared" si="9"/>
        <v>1251.6400000000001</v>
      </c>
      <c r="AA55" s="20">
        <f t="shared" si="10"/>
        <v>0</v>
      </c>
    </row>
    <row r="56" spans="1:27" ht="15.75" customHeight="1">
      <c r="A56" s="14" t="s">
        <v>122</v>
      </c>
      <c r="B56" s="15" t="s">
        <v>123</v>
      </c>
      <c r="C56" s="16">
        <v>625.82000000000005</v>
      </c>
      <c r="D56" s="16">
        <v>625.82000000000005</v>
      </c>
      <c r="E56" s="17">
        <v>2</v>
      </c>
      <c r="F56" s="18">
        <v>0</v>
      </c>
      <c r="G56" s="18">
        <v>0</v>
      </c>
      <c r="H56" s="18">
        <v>0</v>
      </c>
      <c r="I56" s="17">
        <v>0</v>
      </c>
      <c r="J56" s="17">
        <f t="shared" si="0"/>
        <v>2</v>
      </c>
      <c r="K56" s="17">
        <v>2</v>
      </c>
      <c r="L56" s="17">
        <v>2</v>
      </c>
      <c r="M56" s="17" t="b">
        <f t="shared" si="11"/>
        <v>1</v>
      </c>
      <c r="N56" s="17">
        <v>0</v>
      </c>
      <c r="O56" s="17">
        <v>0</v>
      </c>
      <c r="P56" s="17">
        <f t="shared" si="1"/>
        <v>2</v>
      </c>
      <c r="Q56" s="17">
        <f t="shared" si="2"/>
        <v>0</v>
      </c>
      <c r="R56" s="3"/>
      <c r="S56" s="19">
        <f t="shared" si="3"/>
        <v>1251.6400000000001</v>
      </c>
      <c r="T56" s="19">
        <v>0</v>
      </c>
      <c r="U56" s="19">
        <f t="shared" si="4"/>
        <v>0</v>
      </c>
      <c r="V56" s="19">
        <f t="shared" si="5"/>
        <v>0</v>
      </c>
      <c r="W56" s="19">
        <f t="shared" si="6"/>
        <v>0</v>
      </c>
      <c r="X56" s="19">
        <f t="shared" si="7"/>
        <v>0</v>
      </c>
      <c r="Y56" s="19">
        <f t="shared" si="8"/>
        <v>1251.6400000000001</v>
      </c>
      <c r="Z56" s="20">
        <f t="shared" si="9"/>
        <v>1251.6400000000001</v>
      </c>
      <c r="AA56" s="20">
        <f t="shared" si="10"/>
        <v>0</v>
      </c>
    </row>
    <row r="57" spans="1:27" ht="15.75" customHeight="1">
      <c r="A57" s="14" t="s">
        <v>124</v>
      </c>
      <c r="B57" s="15" t="s">
        <v>125</v>
      </c>
      <c r="C57" s="16">
        <v>1300</v>
      </c>
      <c r="D57" s="16">
        <v>1300</v>
      </c>
      <c r="E57" s="17">
        <v>1</v>
      </c>
      <c r="F57" s="18">
        <v>0</v>
      </c>
      <c r="G57" s="18">
        <v>0</v>
      </c>
      <c r="H57" s="18">
        <v>0</v>
      </c>
      <c r="I57" s="17">
        <v>0</v>
      </c>
      <c r="J57" s="17">
        <f t="shared" si="0"/>
        <v>1</v>
      </c>
      <c r="K57" s="17">
        <v>1</v>
      </c>
      <c r="L57" s="17">
        <v>1</v>
      </c>
      <c r="M57" s="17" t="b">
        <f t="shared" si="11"/>
        <v>1</v>
      </c>
      <c r="N57" s="17">
        <v>0</v>
      </c>
      <c r="O57" s="17">
        <v>0</v>
      </c>
      <c r="P57" s="17">
        <f t="shared" si="1"/>
        <v>1</v>
      </c>
      <c r="Q57" s="17">
        <f t="shared" si="2"/>
        <v>0</v>
      </c>
      <c r="R57" s="3"/>
      <c r="S57" s="19">
        <f t="shared" si="3"/>
        <v>1300</v>
      </c>
      <c r="T57" s="19">
        <v>0</v>
      </c>
      <c r="U57" s="19">
        <f t="shared" si="4"/>
        <v>0</v>
      </c>
      <c r="V57" s="19">
        <f t="shared" si="5"/>
        <v>0</v>
      </c>
      <c r="W57" s="19">
        <f t="shared" si="6"/>
        <v>0</v>
      </c>
      <c r="X57" s="19">
        <f t="shared" si="7"/>
        <v>0</v>
      </c>
      <c r="Y57" s="19">
        <f t="shared" si="8"/>
        <v>1300</v>
      </c>
      <c r="Z57" s="20">
        <f t="shared" si="9"/>
        <v>1300</v>
      </c>
      <c r="AA57" s="20">
        <f t="shared" si="10"/>
        <v>0</v>
      </c>
    </row>
    <row r="58" spans="1:27" ht="15.75" customHeight="1">
      <c r="A58" s="14" t="s">
        <v>126</v>
      </c>
      <c r="B58" s="15" t="s">
        <v>127</v>
      </c>
      <c r="C58" s="16">
        <v>185</v>
      </c>
      <c r="D58" s="16">
        <v>185</v>
      </c>
      <c r="E58" s="17">
        <v>0</v>
      </c>
      <c r="F58" s="18">
        <v>0</v>
      </c>
      <c r="G58" s="18">
        <v>0</v>
      </c>
      <c r="H58" s="18">
        <v>0</v>
      </c>
      <c r="I58" s="17">
        <v>0</v>
      </c>
      <c r="J58" s="17">
        <f t="shared" si="0"/>
        <v>0</v>
      </c>
      <c r="K58" s="17">
        <v>0</v>
      </c>
      <c r="L58" s="17">
        <v>0</v>
      </c>
      <c r="M58" s="17" t="b">
        <f t="shared" si="11"/>
        <v>1</v>
      </c>
      <c r="N58" s="17">
        <v>0</v>
      </c>
      <c r="O58" s="17">
        <v>0</v>
      </c>
      <c r="P58" s="17">
        <f t="shared" si="1"/>
        <v>0</v>
      </c>
      <c r="Q58" s="17">
        <f t="shared" si="2"/>
        <v>0</v>
      </c>
      <c r="R58" s="3"/>
      <c r="S58" s="19">
        <f t="shared" si="3"/>
        <v>0</v>
      </c>
      <c r="T58" s="19">
        <v>0</v>
      </c>
      <c r="U58" s="19">
        <f t="shared" si="4"/>
        <v>0</v>
      </c>
      <c r="V58" s="19">
        <f t="shared" si="5"/>
        <v>0</v>
      </c>
      <c r="W58" s="19">
        <f t="shared" si="6"/>
        <v>0</v>
      </c>
      <c r="X58" s="19">
        <f t="shared" si="7"/>
        <v>0</v>
      </c>
      <c r="Y58" s="19">
        <f t="shared" si="8"/>
        <v>0</v>
      </c>
      <c r="Z58" s="20">
        <f t="shared" si="9"/>
        <v>0</v>
      </c>
      <c r="AA58" s="20">
        <f t="shared" si="10"/>
        <v>0</v>
      </c>
    </row>
    <row r="59" spans="1:27" ht="15.75" customHeight="1">
      <c r="A59" s="14" t="s">
        <v>128</v>
      </c>
      <c r="B59" s="15" t="s">
        <v>129</v>
      </c>
      <c r="C59" s="16">
        <v>465</v>
      </c>
      <c r="D59" s="16">
        <v>465</v>
      </c>
      <c r="E59" s="17">
        <v>1</v>
      </c>
      <c r="F59" s="18">
        <v>0</v>
      </c>
      <c r="G59" s="18">
        <v>0</v>
      </c>
      <c r="H59" s="18">
        <v>0</v>
      </c>
      <c r="I59" s="17">
        <v>0</v>
      </c>
      <c r="J59" s="17">
        <f t="shared" si="0"/>
        <v>1</v>
      </c>
      <c r="K59" s="17">
        <v>1</v>
      </c>
      <c r="L59" s="17">
        <v>1</v>
      </c>
      <c r="M59" s="17" t="b">
        <f t="shared" si="11"/>
        <v>1</v>
      </c>
      <c r="N59" s="17">
        <v>0</v>
      </c>
      <c r="O59" s="17">
        <v>0</v>
      </c>
      <c r="P59" s="17">
        <f t="shared" si="1"/>
        <v>1</v>
      </c>
      <c r="Q59" s="17">
        <f t="shared" si="2"/>
        <v>0</v>
      </c>
      <c r="R59" s="3"/>
      <c r="S59" s="19">
        <f t="shared" si="3"/>
        <v>465</v>
      </c>
      <c r="T59" s="19">
        <v>0</v>
      </c>
      <c r="U59" s="19">
        <f t="shared" si="4"/>
        <v>0</v>
      </c>
      <c r="V59" s="19">
        <f t="shared" si="5"/>
        <v>0</v>
      </c>
      <c r="W59" s="19">
        <f t="shared" si="6"/>
        <v>0</v>
      </c>
      <c r="X59" s="19">
        <f t="shared" si="7"/>
        <v>0</v>
      </c>
      <c r="Y59" s="19">
        <f t="shared" si="8"/>
        <v>465</v>
      </c>
      <c r="Z59" s="20">
        <f t="shared" si="9"/>
        <v>465</v>
      </c>
      <c r="AA59" s="20">
        <f t="shared" si="10"/>
        <v>0</v>
      </c>
    </row>
    <row r="60" spans="1:27" ht="15.75" customHeight="1">
      <c r="A60" s="14" t="s">
        <v>130</v>
      </c>
      <c r="B60" s="15" t="s">
        <v>131</v>
      </c>
      <c r="C60" s="16">
        <v>8.99</v>
      </c>
      <c r="D60" s="16">
        <v>8.99</v>
      </c>
      <c r="E60" s="17">
        <v>50</v>
      </c>
      <c r="F60" s="18">
        <v>0</v>
      </c>
      <c r="G60" s="18">
        <v>0</v>
      </c>
      <c r="H60" s="18">
        <v>0</v>
      </c>
      <c r="I60" s="17">
        <v>0</v>
      </c>
      <c r="J60" s="17">
        <f t="shared" si="0"/>
        <v>50</v>
      </c>
      <c r="K60" s="17">
        <v>50</v>
      </c>
      <c r="L60" s="17">
        <v>50</v>
      </c>
      <c r="M60" s="17" t="b">
        <f t="shared" si="11"/>
        <v>1</v>
      </c>
      <c r="N60" s="17">
        <v>0</v>
      </c>
      <c r="O60" s="17">
        <v>0</v>
      </c>
      <c r="P60" s="17">
        <f t="shared" si="1"/>
        <v>50</v>
      </c>
      <c r="Q60" s="17">
        <f t="shared" si="2"/>
        <v>0</v>
      </c>
      <c r="R60" s="3"/>
      <c r="S60" s="19">
        <f t="shared" si="3"/>
        <v>449.5</v>
      </c>
      <c r="T60" s="19">
        <v>0</v>
      </c>
      <c r="U60" s="19">
        <f t="shared" si="4"/>
        <v>0</v>
      </c>
      <c r="V60" s="19">
        <f t="shared" si="5"/>
        <v>0</v>
      </c>
      <c r="W60" s="19">
        <f t="shared" si="6"/>
        <v>0</v>
      </c>
      <c r="X60" s="19">
        <f t="shared" si="7"/>
        <v>0</v>
      </c>
      <c r="Y60" s="19">
        <f t="shared" si="8"/>
        <v>449.5</v>
      </c>
      <c r="Z60" s="20">
        <f t="shared" si="9"/>
        <v>449.5</v>
      </c>
      <c r="AA60" s="20">
        <f t="shared" si="10"/>
        <v>0</v>
      </c>
    </row>
    <row r="61" spans="1:27" ht="15.75" customHeight="1">
      <c r="A61" s="14" t="s">
        <v>132</v>
      </c>
      <c r="B61" s="15" t="s">
        <v>133</v>
      </c>
      <c r="C61" s="16">
        <v>2100</v>
      </c>
      <c r="D61" s="16">
        <v>2100</v>
      </c>
      <c r="E61" s="17">
        <v>1</v>
      </c>
      <c r="F61" s="18">
        <v>0</v>
      </c>
      <c r="G61" s="18">
        <v>0</v>
      </c>
      <c r="H61" s="18">
        <v>0</v>
      </c>
      <c r="I61" s="17">
        <v>0</v>
      </c>
      <c r="J61" s="17">
        <f t="shared" si="0"/>
        <v>1</v>
      </c>
      <c r="K61" s="17">
        <v>1</v>
      </c>
      <c r="L61" s="17">
        <v>1</v>
      </c>
      <c r="M61" s="17" t="b">
        <f t="shared" si="11"/>
        <v>1</v>
      </c>
      <c r="N61" s="17">
        <v>0</v>
      </c>
      <c r="O61" s="17">
        <v>0</v>
      </c>
      <c r="P61" s="17">
        <f t="shared" si="1"/>
        <v>1</v>
      </c>
      <c r="Q61" s="17">
        <f t="shared" si="2"/>
        <v>0</v>
      </c>
      <c r="R61" s="3"/>
      <c r="S61" s="19">
        <f t="shared" si="3"/>
        <v>2100</v>
      </c>
      <c r="T61" s="19">
        <v>0</v>
      </c>
      <c r="U61" s="19">
        <f t="shared" si="4"/>
        <v>0</v>
      </c>
      <c r="V61" s="19">
        <f t="shared" si="5"/>
        <v>0</v>
      </c>
      <c r="W61" s="19">
        <f t="shared" si="6"/>
        <v>0</v>
      </c>
      <c r="X61" s="19">
        <f t="shared" si="7"/>
        <v>0</v>
      </c>
      <c r="Y61" s="19">
        <f t="shared" si="8"/>
        <v>2100</v>
      </c>
      <c r="Z61" s="20">
        <f t="shared" si="9"/>
        <v>2100</v>
      </c>
      <c r="AA61" s="20">
        <f t="shared" si="10"/>
        <v>0</v>
      </c>
    </row>
    <row r="62" spans="1:27" ht="15.75" customHeight="1">
      <c r="A62" s="14" t="s">
        <v>134</v>
      </c>
      <c r="B62" s="15" t="s">
        <v>135</v>
      </c>
      <c r="C62" s="16">
        <v>4205</v>
      </c>
      <c r="D62" s="16">
        <v>4205</v>
      </c>
      <c r="E62" s="17">
        <v>1</v>
      </c>
      <c r="F62" s="18">
        <v>0</v>
      </c>
      <c r="G62" s="18">
        <v>0</v>
      </c>
      <c r="H62" s="18">
        <v>0</v>
      </c>
      <c r="I62" s="17">
        <v>0</v>
      </c>
      <c r="J62" s="17">
        <f t="shared" si="0"/>
        <v>1</v>
      </c>
      <c r="K62" s="17">
        <v>1</v>
      </c>
      <c r="L62" s="17">
        <v>1</v>
      </c>
      <c r="M62" s="17" t="b">
        <f t="shared" si="11"/>
        <v>1</v>
      </c>
      <c r="N62" s="17">
        <v>0</v>
      </c>
      <c r="O62" s="17">
        <v>0</v>
      </c>
      <c r="P62" s="17">
        <f t="shared" si="1"/>
        <v>1</v>
      </c>
      <c r="Q62" s="17">
        <f t="shared" si="2"/>
        <v>0</v>
      </c>
      <c r="R62" s="3"/>
      <c r="S62" s="19">
        <f t="shared" si="3"/>
        <v>4205</v>
      </c>
      <c r="T62" s="19">
        <v>0</v>
      </c>
      <c r="U62" s="19">
        <f t="shared" si="4"/>
        <v>0</v>
      </c>
      <c r="V62" s="19">
        <f t="shared" si="5"/>
        <v>0</v>
      </c>
      <c r="W62" s="19">
        <f t="shared" si="6"/>
        <v>0</v>
      </c>
      <c r="X62" s="19">
        <f t="shared" si="7"/>
        <v>0</v>
      </c>
      <c r="Y62" s="19">
        <f t="shared" si="8"/>
        <v>4205</v>
      </c>
      <c r="Z62" s="20">
        <f t="shared" si="9"/>
        <v>4205</v>
      </c>
      <c r="AA62" s="20">
        <f t="shared" si="10"/>
        <v>0</v>
      </c>
    </row>
    <row r="63" spans="1:27" ht="15.75" customHeight="1">
      <c r="A63" s="14" t="s">
        <v>136</v>
      </c>
      <c r="B63" s="15" t="s">
        <v>137</v>
      </c>
      <c r="C63" s="16">
        <v>406</v>
      </c>
      <c r="D63" s="16">
        <v>406</v>
      </c>
      <c r="E63" s="17">
        <v>3</v>
      </c>
      <c r="F63" s="18">
        <v>0</v>
      </c>
      <c r="G63" s="18">
        <v>0</v>
      </c>
      <c r="H63" s="18">
        <v>0</v>
      </c>
      <c r="I63" s="17">
        <v>0</v>
      </c>
      <c r="J63" s="17">
        <f t="shared" si="0"/>
        <v>3</v>
      </c>
      <c r="K63" s="17">
        <v>0</v>
      </c>
      <c r="L63" s="17">
        <v>0</v>
      </c>
      <c r="M63" s="17" t="b">
        <f t="shared" si="11"/>
        <v>1</v>
      </c>
      <c r="N63" s="17">
        <v>0</v>
      </c>
      <c r="O63" s="17">
        <v>3</v>
      </c>
      <c r="P63" s="17">
        <f t="shared" si="1"/>
        <v>3</v>
      </c>
      <c r="Q63" s="17">
        <f t="shared" si="2"/>
        <v>0</v>
      </c>
      <c r="R63" s="3"/>
      <c r="S63" s="19">
        <f t="shared" si="3"/>
        <v>1218</v>
      </c>
      <c r="T63" s="19">
        <v>0</v>
      </c>
      <c r="U63" s="19">
        <f t="shared" si="4"/>
        <v>0</v>
      </c>
      <c r="V63" s="19">
        <f t="shared" si="5"/>
        <v>0</v>
      </c>
      <c r="W63" s="19">
        <f t="shared" si="6"/>
        <v>0</v>
      </c>
      <c r="X63" s="19">
        <f t="shared" si="7"/>
        <v>0</v>
      </c>
      <c r="Y63" s="19">
        <f t="shared" si="8"/>
        <v>1218</v>
      </c>
      <c r="Z63" s="20">
        <f t="shared" si="9"/>
        <v>1218</v>
      </c>
      <c r="AA63" s="20">
        <f t="shared" si="10"/>
        <v>0</v>
      </c>
    </row>
    <row r="64" spans="1:27" ht="15.75" customHeight="1">
      <c r="A64" s="14" t="s">
        <v>138</v>
      </c>
      <c r="B64" s="15" t="s">
        <v>139</v>
      </c>
      <c r="C64" s="16">
        <v>580</v>
      </c>
      <c r="D64" s="16">
        <v>580</v>
      </c>
      <c r="E64" s="17">
        <v>0</v>
      </c>
      <c r="F64" s="18">
        <v>0</v>
      </c>
      <c r="G64" s="18">
        <v>0</v>
      </c>
      <c r="H64" s="18">
        <v>0</v>
      </c>
      <c r="I64" s="17">
        <v>0</v>
      </c>
      <c r="J64" s="17">
        <f t="shared" si="0"/>
        <v>0</v>
      </c>
      <c r="K64" s="17">
        <v>0</v>
      </c>
      <c r="L64" s="17">
        <v>0</v>
      </c>
      <c r="M64" s="17" t="b">
        <f t="shared" si="11"/>
        <v>1</v>
      </c>
      <c r="N64" s="17">
        <v>0</v>
      </c>
      <c r="O64" s="17">
        <v>0</v>
      </c>
      <c r="P64" s="17">
        <f t="shared" si="1"/>
        <v>0</v>
      </c>
      <c r="Q64" s="17">
        <f t="shared" si="2"/>
        <v>0</v>
      </c>
      <c r="R64" s="3"/>
      <c r="S64" s="19">
        <f t="shared" si="3"/>
        <v>0</v>
      </c>
      <c r="T64" s="19">
        <v>0</v>
      </c>
      <c r="U64" s="19">
        <f t="shared" si="4"/>
        <v>0</v>
      </c>
      <c r="V64" s="19">
        <f t="shared" si="5"/>
        <v>0</v>
      </c>
      <c r="W64" s="19">
        <f t="shared" si="6"/>
        <v>0</v>
      </c>
      <c r="X64" s="19">
        <f t="shared" si="7"/>
        <v>0</v>
      </c>
      <c r="Y64" s="19">
        <f t="shared" si="8"/>
        <v>0</v>
      </c>
      <c r="Z64" s="20">
        <f t="shared" si="9"/>
        <v>0</v>
      </c>
      <c r="AA64" s="20">
        <f t="shared" si="10"/>
        <v>0</v>
      </c>
    </row>
    <row r="65" spans="1:27" ht="15.75" customHeight="1">
      <c r="A65" s="14" t="s">
        <v>140</v>
      </c>
      <c r="B65" s="15" t="s">
        <v>141</v>
      </c>
      <c r="C65" s="16">
        <v>9</v>
      </c>
      <c r="D65" s="16">
        <v>9</v>
      </c>
      <c r="E65" s="17">
        <v>10</v>
      </c>
      <c r="F65" s="18">
        <v>0</v>
      </c>
      <c r="G65" s="18">
        <v>0</v>
      </c>
      <c r="H65" s="18">
        <v>0</v>
      </c>
      <c r="I65" s="17">
        <v>0</v>
      </c>
      <c r="J65" s="17">
        <f t="shared" si="0"/>
        <v>10</v>
      </c>
      <c r="K65" s="17">
        <v>10</v>
      </c>
      <c r="L65" s="17">
        <v>10</v>
      </c>
      <c r="M65" s="17" t="b">
        <f t="shared" si="11"/>
        <v>1</v>
      </c>
      <c r="N65" s="17">
        <v>0</v>
      </c>
      <c r="O65" s="17">
        <v>0</v>
      </c>
      <c r="P65" s="17">
        <f t="shared" si="1"/>
        <v>10</v>
      </c>
      <c r="Q65" s="17">
        <f t="shared" si="2"/>
        <v>0</v>
      </c>
      <c r="R65" s="3"/>
      <c r="S65" s="19">
        <f t="shared" si="3"/>
        <v>90</v>
      </c>
      <c r="T65" s="19">
        <v>0</v>
      </c>
      <c r="U65" s="19">
        <f t="shared" si="4"/>
        <v>0</v>
      </c>
      <c r="V65" s="19">
        <f t="shared" si="5"/>
        <v>0</v>
      </c>
      <c r="W65" s="19">
        <f t="shared" si="6"/>
        <v>0</v>
      </c>
      <c r="X65" s="19">
        <f t="shared" si="7"/>
        <v>0</v>
      </c>
      <c r="Y65" s="19">
        <f t="shared" si="8"/>
        <v>90</v>
      </c>
      <c r="Z65" s="20">
        <f t="shared" si="9"/>
        <v>90</v>
      </c>
      <c r="AA65" s="20">
        <f t="shared" si="10"/>
        <v>0</v>
      </c>
    </row>
    <row r="66" spans="1:27" ht="15.75" customHeight="1">
      <c r="A66" s="14" t="s">
        <v>142</v>
      </c>
      <c r="B66" s="15" t="s">
        <v>143</v>
      </c>
      <c r="C66" s="16">
        <v>13720</v>
      </c>
      <c r="D66" s="16">
        <v>13720</v>
      </c>
      <c r="E66" s="17">
        <v>2</v>
      </c>
      <c r="F66" s="18">
        <v>0</v>
      </c>
      <c r="G66" s="18">
        <v>0</v>
      </c>
      <c r="H66" s="18">
        <v>0</v>
      </c>
      <c r="I66" s="17">
        <v>0</v>
      </c>
      <c r="J66" s="17">
        <f t="shared" si="0"/>
        <v>2</v>
      </c>
      <c r="K66" s="17">
        <v>2</v>
      </c>
      <c r="L66" s="17">
        <v>2</v>
      </c>
      <c r="M66" s="17" t="b">
        <f t="shared" si="11"/>
        <v>1</v>
      </c>
      <c r="N66" s="17">
        <v>0</v>
      </c>
      <c r="O66" s="17">
        <v>0</v>
      </c>
      <c r="P66" s="17">
        <f t="shared" si="1"/>
        <v>2</v>
      </c>
      <c r="Q66" s="17">
        <f t="shared" si="2"/>
        <v>0</v>
      </c>
      <c r="R66" s="3"/>
      <c r="S66" s="19">
        <f t="shared" si="3"/>
        <v>27440</v>
      </c>
      <c r="T66" s="19">
        <v>0</v>
      </c>
      <c r="U66" s="19">
        <f t="shared" si="4"/>
        <v>0</v>
      </c>
      <c r="V66" s="19">
        <f t="shared" si="5"/>
        <v>0</v>
      </c>
      <c r="W66" s="19">
        <f t="shared" si="6"/>
        <v>0</v>
      </c>
      <c r="X66" s="19">
        <f t="shared" si="7"/>
        <v>0</v>
      </c>
      <c r="Y66" s="19">
        <f t="shared" si="8"/>
        <v>27440</v>
      </c>
      <c r="Z66" s="20">
        <f t="shared" si="9"/>
        <v>27440</v>
      </c>
      <c r="AA66" s="20">
        <f t="shared" si="10"/>
        <v>0</v>
      </c>
    </row>
    <row r="67" spans="1:27" ht="15.75" customHeight="1">
      <c r="A67" s="14" t="s">
        <v>144</v>
      </c>
      <c r="B67" s="15" t="s">
        <v>145</v>
      </c>
      <c r="C67" s="16">
        <v>940</v>
      </c>
      <c r="D67" s="16">
        <v>940</v>
      </c>
      <c r="E67" s="17">
        <v>1</v>
      </c>
      <c r="F67" s="18">
        <v>0</v>
      </c>
      <c r="G67" s="18">
        <v>0</v>
      </c>
      <c r="H67" s="18">
        <v>0</v>
      </c>
      <c r="I67" s="17">
        <v>0</v>
      </c>
      <c r="J67" s="17">
        <f t="shared" si="0"/>
        <v>1</v>
      </c>
      <c r="K67" s="17">
        <v>1</v>
      </c>
      <c r="L67" s="17">
        <v>1</v>
      </c>
      <c r="M67" s="17" t="b">
        <f t="shared" si="11"/>
        <v>1</v>
      </c>
      <c r="N67" s="17">
        <v>0</v>
      </c>
      <c r="O67" s="17">
        <v>0</v>
      </c>
      <c r="P67" s="17">
        <f t="shared" si="1"/>
        <v>1</v>
      </c>
      <c r="Q67" s="17">
        <f t="shared" si="2"/>
        <v>0</v>
      </c>
      <c r="R67" s="3"/>
      <c r="S67" s="19">
        <f t="shared" si="3"/>
        <v>940</v>
      </c>
      <c r="T67" s="19">
        <v>0</v>
      </c>
      <c r="U67" s="19">
        <f t="shared" si="4"/>
        <v>0</v>
      </c>
      <c r="V67" s="19">
        <f t="shared" si="5"/>
        <v>0</v>
      </c>
      <c r="W67" s="19">
        <f t="shared" si="6"/>
        <v>0</v>
      </c>
      <c r="X67" s="19">
        <f t="shared" si="7"/>
        <v>0</v>
      </c>
      <c r="Y67" s="19">
        <f t="shared" si="8"/>
        <v>940</v>
      </c>
      <c r="Z67" s="20">
        <f t="shared" si="9"/>
        <v>940</v>
      </c>
      <c r="AA67" s="20">
        <f t="shared" si="10"/>
        <v>0</v>
      </c>
    </row>
    <row r="68" spans="1:27" ht="15.75" customHeight="1">
      <c r="A68" s="14" t="s">
        <v>146</v>
      </c>
      <c r="B68" s="15" t="s">
        <v>147</v>
      </c>
      <c r="C68" s="16">
        <v>24.58</v>
      </c>
      <c r="D68" s="16">
        <v>24.58</v>
      </c>
      <c r="E68" s="17">
        <v>2</v>
      </c>
      <c r="F68" s="18">
        <v>0</v>
      </c>
      <c r="G68" s="18">
        <v>0</v>
      </c>
      <c r="H68" s="18">
        <v>0</v>
      </c>
      <c r="I68" s="17">
        <v>0</v>
      </c>
      <c r="J68" s="17">
        <f t="shared" si="0"/>
        <v>2</v>
      </c>
      <c r="K68" s="17">
        <v>2</v>
      </c>
      <c r="L68" s="17">
        <v>2</v>
      </c>
      <c r="M68" s="17" t="b">
        <f t="shared" si="11"/>
        <v>1</v>
      </c>
      <c r="N68" s="17">
        <v>0</v>
      </c>
      <c r="O68" s="17">
        <v>0</v>
      </c>
      <c r="P68" s="17">
        <f t="shared" si="1"/>
        <v>2</v>
      </c>
      <c r="Q68" s="17">
        <f t="shared" si="2"/>
        <v>0</v>
      </c>
      <c r="R68" s="3"/>
      <c r="S68" s="19">
        <f t="shared" si="3"/>
        <v>49.16</v>
      </c>
      <c r="T68" s="19">
        <v>0</v>
      </c>
      <c r="U68" s="19">
        <f t="shared" si="4"/>
        <v>0</v>
      </c>
      <c r="V68" s="19">
        <f t="shared" si="5"/>
        <v>0</v>
      </c>
      <c r="W68" s="19">
        <f t="shared" si="6"/>
        <v>0</v>
      </c>
      <c r="X68" s="19">
        <f t="shared" si="7"/>
        <v>0</v>
      </c>
      <c r="Y68" s="19">
        <f t="shared" si="8"/>
        <v>49.16</v>
      </c>
      <c r="Z68" s="20">
        <f t="shared" si="9"/>
        <v>49.16</v>
      </c>
      <c r="AA68" s="20">
        <f t="shared" si="10"/>
        <v>0</v>
      </c>
    </row>
    <row r="69" spans="1:27" ht="15.75" customHeight="1">
      <c r="A69" s="14" t="s">
        <v>148</v>
      </c>
      <c r="B69" s="15" t="s">
        <v>149</v>
      </c>
      <c r="C69" s="16">
        <v>890</v>
      </c>
      <c r="D69" s="16">
        <v>890</v>
      </c>
      <c r="E69" s="17">
        <v>1</v>
      </c>
      <c r="F69" s="18">
        <v>0</v>
      </c>
      <c r="G69" s="18">
        <v>0</v>
      </c>
      <c r="H69" s="18">
        <v>0</v>
      </c>
      <c r="I69" s="17">
        <v>0</v>
      </c>
      <c r="J69" s="17">
        <f t="shared" si="0"/>
        <v>1</v>
      </c>
      <c r="K69" s="17">
        <v>1</v>
      </c>
      <c r="L69" s="17">
        <v>1</v>
      </c>
      <c r="M69" s="17" t="b">
        <f t="shared" si="11"/>
        <v>1</v>
      </c>
      <c r="N69" s="17">
        <v>0</v>
      </c>
      <c r="O69" s="17">
        <v>0</v>
      </c>
      <c r="P69" s="17">
        <f t="shared" si="1"/>
        <v>1</v>
      </c>
      <c r="Q69" s="17">
        <f t="shared" si="2"/>
        <v>0</v>
      </c>
      <c r="R69" s="3"/>
      <c r="S69" s="19">
        <f t="shared" si="3"/>
        <v>890</v>
      </c>
      <c r="T69" s="19">
        <v>0</v>
      </c>
      <c r="U69" s="19">
        <f t="shared" si="4"/>
        <v>0</v>
      </c>
      <c r="V69" s="19">
        <f t="shared" si="5"/>
        <v>0</v>
      </c>
      <c r="W69" s="19">
        <f t="shared" si="6"/>
        <v>0</v>
      </c>
      <c r="X69" s="19">
        <f t="shared" si="7"/>
        <v>0</v>
      </c>
      <c r="Y69" s="19">
        <f t="shared" si="8"/>
        <v>890</v>
      </c>
      <c r="Z69" s="20">
        <f t="shared" si="9"/>
        <v>890</v>
      </c>
      <c r="AA69" s="20">
        <f t="shared" si="10"/>
        <v>0</v>
      </c>
    </row>
    <row r="70" spans="1:27" ht="15.75" customHeight="1">
      <c r="A70" s="14" t="s">
        <v>150</v>
      </c>
      <c r="B70" s="15" t="s">
        <v>151</v>
      </c>
      <c r="C70" s="16">
        <v>0</v>
      </c>
      <c r="D70" s="16">
        <v>0</v>
      </c>
      <c r="E70" s="17">
        <v>0</v>
      </c>
      <c r="F70" s="18">
        <v>0</v>
      </c>
      <c r="G70" s="18">
        <v>0</v>
      </c>
      <c r="H70" s="18">
        <v>0</v>
      </c>
      <c r="I70" s="17">
        <v>0</v>
      </c>
      <c r="J70" s="17">
        <f t="shared" si="0"/>
        <v>0</v>
      </c>
      <c r="K70" s="17">
        <v>0</v>
      </c>
      <c r="L70" s="17">
        <v>0</v>
      </c>
      <c r="M70" s="17" t="b">
        <f t="shared" si="11"/>
        <v>1</v>
      </c>
      <c r="N70" s="17">
        <v>0</v>
      </c>
      <c r="O70" s="17">
        <v>0</v>
      </c>
      <c r="P70" s="17">
        <f t="shared" si="1"/>
        <v>0</v>
      </c>
      <c r="Q70" s="17">
        <f t="shared" si="2"/>
        <v>0</v>
      </c>
      <c r="R70" s="3"/>
      <c r="S70" s="19">
        <f t="shared" si="3"/>
        <v>0</v>
      </c>
      <c r="T70" s="19">
        <v>0</v>
      </c>
      <c r="U70" s="19">
        <f t="shared" si="4"/>
        <v>0</v>
      </c>
      <c r="V70" s="19">
        <f t="shared" si="5"/>
        <v>0</v>
      </c>
      <c r="W70" s="19">
        <f t="shared" si="6"/>
        <v>0</v>
      </c>
      <c r="X70" s="19">
        <f t="shared" si="7"/>
        <v>0</v>
      </c>
      <c r="Y70" s="19">
        <f t="shared" si="8"/>
        <v>0</v>
      </c>
      <c r="Z70" s="20">
        <f t="shared" si="9"/>
        <v>0</v>
      </c>
      <c r="AA70" s="20">
        <f t="shared" si="10"/>
        <v>0</v>
      </c>
    </row>
    <row r="71" spans="1:27" ht="15.75" customHeight="1">
      <c r="A71" s="14" t="s">
        <v>152</v>
      </c>
      <c r="B71" s="15" t="s">
        <v>153</v>
      </c>
      <c r="C71" s="16">
        <v>560</v>
      </c>
      <c r="D71" s="16">
        <v>560</v>
      </c>
      <c r="E71" s="17">
        <v>2</v>
      </c>
      <c r="F71" s="18">
        <v>0</v>
      </c>
      <c r="G71" s="18">
        <v>0</v>
      </c>
      <c r="H71" s="18">
        <v>0</v>
      </c>
      <c r="I71" s="17">
        <v>0</v>
      </c>
      <c r="J71" s="17">
        <f t="shared" ref="J71:J134" si="12">E71+F71+G71-H71-I71</f>
        <v>2</v>
      </c>
      <c r="K71" s="17">
        <v>2</v>
      </c>
      <c r="L71" s="17">
        <v>2</v>
      </c>
      <c r="M71" s="17" t="b">
        <f t="shared" si="11"/>
        <v>1</v>
      </c>
      <c r="N71" s="17">
        <v>0</v>
      </c>
      <c r="O71" s="17">
        <v>0</v>
      </c>
      <c r="P71" s="17">
        <f t="shared" ref="P71:P134" si="13">K71+N71+O71</f>
        <v>2</v>
      </c>
      <c r="Q71" s="17">
        <f t="shared" ref="Q71:Q134" si="14">P71-J71</f>
        <v>0</v>
      </c>
      <c r="R71" s="3"/>
      <c r="S71" s="19">
        <f t="shared" ref="S71:S134" si="15">C71*E71</f>
        <v>1120</v>
      </c>
      <c r="T71" s="19">
        <v>0</v>
      </c>
      <c r="U71" s="19">
        <f t="shared" ref="U71:U134" si="16">D71*F71</f>
        <v>0</v>
      </c>
      <c r="V71" s="19">
        <f t="shared" ref="V71:V134" si="17">D71*G71</f>
        <v>0</v>
      </c>
      <c r="W71" s="19">
        <f t="shared" ref="W71:W134" si="18">D71*H71</f>
        <v>0</v>
      </c>
      <c r="X71" s="19">
        <f t="shared" ref="X71:X134" si="19">D71*I71</f>
        <v>0</v>
      </c>
      <c r="Y71" s="19">
        <f t="shared" ref="Y71:Y134" si="20">S71+T71+U71+V71-W71-X71</f>
        <v>1120</v>
      </c>
      <c r="Z71" s="20">
        <f t="shared" ref="Z71:Z134" si="21">J71*D71</f>
        <v>1120</v>
      </c>
      <c r="AA71" s="20">
        <f t="shared" ref="AA71:AA134" si="22">Z71-Y71</f>
        <v>0</v>
      </c>
    </row>
    <row r="72" spans="1:27" ht="15.75" customHeight="1">
      <c r="A72" s="14" t="s">
        <v>154</v>
      </c>
      <c r="B72" s="15" t="s">
        <v>155</v>
      </c>
      <c r="C72" s="16">
        <v>36</v>
      </c>
      <c r="D72" s="16">
        <v>36</v>
      </c>
      <c r="E72" s="17">
        <v>0</v>
      </c>
      <c r="F72" s="18">
        <v>0</v>
      </c>
      <c r="G72" s="18">
        <v>0</v>
      </c>
      <c r="H72" s="18">
        <v>0</v>
      </c>
      <c r="I72" s="17">
        <v>0</v>
      </c>
      <c r="J72" s="17">
        <f t="shared" si="12"/>
        <v>0</v>
      </c>
      <c r="K72" s="17">
        <v>0</v>
      </c>
      <c r="L72" s="17">
        <v>0</v>
      </c>
      <c r="M72" s="17" t="b">
        <f t="shared" ref="M72:M135" si="23">K72=L72</f>
        <v>1</v>
      </c>
      <c r="N72" s="17">
        <v>0</v>
      </c>
      <c r="O72" s="17">
        <v>0</v>
      </c>
      <c r="P72" s="17">
        <f t="shared" si="13"/>
        <v>0</v>
      </c>
      <c r="Q72" s="17">
        <f t="shared" si="14"/>
        <v>0</v>
      </c>
      <c r="R72" s="3"/>
      <c r="S72" s="19">
        <f t="shared" si="15"/>
        <v>0</v>
      </c>
      <c r="T72" s="19">
        <v>0</v>
      </c>
      <c r="U72" s="19">
        <f t="shared" si="16"/>
        <v>0</v>
      </c>
      <c r="V72" s="19">
        <f t="shared" si="17"/>
        <v>0</v>
      </c>
      <c r="W72" s="19">
        <f t="shared" si="18"/>
        <v>0</v>
      </c>
      <c r="X72" s="19">
        <f t="shared" si="19"/>
        <v>0</v>
      </c>
      <c r="Y72" s="19">
        <f t="shared" si="20"/>
        <v>0</v>
      </c>
      <c r="Z72" s="20">
        <f t="shared" si="21"/>
        <v>0</v>
      </c>
      <c r="AA72" s="20">
        <f t="shared" si="22"/>
        <v>0</v>
      </c>
    </row>
    <row r="73" spans="1:27" ht="15.75" customHeight="1">
      <c r="A73" s="14" t="s">
        <v>156</v>
      </c>
      <c r="B73" s="15" t="s">
        <v>157</v>
      </c>
      <c r="C73" s="16">
        <v>1122</v>
      </c>
      <c r="D73" s="16">
        <v>1122</v>
      </c>
      <c r="E73" s="17">
        <v>0</v>
      </c>
      <c r="F73" s="18">
        <v>0</v>
      </c>
      <c r="G73" s="18">
        <v>0</v>
      </c>
      <c r="H73" s="18">
        <v>0</v>
      </c>
      <c r="I73" s="17">
        <v>0</v>
      </c>
      <c r="J73" s="17">
        <f t="shared" si="12"/>
        <v>0</v>
      </c>
      <c r="K73" s="17">
        <v>0</v>
      </c>
      <c r="L73" s="17">
        <v>0</v>
      </c>
      <c r="M73" s="17" t="b">
        <f t="shared" si="23"/>
        <v>1</v>
      </c>
      <c r="N73" s="17">
        <v>0</v>
      </c>
      <c r="O73" s="17">
        <v>0</v>
      </c>
      <c r="P73" s="17">
        <f t="shared" si="13"/>
        <v>0</v>
      </c>
      <c r="Q73" s="17">
        <f t="shared" si="14"/>
        <v>0</v>
      </c>
      <c r="R73" s="3"/>
      <c r="S73" s="19">
        <f t="shared" si="15"/>
        <v>0</v>
      </c>
      <c r="T73" s="19">
        <v>0</v>
      </c>
      <c r="U73" s="19">
        <f t="shared" si="16"/>
        <v>0</v>
      </c>
      <c r="V73" s="19">
        <f t="shared" si="17"/>
        <v>0</v>
      </c>
      <c r="W73" s="19">
        <f t="shared" si="18"/>
        <v>0</v>
      </c>
      <c r="X73" s="19">
        <f t="shared" si="19"/>
        <v>0</v>
      </c>
      <c r="Y73" s="19">
        <f t="shared" si="20"/>
        <v>0</v>
      </c>
      <c r="Z73" s="20">
        <f t="shared" si="21"/>
        <v>0</v>
      </c>
      <c r="AA73" s="20">
        <f t="shared" si="22"/>
        <v>0</v>
      </c>
    </row>
    <row r="74" spans="1:27" ht="15.75" customHeight="1">
      <c r="A74" s="14" t="s">
        <v>158</v>
      </c>
      <c r="B74" s="15" t="s">
        <v>159</v>
      </c>
      <c r="C74" s="16">
        <v>0</v>
      </c>
      <c r="D74" s="16">
        <v>0</v>
      </c>
      <c r="E74" s="17">
        <v>0</v>
      </c>
      <c r="F74" s="18">
        <v>0</v>
      </c>
      <c r="G74" s="18">
        <v>0</v>
      </c>
      <c r="H74" s="18">
        <v>0</v>
      </c>
      <c r="I74" s="17">
        <v>0</v>
      </c>
      <c r="J74" s="17">
        <f t="shared" si="12"/>
        <v>0</v>
      </c>
      <c r="K74" s="17">
        <v>0</v>
      </c>
      <c r="L74" s="17">
        <v>0</v>
      </c>
      <c r="M74" s="17" t="b">
        <f t="shared" si="23"/>
        <v>1</v>
      </c>
      <c r="N74" s="17">
        <v>0</v>
      </c>
      <c r="O74" s="17">
        <v>0</v>
      </c>
      <c r="P74" s="17">
        <f t="shared" si="13"/>
        <v>0</v>
      </c>
      <c r="Q74" s="17">
        <f t="shared" si="14"/>
        <v>0</v>
      </c>
      <c r="R74" s="3"/>
      <c r="S74" s="19">
        <f t="shared" si="15"/>
        <v>0</v>
      </c>
      <c r="T74" s="19">
        <v>0</v>
      </c>
      <c r="U74" s="19">
        <f t="shared" si="16"/>
        <v>0</v>
      </c>
      <c r="V74" s="19">
        <f t="shared" si="17"/>
        <v>0</v>
      </c>
      <c r="W74" s="19">
        <f t="shared" si="18"/>
        <v>0</v>
      </c>
      <c r="X74" s="19">
        <f t="shared" si="19"/>
        <v>0</v>
      </c>
      <c r="Y74" s="19">
        <f t="shared" si="20"/>
        <v>0</v>
      </c>
      <c r="Z74" s="20">
        <f t="shared" si="21"/>
        <v>0</v>
      </c>
      <c r="AA74" s="20">
        <f t="shared" si="22"/>
        <v>0</v>
      </c>
    </row>
    <row r="75" spans="1:27" ht="15.75" customHeight="1">
      <c r="A75" s="14" t="s">
        <v>160</v>
      </c>
      <c r="B75" s="15" t="s">
        <v>161</v>
      </c>
      <c r="C75" s="16">
        <v>0</v>
      </c>
      <c r="D75" s="16">
        <v>0</v>
      </c>
      <c r="E75" s="17">
        <v>0</v>
      </c>
      <c r="F75" s="18">
        <v>0</v>
      </c>
      <c r="G75" s="18">
        <v>0</v>
      </c>
      <c r="H75" s="18">
        <v>0</v>
      </c>
      <c r="I75" s="17">
        <v>0</v>
      </c>
      <c r="J75" s="17">
        <f t="shared" si="12"/>
        <v>0</v>
      </c>
      <c r="K75" s="17">
        <v>0</v>
      </c>
      <c r="L75" s="17">
        <v>0</v>
      </c>
      <c r="M75" s="17" t="b">
        <f t="shared" si="23"/>
        <v>1</v>
      </c>
      <c r="N75" s="17">
        <v>0</v>
      </c>
      <c r="O75" s="17">
        <v>0</v>
      </c>
      <c r="P75" s="17">
        <f t="shared" si="13"/>
        <v>0</v>
      </c>
      <c r="Q75" s="17">
        <f t="shared" si="14"/>
        <v>0</v>
      </c>
      <c r="R75" s="3"/>
      <c r="S75" s="19">
        <f t="shared" si="15"/>
        <v>0</v>
      </c>
      <c r="T75" s="19">
        <v>0</v>
      </c>
      <c r="U75" s="19">
        <f t="shared" si="16"/>
        <v>0</v>
      </c>
      <c r="V75" s="19">
        <f t="shared" si="17"/>
        <v>0</v>
      </c>
      <c r="W75" s="19">
        <f t="shared" si="18"/>
        <v>0</v>
      </c>
      <c r="X75" s="19">
        <f t="shared" si="19"/>
        <v>0</v>
      </c>
      <c r="Y75" s="19">
        <f t="shared" si="20"/>
        <v>0</v>
      </c>
      <c r="Z75" s="20">
        <f t="shared" si="21"/>
        <v>0</v>
      </c>
      <c r="AA75" s="20">
        <f t="shared" si="22"/>
        <v>0</v>
      </c>
    </row>
    <row r="76" spans="1:27" ht="15.75" customHeight="1">
      <c r="A76" s="14" t="s">
        <v>162</v>
      </c>
      <c r="B76" s="15" t="s">
        <v>163</v>
      </c>
      <c r="C76" s="16">
        <v>1000</v>
      </c>
      <c r="D76" s="16">
        <v>1000</v>
      </c>
      <c r="E76" s="17">
        <v>2</v>
      </c>
      <c r="F76" s="18">
        <v>0</v>
      </c>
      <c r="G76" s="18">
        <v>0</v>
      </c>
      <c r="H76" s="18">
        <v>0</v>
      </c>
      <c r="I76" s="17">
        <v>0</v>
      </c>
      <c r="J76" s="17">
        <f t="shared" si="12"/>
        <v>2</v>
      </c>
      <c r="K76" s="17">
        <v>0</v>
      </c>
      <c r="L76" s="17">
        <v>0</v>
      </c>
      <c r="M76" s="17" t="b">
        <f t="shared" si="23"/>
        <v>1</v>
      </c>
      <c r="N76" s="17">
        <v>0</v>
      </c>
      <c r="O76" s="17">
        <v>2</v>
      </c>
      <c r="P76" s="17">
        <f t="shared" si="13"/>
        <v>2</v>
      </c>
      <c r="Q76" s="17">
        <f t="shared" si="14"/>
        <v>0</v>
      </c>
      <c r="R76" s="3"/>
      <c r="S76" s="19">
        <f t="shared" si="15"/>
        <v>2000</v>
      </c>
      <c r="T76" s="19">
        <v>0</v>
      </c>
      <c r="U76" s="19">
        <f t="shared" si="16"/>
        <v>0</v>
      </c>
      <c r="V76" s="19">
        <f t="shared" si="17"/>
        <v>0</v>
      </c>
      <c r="W76" s="19">
        <f t="shared" si="18"/>
        <v>0</v>
      </c>
      <c r="X76" s="19">
        <f t="shared" si="19"/>
        <v>0</v>
      </c>
      <c r="Y76" s="19">
        <f t="shared" si="20"/>
        <v>2000</v>
      </c>
      <c r="Z76" s="20">
        <f t="shared" si="21"/>
        <v>2000</v>
      </c>
      <c r="AA76" s="20">
        <f t="shared" si="22"/>
        <v>0</v>
      </c>
    </row>
    <row r="77" spans="1:27" ht="15.75" customHeight="1">
      <c r="A77" s="14" t="s">
        <v>164</v>
      </c>
      <c r="B77" s="15" t="s">
        <v>165</v>
      </c>
      <c r="C77" s="16">
        <v>900</v>
      </c>
      <c r="D77" s="16">
        <v>900</v>
      </c>
      <c r="E77" s="17">
        <v>0</v>
      </c>
      <c r="F77" s="18">
        <v>0</v>
      </c>
      <c r="G77" s="18">
        <v>0</v>
      </c>
      <c r="H77" s="18">
        <v>0</v>
      </c>
      <c r="I77" s="17">
        <v>0</v>
      </c>
      <c r="J77" s="17">
        <f t="shared" si="12"/>
        <v>0</v>
      </c>
      <c r="K77" s="17">
        <v>0</v>
      </c>
      <c r="L77" s="17">
        <v>0</v>
      </c>
      <c r="M77" s="17" t="b">
        <f t="shared" si="23"/>
        <v>1</v>
      </c>
      <c r="N77" s="17">
        <v>0</v>
      </c>
      <c r="O77" s="17">
        <v>0</v>
      </c>
      <c r="P77" s="17">
        <f t="shared" si="13"/>
        <v>0</v>
      </c>
      <c r="Q77" s="17">
        <f t="shared" si="14"/>
        <v>0</v>
      </c>
      <c r="R77" s="3"/>
      <c r="S77" s="19">
        <f t="shared" si="15"/>
        <v>0</v>
      </c>
      <c r="T77" s="19">
        <v>0</v>
      </c>
      <c r="U77" s="19">
        <f t="shared" si="16"/>
        <v>0</v>
      </c>
      <c r="V77" s="19">
        <f t="shared" si="17"/>
        <v>0</v>
      </c>
      <c r="W77" s="19">
        <f t="shared" si="18"/>
        <v>0</v>
      </c>
      <c r="X77" s="19">
        <f t="shared" si="19"/>
        <v>0</v>
      </c>
      <c r="Y77" s="19">
        <f t="shared" si="20"/>
        <v>0</v>
      </c>
      <c r="Z77" s="20">
        <f t="shared" si="21"/>
        <v>0</v>
      </c>
      <c r="AA77" s="20">
        <f t="shared" si="22"/>
        <v>0</v>
      </c>
    </row>
    <row r="78" spans="1:27" ht="15.75" customHeight="1">
      <c r="A78" s="14" t="s">
        <v>166</v>
      </c>
      <c r="B78" s="15" t="s">
        <v>167</v>
      </c>
      <c r="C78" s="16">
        <v>1712</v>
      </c>
      <c r="D78" s="16">
        <v>1712</v>
      </c>
      <c r="E78" s="17">
        <v>2</v>
      </c>
      <c r="F78" s="18">
        <v>0</v>
      </c>
      <c r="G78" s="18">
        <v>0</v>
      </c>
      <c r="H78" s="18">
        <v>0</v>
      </c>
      <c r="I78" s="17">
        <v>0</v>
      </c>
      <c r="J78" s="17">
        <f t="shared" si="12"/>
        <v>2</v>
      </c>
      <c r="K78" s="17">
        <v>0</v>
      </c>
      <c r="L78" s="17">
        <v>0</v>
      </c>
      <c r="M78" s="17" t="b">
        <f t="shared" si="23"/>
        <v>1</v>
      </c>
      <c r="N78" s="17">
        <v>0</v>
      </c>
      <c r="O78" s="17">
        <v>2</v>
      </c>
      <c r="P78" s="17">
        <f t="shared" si="13"/>
        <v>2</v>
      </c>
      <c r="Q78" s="17">
        <f t="shared" si="14"/>
        <v>0</v>
      </c>
      <c r="R78" s="3"/>
      <c r="S78" s="19">
        <f t="shared" si="15"/>
        <v>3424</v>
      </c>
      <c r="T78" s="19">
        <v>0</v>
      </c>
      <c r="U78" s="19">
        <f t="shared" si="16"/>
        <v>0</v>
      </c>
      <c r="V78" s="19">
        <f t="shared" si="17"/>
        <v>0</v>
      </c>
      <c r="W78" s="19">
        <f t="shared" si="18"/>
        <v>0</v>
      </c>
      <c r="X78" s="19">
        <f t="shared" si="19"/>
        <v>0</v>
      </c>
      <c r="Y78" s="19">
        <f t="shared" si="20"/>
        <v>3424</v>
      </c>
      <c r="Z78" s="20">
        <f t="shared" si="21"/>
        <v>3424</v>
      </c>
      <c r="AA78" s="20">
        <f t="shared" si="22"/>
        <v>0</v>
      </c>
    </row>
    <row r="79" spans="1:27" ht="15.75" customHeight="1">
      <c r="A79" s="14" t="s">
        <v>168</v>
      </c>
      <c r="B79" s="15" t="s">
        <v>169</v>
      </c>
      <c r="C79" s="16">
        <v>490</v>
      </c>
      <c r="D79" s="16">
        <v>490</v>
      </c>
      <c r="E79" s="17">
        <v>4</v>
      </c>
      <c r="F79" s="18">
        <v>0</v>
      </c>
      <c r="G79" s="18">
        <v>0</v>
      </c>
      <c r="H79" s="18">
        <v>0</v>
      </c>
      <c r="I79" s="17">
        <v>0</v>
      </c>
      <c r="J79" s="17">
        <f t="shared" si="12"/>
        <v>4</v>
      </c>
      <c r="K79" s="17">
        <v>4</v>
      </c>
      <c r="L79" s="17">
        <v>4</v>
      </c>
      <c r="M79" s="17" t="b">
        <f t="shared" si="23"/>
        <v>1</v>
      </c>
      <c r="N79" s="17">
        <v>0</v>
      </c>
      <c r="O79" s="17">
        <v>0</v>
      </c>
      <c r="P79" s="17">
        <f t="shared" si="13"/>
        <v>4</v>
      </c>
      <c r="Q79" s="17">
        <f t="shared" si="14"/>
        <v>0</v>
      </c>
      <c r="R79" s="3"/>
      <c r="S79" s="19">
        <f t="shared" si="15"/>
        <v>1960</v>
      </c>
      <c r="T79" s="19">
        <v>0</v>
      </c>
      <c r="U79" s="19">
        <f t="shared" si="16"/>
        <v>0</v>
      </c>
      <c r="V79" s="19">
        <f t="shared" si="17"/>
        <v>0</v>
      </c>
      <c r="W79" s="19">
        <f t="shared" si="18"/>
        <v>0</v>
      </c>
      <c r="X79" s="19">
        <f t="shared" si="19"/>
        <v>0</v>
      </c>
      <c r="Y79" s="19">
        <f t="shared" si="20"/>
        <v>1960</v>
      </c>
      <c r="Z79" s="20">
        <f t="shared" si="21"/>
        <v>1960</v>
      </c>
      <c r="AA79" s="20">
        <f t="shared" si="22"/>
        <v>0</v>
      </c>
    </row>
    <row r="80" spans="1:27" ht="15.75" customHeight="1">
      <c r="A80" s="14" t="s">
        <v>170</v>
      </c>
      <c r="B80" s="15" t="s">
        <v>171</v>
      </c>
      <c r="C80" s="16">
        <v>5100</v>
      </c>
      <c r="D80" s="16">
        <v>5100</v>
      </c>
      <c r="E80" s="17">
        <v>1</v>
      </c>
      <c r="F80" s="18">
        <v>0</v>
      </c>
      <c r="G80" s="18">
        <v>0</v>
      </c>
      <c r="H80" s="18">
        <v>0</v>
      </c>
      <c r="I80" s="17">
        <v>0</v>
      </c>
      <c r="J80" s="17">
        <f t="shared" si="12"/>
        <v>1</v>
      </c>
      <c r="K80" s="17">
        <v>1</v>
      </c>
      <c r="L80" s="17">
        <v>1</v>
      </c>
      <c r="M80" s="17" t="b">
        <f t="shared" si="23"/>
        <v>1</v>
      </c>
      <c r="N80" s="17">
        <v>0</v>
      </c>
      <c r="O80" s="17">
        <v>0</v>
      </c>
      <c r="P80" s="17">
        <f t="shared" si="13"/>
        <v>1</v>
      </c>
      <c r="Q80" s="17">
        <f t="shared" si="14"/>
        <v>0</v>
      </c>
      <c r="R80" s="3"/>
      <c r="S80" s="19">
        <f t="shared" si="15"/>
        <v>5100</v>
      </c>
      <c r="T80" s="19">
        <v>0</v>
      </c>
      <c r="U80" s="19">
        <f t="shared" si="16"/>
        <v>0</v>
      </c>
      <c r="V80" s="19">
        <f t="shared" si="17"/>
        <v>0</v>
      </c>
      <c r="W80" s="19">
        <f t="shared" si="18"/>
        <v>0</v>
      </c>
      <c r="X80" s="19">
        <f t="shared" si="19"/>
        <v>0</v>
      </c>
      <c r="Y80" s="19">
        <f t="shared" si="20"/>
        <v>5100</v>
      </c>
      <c r="Z80" s="20">
        <f t="shared" si="21"/>
        <v>5100</v>
      </c>
      <c r="AA80" s="20">
        <f t="shared" si="22"/>
        <v>0</v>
      </c>
    </row>
    <row r="81" spans="1:27" ht="15.75" customHeight="1">
      <c r="A81" s="14" t="s">
        <v>172</v>
      </c>
      <c r="B81" s="15" t="s">
        <v>173</v>
      </c>
      <c r="C81" s="16">
        <v>79.92</v>
      </c>
      <c r="D81" s="16">
        <v>79.92</v>
      </c>
      <c r="E81" s="17">
        <v>2</v>
      </c>
      <c r="F81" s="18">
        <v>0</v>
      </c>
      <c r="G81" s="18">
        <v>0</v>
      </c>
      <c r="H81" s="18">
        <v>0</v>
      </c>
      <c r="I81" s="17">
        <v>0</v>
      </c>
      <c r="J81" s="17">
        <f t="shared" si="12"/>
        <v>2</v>
      </c>
      <c r="K81" s="17">
        <v>2</v>
      </c>
      <c r="L81" s="17">
        <v>2</v>
      </c>
      <c r="M81" s="17" t="b">
        <f t="shared" si="23"/>
        <v>1</v>
      </c>
      <c r="N81" s="17">
        <v>0</v>
      </c>
      <c r="O81" s="17">
        <v>0</v>
      </c>
      <c r="P81" s="17">
        <f t="shared" si="13"/>
        <v>2</v>
      </c>
      <c r="Q81" s="17">
        <f t="shared" si="14"/>
        <v>0</v>
      </c>
      <c r="R81" s="3"/>
      <c r="S81" s="19">
        <f t="shared" si="15"/>
        <v>159.84</v>
      </c>
      <c r="T81" s="19">
        <v>0</v>
      </c>
      <c r="U81" s="19">
        <f t="shared" si="16"/>
        <v>0</v>
      </c>
      <c r="V81" s="19">
        <f t="shared" si="17"/>
        <v>0</v>
      </c>
      <c r="W81" s="19">
        <f t="shared" si="18"/>
        <v>0</v>
      </c>
      <c r="X81" s="19">
        <f t="shared" si="19"/>
        <v>0</v>
      </c>
      <c r="Y81" s="19">
        <f t="shared" si="20"/>
        <v>159.84</v>
      </c>
      <c r="Z81" s="20">
        <f t="shared" si="21"/>
        <v>159.84</v>
      </c>
      <c r="AA81" s="20">
        <f t="shared" si="22"/>
        <v>0</v>
      </c>
    </row>
    <row r="82" spans="1:27" ht="15.75" customHeight="1">
      <c r="A82" s="14" t="s">
        <v>174</v>
      </c>
      <c r="B82" s="15" t="s">
        <v>175</v>
      </c>
      <c r="C82" s="16">
        <v>60.08</v>
      </c>
      <c r="D82" s="16">
        <v>60.08</v>
      </c>
      <c r="E82" s="17">
        <v>1</v>
      </c>
      <c r="F82" s="18">
        <v>0</v>
      </c>
      <c r="G82" s="18">
        <v>0</v>
      </c>
      <c r="H82" s="18">
        <v>0</v>
      </c>
      <c r="I82" s="17">
        <v>0</v>
      </c>
      <c r="J82" s="17">
        <f t="shared" si="12"/>
        <v>1</v>
      </c>
      <c r="K82" s="17">
        <v>1</v>
      </c>
      <c r="L82" s="17">
        <v>1</v>
      </c>
      <c r="M82" s="17" t="b">
        <f t="shared" si="23"/>
        <v>1</v>
      </c>
      <c r="N82" s="17">
        <v>0</v>
      </c>
      <c r="O82" s="17">
        <v>0</v>
      </c>
      <c r="P82" s="17">
        <f t="shared" si="13"/>
        <v>1</v>
      </c>
      <c r="Q82" s="17">
        <f t="shared" si="14"/>
        <v>0</v>
      </c>
      <c r="R82" s="3"/>
      <c r="S82" s="19">
        <f t="shared" si="15"/>
        <v>60.08</v>
      </c>
      <c r="T82" s="19">
        <v>0</v>
      </c>
      <c r="U82" s="19">
        <f t="shared" si="16"/>
        <v>0</v>
      </c>
      <c r="V82" s="19">
        <f t="shared" si="17"/>
        <v>0</v>
      </c>
      <c r="W82" s="19">
        <f t="shared" si="18"/>
        <v>0</v>
      </c>
      <c r="X82" s="19">
        <f t="shared" si="19"/>
        <v>0</v>
      </c>
      <c r="Y82" s="19">
        <f t="shared" si="20"/>
        <v>60.08</v>
      </c>
      <c r="Z82" s="20">
        <f t="shared" si="21"/>
        <v>60.08</v>
      </c>
      <c r="AA82" s="20">
        <f t="shared" si="22"/>
        <v>0</v>
      </c>
    </row>
    <row r="83" spans="1:27" ht="15.75" customHeight="1">
      <c r="A83" s="14" t="s">
        <v>176</v>
      </c>
      <c r="B83" s="15" t="s">
        <v>177</v>
      </c>
      <c r="C83" s="16">
        <v>780</v>
      </c>
      <c r="D83" s="16">
        <v>780</v>
      </c>
      <c r="E83" s="17">
        <v>1</v>
      </c>
      <c r="F83" s="18">
        <v>0</v>
      </c>
      <c r="G83" s="18">
        <v>0</v>
      </c>
      <c r="H83" s="18">
        <v>0</v>
      </c>
      <c r="I83" s="17">
        <v>0</v>
      </c>
      <c r="J83" s="17">
        <f t="shared" si="12"/>
        <v>1</v>
      </c>
      <c r="K83" s="17">
        <v>1</v>
      </c>
      <c r="L83" s="17">
        <v>1</v>
      </c>
      <c r="M83" s="17" t="b">
        <f t="shared" si="23"/>
        <v>1</v>
      </c>
      <c r="N83" s="17">
        <v>0</v>
      </c>
      <c r="O83" s="17">
        <v>0</v>
      </c>
      <c r="P83" s="17">
        <f t="shared" si="13"/>
        <v>1</v>
      </c>
      <c r="Q83" s="17">
        <f t="shared" si="14"/>
        <v>0</v>
      </c>
      <c r="R83" s="3"/>
      <c r="S83" s="19">
        <f t="shared" si="15"/>
        <v>780</v>
      </c>
      <c r="T83" s="19">
        <v>0</v>
      </c>
      <c r="U83" s="19">
        <f t="shared" si="16"/>
        <v>0</v>
      </c>
      <c r="V83" s="19">
        <f t="shared" si="17"/>
        <v>0</v>
      </c>
      <c r="W83" s="19">
        <f t="shared" si="18"/>
        <v>0</v>
      </c>
      <c r="X83" s="19">
        <f t="shared" si="19"/>
        <v>0</v>
      </c>
      <c r="Y83" s="19">
        <f t="shared" si="20"/>
        <v>780</v>
      </c>
      <c r="Z83" s="20">
        <f t="shared" si="21"/>
        <v>780</v>
      </c>
      <c r="AA83" s="20">
        <f t="shared" si="22"/>
        <v>0</v>
      </c>
    </row>
    <row r="84" spans="1:27" ht="15.75" customHeight="1">
      <c r="A84" s="14" t="s">
        <v>178</v>
      </c>
      <c r="B84" s="15" t="s">
        <v>179</v>
      </c>
      <c r="C84" s="16">
        <v>18.600000000000001</v>
      </c>
      <c r="D84" s="16">
        <v>18.600000000000001</v>
      </c>
      <c r="E84" s="17">
        <v>0</v>
      </c>
      <c r="F84" s="18">
        <v>0</v>
      </c>
      <c r="G84" s="18">
        <v>0</v>
      </c>
      <c r="H84" s="18">
        <v>0</v>
      </c>
      <c r="I84" s="17">
        <v>0</v>
      </c>
      <c r="J84" s="17">
        <f t="shared" si="12"/>
        <v>0</v>
      </c>
      <c r="K84" s="17">
        <v>0</v>
      </c>
      <c r="L84" s="17">
        <v>0</v>
      </c>
      <c r="M84" s="17" t="b">
        <f t="shared" si="23"/>
        <v>1</v>
      </c>
      <c r="N84" s="17">
        <v>0</v>
      </c>
      <c r="O84" s="17">
        <v>0</v>
      </c>
      <c r="P84" s="17">
        <f t="shared" si="13"/>
        <v>0</v>
      </c>
      <c r="Q84" s="17">
        <f t="shared" si="14"/>
        <v>0</v>
      </c>
      <c r="R84" s="3"/>
      <c r="S84" s="19">
        <f t="shared" si="15"/>
        <v>0</v>
      </c>
      <c r="T84" s="19">
        <v>0</v>
      </c>
      <c r="U84" s="19">
        <f t="shared" si="16"/>
        <v>0</v>
      </c>
      <c r="V84" s="19">
        <f t="shared" si="17"/>
        <v>0</v>
      </c>
      <c r="W84" s="19">
        <f t="shared" si="18"/>
        <v>0</v>
      </c>
      <c r="X84" s="19">
        <f t="shared" si="19"/>
        <v>0</v>
      </c>
      <c r="Y84" s="19">
        <f t="shared" si="20"/>
        <v>0</v>
      </c>
      <c r="Z84" s="20">
        <f t="shared" si="21"/>
        <v>0</v>
      </c>
      <c r="AA84" s="20">
        <f t="shared" si="22"/>
        <v>0</v>
      </c>
    </row>
    <row r="85" spans="1:27" ht="15.75" customHeight="1">
      <c r="A85" s="14" t="s">
        <v>180</v>
      </c>
      <c r="B85" s="15" t="s">
        <v>181</v>
      </c>
      <c r="C85" s="16">
        <v>852</v>
      </c>
      <c r="D85" s="16">
        <v>852</v>
      </c>
      <c r="E85" s="17">
        <v>2</v>
      </c>
      <c r="F85" s="18">
        <v>0</v>
      </c>
      <c r="G85" s="18">
        <v>0</v>
      </c>
      <c r="H85" s="18">
        <v>0</v>
      </c>
      <c r="I85" s="17">
        <v>0</v>
      </c>
      <c r="J85" s="17">
        <f t="shared" si="12"/>
        <v>2</v>
      </c>
      <c r="K85" s="17">
        <v>2</v>
      </c>
      <c r="L85" s="17">
        <v>2</v>
      </c>
      <c r="M85" s="17" t="b">
        <f t="shared" si="23"/>
        <v>1</v>
      </c>
      <c r="N85" s="17">
        <v>0</v>
      </c>
      <c r="O85" s="17">
        <v>0</v>
      </c>
      <c r="P85" s="17">
        <f t="shared" si="13"/>
        <v>2</v>
      </c>
      <c r="Q85" s="17">
        <f t="shared" si="14"/>
        <v>0</v>
      </c>
      <c r="R85" s="3"/>
      <c r="S85" s="19">
        <f t="shared" si="15"/>
        <v>1704</v>
      </c>
      <c r="T85" s="19">
        <v>0</v>
      </c>
      <c r="U85" s="19">
        <f t="shared" si="16"/>
        <v>0</v>
      </c>
      <c r="V85" s="19">
        <f t="shared" si="17"/>
        <v>0</v>
      </c>
      <c r="W85" s="19">
        <f t="shared" si="18"/>
        <v>0</v>
      </c>
      <c r="X85" s="19">
        <f t="shared" si="19"/>
        <v>0</v>
      </c>
      <c r="Y85" s="19">
        <f t="shared" si="20"/>
        <v>1704</v>
      </c>
      <c r="Z85" s="20">
        <f t="shared" si="21"/>
        <v>1704</v>
      </c>
      <c r="AA85" s="20">
        <f t="shared" si="22"/>
        <v>0</v>
      </c>
    </row>
    <row r="86" spans="1:27" ht="15.75" customHeight="1">
      <c r="A86" s="14" t="s">
        <v>182</v>
      </c>
      <c r="B86" s="21" t="s">
        <v>183</v>
      </c>
      <c r="C86" s="16">
        <v>1750</v>
      </c>
      <c r="D86" s="16">
        <v>1750</v>
      </c>
      <c r="E86" s="17">
        <v>2</v>
      </c>
      <c r="F86" s="18">
        <v>0</v>
      </c>
      <c r="G86" s="18">
        <v>0</v>
      </c>
      <c r="H86" s="18">
        <v>0</v>
      </c>
      <c r="I86" s="17">
        <v>0</v>
      </c>
      <c r="J86" s="17">
        <f t="shared" si="12"/>
        <v>2</v>
      </c>
      <c r="K86" s="17">
        <v>2</v>
      </c>
      <c r="L86" s="17">
        <v>3</v>
      </c>
      <c r="M86" s="17" t="b">
        <f t="shared" si="23"/>
        <v>0</v>
      </c>
      <c r="N86" s="17">
        <v>1</v>
      </c>
      <c r="O86" s="17">
        <v>0</v>
      </c>
      <c r="P86" s="17">
        <f t="shared" si="13"/>
        <v>3</v>
      </c>
      <c r="Q86" s="17">
        <f t="shared" si="14"/>
        <v>1</v>
      </c>
      <c r="R86" s="3"/>
      <c r="S86" s="19">
        <f t="shared" si="15"/>
        <v>3500</v>
      </c>
      <c r="T86" s="19">
        <v>0</v>
      </c>
      <c r="U86" s="19">
        <f t="shared" si="16"/>
        <v>0</v>
      </c>
      <c r="V86" s="19">
        <f t="shared" si="17"/>
        <v>0</v>
      </c>
      <c r="W86" s="19">
        <f t="shared" si="18"/>
        <v>0</v>
      </c>
      <c r="X86" s="19">
        <f t="shared" si="19"/>
        <v>0</v>
      </c>
      <c r="Y86" s="19">
        <f t="shared" si="20"/>
        <v>3500</v>
      </c>
      <c r="Z86" s="20">
        <f t="shared" si="21"/>
        <v>3500</v>
      </c>
      <c r="AA86" s="20">
        <f t="shared" si="22"/>
        <v>0</v>
      </c>
    </row>
    <row r="87" spans="1:27" ht="15.75" customHeight="1">
      <c r="A87" s="14" t="s">
        <v>184</v>
      </c>
      <c r="B87" s="15" t="s">
        <v>185</v>
      </c>
      <c r="C87" s="16">
        <v>1550</v>
      </c>
      <c r="D87" s="16">
        <v>1550</v>
      </c>
      <c r="E87" s="17">
        <v>1</v>
      </c>
      <c r="F87" s="18">
        <v>0</v>
      </c>
      <c r="G87" s="18">
        <v>0</v>
      </c>
      <c r="H87" s="18">
        <v>0</v>
      </c>
      <c r="I87" s="17">
        <v>0</v>
      </c>
      <c r="J87" s="17">
        <f t="shared" si="12"/>
        <v>1</v>
      </c>
      <c r="K87" s="17">
        <v>1</v>
      </c>
      <c r="L87" s="17">
        <v>1</v>
      </c>
      <c r="M87" s="17" t="b">
        <f t="shared" si="23"/>
        <v>1</v>
      </c>
      <c r="N87" s="17">
        <v>0</v>
      </c>
      <c r="O87" s="17">
        <v>0</v>
      </c>
      <c r="P87" s="17">
        <f t="shared" si="13"/>
        <v>1</v>
      </c>
      <c r="Q87" s="17">
        <f t="shared" si="14"/>
        <v>0</v>
      </c>
      <c r="R87" s="3"/>
      <c r="S87" s="19">
        <f t="shared" si="15"/>
        <v>1550</v>
      </c>
      <c r="T87" s="19">
        <v>0</v>
      </c>
      <c r="U87" s="19">
        <f t="shared" si="16"/>
        <v>0</v>
      </c>
      <c r="V87" s="19">
        <f t="shared" si="17"/>
        <v>0</v>
      </c>
      <c r="W87" s="19">
        <f t="shared" si="18"/>
        <v>0</v>
      </c>
      <c r="X87" s="19">
        <f t="shared" si="19"/>
        <v>0</v>
      </c>
      <c r="Y87" s="19">
        <f t="shared" si="20"/>
        <v>1550</v>
      </c>
      <c r="Z87" s="20">
        <f t="shared" si="21"/>
        <v>1550</v>
      </c>
      <c r="AA87" s="20">
        <f t="shared" si="22"/>
        <v>0</v>
      </c>
    </row>
    <row r="88" spans="1:27" ht="15.75" customHeight="1">
      <c r="A88" s="14" t="s">
        <v>186</v>
      </c>
      <c r="B88" s="21" t="s">
        <v>187</v>
      </c>
      <c r="C88" s="16">
        <v>1750</v>
      </c>
      <c r="D88" s="16">
        <v>1750</v>
      </c>
      <c r="E88" s="17">
        <v>1</v>
      </c>
      <c r="F88" s="18">
        <v>0</v>
      </c>
      <c r="G88" s="18">
        <v>0</v>
      </c>
      <c r="H88" s="18">
        <v>0</v>
      </c>
      <c r="I88" s="17">
        <v>0</v>
      </c>
      <c r="J88" s="17">
        <f t="shared" si="12"/>
        <v>1</v>
      </c>
      <c r="K88" s="17">
        <v>0</v>
      </c>
      <c r="L88" s="17">
        <v>0</v>
      </c>
      <c r="M88" s="17" t="b">
        <f t="shared" si="23"/>
        <v>1</v>
      </c>
      <c r="N88" s="17">
        <v>3</v>
      </c>
      <c r="O88" s="17">
        <v>0</v>
      </c>
      <c r="P88" s="17">
        <f t="shared" si="13"/>
        <v>3</v>
      </c>
      <c r="Q88" s="17">
        <f t="shared" si="14"/>
        <v>2</v>
      </c>
      <c r="R88" s="3"/>
      <c r="S88" s="19">
        <f t="shared" si="15"/>
        <v>1750</v>
      </c>
      <c r="T88" s="19">
        <v>0</v>
      </c>
      <c r="U88" s="19">
        <f t="shared" si="16"/>
        <v>0</v>
      </c>
      <c r="V88" s="19">
        <f t="shared" si="17"/>
        <v>0</v>
      </c>
      <c r="W88" s="19">
        <f t="shared" si="18"/>
        <v>0</v>
      </c>
      <c r="X88" s="19">
        <f t="shared" si="19"/>
        <v>0</v>
      </c>
      <c r="Y88" s="19">
        <f t="shared" si="20"/>
        <v>1750</v>
      </c>
      <c r="Z88" s="20">
        <f t="shared" si="21"/>
        <v>1750</v>
      </c>
      <c r="AA88" s="20">
        <f t="shared" si="22"/>
        <v>0</v>
      </c>
    </row>
    <row r="89" spans="1:27" ht="15.75" customHeight="1">
      <c r="A89" s="14" t="s">
        <v>188</v>
      </c>
      <c r="B89" s="15" t="s">
        <v>189</v>
      </c>
      <c r="C89" s="16">
        <v>1750</v>
      </c>
      <c r="D89" s="16">
        <v>1750</v>
      </c>
      <c r="E89" s="17">
        <v>0</v>
      </c>
      <c r="F89" s="18">
        <v>0</v>
      </c>
      <c r="G89" s="18">
        <v>0</v>
      </c>
      <c r="H89" s="18">
        <v>0</v>
      </c>
      <c r="I89" s="17">
        <v>0</v>
      </c>
      <c r="J89" s="17">
        <f t="shared" si="12"/>
        <v>0</v>
      </c>
      <c r="K89" s="17">
        <v>0</v>
      </c>
      <c r="L89" s="17">
        <v>0</v>
      </c>
      <c r="M89" s="17" t="b">
        <f t="shared" si="23"/>
        <v>1</v>
      </c>
      <c r="N89" s="17">
        <v>0</v>
      </c>
      <c r="O89" s="17">
        <v>0</v>
      </c>
      <c r="P89" s="17">
        <f t="shared" si="13"/>
        <v>0</v>
      </c>
      <c r="Q89" s="17">
        <f t="shared" si="14"/>
        <v>0</v>
      </c>
      <c r="R89" s="3"/>
      <c r="S89" s="19">
        <f t="shared" si="15"/>
        <v>0</v>
      </c>
      <c r="T89" s="19">
        <v>0</v>
      </c>
      <c r="U89" s="19">
        <f t="shared" si="16"/>
        <v>0</v>
      </c>
      <c r="V89" s="19">
        <f t="shared" si="17"/>
        <v>0</v>
      </c>
      <c r="W89" s="19">
        <f t="shared" si="18"/>
        <v>0</v>
      </c>
      <c r="X89" s="19">
        <f t="shared" si="19"/>
        <v>0</v>
      </c>
      <c r="Y89" s="19">
        <f t="shared" si="20"/>
        <v>0</v>
      </c>
      <c r="Z89" s="20">
        <f t="shared" si="21"/>
        <v>0</v>
      </c>
      <c r="AA89" s="20">
        <f t="shared" si="22"/>
        <v>0</v>
      </c>
    </row>
    <row r="90" spans="1:27" ht="15.75" customHeight="1">
      <c r="A90" s="14" t="s">
        <v>190</v>
      </c>
      <c r="B90" s="15" t="s">
        <v>191</v>
      </c>
      <c r="C90" s="16">
        <v>1850</v>
      </c>
      <c r="D90" s="16">
        <v>1850</v>
      </c>
      <c r="E90" s="17">
        <v>2</v>
      </c>
      <c r="F90" s="18">
        <v>0</v>
      </c>
      <c r="G90" s="18">
        <v>0</v>
      </c>
      <c r="H90" s="18">
        <v>0</v>
      </c>
      <c r="I90" s="17">
        <v>0</v>
      </c>
      <c r="J90" s="17">
        <f t="shared" si="12"/>
        <v>2</v>
      </c>
      <c r="K90" s="17">
        <v>2</v>
      </c>
      <c r="L90" s="17">
        <v>2</v>
      </c>
      <c r="M90" s="17" t="b">
        <f t="shared" si="23"/>
        <v>1</v>
      </c>
      <c r="N90" s="17">
        <v>0</v>
      </c>
      <c r="O90" s="17">
        <v>0</v>
      </c>
      <c r="P90" s="17">
        <f t="shared" si="13"/>
        <v>2</v>
      </c>
      <c r="Q90" s="17">
        <f t="shared" si="14"/>
        <v>0</v>
      </c>
      <c r="R90" s="3"/>
      <c r="S90" s="19">
        <f t="shared" si="15"/>
        <v>3700</v>
      </c>
      <c r="T90" s="19">
        <v>0</v>
      </c>
      <c r="U90" s="19">
        <f t="shared" si="16"/>
        <v>0</v>
      </c>
      <c r="V90" s="19">
        <f t="shared" si="17"/>
        <v>0</v>
      </c>
      <c r="W90" s="19">
        <f t="shared" si="18"/>
        <v>0</v>
      </c>
      <c r="X90" s="19">
        <f t="shared" si="19"/>
        <v>0</v>
      </c>
      <c r="Y90" s="19">
        <f t="shared" si="20"/>
        <v>3700</v>
      </c>
      <c r="Z90" s="20">
        <f t="shared" si="21"/>
        <v>3700</v>
      </c>
      <c r="AA90" s="20">
        <f t="shared" si="22"/>
        <v>0</v>
      </c>
    </row>
    <row r="91" spans="1:27" ht="15.75" customHeight="1">
      <c r="A91" s="14" t="s">
        <v>192</v>
      </c>
      <c r="B91" s="15" t="s">
        <v>193</v>
      </c>
      <c r="C91" s="16">
        <v>432</v>
      </c>
      <c r="D91" s="16">
        <v>432</v>
      </c>
      <c r="E91" s="17">
        <v>0</v>
      </c>
      <c r="F91" s="18">
        <v>0</v>
      </c>
      <c r="G91" s="18">
        <v>0</v>
      </c>
      <c r="H91" s="18">
        <v>0</v>
      </c>
      <c r="I91" s="17">
        <v>0</v>
      </c>
      <c r="J91" s="17">
        <f t="shared" si="12"/>
        <v>0</v>
      </c>
      <c r="K91" s="17">
        <v>0</v>
      </c>
      <c r="L91" s="17">
        <v>0</v>
      </c>
      <c r="M91" s="17" t="b">
        <f t="shared" si="23"/>
        <v>1</v>
      </c>
      <c r="N91" s="17">
        <v>0</v>
      </c>
      <c r="O91" s="17">
        <v>0</v>
      </c>
      <c r="P91" s="17">
        <f t="shared" si="13"/>
        <v>0</v>
      </c>
      <c r="Q91" s="17">
        <f t="shared" si="14"/>
        <v>0</v>
      </c>
      <c r="R91" s="3"/>
      <c r="S91" s="19">
        <f t="shared" si="15"/>
        <v>0</v>
      </c>
      <c r="T91" s="19">
        <v>0</v>
      </c>
      <c r="U91" s="19">
        <f t="shared" si="16"/>
        <v>0</v>
      </c>
      <c r="V91" s="19">
        <f t="shared" si="17"/>
        <v>0</v>
      </c>
      <c r="W91" s="19">
        <f t="shared" si="18"/>
        <v>0</v>
      </c>
      <c r="X91" s="19">
        <f t="shared" si="19"/>
        <v>0</v>
      </c>
      <c r="Y91" s="19">
        <f t="shared" si="20"/>
        <v>0</v>
      </c>
      <c r="Z91" s="20">
        <f t="shared" si="21"/>
        <v>0</v>
      </c>
      <c r="AA91" s="20">
        <f t="shared" si="22"/>
        <v>0</v>
      </c>
    </row>
    <row r="92" spans="1:27" ht="15.75" customHeight="1">
      <c r="A92" s="14" t="s">
        <v>194</v>
      </c>
      <c r="B92" s="15" t="s">
        <v>195</v>
      </c>
      <c r="C92" s="16">
        <v>2300</v>
      </c>
      <c r="D92" s="16">
        <v>2300</v>
      </c>
      <c r="E92" s="17">
        <v>2</v>
      </c>
      <c r="F92" s="18">
        <v>0</v>
      </c>
      <c r="G92" s="18">
        <v>0</v>
      </c>
      <c r="H92" s="18">
        <v>0</v>
      </c>
      <c r="I92" s="17">
        <v>0</v>
      </c>
      <c r="J92" s="17">
        <f t="shared" si="12"/>
        <v>2</v>
      </c>
      <c r="K92" s="17">
        <v>2</v>
      </c>
      <c r="L92" s="17">
        <v>2</v>
      </c>
      <c r="M92" s="17" t="b">
        <f t="shared" si="23"/>
        <v>1</v>
      </c>
      <c r="N92" s="17">
        <v>0</v>
      </c>
      <c r="O92" s="17">
        <v>0</v>
      </c>
      <c r="P92" s="17">
        <f t="shared" si="13"/>
        <v>2</v>
      </c>
      <c r="Q92" s="17">
        <f t="shared" si="14"/>
        <v>0</v>
      </c>
      <c r="R92" s="3"/>
      <c r="S92" s="19">
        <f t="shared" si="15"/>
        <v>4600</v>
      </c>
      <c r="T92" s="19">
        <v>0</v>
      </c>
      <c r="U92" s="19">
        <f t="shared" si="16"/>
        <v>0</v>
      </c>
      <c r="V92" s="19">
        <f t="shared" si="17"/>
        <v>0</v>
      </c>
      <c r="W92" s="19">
        <f t="shared" si="18"/>
        <v>0</v>
      </c>
      <c r="X92" s="19">
        <f t="shared" si="19"/>
        <v>0</v>
      </c>
      <c r="Y92" s="19">
        <f t="shared" si="20"/>
        <v>4600</v>
      </c>
      <c r="Z92" s="20">
        <f t="shared" si="21"/>
        <v>4600</v>
      </c>
      <c r="AA92" s="20">
        <f t="shared" si="22"/>
        <v>0</v>
      </c>
    </row>
    <row r="93" spans="1:27" ht="15.75" customHeight="1">
      <c r="A93" s="14" t="s">
        <v>196</v>
      </c>
      <c r="B93" s="15" t="s">
        <v>197</v>
      </c>
      <c r="C93" s="16">
        <v>1200</v>
      </c>
      <c r="D93" s="16">
        <v>1200</v>
      </c>
      <c r="E93" s="17">
        <v>1</v>
      </c>
      <c r="F93" s="18">
        <v>0</v>
      </c>
      <c r="G93" s="18">
        <v>0</v>
      </c>
      <c r="H93" s="18">
        <v>0</v>
      </c>
      <c r="I93" s="17">
        <v>0</v>
      </c>
      <c r="J93" s="17">
        <f t="shared" si="12"/>
        <v>1</v>
      </c>
      <c r="K93" s="17">
        <v>1</v>
      </c>
      <c r="L93" s="17">
        <v>1</v>
      </c>
      <c r="M93" s="17" t="b">
        <f t="shared" si="23"/>
        <v>1</v>
      </c>
      <c r="N93" s="17">
        <v>0</v>
      </c>
      <c r="O93" s="17">
        <v>0</v>
      </c>
      <c r="P93" s="17">
        <f t="shared" si="13"/>
        <v>1</v>
      </c>
      <c r="Q93" s="17">
        <f t="shared" si="14"/>
        <v>0</v>
      </c>
      <c r="R93" s="3"/>
      <c r="S93" s="19">
        <f t="shared" si="15"/>
        <v>1200</v>
      </c>
      <c r="T93" s="19">
        <v>0</v>
      </c>
      <c r="U93" s="19">
        <f t="shared" si="16"/>
        <v>0</v>
      </c>
      <c r="V93" s="19">
        <f t="shared" si="17"/>
        <v>0</v>
      </c>
      <c r="W93" s="19">
        <f t="shared" si="18"/>
        <v>0</v>
      </c>
      <c r="X93" s="19">
        <f t="shared" si="19"/>
        <v>0</v>
      </c>
      <c r="Y93" s="19">
        <f t="shared" si="20"/>
        <v>1200</v>
      </c>
      <c r="Z93" s="20">
        <f t="shared" si="21"/>
        <v>1200</v>
      </c>
      <c r="AA93" s="20">
        <f t="shared" si="22"/>
        <v>0</v>
      </c>
    </row>
    <row r="94" spans="1:27" ht="15.75" customHeight="1">
      <c r="A94" s="14" t="s">
        <v>198</v>
      </c>
      <c r="B94" s="15" t="s">
        <v>199</v>
      </c>
      <c r="C94" s="16">
        <v>4600</v>
      </c>
      <c r="D94" s="16">
        <v>4600</v>
      </c>
      <c r="E94" s="17">
        <v>7</v>
      </c>
      <c r="F94" s="18">
        <v>0</v>
      </c>
      <c r="G94" s="18">
        <v>0</v>
      </c>
      <c r="H94" s="18">
        <v>0</v>
      </c>
      <c r="I94" s="17">
        <v>0</v>
      </c>
      <c r="J94" s="17">
        <f t="shared" si="12"/>
        <v>7</v>
      </c>
      <c r="K94" s="17">
        <v>7</v>
      </c>
      <c r="L94" s="17">
        <v>7</v>
      </c>
      <c r="M94" s="17" t="b">
        <f t="shared" si="23"/>
        <v>1</v>
      </c>
      <c r="N94" s="17">
        <v>0</v>
      </c>
      <c r="O94" s="17">
        <v>0</v>
      </c>
      <c r="P94" s="17">
        <f t="shared" si="13"/>
        <v>7</v>
      </c>
      <c r="Q94" s="17">
        <f t="shared" si="14"/>
        <v>0</v>
      </c>
      <c r="R94" s="3"/>
      <c r="S94" s="19">
        <f t="shared" si="15"/>
        <v>32200</v>
      </c>
      <c r="T94" s="19">
        <v>0</v>
      </c>
      <c r="U94" s="19">
        <f t="shared" si="16"/>
        <v>0</v>
      </c>
      <c r="V94" s="19">
        <f t="shared" si="17"/>
        <v>0</v>
      </c>
      <c r="W94" s="19">
        <f t="shared" si="18"/>
        <v>0</v>
      </c>
      <c r="X94" s="19">
        <f t="shared" si="19"/>
        <v>0</v>
      </c>
      <c r="Y94" s="19">
        <f t="shared" si="20"/>
        <v>32200</v>
      </c>
      <c r="Z94" s="20">
        <f t="shared" si="21"/>
        <v>32200</v>
      </c>
      <c r="AA94" s="20">
        <f t="shared" si="22"/>
        <v>0</v>
      </c>
    </row>
    <row r="95" spans="1:27" ht="15.75" customHeight="1">
      <c r="A95" s="14" t="s">
        <v>200</v>
      </c>
      <c r="B95" s="15" t="s">
        <v>201</v>
      </c>
      <c r="C95" s="16">
        <v>820</v>
      </c>
      <c r="D95" s="16">
        <v>820</v>
      </c>
      <c r="E95" s="17">
        <v>2</v>
      </c>
      <c r="F95" s="18">
        <v>0</v>
      </c>
      <c r="G95" s="18">
        <v>0</v>
      </c>
      <c r="H95" s="18">
        <v>0</v>
      </c>
      <c r="I95" s="17">
        <v>0</v>
      </c>
      <c r="J95" s="17">
        <f t="shared" si="12"/>
        <v>2</v>
      </c>
      <c r="K95" s="17">
        <v>2</v>
      </c>
      <c r="L95" s="17">
        <v>2</v>
      </c>
      <c r="M95" s="17" t="b">
        <f t="shared" si="23"/>
        <v>1</v>
      </c>
      <c r="N95" s="17">
        <v>0</v>
      </c>
      <c r="O95" s="17">
        <v>0</v>
      </c>
      <c r="P95" s="17">
        <f t="shared" si="13"/>
        <v>2</v>
      </c>
      <c r="Q95" s="17">
        <f t="shared" si="14"/>
        <v>0</v>
      </c>
      <c r="R95" s="3"/>
      <c r="S95" s="19">
        <f t="shared" si="15"/>
        <v>1640</v>
      </c>
      <c r="T95" s="19">
        <v>0</v>
      </c>
      <c r="U95" s="19">
        <f t="shared" si="16"/>
        <v>0</v>
      </c>
      <c r="V95" s="19">
        <f t="shared" si="17"/>
        <v>0</v>
      </c>
      <c r="W95" s="19">
        <f t="shared" si="18"/>
        <v>0</v>
      </c>
      <c r="X95" s="19">
        <f t="shared" si="19"/>
        <v>0</v>
      </c>
      <c r="Y95" s="19">
        <f t="shared" si="20"/>
        <v>1640</v>
      </c>
      <c r="Z95" s="20">
        <f t="shared" si="21"/>
        <v>1640</v>
      </c>
      <c r="AA95" s="20">
        <f t="shared" si="22"/>
        <v>0</v>
      </c>
    </row>
    <row r="96" spans="1:27" ht="15.75" customHeight="1">
      <c r="A96" s="14" t="s">
        <v>202</v>
      </c>
      <c r="B96" s="15" t="s">
        <v>203</v>
      </c>
      <c r="C96" s="16">
        <v>5735</v>
      </c>
      <c r="D96" s="16">
        <v>5735</v>
      </c>
      <c r="E96" s="17">
        <v>1</v>
      </c>
      <c r="F96" s="18">
        <v>0</v>
      </c>
      <c r="G96" s="18">
        <v>0</v>
      </c>
      <c r="H96" s="18">
        <v>0</v>
      </c>
      <c r="I96" s="17">
        <v>0</v>
      </c>
      <c r="J96" s="17">
        <f t="shared" si="12"/>
        <v>1</v>
      </c>
      <c r="K96" s="17">
        <v>1</v>
      </c>
      <c r="L96" s="17">
        <v>1</v>
      </c>
      <c r="M96" s="17" t="b">
        <f t="shared" si="23"/>
        <v>1</v>
      </c>
      <c r="N96" s="17">
        <v>0</v>
      </c>
      <c r="O96" s="17">
        <v>0</v>
      </c>
      <c r="P96" s="17">
        <f t="shared" si="13"/>
        <v>1</v>
      </c>
      <c r="Q96" s="17">
        <f t="shared" si="14"/>
        <v>0</v>
      </c>
      <c r="R96" s="3"/>
      <c r="S96" s="19">
        <f t="shared" si="15"/>
        <v>5735</v>
      </c>
      <c r="T96" s="19">
        <v>0</v>
      </c>
      <c r="U96" s="19">
        <f t="shared" si="16"/>
        <v>0</v>
      </c>
      <c r="V96" s="19">
        <f t="shared" si="17"/>
        <v>0</v>
      </c>
      <c r="W96" s="19">
        <f t="shared" si="18"/>
        <v>0</v>
      </c>
      <c r="X96" s="19">
        <f t="shared" si="19"/>
        <v>0</v>
      </c>
      <c r="Y96" s="19">
        <f t="shared" si="20"/>
        <v>5735</v>
      </c>
      <c r="Z96" s="20">
        <f t="shared" si="21"/>
        <v>5735</v>
      </c>
      <c r="AA96" s="20">
        <f t="shared" si="22"/>
        <v>0</v>
      </c>
    </row>
    <row r="97" spans="1:27" ht="15.75" customHeight="1">
      <c r="A97" s="14" t="s">
        <v>204</v>
      </c>
      <c r="B97" s="15" t="s">
        <v>205</v>
      </c>
      <c r="C97" s="16">
        <v>150.36000000000001</v>
      </c>
      <c r="D97" s="16">
        <v>150.36000000000001</v>
      </c>
      <c r="E97" s="17">
        <v>2</v>
      </c>
      <c r="F97" s="18">
        <v>0</v>
      </c>
      <c r="G97" s="18">
        <v>0</v>
      </c>
      <c r="H97" s="18">
        <v>0</v>
      </c>
      <c r="I97" s="17">
        <v>0</v>
      </c>
      <c r="J97" s="17">
        <f t="shared" si="12"/>
        <v>2</v>
      </c>
      <c r="K97" s="17">
        <v>2</v>
      </c>
      <c r="L97" s="17">
        <v>2</v>
      </c>
      <c r="M97" s="17" t="b">
        <f t="shared" si="23"/>
        <v>1</v>
      </c>
      <c r="N97" s="17">
        <v>0</v>
      </c>
      <c r="O97" s="17">
        <v>0</v>
      </c>
      <c r="P97" s="17">
        <f t="shared" si="13"/>
        <v>2</v>
      </c>
      <c r="Q97" s="17">
        <f t="shared" si="14"/>
        <v>0</v>
      </c>
      <c r="R97" s="3"/>
      <c r="S97" s="19">
        <f t="shared" si="15"/>
        <v>300.72000000000003</v>
      </c>
      <c r="T97" s="19">
        <v>0</v>
      </c>
      <c r="U97" s="19">
        <f t="shared" si="16"/>
        <v>0</v>
      </c>
      <c r="V97" s="19">
        <f t="shared" si="17"/>
        <v>0</v>
      </c>
      <c r="W97" s="19">
        <f t="shared" si="18"/>
        <v>0</v>
      </c>
      <c r="X97" s="19">
        <f t="shared" si="19"/>
        <v>0</v>
      </c>
      <c r="Y97" s="19">
        <f t="shared" si="20"/>
        <v>300.72000000000003</v>
      </c>
      <c r="Z97" s="20">
        <f t="shared" si="21"/>
        <v>300.72000000000003</v>
      </c>
      <c r="AA97" s="20">
        <f t="shared" si="22"/>
        <v>0</v>
      </c>
    </row>
    <row r="98" spans="1:27" ht="15.75" customHeight="1">
      <c r="A98" s="14" t="s">
        <v>206</v>
      </c>
      <c r="B98" s="15" t="s">
        <v>207</v>
      </c>
      <c r="C98" s="16">
        <v>680</v>
      </c>
      <c r="D98" s="16">
        <v>680</v>
      </c>
      <c r="E98" s="17">
        <v>2</v>
      </c>
      <c r="F98" s="18">
        <v>0</v>
      </c>
      <c r="G98" s="18">
        <v>0</v>
      </c>
      <c r="H98" s="18">
        <v>0</v>
      </c>
      <c r="I98" s="17">
        <v>0</v>
      </c>
      <c r="J98" s="17">
        <f t="shared" si="12"/>
        <v>2</v>
      </c>
      <c r="K98" s="17">
        <v>2</v>
      </c>
      <c r="L98" s="17">
        <v>2</v>
      </c>
      <c r="M98" s="17" t="b">
        <f t="shared" si="23"/>
        <v>1</v>
      </c>
      <c r="N98" s="17">
        <v>0</v>
      </c>
      <c r="O98" s="17">
        <v>0</v>
      </c>
      <c r="P98" s="17">
        <f t="shared" si="13"/>
        <v>2</v>
      </c>
      <c r="Q98" s="17">
        <f t="shared" si="14"/>
        <v>0</v>
      </c>
      <c r="R98" s="3"/>
      <c r="S98" s="19">
        <f t="shared" si="15"/>
        <v>1360</v>
      </c>
      <c r="T98" s="19">
        <v>0</v>
      </c>
      <c r="U98" s="19">
        <f t="shared" si="16"/>
        <v>0</v>
      </c>
      <c r="V98" s="19">
        <f t="shared" si="17"/>
        <v>0</v>
      </c>
      <c r="W98" s="19">
        <f t="shared" si="18"/>
        <v>0</v>
      </c>
      <c r="X98" s="19">
        <f t="shared" si="19"/>
        <v>0</v>
      </c>
      <c r="Y98" s="19">
        <f t="shared" si="20"/>
        <v>1360</v>
      </c>
      <c r="Z98" s="20">
        <f t="shared" si="21"/>
        <v>1360</v>
      </c>
      <c r="AA98" s="20">
        <f t="shared" si="22"/>
        <v>0</v>
      </c>
    </row>
    <row r="99" spans="1:27" ht="15.75" customHeight="1">
      <c r="A99" s="14" t="s">
        <v>208</v>
      </c>
      <c r="B99" s="15" t="s">
        <v>209</v>
      </c>
      <c r="C99" s="16">
        <v>374.22</v>
      </c>
      <c r="D99" s="16">
        <v>374.22</v>
      </c>
      <c r="E99" s="17">
        <v>3</v>
      </c>
      <c r="F99" s="18">
        <v>0</v>
      </c>
      <c r="G99" s="18">
        <v>0</v>
      </c>
      <c r="H99" s="18">
        <v>0</v>
      </c>
      <c r="I99" s="17">
        <v>0</v>
      </c>
      <c r="J99" s="17">
        <f t="shared" si="12"/>
        <v>3</v>
      </c>
      <c r="K99" s="17">
        <v>3</v>
      </c>
      <c r="L99" s="17">
        <v>3</v>
      </c>
      <c r="M99" s="17" t="b">
        <f t="shared" si="23"/>
        <v>1</v>
      </c>
      <c r="N99" s="17">
        <v>0</v>
      </c>
      <c r="O99" s="17">
        <v>0</v>
      </c>
      <c r="P99" s="17">
        <f t="shared" si="13"/>
        <v>3</v>
      </c>
      <c r="Q99" s="17">
        <f t="shared" si="14"/>
        <v>0</v>
      </c>
      <c r="R99" s="3"/>
      <c r="S99" s="19">
        <f t="shared" si="15"/>
        <v>1122.6600000000001</v>
      </c>
      <c r="T99" s="19">
        <v>0</v>
      </c>
      <c r="U99" s="19">
        <f t="shared" si="16"/>
        <v>0</v>
      </c>
      <c r="V99" s="19">
        <f t="shared" si="17"/>
        <v>0</v>
      </c>
      <c r="W99" s="19">
        <f t="shared" si="18"/>
        <v>0</v>
      </c>
      <c r="X99" s="19">
        <f t="shared" si="19"/>
        <v>0</v>
      </c>
      <c r="Y99" s="19">
        <f t="shared" si="20"/>
        <v>1122.6600000000001</v>
      </c>
      <c r="Z99" s="20">
        <f t="shared" si="21"/>
        <v>1122.6600000000001</v>
      </c>
      <c r="AA99" s="20">
        <f t="shared" si="22"/>
        <v>0</v>
      </c>
    </row>
    <row r="100" spans="1:27" ht="15.75" customHeight="1">
      <c r="A100" s="14" t="s">
        <v>210</v>
      </c>
      <c r="B100" s="15" t="s">
        <v>211</v>
      </c>
      <c r="C100" s="16">
        <v>1020</v>
      </c>
      <c r="D100" s="16">
        <v>1020</v>
      </c>
      <c r="E100" s="17">
        <v>1</v>
      </c>
      <c r="F100" s="18">
        <v>0</v>
      </c>
      <c r="G100" s="18">
        <v>0</v>
      </c>
      <c r="H100" s="18">
        <v>0</v>
      </c>
      <c r="I100" s="17">
        <v>0</v>
      </c>
      <c r="J100" s="17">
        <f t="shared" si="12"/>
        <v>1</v>
      </c>
      <c r="K100" s="17">
        <v>1</v>
      </c>
      <c r="L100" s="17">
        <v>1</v>
      </c>
      <c r="M100" s="17" t="b">
        <f t="shared" si="23"/>
        <v>1</v>
      </c>
      <c r="N100" s="17">
        <v>0</v>
      </c>
      <c r="O100" s="17">
        <v>0</v>
      </c>
      <c r="P100" s="17">
        <f t="shared" si="13"/>
        <v>1</v>
      </c>
      <c r="Q100" s="17">
        <f t="shared" si="14"/>
        <v>0</v>
      </c>
      <c r="R100" s="3"/>
      <c r="S100" s="19">
        <f t="shared" si="15"/>
        <v>1020</v>
      </c>
      <c r="T100" s="19">
        <v>0</v>
      </c>
      <c r="U100" s="19">
        <f t="shared" si="16"/>
        <v>0</v>
      </c>
      <c r="V100" s="19">
        <f t="shared" si="17"/>
        <v>0</v>
      </c>
      <c r="W100" s="19">
        <f t="shared" si="18"/>
        <v>0</v>
      </c>
      <c r="X100" s="19">
        <f t="shared" si="19"/>
        <v>0</v>
      </c>
      <c r="Y100" s="19">
        <f t="shared" si="20"/>
        <v>1020</v>
      </c>
      <c r="Z100" s="20">
        <f t="shared" si="21"/>
        <v>1020</v>
      </c>
      <c r="AA100" s="20">
        <f t="shared" si="22"/>
        <v>0</v>
      </c>
    </row>
    <row r="101" spans="1:27" ht="15.75" customHeight="1">
      <c r="A101" s="14" t="s">
        <v>212</v>
      </c>
      <c r="B101" s="15" t="s">
        <v>213</v>
      </c>
      <c r="C101" s="16">
        <v>360</v>
      </c>
      <c r="D101" s="16">
        <v>360</v>
      </c>
      <c r="E101" s="17">
        <v>3</v>
      </c>
      <c r="F101" s="18">
        <v>0</v>
      </c>
      <c r="G101" s="18">
        <v>0</v>
      </c>
      <c r="H101" s="18">
        <v>0</v>
      </c>
      <c r="I101" s="17">
        <v>0</v>
      </c>
      <c r="J101" s="17">
        <f t="shared" si="12"/>
        <v>3</v>
      </c>
      <c r="K101" s="17">
        <v>3</v>
      </c>
      <c r="L101" s="17">
        <v>3</v>
      </c>
      <c r="M101" s="17" t="b">
        <f t="shared" si="23"/>
        <v>1</v>
      </c>
      <c r="N101" s="17">
        <v>0</v>
      </c>
      <c r="O101" s="17">
        <v>0</v>
      </c>
      <c r="P101" s="17">
        <f t="shared" si="13"/>
        <v>3</v>
      </c>
      <c r="Q101" s="17">
        <f t="shared" si="14"/>
        <v>0</v>
      </c>
      <c r="R101" s="3"/>
      <c r="S101" s="19">
        <f t="shared" si="15"/>
        <v>1080</v>
      </c>
      <c r="T101" s="19">
        <v>0</v>
      </c>
      <c r="U101" s="19">
        <f t="shared" si="16"/>
        <v>0</v>
      </c>
      <c r="V101" s="19">
        <f t="shared" si="17"/>
        <v>0</v>
      </c>
      <c r="W101" s="19">
        <f t="shared" si="18"/>
        <v>0</v>
      </c>
      <c r="X101" s="19">
        <f t="shared" si="19"/>
        <v>0</v>
      </c>
      <c r="Y101" s="19">
        <f t="shared" si="20"/>
        <v>1080</v>
      </c>
      <c r="Z101" s="20">
        <f t="shared" si="21"/>
        <v>1080</v>
      </c>
      <c r="AA101" s="20">
        <f t="shared" si="22"/>
        <v>0</v>
      </c>
    </row>
    <row r="102" spans="1:27" ht="15.75" customHeight="1">
      <c r="A102" s="14" t="s">
        <v>214</v>
      </c>
      <c r="B102" s="15" t="s">
        <v>215</v>
      </c>
      <c r="C102" s="16">
        <v>1100</v>
      </c>
      <c r="D102" s="16">
        <v>1100</v>
      </c>
      <c r="E102" s="17">
        <v>1</v>
      </c>
      <c r="F102" s="18">
        <v>0</v>
      </c>
      <c r="G102" s="18">
        <v>0</v>
      </c>
      <c r="H102" s="18">
        <v>0</v>
      </c>
      <c r="I102" s="17">
        <v>0</v>
      </c>
      <c r="J102" s="17">
        <f t="shared" si="12"/>
        <v>1</v>
      </c>
      <c r="K102" s="17">
        <v>1</v>
      </c>
      <c r="L102" s="17">
        <v>1</v>
      </c>
      <c r="M102" s="17" t="b">
        <f t="shared" si="23"/>
        <v>1</v>
      </c>
      <c r="N102" s="17">
        <v>0</v>
      </c>
      <c r="O102" s="17">
        <v>0</v>
      </c>
      <c r="P102" s="17">
        <f t="shared" si="13"/>
        <v>1</v>
      </c>
      <c r="Q102" s="17">
        <f t="shared" si="14"/>
        <v>0</v>
      </c>
      <c r="R102" s="3"/>
      <c r="S102" s="19">
        <f t="shared" si="15"/>
        <v>1100</v>
      </c>
      <c r="T102" s="19">
        <v>0</v>
      </c>
      <c r="U102" s="19">
        <f t="shared" si="16"/>
        <v>0</v>
      </c>
      <c r="V102" s="19">
        <f t="shared" si="17"/>
        <v>0</v>
      </c>
      <c r="W102" s="19">
        <f t="shared" si="18"/>
        <v>0</v>
      </c>
      <c r="X102" s="19">
        <f t="shared" si="19"/>
        <v>0</v>
      </c>
      <c r="Y102" s="19">
        <f t="shared" si="20"/>
        <v>1100</v>
      </c>
      <c r="Z102" s="20">
        <f t="shared" si="21"/>
        <v>1100</v>
      </c>
      <c r="AA102" s="20">
        <f t="shared" si="22"/>
        <v>0</v>
      </c>
    </row>
    <row r="103" spans="1:27" ht="15.75" customHeight="1">
      <c r="A103" s="14" t="s">
        <v>216</v>
      </c>
      <c r="B103" s="15" t="s">
        <v>217</v>
      </c>
      <c r="C103" s="16">
        <v>498.85</v>
      </c>
      <c r="D103" s="16">
        <v>498.85</v>
      </c>
      <c r="E103" s="17">
        <v>0</v>
      </c>
      <c r="F103" s="18">
        <v>0</v>
      </c>
      <c r="G103" s="18">
        <v>0</v>
      </c>
      <c r="H103" s="18">
        <v>0</v>
      </c>
      <c r="I103" s="17">
        <v>0</v>
      </c>
      <c r="J103" s="17">
        <f t="shared" si="12"/>
        <v>0</v>
      </c>
      <c r="K103" s="17">
        <v>0</v>
      </c>
      <c r="L103" s="17">
        <v>0</v>
      </c>
      <c r="M103" s="17" t="b">
        <f t="shared" si="23"/>
        <v>1</v>
      </c>
      <c r="N103" s="17">
        <v>0</v>
      </c>
      <c r="O103" s="17">
        <v>0</v>
      </c>
      <c r="P103" s="17">
        <f t="shared" si="13"/>
        <v>0</v>
      </c>
      <c r="Q103" s="17">
        <f t="shared" si="14"/>
        <v>0</v>
      </c>
      <c r="R103" s="3"/>
      <c r="S103" s="19">
        <f t="shared" si="15"/>
        <v>0</v>
      </c>
      <c r="T103" s="19">
        <v>0</v>
      </c>
      <c r="U103" s="19">
        <f t="shared" si="16"/>
        <v>0</v>
      </c>
      <c r="V103" s="19">
        <f t="shared" si="17"/>
        <v>0</v>
      </c>
      <c r="W103" s="19">
        <f t="shared" si="18"/>
        <v>0</v>
      </c>
      <c r="X103" s="19">
        <f t="shared" si="19"/>
        <v>0</v>
      </c>
      <c r="Y103" s="19">
        <f t="shared" si="20"/>
        <v>0</v>
      </c>
      <c r="Z103" s="20">
        <f t="shared" si="21"/>
        <v>0</v>
      </c>
      <c r="AA103" s="20">
        <f t="shared" si="22"/>
        <v>0</v>
      </c>
    </row>
    <row r="104" spans="1:27" ht="15.75" customHeight="1">
      <c r="A104" s="14" t="s">
        <v>218</v>
      </c>
      <c r="B104" s="15" t="s">
        <v>219</v>
      </c>
      <c r="C104" s="16">
        <v>480.5</v>
      </c>
      <c r="D104" s="16">
        <v>480.5</v>
      </c>
      <c r="E104" s="17">
        <v>1</v>
      </c>
      <c r="F104" s="18">
        <v>0</v>
      </c>
      <c r="G104" s="18">
        <v>0</v>
      </c>
      <c r="H104" s="18">
        <v>0</v>
      </c>
      <c r="I104" s="17">
        <v>0</v>
      </c>
      <c r="J104" s="17">
        <f t="shared" si="12"/>
        <v>1</v>
      </c>
      <c r="K104" s="17">
        <v>1</v>
      </c>
      <c r="L104" s="17">
        <v>1</v>
      </c>
      <c r="M104" s="17" t="b">
        <f t="shared" si="23"/>
        <v>1</v>
      </c>
      <c r="N104" s="17">
        <v>0</v>
      </c>
      <c r="O104" s="17">
        <v>0</v>
      </c>
      <c r="P104" s="17">
        <f t="shared" si="13"/>
        <v>1</v>
      </c>
      <c r="Q104" s="17">
        <f t="shared" si="14"/>
        <v>0</v>
      </c>
      <c r="R104" s="3"/>
      <c r="S104" s="19">
        <f t="shared" si="15"/>
        <v>480.5</v>
      </c>
      <c r="T104" s="19">
        <v>0</v>
      </c>
      <c r="U104" s="19">
        <f t="shared" si="16"/>
        <v>0</v>
      </c>
      <c r="V104" s="19">
        <f t="shared" si="17"/>
        <v>0</v>
      </c>
      <c r="W104" s="19">
        <f t="shared" si="18"/>
        <v>0</v>
      </c>
      <c r="X104" s="19">
        <f t="shared" si="19"/>
        <v>0</v>
      </c>
      <c r="Y104" s="19">
        <f t="shared" si="20"/>
        <v>480.5</v>
      </c>
      <c r="Z104" s="20">
        <f t="shared" si="21"/>
        <v>480.5</v>
      </c>
      <c r="AA104" s="20">
        <f t="shared" si="22"/>
        <v>0</v>
      </c>
    </row>
    <row r="105" spans="1:27" ht="15.75" customHeight="1">
      <c r="A105" s="14" t="s">
        <v>220</v>
      </c>
      <c r="B105" s="15" t="s">
        <v>221</v>
      </c>
      <c r="C105" s="16">
        <v>670</v>
      </c>
      <c r="D105" s="16">
        <v>670</v>
      </c>
      <c r="E105" s="17">
        <v>1</v>
      </c>
      <c r="F105" s="18">
        <v>0</v>
      </c>
      <c r="G105" s="18">
        <v>0</v>
      </c>
      <c r="H105" s="18">
        <v>0</v>
      </c>
      <c r="I105" s="17">
        <v>0</v>
      </c>
      <c r="J105" s="17">
        <f t="shared" si="12"/>
        <v>1</v>
      </c>
      <c r="K105" s="17">
        <v>0</v>
      </c>
      <c r="L105" s="17">
        <v>0</v>
      </c>
      <c r="M105" s="17" t="b">
        <f t="shared" si="23"/>
        <v>1</v>
      </c>
      <c r="N105" s="17">
        <v>0</v>
      </c>
      <c r="O105" s="17">
        <v>1</v>
      </c>
      <c r="P105" s="17">
        <f t="shared" si="13"/>
        <v>1</v>
      </c>
      <c r="Q105" s="17">
        <f t="shared" si="14"/>
        <v>0</v>
      </c>
      <c r="R105" s="3"/>
      <c r="S105" s="19">
        <f t="shared" si="15"/>
        <v>670</v>
      </c>
      <c r="T105" s="19">
        <v>0</v>
      </c>
      <c r="U105" s="19">
        <f t="shared" si="16"/>
        <v>0</v>
      </c>
      <c r="V105" s="19">
        <f t="shared" si="17"/>
        <v>0</v>
      </c>
      <c r="W105" s="19">
        <f t="shared" si="18"/>
        <v>0</v>
      </c>
      <c r="X105" s="19">
        <f t="shared" si="19"/>
        <v>0</v>
      </c>
      <c r="Y105" s="19">
        <f t="shared" si="20"/>
        <v>670</v>
      </c>
      <c r="Z105" s="20">
        <f t="shared" si="21"/>
        <v>670</v>
      </c>
      <c r="AA105" s="20">
        <f t="shared" si="22"/>
        <v>0</v>
      </c>
    </row>
    <row r="106" spans="1:27" ht="15.75" customHeight="1">
      <c r="A106" s="14" t="s">
        <v>222</v>
      </c>
      <c r="B106" s="15" t="s">
        <v>223</v>
      </c>
      <c r="C106" s="16">
        <v>775</v>
      </c>
      <c r="D106" s="16">
        <v>775</v>
      </c>
      <c r="E106" s="17">
        <v>2</v>
      </c>
      <c r="F106" s="18">
        <v>0</v>
      </c>
      <c r="G106" s="18">
        <v>0</v>
      </c>
      <c r="H106" s="18">
        <v>0</v>
      </c>
      <c r="I106" s="17">
        <v>0</v>
      </c>
      <c r="J106" s="17">
        <f t="shared" si="12"/>
        <v>2</v>
      </c>
      <c r="K106" s="17">
        <v>2</v>
      </c>
      <c r="L106" s="17">
        <v>2</v>
      </c>
      <c r="M106" s="17" t="b">
        <f t="shared" si="23"/>
        <v>1</v>
      </c>
      <c r="N106" s="17">
        <v>0</v>
      </c>
      <c r="O106" s="17">
        <v>0</v>
      </c>
      <c r="P106" s="17">
        <f t="shared" si="13"/>
        <v>2</v>
      </c>
      <c r="Q106" s="17">
        <f t="shared" si="14"/>
        <v>0</v>
      </c>
      <c r="R106" s="3"/>
      <c r="S106" s="19">
        <f t="shared" si="15"/>
        <v>1550</v>
      </c>
      <c r="T106" s="19">
        <v>0</v>
      </c>
      <c r="U106" s="19">
        <f t="shared" si="16"/>
        <v>0</v>
      </c>
      <c r="V106" s="19">
        <f t="shared" si="17"/>
        <v>0</v>
      </c>
      <c r="W106" s="19">
        <f t="shared" si="18"/>
        <v>0</v>
      </c>
      <c r="X106" s="19">
        <f t="shared" si="19"/>
        <v>0</v>
      </c>
      <c r="Y106" s="19">
        <f t="shared" si="20"/>
        <v>1550</v>
      </c>
      <c r="Z106" s="20">
        <f t="shared" si="21"/>
        <v>1550</v>
      </c>
      <c r="AA106" s="20">
        <f t="shared" si="22"/>
        <v>0</v>
      </c>
    </row>
    <row r="107" spans="1:27" ht="15.75" customHeight="1">
      <c r="A107" s="14" t="s">
        <v>224</v>
      </c>
      <c r="B107" s="15" t="s">
        <v>225</v>
      </c>
      <c r="C107" s="16">
        <v>1320</v>
      </c>
      <c r="D107" s="16">
        <v>1320</v>
      </c>
      <c r="E107" s="17">
        <v>1</v>
      </c>
      <c r="F107" s="18">
        <v>0</v>
      </c>
      <c r="G107" s="18">
        <v>0</v>
      </c>
      <c r="H107" s="18">
        <v>0</v>
      </c>
      <c r="I107" s="17">
        <v>0</v>
      </c>
      <c r="J107" s="17">
        <f t="shared" si="12"/>
        <v>1</v>
      </c>
      <c r="K107" s="17">
        <v>1</v>
      </c>
      <c r="L107" s="17">
        <v>1</v>
      </c>
      <c r="M107" s="17" t="b">
        <f t="shared" si="23"/>
        <v>1</v>
      </c>
      <c r="N107" s="17">
        <v>0</v>
      </c>
      <c r="O107" s="17">
        <v>0</v>
      </c>
      <c r="P107" s="17">
        <f t="shared" si="13"/>
        <v>1</v>
      </c>
      <c r="Q107" s="17">
        <f t="shared" si="14"/>
        <v>0</v>
      </c>
      <c r="R107" s="3"/>
      <c r="S107" s="19">
        <f t="shared" si="15"/>
        <v>1320</v>
      </c>
      <c r="T107" s="19">
        <v>0</v>
      </c>
      <c r="U107" s="19">
        <f t="shared" si="16"/>
        <v>0</v>
      </c>
      <c r="V107" s="19">
        <f t="shared" si="17"/>
        <v>0</v>
      </c>
      <c r="W107" s="19">
        <f t="shared" si="18"/>
        <v>0</v>
      </c>
      <c r="X107" s="19">
        <f t="shared" si="19"/>
        <v>0</v>
      </c>
      <c r="Y107" s="19">
        <f t="shared" si="20"/>
        <v>1320</v>
      </c>
      <c r="Z107" s="20">
        <f t="shared" si="21"/>
        <v>1320</v>
      </c>
      <c r="AA107" s="20">
        <f t="shared" si="22"/>
        <v>0</v>
      </c>
    </row>
    <row r="108" spans="1:27" ht="15.75" customHeight="1">
      <c r="A108" s="14" t="s">
        <v>226</v>
      </c>
      <c r="B108" s="15" t="s">
        <v>227</v>
      </c>
      <c r="C108" s="16">
        <v>2400</v>
      </c>
      <c r="D108" s="16">
        <v>2400</v>
      </c>
      <c r="E108" s="17">
        <v>3</v>
      </c>
      <c r="F108" s="18">
        <v>0</v>
      </c>
      <c r="G108" s="18">
        <v>0</v>
      </c>
      <c r="H108" s="18">
        <v>0</v>
      </c>
      <c r="I108" s="17">
        <v>0</v>
      </c>
      <c r="J108" s="17">
        <f t="shared" si="12"/>
        <v>3</v>
      </c>
      <c r="K108" s="17">
        <v>3</v>
      </c>
      <c r="L108" s="17">
        <v>3</v>
      </c>
      <c r="M108" s="17" t="b">
        <f t="shared" si="23"/>
        <v>1</v>
      </c>
      <c r="N108" s="17">
        <v>0</v>
      </c>
      <c r="O108" s="17">
        <v>0</v>
      </c>
      <c r="P108" s="17">
        <f t="shared" si="13"/>
        <v>3</v>
      </c>
      <c r="Q108" s="17">
        <f t="shared" si="14"/>
        <v>0</v>
      </c>
      <c r="R108" s="3"/>
      <c r="S108" s="19">
        <f t="shared" si="15"/>
        <v>7200</v>
      </c>
      <c r="T108" s="19">
        <v>0</v>
      </c>
      <c r="U108" s="19">
        <f t="shared" si="16"/>
        <v>0</v>
      </c>
      <c r="V108" s="19">
        <f t="shared" si="17"/>
        <v>0</v>
      </c>
      <c r="W108" s="19">
        <f t="shared" si="18"/>
        <v>0</v>
      </c>
      <c r="X108" s="19">
        <f t="shared" si="19"/>
        <v>0</v>
      </c>
      <c r="Y108" s="19">
        <f t="shared" si="20"/>
        <v>7200</v>
      </c>
      <c r="Z108" s="20">
        <f t="shared" si="21"/>
        <v>7200</v>
      </c>
      <c r="AA108" s="20">
        <f t="shared" si="22"/>
        <v>0</v>
      </c>
    </row>
    <row r="109" spans="1:27" ht="15.75" customHeight="1">
      <c r="A109" s="14" t="s">
        <v>228</v>
      </c>
      <c r="B109" s="15" t="s">
        <v>229</v>
      </c>
      <c r="C109" s="16">
        <v>5200</v>
      </c>
      <c r="D109" s="16">
        <v>5200</v>
      </c>
      <c r="E109" s="17">
        <v>1</v>
      </c>
      <c r="F109" s="18">
        <v>0</v>
      </c>
      <c r="G109" s="18">
        <v>0</v>
      </c>
      <c r="H109" s="18">
        <v>0</v>
      </c>
      <c r="I109" s="17">
        <v>0</v>
      </c>
      <c r="J109" s="17">
        <f t="shared" si="12"/>
        <v>1</v>
      </c>
      <c r="K109" s="17">
        <v>1</v>
      </c>
      <c r="L109" s="17">
        <v>1</v>
      </c>
      <c r="M109" s="17" t="b">
        <f t="shared" si="23"/>
        <v>1</v>
      </c>
      <c r="N109" s="17">
        <v>0</v>
      </c>
      <c r="O109" s="17">
        <v>0</v>
      </c>
      <c r="P109" s="17">
        <f t="shared" si="13"/>
        <v>1</v>
      </c>
      <c r="Q109" s="17">
        <f t="shared" si="14"/>
        <v>0</v>
      </c>
      <c r="R109" s="3"/>
      <c r="S109" s="19">
        <f t="shared" si="15"/>
        <v>5200</v>
      </c>
      <c r="T109" s="19">
        <v>0</v>
      </c>
      <c r="U109" s="19">
        <f t="shared" si="16"/>
        <v>0</v>
      </c>
      <c r="V109" s="19">
        <f t="shared" si="17"/>
        <v>0</v>
      </c>
      <c r="W109" s="19">
        <f t="shared" si="18"/>
        <v>0</v>
      </c>
      <c r="X109" s="19">
        <f t="shared" si="19"/>
        <v>0</v>
      </c>
      <c r="Y109" s="19">
        <f t="shared" si="20"/>
        <v>5200</v>
      </c>
      <c r="Z109" s="20">
        <f t="shared" si="21"/>
        <v>5200</v>
      </c>
      <c r="AA109" s="20">
        <f t="shared" si="22"/>
        <v>0</v>
      </c>
    </row>
    <row r="110" spans="1:27" ht="15.75" customHeight="1">
      <c r="A110" s="14" t="s">
        <v>230</v>
      </c>
      <c r="B110" s="15" t="s">
        <v>231</v>
      </c>
      <c r="C110" s="16">
        <v>290</v>
      </c>
      <c r="D110" s="16">
        <v>290</v>
      </c>
      <c r="E110" s="17">
        <v>1</v>
      </c>
      <c r="F110" s="18">
        <v>0</v>
      </c>
      <c r="G110" s="18">
        <v>0</v>
      </c>
      <c r="H110" s="18">
        <v>0</v>
      </c>
      <c r="I110" s="17">
        <v>0</v>
      </c>
      <c r="J110" s="17">
        <f t="shared" si="12"/>
        <v>1</v>
      </c>
      <c r="K110" s="17">
        <v>1</v>
      </c>
      <c r="L110" s="17">
        <v>1</v>
      </c>
      <c r="M110" s="17" t="b">
        <f t="shared" si="23"/>
        <v>1</v>
      </c>
      <c r="N110" s="17">
        <v>0</v>
      </c>
      <c r="O110" s="17">
        <v>0</v>
      </c>
      <c r="P110" s="17">
        <f t="shared" si="13"/>
        <v>1</v>
      </c>
      <c r="Q110" s="17">
        <f t="shared" si="14"/>
        <v>0</v>
      </c>
      <c r="R110" s="3"/>
      <c r="S110" s="19">
        <f t="shared" si="15"/>
        <v>290</v>
      </c>
      <c r="T110" s="19">
        <v>0</v>
      </c>
      <c r="U110" s="19">
        <f t="shared" si="16"/>
        <v>0</v>
      </c>
      <c r="V110" s="19">
        <f t="shared" si="17"/>
        <v>0</v>
      </c>
      <c r="W110" s="19">
        <f t="shared" si="18"/>
        <v>0</v>
      </c>
      <c r="X110" s="19">
        <f t="shared" si="19"/>
        <v>0</v>
      </c>
      <c r="Y110" s="19">
        <f t="shared" si="20"/>
        <v>290</v>
      </c>
      <c r="Z110" s="20">
        <f t="shared" si="21"/>
        <v>290</v>
      </c>
      <c r="AA110" s="20">
        <f t="shared" si="22"/>
        <v>0</v>
      </c>
    </row>
    <row r="111" spans="1:27" ht="15.75" customHeight="1">
      <c r="A111" s="14" t="s">
        <v>232</v>
      </c>
      <c r="B111" s="15" t="s">
        <v>233</v>
      </c>
      <c r="C111" s="16">
        <v>420</v>
      </c>
      <c r="D111" s="16">
        <v>420</v>
      </c>
      <c r="E111" s="17">
        <v>0</v>
      </c>
      <c r="F111" s="18">
        <v>0</v>
      </c>
      <c r="G111" s="18">
        <v>0</v>
      </c>
      <c r="H111" s="18">
        <v>0</v>
      </c>
      <c r="I111" s="17">
        <v>0</v>
      </c>
      <c r="J111" s="17">
        <f t="shared" si="12"/>
        <v>0</v>
      </c>
      <c r="K111" s="17">
        <v>0</v>
      </c>
      <c r="L111" s="17">
        <v>0</v>
      </c>
      <c r="M111" s="17" t="b">
        <f t="shared" si="23"/>
        <v>1</v>
      </c>
      <c r="N111" s="17">
        <v>0</v>
      </c>
      <c r="O111" s="17">
        <v>0</v>
      </c>
      <c r="P111" s="17">
        <f t="shared" si="13"/>
        <v>0</v>
      </c>
      <c r="Q111" s="17">
        <f t="shared" si="14"/>
        <v>0</v>
      </c>
      <c r="R111" s="3"/>
      <c r="S111" s="19">
        <f t="shared" si="15"/>
        <v>0</v>
      </c>
      <c r="T111" s="19">
        <v>0</v>
      </c>
      <c r="U111" s="19">
        <f t="shared" si="16"/>
        <v>0</v>
      </c>
      <c r="V111" s="19">
        <f t="shared" si="17"/>
        <v>0</v>
      </c>
      <c r="W111" s="19">
        <f t="shared" si="18"/>
        <v>0</v>
      </c>
      <c r="X111" s="19">
        <f t="shared" si="19"/>
        <v>0</v>
      </c>
      <c r="Y111" s="19">
        <f t="shared" si="20"/>
        <v>0</v>
      </c>
      <c r="Z111" s="20">
        <f t="shared" si="21"/>
        <v>0</v>
      </c>
      <c r="AA111" s="20">
        <f t="shared" si="22"/>
        <v>0</v>
      </c>
    </row>
    <row r="112" spans="1:27" ht="15.75" customHeight="1">
      <c r="A112" s="14" t="s">
        <v>234</v>
      </c>
      <c r="B112" s="15" t="s">
        <v>235</v>
      </c>
      <c r="C112" s="16">
        <v>31</v>
      </c>
      <c r="D112" s="16">
        <v>31</v>
      </c>
      <c r="E112" s="17">
        <v>116</v>
      </c>
      <c r="F112" s="18">
        <v>0</v>
      </c>
      <c r="G112" s="18">
        <v>0</v>
      </c>
      <c r="H112" s="18">
        <v>0</v>
      </c>
      <c r="I112" s="22">
        <v>0</v>
      </c>
      <c r="J112" s="17">
        <f t="shared" si="12"/>
        <v>116</v>
      </c>
      <c r="K112" s="22">
        <v>116</v>
      </c>
      <c r="L112" s="22">
        <v>116</v>
      </c>
      <c r="M112" s="17" t="b">
        <f t="shared" si="23"/>
        <v>1</v>
      </c>
      <c r="N112" s="22">
        <v>0</v>
      </c>
      <c r="O112" s="17">
        <v>0</v>
      </c>
      <c r="P112" s="22">
        <f t="shared" si="13"/>
        <v>116</v>
      </c>
      <c r="Q112" s="17">
        <f t="shared" si="14"/>
        <v>0</v>
      </c>
      <c r="R112" s="3"/>
      <c r="S112" s="19">
        <f t="shared" si="15"/>
        <v>3596</v>
      </c>
      <c r="T112" s="19">
        <v>0</v>
      </c>
      <c r="U112" s="19">
        <f t="shared" si="16"/>
        <v>0</v>
      </c>
      <c r="V112" s="19">
        <f t="shared" si="17"/>
        <v>0</v>
      </c>
      <c r="W112" s="19">
        <f t="shared" si="18"/>
        <v>0</v>
      </c>
      <c r="X112" s="19">
        <f t="shared" si="19"/>
        <v>0</v>
      </c>
      <c r="Y112" s="19">
        <f t="shared" si="20"/>
        <v>3596</v>
      </c>
      <c r="Z112" s="20">
        <f t="shared" si="21"/>
        <v>3596</v>
      </c>
      <c r="AA112" s="20">
        <f t="shared" si="22"/>
        <v>0</v>
      </c>
    </row>
    <row r="113" spans="1:27" ht="15.75" customHeight="1">
      <c r="A113" s="14" t="s">
        <v>236</v>
      </c>
      <c r="B113" s="15" t="s">
        <v>237</v>
      </c>
      <c r="C113" s="16">
        <v>163.80000000000001</v>
      </c>
      <c r="D113" s="16">
        <v>163.80000000000001</v>
      </c>
      <c r="E113" s="17">
        <v>0</v>
      </c>
      <c r="F113" s="18">
        <v>0</v>
      </c>
      <c r="G113" s="18">
        <v>0</v>
      </c>
      <c r="H113" s="18">
        <v>0</v>
      </c>
      <c r="I113" s="17">
        <v>0</v>
      </c>
      <c r="J113" s="17">
        <f t="shared" si="12"/>
        <v>0</v>
      </c>
      <c r="K113" s="17">
        <v>0</v>
      </c>
      <c r="L113" s="17">
        <v>0</v>
      </c>
      <c r="M113" s="17" t="b">
        <f t="shared" si="23"/>
        <v>1</v>
      </c>
      <c r="N113" s="17">
        <v>0</v>
      </c>
      <c r="O113" s="17">
        <v>0</v>
      </c>
      <c r="P113" s="17">
        <f t="shared" si="13"/>
        <v>0</v>
      </c>
      <c r="Q113" s="17">
        <f t="shared" si="14"/>
        <v>0</v>
      </c>
      <c r="R113" s="3"/>
      <c r="S113" s="19">
        <f t="shared" si="15"/>
        <v>0</v>
      </c>
      <c r="T113" s="19">
        <v>0</v>
      </c>
      <c r="U113" s="19">
        <f t="shared" si="16"/>
        <v>0</v>
      </c>
      <c r="V113" s="19">
        <f t="shared" si="17"/>
        <v>0</v>
      </c>
      <c r="W113" s="19">
        <f t="shared" si="18"/>
        <v>0</v>
      </c>
      <c r="X113" s="19">
        <f t="shared" si="19"/>
        <v>0</v>
      </c>
      <c r="Y113" s="19">
        <f t="shared" si="20"/>
        <v>0</v>
      </c>
      <c r="Z113" s="20">
        <f t="shared" si="21"/>
        <v>0</v>
      </c>
      <c r="AA113" s="20">
        <f t="shared" si="22"/>
        <v>0</v>
      </c>
    </row>
    <row r="114" spans="1:27" ht="15.75" customHeight="1">
      <c r="A114" s="14" t="s">
        <v>238</v>
      </c>
      <c r="B114" s="15" t="s">
        <v>239</v>
      </c>
      <c r="C114" s="16">
        <v>0</v>
      </c>
      <c r="D114" s="16">
        <v>0</v>
      </c>
      <c r="E114" s="17">
        <v>0</v>
      </c>
      <c r="F114" s="18">
        <v>0</v>
      </c>
      <c r="G114" s="18">
        <v>0</v>
      </c>
      <c r="H114" s="18">
        <v>0</v>
      </c>
      <c r="I114" s="17">
        <v>0</v>
      </c>
      <c r="J114" s="17">
        <f t="shared" si="12"/>
        <v>0</v>
      </c>
      <c r="K114" s="17">
        <v>0</v>
      </c>
      <c r="L114" s="17">
        <v>0</v>
      </c>
      <c r="M114" s="17" t="b">
        <f t="shared" si="23"/>
        <v>1</v>
      </c>
      <c r="N114" s="17">
        <v>0</v>
      </c>
      <c r="O114" s="17">
        <v>0</v>
      </c>
      <c r="P114" s="17">
        <f t="shared" si="13"/>
        <v>0</v>
      </c>
      <c r="Q114" s="17">
        <f t="shared" si="14"/>
        <v>0</v>
      </c>
      <c r="R114" s="3"/>
      <c r="S114" s="19">
        <f t="shared" si="15"/>
        <v>0</v>
      </c>
      <c r="T114" s="19">
        <v>0</v>
      </c>
      <c r="U114" s="19">
        <f t="shared" si="16"/>
        <v>0</v>
      </c>
      <c r="V114" s="19">
        <f t="shared" si="17"/>
        <v>0</v>
      </c>
      <c r="W114" s="19">
        <f t="shared" si="18"/>
        <v>0</v>
      </c>
      <c r="X114" s="19">
        <f t="shared" si="19"/>
        <v>0</v>
      </c>
      <c r="Y114" s="19">
        <f t="shared" si="20"/>
        <v>0</v>
      </c>
      <c r="Z114" s="20">
        <f t="shared" si="21"/>
        <v>0</v>
      </c>
      <c r="AA114" s="20">
        <f t="shared" si="22"/>
        <v>0</v>
      </c>
    </row>
    <row r="115" spans="1:27" ht="15.75" customHeight="1">
      <c r="A115" s="23" t="s">
        <v>240</v>
      </c>
      <c r="B115" s="15" t="s">
        <v>241</v>
      </c>
      <c r="C115" s="16">
        <v>149.47</v>
      </c>
      <c r="D115" s="16">
        <v>149.47</v>
      </c>
      <c r="E115" s="17">
        <v>50</v>
      </c>
      <c r="F115" s="18">
        <v>0</v>
      </c>
      <c r="G115" s="18">
        <v>0</v>
      </c>
      <c r="H115" s="18">
        <v>0</v>
      </c>
      <c r="I115" s="17">
        <v>0</v>
      </c>
      <c r="J115" s="17">
        <f t="shared" si="12"/>
        <v>50</v>
      </c>
      <c r="K115" s="17">
        <v>50</v>
      </c>
      <c r="L115" s="17">
        <v>50</v>
      </c>
      <c r="M115" s="17" t="b">
        <f t="shared" si="23"/>
        <v>1</v>
      </c>
      <c r="N115" s="17">
        <v>0</v>
      </c>
      <c r="O115" s="17">
        <v>0</v>
      </c>
      <c r="P115" s="17">
        <f t="shared" si="13"/>
        <v>50</v>
      </c>
      <c r="Q115" s="17">
        <f t="shared" si="14"/>
        <v>0</v>
      </c>
      <c r="R115" s="3"/>
      <c r="S115" s="19">
        <f t="shared" si="15"/>
        <v>7473.5</v>
      </c>
      <c r="T115" s="19">
        <v>0</v>
      </c>
      <c r="U115" s="19">
        <f t="shared" si="16"/>
        <v>0</v>
      </c>
      <c r="V115" s="19">
        <f t="shared" si="17"/>
        <v>0</v>
      </c>
      <c r="W115" s="19">
        <f t="shared" si="18"/>
        <v>0</v>
      </c>
      <c r="X115" s="19">
        <f t="shared" si="19"/>
        <v>0</v>
      </c>
      <c r="Y115" s="19">
        <f t="shared" si="20"/>
        <v>7473.5</v>
      </c>
      <c r="Z115" s="20">
        <f t="shared" si="21"/>
        <v>7473.5</v>
      </c>
      <c r="AA115" s="20">
        <f t="shared" si="22"/>
        <v>0</v>
      </c>
    </row>
    <row r="116" spans="1:27" ht="15.75" customHeight="1">
      <c r="A116" s="14" t="s">
        <v>242</v>
      </c>
      <c r="B116" s="15" t="s">
        <v>243</v>
      </c>
      <c r="C116" s="16">
        <v>66</v>
      </c>
      <c r="D116" s="16">
        <v>66</v>
      </c>
      <c r="E116" s="17">
        <v>50</v>
      </c>
      <c r="F116" s="18">
        <v>0</v>
      </c>
      <c r="G116" s="18">
        <v>0</v>
      </c>
      <c r="H116" s="18">
        <v>0</v>
      </c>
      <c r="I116" s="17">
        <v>0</v>
      </c>
      <c r="J116" s="17">
        <f t="shared" si="12"/>
        <v>50</v>
      </c>
      <c r="K116" s="17">
        <v>50</v>
      </c>
      <c r="L116" s="17">
        <v>50</v>
      </c>
      <c r="M116" s="17" t="b">
        <f t="shared" si="23"/>
        <v>1</v>
      </c>
      <c r="N116" s="17">
        <v>0</v>
      </c>
      <c r="O116" s="17">
        <v>0</v>
      </c>
      <c r="P116" s="17">
        <f t="shared" si="13"/>
        <v>50</v>
      </c>
      <c r="Q116" s="17">
        <f t="shared" si="14"/>
        <v>0</v>
      </c>
      <c r="R116" s="3"/>
      <c r="S116" s="19">
        <f t="shared" si="15"/>
        <v>3300</v>
      </c>
      <c r="T116" s="19">
        <v>0</v>
      </c>
      <c r="U116" s="19">
        <f t="shared" si="16"/>
        <v>0</v>
      </c>
      <c r="V116" s="19">
        <f t="shared" si="17"/>
        <v>0</v>
      </c>
      <c r="W116" s="19">
        <f t="shared" si="18"/>
        <v>0</v>
      </c>
      <c r="X116" s="19">
        <f t="shared" si="19"/>
        <v>0</v>
      </c>
      <c r="Y116" s="19">
        <f t="shared" si="20"/>
        <v>3300</v>
      </c>
      <c r="Z116" s="20">
        <f t="shared" si="21"/>
        <v>3300</v>
      </c>
      <c r="AA116" s="20">
        <f t="shared" si="22"/>
        <v>0</v>
      </c>
    </row>
    <row r="117" spans="1:27" ht="15.75" customHeight="1">
      <c r="A117" s="14" t="s">
        <v>244</v>
      </c>
      <c r="B117" s="15" t="s">
        <v>245</v>
      </c>
      <c r="C117" s="16">
        <v>0</v>
      </c>
      <c r="D117" s="16">
        <v>0</v>
      </c>
      <c r="E117" s="17">
        <v>0</v>
      </c>
      <c r="F117" s="18">
        <v>0</v>
      </c>
      <c r="G117" s="18">
        <v>0</v>
      </c>
      <c r="H117" s="18">
        <v>0</v>
      </c>
      <c r="I117" s="17">
        <v>0</v>
      </c>
      <c r="J117" s="17">
        <f t="shared" si="12"/>
        <v>0</v>
      </c>
      <c r="K117" s="17">
        <v>0</v>
      </c>
      <c r="L117" s="17">
        <v>0</v>
      </c>
      <c r="M117" s="17" t="b">
        <f t="shared" si="23"/>
        <v>1</v>
      </c>
      <c r="N117" s="17">
        <v>0</v>
      </c>
      <c r="O117" s="17">
        <v>0</v>
      </c>
      <c r="P117" s="17">
        <f t="shared" si="13"/>
        <v>0</v>
      </c>
      <c r="Q117" s="17">
        <f t="shared" si="14"/>
        <v>0</v>
      </c>
      <c r="R117" s="3"/>
      <c r="S117" s="19">
        <f t="shared" si="15"/>
        <v>0</v>
      </c>
      <c r="T117" s="19">
        <v>0</v>
      </c>
      <c r="U117" s="19">
        <f t="shared" si="16"/>
        <v>0</v>
      </c>
      <c r="V117" s="19">
        <f t="shared" si="17"/>
        <v>0</v>
      </c>
      <c r="W117" s="19">
        <f t="shared" si="18"/>
        <v>0</v>
      </c>
      <c r="X117" s="19">
        <f t="shared" si="19"/>
        <v>0</v>
      </c>
      <c r="Y117" s="19">
        <f t="shared" si="20"/>
        <v>0</v>
      </c>
      <c r="Z117" s="20">
        <f t="shared" si="21"/>
        <v>0</v>
      </c>
      <c r="AA117" s="20">
        <f t="shared" si="22"/>
        <v>0</v>
      </c>
    </row>
    <row r="118" spans="1:27" ht="15.75" customHeight="1">
      <c r="A118" s="14" t="s">
        <v>246</v>
      </c>
      <c r="B118" s="15" t="s">
        <v>247</v>
      </c>
      <c r="C118" s="16">
        <v>19.5</v>
      </c>
      <c r="D118" s="16">
        <v>19.5</v>
      </c>
      <c r="E118" s="17">
        <v>0</v>
      </c>
      <c r="F118" s="18">
        <v>0</v>
      </c>
      <c r="G118" s="18">
        <v>0</v>
      </c>
      <c r="H118" s="18">
        <v>0</v>
      </c>
      <c r="I118" s="17">
        <v>0</v>
      </c>
      <c r="J118" s="17">
        <f t="shared" si="12"/>
        <v>0</v>
      </c>
      <c r="K118" s="17">
        <v>0</v>
      </c>
      <c r="L118" s="17">
        <v>0</v>
      </c>
      <c r="M118" s="17" t="b">
        <f t="shared" si="23"/>
        <v>1</v>
      </c>
      <c r="N118" s="17">
        <v>0</v>
      </c>
      <c r="O118" s="17">
        <v>0</v>
      </c>
      <c r="P118" s="17">
        <f t="shared" si="13"/>
        <v>0</v>
      </c>
      <c r="Q118" s="17">
        <f t="shared" si="14"/>
        <v>0</v>
      </c>
      <c r="R118" s="3"/>
      <c r="S118" s="19">
        <f t="shared" si="15"/>
        <v>0</v>
      </c>
      <c r="T118" s="19">
        <v>0</v>
      </c>
      <c r="U118" s="19">
        <f t="shared" si="16"/>
        <v>0</v>
      </c>
      <c r="V118" s="19">
        <f t="shared" si="17"/>
        <v>0</v>
      </c>
      <c r="W118" s="19">
        <f t="shared" si="18"/>
        <v>0</v>
      </c>
      <c r="X118" s="19">
        <f t="shared" si="19"/>
        <v>0</v>
      </c>
      <c r="Y118" s="19">
        <f t="shared" si="20"/>
        <v>0</v>
      </c>
      <c r="Z118" s="20">
        <f t="shared" si="21"/>
        <v>0</v>
      </c>
      <c r="AA118" s="20">
        <f t="shared" si="22"/>
        <v>0</v>
      </c>
    </row>
    <row r="119" spans="1:27" ht="15.75" customHeight="1">
      <c r="A119" s="14" t="s">
        <v>248</v>
      </c>
      <c r="B119" s="15" t="s">
        <v>249</v>
      </c>
      <c r="C119" s="16">
        <v>0</v>
      </c>
      <c r="D119" s="16">
        <v>0</v>
      </c>
      <c r="E119" s="17">
        <v>0</v>
      </c>
      <c r="F119" s="18">
        <v>0</v>
      </c>
      <c r="G119" s="18">
        <v>0</v>
      </c>
      <c r="H119" s="18">
        <v>0</v>
      </c>
      <c r="I119" s="17">
        <v>0</v>
      </c>
      <c r="J119" s="17">
        <f t="shared" si="12"/>
        <v>0</v>
      </c>
      <c r="K119" s="17">
        <v>0</v>
      </c>
      <c r="L119" s="17">
        <v>0</v>
      </c>
      <c r="M119" s="17" t="b">
        <f t="shared" si="23"/>
        <v>1</v>
      </c>
      <c r="N119" s="17">
        <v>0</v>
      </c>
      <c r="O119" s="17">
        <v>0</v>
      </c>
      <c r="P119" s="17">
        <f t="shared" si="13"/>
        <v>0</v>
      </c>
      <c r="Q119" s="17">
        <f t="shared" si="14"/>
        <v>0</v>
      </c>
      <c r="R119" s="3"/>
      <c r="S119" s="19">
        <f t="shared" si="15"/>
        <v>0</v>
      </c>
      <c r="T119" s="19">
        <v>0</v>
      </c>
      <c r="U119" s="19">
        <f t="shared" si="16"/>
        <v>0</v>
      </c>
      <c r="V119" s="19">
        <f t="shared" si="17"/>
        <v>0</v>
      </c>
      <c r="W119" s="19">
        <f t="shared" si="18"/>
        <v>0</v>
      </c>
      <c r="X119" s="19">
        <f t="shared" si="19"/>
        <v>0</v>
      </c>
      <c r="Y119" s="19">
        <f t="shared" si="20"/>
        <v>0</v>
      </c>
      <c r="Z119" s="20">
        <f t="shared" si="21"/>
        <v>0</v>
      </c>
      <c r="AA119" s="20">
        <f t="shared" si="22"/>
        <v>0</v>
      </c>
    </row>
    <row r="120" spans="1:27" ht="15.75" customHeight="1">
      <c r="A120" s="14" t="s">
        <v>250</v>
      </c>
      <c r="B120" s="15" t="s">
        <v>251</v>
      </c>
      <c r="C120" s="16">
        <v>3875</v>
      </c>
      <c r="D120" s="16">
        <v>3875</v>
      </c>
      <c r="E120" s="17">
        <v>1</v>
      </c>
      <c r="F120" s="18">
        <v>0</v>
      </c>
      <c r="G120" s="18">
        <v>0</v>
      </c>
      <c r="H120" s="18">
        <v>0</v>
      </c>
      <c r="I120" s="17">
        <v>0</v>
      </c>
      <c r="J120" s="17">
        <f t="shared" si="12"/>
        <v>1</v>
      </c>
      <c r="K120" s="17">
        <v>1</v>
      </c>
      <c r="L120" s="17">
        <v>1</v>
      </c>
      <c r="M120" s="17" t="b">
        <f t="shared" si="23"/>
        <v>1</v>
      </c>
      <c r="N120" s="17">
        <v>0</v>
      </c>
      <c r="O120" s="17">
        <v>0</v>
      </c>
      <c r="P120" s="17">
        <f t="shared" si="13"/>
        <v>1</v>
      </c>
      <c r="Q120" s="17">
        <f t="shared" si="14"/>
        <v>0</v>
      </c>
      <c r="R120" s="3"/>
      <c r="S120" s="19">
        <f t="shared" si="15"/>
        <v>3875</v>
      </c>
      <c r="T120" s="19">
        <v>0</v>
      </c>
      <c r="U120" s="19">
        <f t="shared" si="16"/>
        <v>0</v>
      </c>
      <c r="V120" s="19">
        <f t="shared" si="17"/>
        <v>0</v>
      </c>
      <c r="W120" s="19">
        <f t="shared" si="18"/>
        <v>0</v>
      </c>
      <c r="X120" s="19">
        <f t="shared" si="19"/>
        <v>0</v>
      </c>
      <c r="Y120" s="19">
        <f t="shared" si="20"/>
        <v>3875</v>
      </c>
      <c r="Z120" s="20">
        <f t="shared" si="21"/>
        <v>3875</v>
      </c>
      <c r="AA120" s="20">
        <f t="shared" si="22"/>
        <v>0</v>
      </c>
    </row>
    <row r="121" spans="1:27" ht="15.75" customHeight="1">
      <c r="A121" s="14" t="s">
        <v>252</v>
      </c>
      <c r="B121" s="15" t="s">
        <v>253</v>
      </c>
      <c r="C121" s="16">
        <v>600</v>
      </c>
      <c r="D121" s="16">
        <v>600</v>
      </c>
      <c r="E121" s="17">
        <v>3</v>
      </c>
      <c r="F121" s="18">
        <v>0</v>
      </c>
      <c r="G121" s="18">
        <v>0</v>
      </c>
      <c r="H121" s="18">
        <v>0</v>
      </c>
      <c r="I121" s="17">
        <v>0</v>
      </c>
      <c r="J121" s="17">
        <f t="shared" si="12"/>
        <v>3</v>
      </c>
      <c r="K121" s="17">
        <v>3</v>
      </c>
      <c r="L121" s="17">
        <v>3</v>
      </c>
      <c r="M121" s="17" t="b">
        <f t="shared" si="23"/>
        <v>1</v>
      </c>
      <c r="N121" s="17">
        <v>0</v>
      </c>
      <c r="O121" s="17">
        <v>0</v>
      </c>
      <c r="P121" s="17">
        <f t="shared" si="13"/>
        <v>3</v>
      </c>
      <c r="Q121" s="17">
        <f t="shared" si="14"/>
        <v>0</v>
      </c>
      <c r="R121" s="3"/>
      <c r="S121" s="19">
        <f t="shared" si="15"/>
        <v>1800</v>
      </c>
      <c r="T121" s="19">
        <v>0</v>
      </c>
      <c r="U121" s="19">
        <f t="shared" si="16"/>
        <v>0</v>
      </c>
      <c r="V121" s="19">
        <f t="shared" si="17"/>
        <v>0</v>
      </c>
      <c r="W121" s="19">
        <f t="shared" si="18"/>
        <v>0</v>
      </c>
      <c r="X121" s="19">
        <f t="shared" si="19"/>
        <v>0</v>
      </c>
      <c r="Y121" s="19">
        <f t="shared" si="20"/>
        <v>1800</v>
      </c>
      <c r="Z121" s="20">
        <f t="shared" si="21"/>
        <v>1800</v>
      </c>
      <c r="AA121" s="20">
        <f t="shared" si="22"/>
        <v>0</v>
      </c>
    </row>
    <row r="122" spans="1:27" ht="15.75" customHeight="1">
      <c r="A122" s="14" t="s">
        <v>254</v>
      </c>
      <c r="B122" s="15" t="s">
        <v>255</v>
      </c>
      <c r="C122" s="16">
        <v>92.4</v>
      </c>
      <c r="D122" s="16">
        <v>92.4</v>
      </c>
      <c r="E122" s="17">
        <v>3</v>
      </c>
      <c r="F122" s="18">
        <v>0</v>
      </c>
      <c r="G122" s="18">
        <v>0</v>
      </c>
      <c r="H122" s="18">
        <v>0</v>
      </c>
      <c r="I122" s="17">
        <v>0</v>
      </c>
      <c r="J122" s="17">
        <f t="shared" si="12"/>
        <v>3</v>
      </c>
      <c r="K122" s="17">
        <v>3</v>
      </c>
      <c r="L122" s="17">
        <v>3</v>
      </c>
      <c r="M122" s="17" t="b">
        <f t="shared" si="23"/>
        <v>1</v>
      </c>
      <c r="N122" s="17">
        <v>0</v>
      </c>
      <c r="O122" s="17">
        <v>0</v>
      </c>
      <c r="P122" s="17">
        <f t="shared" si="13"/>
        <v>3</v>
      </c>
      <c r="Q122" s="17">
        <f t="shared" si="14"/>
        <v>0</v>
      </c>
      <c r="R122" s="3"/>
      <c r="S122" s="19">
        <f t="shared" si="15"/>
        <v>277.20000000000005</v>
      </c>
      <c r="T122" s="19">
        <v>0</v>
      </c>
      <c r="U122" s="19">
        <f t="shared" si="16"/>
        <v>0</v>
      </c>
      <c r="V122" s="19">
        <f t="shared" si="17"/>
        <v>0</v>
      </c>
      <c r="W122" s="19">
        <f t="shared" si="18"/>
        <v>0</v>
      </c>
      <c r="X122" s="19">
        <f t="shared" si="19"/>
        <v>0</v>
      </c>
      <c r="Y122" s="19">
        <f t="shared" si="20"/>
        <v>277.20000000000005</v>
      </c>
      <c r="Z122" s="20">
        <f t="shared" si="21"/>
        <v>277.20000000000005</v>
      </c>
      <c r="AA122" s="20">
        <f t="shared" si="22"/>
        <v>0</v>
      </c>
    </row>
    <row r="123" spans="1:27" ht="15.75" customHeight="1">
      <c r="A123" s="14" t="s">
        <v>256</v>
      </c>
      <c r="B123" s="15" t="s">
        <v>257</v>
      </c>
      <c r="C123" s="16">
        <v>260</v>
      </c>
      <c r="D123" s="16">
        <v>260</v>
      </c>
      <c r="E123" s="17">
        <v>5</v>
      </c>
      <c r="F123" s="18">
        <v>0</v>
      </c>
      <c r="G123" s="18">
        <v>0</v>
      </c>
      <c r="H123" s="18">
        <v>0</v>
      </c>
      <c r="I123" s="17">
        <v>0</v>
      </c>
      <c r="J123" s="17">
        <f t="shared" si="12"/>
        <v>5</v>
      </c>
      <c r="K123" s="17">
        <v>5</v>
      </c>
      <c r="L123" s="17">
        <v>5</v>
      </c>
      <c r="M123" s="17" t="b">
        <f t="shared" si="23"/>
        <v>1</v>
      </c>
      <c r="N123" s="17">
        <v>0</v>
      </c>
      <c r="O123" s="17">
        <v>0</v>
      </c>
      <c r="P123" s="17">
        <f t="shared" si="13"/>
        <v>5</v>
      </c>
      <c r="Q123" s="17">
        <f t="shared" si="14"/>
        <v>0</v>
      </c>
      <c r="R123" s="3"/>
      <c r="S123" s="19">
        <f t="shared" si="15"/>
        <v>1300</v>
      </c>
      <c r="T123" s="19">
        <v>0</v>
      </c>
      <c r="U123" s="19">
        <f t="shared" si="16"/>
        <v>0</v>
      </c>
      <c r="V123" s="19">
        <f t="shared" si="17"/>
        <v>0</v>
      </c>
      <c r="W123" s="19">
        <f t="shared" si="18"/>
        <v>0</v>
      </c>
      <c r="X123" s="19">
        <f t="shared" si="19"/>
        <v>0</v>
      </c>
      <c r="Y123" s="19">
        <f t="shared" si="20"/>
        <v>1300</v>
      </c>
      <c r="Z123" s="20">
        <f t="shared" si="21"/>
        <v>1300</v>
      </c>
      <c r="AA123" s="20">
        <f t="shared" si="22"/>
        <v>0</v>
      </c>
    </row>
    <row r="124" spans="1:27" ht="15.75" customHeight="1">
      <c r="A124" s="14" t="s">
        <v>258</v>
      </c>
      <c r="B124" s="15" t="s">
        <v>259</v>
      </c>
      <c r="C124" s="16">
        <v>830</v>
      </c>
      <c r="D124" s="16">
        <v>830</v>
      </c>
      <c r="E124" s="17">
        <v>0</v>
      </c>
      <c r="F124" s="18">
        <v>0</v>
      </c>
      <c r="G124" s="18">
        <v>0</v>
      </c>
      <c r="H124" s="24">
        <v>0</v>
      </c>
      <c r="I124" s="17">
        <v>0</v>
      </c>
      <c r="J124" s="17">
        <f t="shared" si="12"/>
        <v>0</v>
      </c>
      <c r="K124" s="17">
        <v>0</v>
      </c>
      <c r="L124" s="17">
        <v>0</v>
      </c>
      <c r="M124" s="17" t="b">
        <f t="shared" si="23"/>
        <v>1</v>
      </c>
      <c r="N124" s="17">
        <v>0</v>
      </c>
      <c r="O124" s="17">
        <v>0</v>
      </c>
      <c r="P124" s="17">
        <f t="shared" si="13"/>
        <v>0</v>
      </c>
      <c r="Q124" s="17">
        <f t="shared" si="14"/>
        <v>0</v>
      </c>
      <c r="R124" s="3"/>
      <c r="S124" s="19">
        <f t="shared" si="15"/>
        <v>0</v>
      </c>
      <c r="T124" s="19">
        <v>0</v>
      </c>
      <c r="U124" s="19">
        <f t="shared" si="16"/>
        <v>0</v>
      </c>
      <c r="V124" s="19">
        <f t="shared" si="17"/>
        <v>0</v>
      </c>
      <c r="W124" s="19">
        <f t="shared" si="18"/>
        <v>0</v>
      </c>
      <c r="X124" s="19">
        <f t="shared" si="19"/>
        <v>0</v>
      </c>
      <c r="Y124" s="19">
        <f t="shared" si="20"/>
        <v>0</v>
      </c>
      <c r="Z124" s="20">
        <f t="shared" si="21"/>
        <v>0</v>
      </c>
      <c r="AA124" s="20">
        <f t="shared" si="22"/>
        <v>0</v>
      </c>
    </row>
    <row r="125" spans="1:27" ht="15.75" customHeight="1">
      <c r="A125" s="14" t="s">
        <v>260</v>
      </c>
      <c r="B125" s="15" t="s">
        <v>261</v>
      </c>
      <c r="C125" s="16">
        <v>0</v>
      </c>
      <c r="D125" s="16">
        <v>0</v>
      </c>
      <c r="E125" s="17">
        <v>0</v>
      </c>
      <c r="F125" s="18">
        <v>0</v>
      </c>
      <c r="G125" s="18">
        <v>0</v>
      </c>
      <c r="H125" s="18">
        <v>0</v>
      </c>
      <c r="I125" s="17">
        <v>0</v>
      </c>
      <c r="J125" s="17">
        <f t="shared" si="12"/>
        <v>0</v>
      </c>
      <c r="K125" s="17">
        <v>0</v>
      </c>
      <c r="L125" s="17">
        <v>0</v>
      </c>
      <c r="M125" s="17" t="b">
        <f t="shared" si="23"/>
        <v>1</v>
      </c>
      <c r="N125" s="17">
        <v>0</v>
      </c>
      <c r="O125" s="17">
        <v>0</v>
      </c>
      <c r="P125" s="17">
        <f t="shared" si="13"/>
        <v>0</v>
      </c>
      <c r="Q125" s="17">
        <f t="shared" si="14"/>
        <v>0</v>
      </c>
      <c r="R125" s="3"/>
      <c r="S125" s="19">
        <f t="shared" si="15"/>
        <v>0</v>
      </c>
      <c r="T125" s="19">
        <v>0</v>
      </c>
      <c r="U125" s="19">
        <f t="shared" si="16"/>
        <v>0</v>
      </c>
      <c r="V125" s="19">
        <f t="shared" si="17"/>
        <v>0</v>
      </c>
      <c r="W125" s="19">
        <f t="shared" si="18"/>
        <v>0</v>
      </c>
      <c r="X125" s="19">
        <f t="shared" si="19"/>
        <v>0</v>
      </c>
      <c r="Y125" s="19">
        <f t="shared" si="20"/>
        <v>0</v>
      </c>
      <c r="Z125" s="20">
        <f t="shared" si="21"/>
        <v>0</v>
      </c>
      <c r="AA125" s="20">
        <f t="shared" si="22"/>
        <v>0</v>
      </c>
    </row>
    <row r="126" spans="1:27" ht="15.75" customHeight="1">
      <c r="A126" s="14" t="s">
        <v>262</v>
      </c>
      <c r="B126" s="15" t="s">
        <v>263</v>
      </c>
      <c r="C126" s="16">
        <v>252.37</v>
      </c>
      <c r="D126" s="16">
        <v>252.37</v>
      </c>
      <c r="E126" s="17">
        <v>0</v>
      </c>
      <c r="F126" s="18">
        <v>0</v>
      </c>
      <c r="G126" s="18">
        <v>0</v>
      </c>
      <c r="H126" s="18">
        <v>0</v>
      </c>
      <c r="I126" s="17">
        <v>0</v>
      </c>
      <c r="J126" s="17">
        <f t="shared" si="12"/>
        <v>0</v>
      </c>
      <c r="K126" s="17">
        <v>0</v>
      </c>
      <c r="L126" s="17">
        <v>0</v>
      </c>
      <c r="M126" s="17" t="b">
        <f t="shared" si="23"/>
        <v>1</v>
      </c>
      <c r="N126" s="17">
        <v>0</v>
      </c>
      <c r="O126" s="17">
        <v>0</v>
      </c>
      <c r="P126" s="17">
        <f t="shared" si="13"/>
        <v>0</v>
      </c>
      <c r="Q126" s="17">
        <f t="shared" si="14"/>
        <v>0</v>
      </c>
      <c r="R126" s="3"/>
      <c r="S126" s="19">
        <f t="shared" si="15"/>
        <v>0</v>
      </c>
      <c r="T126" s="19">
        <v>0</v>
      </c>
      <c r="U126" s="19">
        <f t="shared" si="16"/>
        <v>0</v>
      </c>
      <c r="V126" s="19">
        <f t="shared" si="17"/>
        <v>0</v>
      </c>
      <c r="W126" s="19">
        <f t="shared" si="18"/>
        <v>0</v>
      </c>
      <c r="X126" s="19">
        <f t="shared" si="19"/>
        <v>0</v>
      </c>
      <c r="Y126" s="19">
        <f t="shared" si="20"/>
        <v>0</v>
      </c>
      <c r="Z126" s="20">
        <f t="shared" si="21"/>
        <v>0</v>
      </c>
      <c r="AA126" s="20">
        <f t="shared" si="22"/>
        <v>0</v>
      </c>
    </row>
    <row r="127" spans="1:27" ht="15.75" customHeight="1">
      <c r="A127" s="14" t="s">
        <v>264</v>
      </c>
      <c r="B127" s="15" t="s">
        <v>265</v>
      </c>
      <c r="C127" s="16">
        <v>480</v>
      </c>
      <c r="D127" s="16">
        <v>480</v>
      </c>
      <c r="E127" s="17">
        <v>1</v>
      </c>
      <c r="F127" s="18">
        <v>0</v>
      </c>
      <c r="G127" s="18">
        <v>0</v>
      </c>
      <c r="H127" s="18">
        <v>0</v>
      </c>
      <c r="I127" s="17">
        <v>0</v>
      </c>
      <c r="J127" s="17">
        <f t="shared" si="12"/>
        <v>1</v>
      </c>
      <c r="K127" s="17">
        <v>1</v>
      </c>
      <c r="L127" s="17">
        <v>1</v>
      </c>
      <c r="M127" s="17" t="b">
        <f t="shared" si="23"/>
        <v>1</v>
      </c>
      <c r="N127" s="17">
        <v>0</v>
      </c>
      <c r="O127" s="17">
        <v>0</v>
      </c>
      <c r="P127" s="17">
        <f t="shared" si="13"/>
        <v>1</v>
      </c>
      <c r="Q127" s="17">
        <f t="shared" si="14"/>
        <v>0</v>
      </c>
      <c r="R127" s="3"/>
      <c r="S127" s="19">
        <f t="shared" si="15"/>
        <v>480</v>
      </c>
      <c r="T127" s="19">
        <v>0</v>
      </c>
      <c r="U127" s="19">
        <f t="shared" si="16"/>
        <v>0</v>
      </c>
      <c r="V127" s="19">
        <f t="shared" si="17"/>
        <v>0</v>
      </c>
      <c r="W127" s="19">
        <f t="shared" si="18"/>
        <v>0</v>
      </c>
      <c r="X127" s="19">
        <f t="shared" si="19"/>
        <v>0</v>
      </c>
      <c r="Y127" s="19">
        <f t="shared" si="20"/>
        <v>480</v>
      </c>
      <c r="Z127" s="20">
        <f t="shared" si="21"/>
        <v>480</v>
      </c>
      <c r="AA127" s="20">
        <f t="shared" si="22"/>
        <v>0</v>
      </c>
    </row>
    <row r="128" spans="1:27" ht="15.75" customHeight="1">
      <c r="A128" s="14" t="s">
        <v>266</v>
      </c>
      <c r="B128" s="15" t="s">
        <v>267</v>
      </c>
      <c r="C128" s="16">
        <v>1040.52</v>
      </c>
      <c r="D128" s="16">
        <v>1040.52</v>
      </c>
      <c r="E128" s="17">
        <v>0</v>
      </c>
      <c r="F128" s="18">
        <v>0</v>
      </c>
      <c r="G128" s="18">
        <v>0</v>
      </c>
      <c r="H128" s="18">
        <v>0</v>
      </c>
      <c r="I128" s="17">
        <v>0</v>
      </c>
      <c r="J128" s="17">
        <f t="shared" si="12"/>
        <v>0</v>
      </c>
      <c r="K128" s="17">
        <v>0</v>
      </c>
      <c r="L128" s="17">
        <v>0</v>
      </c>
      <c r="M128" s="17" t="b">
        <f t="shared" si="23"/>
        <v>1</v>
      </c>
      <c r="N128" s="17">
        <v>0</v>
      </c>
      <c r="O128" s="17">
        <v>0</v>
      </c>
      <c r="P128" s="17">
        <f t="shared" si="13"/>
        <v>0</v>
      </c>
      <c r="Q128" s="17">
        <f t="shared" si="14"/>
        <v>0</v>
      </c>
      <c r="R128" s="3"/>
      <c r="S128" s="19">
        <f t="shared" si="15"/>
        <v>0</v>
      </c>
      <c r="T128" s="19">
        <v>0</v>
      </c>
      <c r="U128" s="19">
        <f t="shared" si="16"/>
        <v>0</v>
      </c>
      <c r="V128" s="19">
        <f t="shared" si="17"/>
        <v>0</v>
      </c>
      <c r="W128" s="19">
        <f t="shared" si="18"/>
        <v>0</v>
      </c>
      <c r="X128" s="19">
        <f t="shared" si="19"/>
        <v>0</v>
      </c>
      <c r="Y128" s="19">
        <f t="shared" si="20"/>
        <v>0</v>
      </c>
      <c r="Z128" s="20">
        <f t="shared" si="21"/>
        <v>0</v>
      </c>
      <c r="AA128" s="20">
        <f t="shared" si="22"/>
        <v>0</v>
      </c>
    </row>
    <row r="129" spans="1:27" ht="15.75" customHeight="1">
      <c r="A129" s="14" t="s">
        <v>268</v>
      </c>
      <c r="B129" s="15" t="s">
        <v>269</v>
      </c>
      <c r="C129" s="16">
        <v>246.5</v>
      </c>
      <c r="D129" s="16">
        <v>246.5</v>
      </c>
      <c r="E129" s="17">
        <v>3</v>
      </c>
      <c r="F129" s="18">
        <v>0</v>
      </c>
      <c r="G129" s="18">
        <v>0</v>
      </c>
      <c r="H129" s="18">
        <v>0</v>
      </c>
      <c r="I129" s="17">
        <v>0</v>
      </c>
      <c r="J129" s="17">
        <f t="shared" si="12"/>
        <v>3</v>
      </c>
      <c r="K129" s="17">
        <v>3</v>
      </c>
      <c r="L129" s="17">
        <v>3</v>
      </c>
      <c r="M129" s="17" t="b">
        <f t="shared" si="23"/>
        <v>1</v>
      </c>
      <c r="N129" s="17">
        <v>0</v>
      </c>
      <c r="O129" s="17">
        <v>0</v>
      </c>
      <c r="P129" s="17">
        <f t="shared" si="13"/>
        <v>3</v>
      </c>
      <c r="Q129" s="17">
        <f t="shared" si="14"/>
        <v>0</v>
      </c>
      <c r="R129" s="3"/>
      <c r="S129" s="19">
        <f t="shared" si="15"/>
        <v>739.5</v>
      </c>
      <c r="T129" s="19">
        <v>0</v>
      </c>
      <c r="U129" s="19">
        <f t="shared" si="16"/>
        <v>0</v>
      </c>
      <c r="V129" s="19">
        <f t="shared" si="17"/>
        <v>0</v>
      </c>
      <c r="W129" s="19">
        <f t="shared" si="18"/>
        <v>0</v>
      </c>
      <c r="X129" s="19">
        <f t="shared" si="19"/>
        <v>0</v>
      </c>
      <c r="Y129" s="19">
        <f t="shared" si="20"/>
        <v>739.5</v>
      </c>
      <c r="Z129" s="20">
        <f t="shared" si="21"/>
        <v>739.5</v>
      </c>
      <c r="AA129" s="20">
        <f t="shared" si="22"/>
        <v>0</v>
      </c>
    </row>
    <row r="130" spans="1:27" ht="15.75" customHeight="1">
      <c r="A130" s="14" t="s">
        <v>270</v>
      </c>
      <c r="B130" s="15" t="s">
        <v>271</v>
      </c>
      <c r="C130" s="16">
        <v>797.5</v>
      </c>
      <c r="D130" s="16">
        <v>797.5</v>
      </c>
      <c r="E130" s="17">
        <v>1</v>
      </c>
      <c r="F130" s="18">
        <v>0</v>
      </c>
      <c r="G130" s="18">
        <v>0</v>
      </c>
      <c r="H130" s="18">
        <v>0</v>
      </c>
      <c r="I130" s="17">
        <v>0</v>
      </c>
      <c r="J130" s="17">
        <f t="shared" si="12"/>
        <v>1</v>
      </c>
      <c r="K130" s="17">
        <v>1</v>
      </c>
      <c r="L130" s="17">
        <v>1</v>
      </c>
      <c r="M130" s="17" t="b">
        <f t="shared" si="23"/>
        <v>1</v>
      </c>
      <c r="N130" s="17">
        <v>0</v>
      </c>
      <c r="O130" s="17">
        <v>0</v>
      </c>
      <c r="P130" s="17">
        <f t="shared" si="13"/>
        <v>1</v>
      </c>
      <c r="Q130" s="17">
        <f t="shared" si="14"/>
        <v>0</v>
      </c>
      <c r="R130" s="3"/>
      <c r="S130" s="19">
        <f t="shared" si="15"/>
        <v>797.5</v>
      </c>
      <c r="T130" s="19">
        <v>0</v>
      </c>
      <c r="U130" s="19">
        <f t="shared" si="16"/>
        <v>0</v>
      </c>
      <c r="V130" s="19">
        <f t="shared" si="17"/>
        <v>0</v>
      </c>
      <c r="W130" s="19">
        <f t="shared" si="18"/>
        <v>0</v>
      </c>
      <c r="X130" s="19">
        <f t="shared" si="19"/>
        <v>0</v>
      </c>
      <c r="Y130" s="19">
        <f t="shared" si="20"/>
        <v>797.5</v>
      </c>
      <c r="Z130" s="20">
        <f t="shared" si="21"/>
        <v>797.5</v>
      </c>
      <c r="AA130" s="20">
        <f t="shared" si="22"/>
        <v>0</v>
      </c>
    </row>
    <row r="131" spans="1:27" ht="15.75" customHeight="1">
      <c r="A131" s="14" t="s">
        <v>272</v>
      </c>
      <c r="B131" s="15" t="s">
        <v>273</v>
      </c>
      <c r="C131" s="16">
        <v>165.33</v>
      </c>
      <c r="D131" s="16">
        <v>165.33</v>
      </c>
      <c r="E131" s="17">
        <v>1</v>
      </c>
      <c r="F131" s="18">
        <v>0</v>
      </c>
      <c r="G131" s="18">
        <v>0</v>
      </c>
      <c r="H131" s="18">
        <v>0</v>
      </c>
      <c r="I131" s="17">
        <v>0</v>
      </c>
      <c r="J131" s="17">
        <f t="shared" si="12"/>
        <v>1</v>
      </c>
      <c r="K131" s="17">
        <v>1</v>
      </c>
      <c r="L131" s="17">
        <v>1</v>
      </c>
      <c r="M131" s="17" t="b">
        <f t="shared" si="23"/>
        <v>1</v>
      </c>
      <c r="N131" s="17">
        <v>0</v>
      </c>
      <c r="O131" s="17">
        <v>0</v>
      </c>
      <c r="P131" s="17">
        <f t="shared" si="13"/>
        <v>1</v>
      </c>
      <c r="Q131" s="17">
        <f t="shared" si="14"/>
        <v>0</v>
      </c>
      <c r="R131" s="3"/>
      <c r="S131" s="19">
        <f t="shared" si="15"/>
        <v>165.33</v>
      </c>
      <c r="T131" s="19">
        <v>0</v>
      </c>
      <c r="U131" s="19">
        <f t="shared" si="16"/>
        <v>0</v>
      </c>
      <c r="V131" s="19">
        <f t="shared" si="17"/>
        <v>0</v>
      </c>
      <c r="W131" s="19">
        <f t="shared" si="18"/>
        <v>0</v>
      </c>
      <c r="X131" s="19">
        <f t="shared" si="19"/>
        <v>0</v>
      </c>
      <c r="Y131" s="19">
        <f t="shared" si="20"/>
        <v>165.33</v>
      </c>
      <c r="Z131" s="20">
        <f t="shared" si="21"/>
        <v>165.33</v>
      </c>
      <c r="AA131" s="20">
        <f t="shared" si="22"/>
        <v>0</v>
      </c>
    </row>
    <row r="132" spans="1:27" ht="15.75" customHeight="1">
      <c r="A132" s="14" t="s">
        <v>274</v>
      </c>
      <c r="B132" s="15" t="s">
        <v>275</v>
      </c>
      <c r="C132" s="16">
        <v>350</v>
      </c>
      <c r="D132" s="16">
        <v>350</v>
      </c>
      <c r="E132" s="17">
        <v>0</v>
      </c>
      <c r="F132" s="18">
        <v>0</v>
      </c>
      <c r="G132" s="18">
        <v>0</v>
      </c>
      <c r="H132" s="18">
        <v>0</v>
      </c>
      <c r="I132" s="17">
        <v>0</v>
      </c>
      <c r="J132" s="17">
        <f t="shared" si="12"/>
        <v>0</v>
      </c>
      <c r="K132" s="17">
        <v>0</v>
      </c>
      <c r="L132" s="17">
        <v>0</v>
      </c>
      <c r="M132" s="17" t="b">
        <f t="shared" si="23"/>
        <v>1</v>
      </c>
      <c r="N132" s="17">
        <v>0</v>
      </c>
      <c r="O132" s="17">
        <v>0</v>
      </c>
      <c r="P132" s="17">
        <f t="shared" si="13"/>
        <v>0</v>
      </c>
      <c r="Q132" s="17">
        <f t="shared" si="14"/>
        <v>0</v>
      </c>
      <c r="R132" s="3"/>
      <c r="S132" s="19">
        <f t="shared" si="15"/>
        <v>0</v>
      </c>
      <c r="T132" s="19">
        <v>0</v>
      </c>
      <c r="U132" s="19">
        <f t="shared" si="16"/>
        <v>0</v>
      </c>
      <c r="V132" s="19">
        <f t="shared" si="17"/>
        <v>0</v>
      </c>
      <c r="W132" s="19">
        <f t="shared" si="18"/>
        <v>0</v>
      </c>
      <c r="X132" s="19">
        <f t="shared" si="19"/>
        <v>0</v>
      </c>
      <c r="Y132" s="19">
        <f t="shared" si="20"/>
        <v>0</v>
      </c>
      <c r="Z132" s="20">
        <f t="shared" si="21"/>
        <v>0</v>
      </c>
      <c r="AA132" s="20">
        <f t="shared" si="22"/>
        <v>0</v>
      </c>
    </row>
    <row r="133" spans="1:27" ht="15.75" customHeight="1">
      <c r="A133" s="14" t="s">
        <v>276</v>
      </c>
      <c r="B133" s="15" t="s">
        <v>277</v>
      </c>
      <c r="C133" s="16">
        <v>820</v>
      </c>
      <c r="D133" s="16">
        <v>820</v>
      </c>
      <c r="E133" s="17">
        <v>0</v>
      </c>
      <c r="F133" s="18">
        <v>0</v>
      </c>
      <c r="G133" s="18">
        <v>0</v>
      </c>
      <c r="H133" s="18">
        <v>0</v>
      </c>
      <c r="I133" s="17">
        <v>0</v>
      </c>
      <c r="J133" s="17">
        <f t="shared" si="12"/>
        <v>0</v>
      </c>
      <c r="K133" s="17">
        <v>0</v>
      </c>
      <c r="L133" s="17">
        <v>0</v>
      </c>
      <c r="M133" s="17" t="b">
        <f t="shared" si="23"/>
        <v>1</v>
      </c>
      <c r="N133" s="17">
        <v>0</v>
      </c>
      <c r="O133" s="17">
        <v>0</v>
      </c>
      <c r="P133" s="17">
        <f t="shared" si="13"/>
        <v>0</v>
      </c>
      <c r="Q133" s="17">
        <f t="shared" si="14"/>
        <v>0</v>
      </c>
      <c r="R133" s="3"/>
      <c r="S133" s="19">
        <f t="shared" si="15"/>
        <v>0</v>
      </c>
      <c r="T133" s="19">
        <v>0</v>
      </c>
      <c r="U133" s="19">
        <f t="shared" si="16"/>
        <v>0</v>
      </c>
      <c r="V133" s="19">
        <f t="shared" si="17"/>
        <v>0</v>
      </c>
      <c r="W133" s="19">
        <f t="shared" si="18"/>
        <v>0</v>
      </c>
      <c r="X133" s="19">
        <f t="shared" si="19"/>
        <v>0</v>
      </c>
      <c r="Y133" s="19">
        <f t="shared" si="20"/>
        <v>0</v>
      </c>
      <c r="Z133" s="20">
        <f t="shared" si="21"/>
        <v>0</v>
      </c>
      <c r="AA133" s="20">
        <f t="shared" si="22"/>
        <v>0</v>
      </c>
    </row>
    <row r="134" spans="1:27" ht="15.75" customHeight="1">
      <c r="A134" s="14" t="s">
        <v>278</v>
      </c>
      <c r="B134" s="15" t="s">
        <v>279</v>
      </c>
      <c r="C134" s="16">
        <v>176.29</v>
      </c>
      <c r="D134" s="16">
        <v>176.29</v>
      </c>
      <c r="E134" s="17">
        <v>0</v>
      </c>
      <c r="F134" s="18">
        <v>0</v>
      </c>
      <c r="G134" s="18">
        <v>0</v>
      </c>
      <c r="H134" s="18">
        <v>0</v>
      </c>
      <c r="I134" s="17">
        <v>0</v>
      </c>
      <c r="J134" s="17">
        <f t="shared" si="12"/>
        <v>0</v>
      </c>
      <c r="K134" s="17">
        <v>0</v>
      </c>
      <c r="L134" s="17">
        <v>0</v>
      </c>
      <c r="M134" s="17" t="b">
        <f t="shared" si="23"/>
        <v>1</v>
      </c>
      <c r="N134" s="17">
        <v>0</v>
      </c>
      <c r="O134" s="17">
        <v>0</v>
      </c>
      <c r="P134" s="17">
        <f t="shared" si="13"/>
        <v>0</v>
      </c>
      <c r="Q134" s="17">
        <f t="shared" si="14"/>
        <v>0</v>
      </c>
      <c r="R134" s="3"/>
      <c r="S134" s="19">
        <f t="shared" si="15"/>
        <v>0</v>
      </c>
      <c r="T134" s="19">
        <v>0</v>
      </c>
      <c r="U134" s="19">
        <f t="shared" si="16"/>
        <v>0</v>
      </c>
      <c r="V134" s="19">
        <f t="shared" si="17"/>
        <v>0</v>
      </c>
      <c r="W134" s="19">
        <f t="shared" si="18"/>
        <v>0</v>
      </c>
      <c r="X134" s="19">
        <f t="shared" si="19"/>
        <v>0</v>
      </c>
      <c r="Y134" s="19">
        <f t="shared" si="20"/>
        <v>0</v>
      </c>
      <c r="Z134" s="20">
        <f t="shared" si="21"/>
        <v>0</v>
      </c>
      <c r="AA134" s="20">
        <f t="shared" si="22"/>
        <v>0</v>
      </c>
    </row>
    <row r="135" spans="1:27" ht="15.75" customHeight="1">
      <c r="A135" s="14" t="s">
        <v>280</v>
      </c>
      <c r="B135" s="15" t="s">
        <v>281</v>
      </c>
      <c r="C135" s="16">
        <v>159.5</v>
      </c>
      <c r="D135" s="16">
        <v>159.5</v>
      </c>
      <c r="E135" s="17">
        <v>6</v>
      </c>
      <c r="F135" s="18">
        <v>0</v>
      </c>
      <c r="G135" s="18">
        <v>0</v>
      </c>
      <c r="H135" s="18">
        <v>0</v>
      </c>
      <c r="I135" s="17">
        <v>0</v>
      </c>
      <c r="J135" s="17">
        <f t="shared" ref="J135:J198" si="24">E135+F135+G135-H135-I135</f>
        <v>6</v>
      </c>
      <c r="K135" s="17">
        <v>6</v>
      </c>
      <c r="L135" s="17">
        <v>6</v>
      </c>
      <c r="M135" s="17" t="b">
        <f t="shared" si="23"/>
        <v>1</v>
      </c>
      <c r="N135" s="17">
        <v>0</v>
      </c>
      <c r="O135" s="17">
        <v>0</v>
      </c>
      <c r="P135" s="17">
        <f t="shared" ref="P135:P198" si="25">K135+N135+O135</f>
        <v>6</v>
      </c>
      <c r="Q135" s="17">
        <f t="shared" ref="Q135:Q198" si="26">P135-J135</f>
        <v>0</v>
      </c>
      <c r="R135" s="3"/>
      <c r="S135" s="19">
        <f t="shared" ref="S135:S198" si="27">C135*E135</f>
        <v>957</v>
      </c>
      <c r="T135" s="19">
        <v>0</v>
      </c>
      <c r="U135" s="19">
        <f t="shared" ref="U135:U198" si="28">D135*F135</f>
        <v>0</v>
      </c>
      <c r="V135" s="19">
        <f t="shared" ref="V135:V198" si="29">D135*G135</f>
        <v>0</v>
      </c>
      <c r="W135" s="19">
        <f t="shared" ref="W135:W198" si="30">D135*H135</f>
        <v>0</v>
      </c>
      <c r="X135" s="19">
        <f t="shared" ref="X135:X198" si="31">D135*I135</f>
        <v>0</v>
      </c>
      <c r="Y135" s="19">
        <f t="shared" ref="Y135:Y198" si="32">S135+T135+U135+V135-W135-X135</f>
        <v>957</v>
      </c>
      <c r="Z135" s="20">
        <f t="shared" ref="Z135:Z198" si="33">J135*D135</f>
        <v>957</v>
      </c>
      <c r="AA135" s="20">
        <f t="shared" ref="AA135:AA198" si="34">Z135-Y135</f>
        <v>0</v>
      </c>
    </row>
    <row r="136" spans="1:27" ht="15.75" customHeight="1">
      <c r="A136" s="14" t="s">
        <v>282</v>
      </c>
      <c r="B136" s="15" t="s">
        <v>283</v>
      </c>
      <c r="C136" s="16">
        <v>179.8</v>
      </c>
      <c r="D136" s="16">
        <v>179.8</v>
      </c>
      <c r="E136" s="17">
        <v>0</v>
      </c>
      <c r="F136" s="18">
        <v>0</v>
      </c>
      <c r="G136" s="18">
        <v>0</v>
      </c>
      <c r="H136" s="18">
        <v>0</v>
      </c>
      <c r="I136" s="17">
        <v>0</v>
      </c>
      <c r="J136" s="17">
        <f t="shared" si="24"/>
        <v>0</v>
      </c>
      <c r="K136" s="17">
        <v>0</v>
      </c>
      <c r="L136" s="17">
        <v>0</v>
      </c>
      <c r="M136" s="17" t="b">
        <f t="shared" ref="M136:M199" si="35">K136=L136</f>
        <v>1</v>
      </c>
      <c r="N136" s="17">
        <v>0</v>
      </c>
      <c r="O136" s="17">
        <v>0</v>
      </c>
      <c r="P136" s="17">
        <f t="shared" si="25"/>
        <v>0</v>
      </c>
      <c r="Q136" s="17">
        <f t="shared" si="26"/>
        <v>0</v>
      </c>
      <c r="R136" s="3"/>
      <c r="S136" s="19">
        <f t="shared" si="27"/>
        <v>0</v>
      </c>
      <c r="T136" s="19">
        <v>0</v>
      </c>
      <c r="U136" s="19">
        <f t="shared" si="28"/>
        <v>0</v>
      </c>
      <c r="V136" s="19">
        <f t="shared" si="29"/>
        <v>0</v>
      </c>
      <c r="W136" s="19">
        <f t="shared" si="30"/>
        <v>0</v>
      </c>
      <c r="X136" s="19">
        <f t="shared" si="31"/>
        <v>0</v>
      </c>
      <c r="Y136" s="19">
        <f t="shared" si="32"/>
        <v>0</v>
      </c>
      <c r="Z136" s="20">
        <f t="shared" si="33"/>
        <v>0</v>
      </c>
      <c r="AA136" s="20">
        <f t="shared" si="34"/>
        <v>0</v>
      </c>
    </row>
    <row r="137" spans="1:27" ht="15.75" customHeight="1">
      <c r="A137" s="14" t="s">
        <v>284</v>
      </c>
      <c r="B137" s="15" t="s">
        <v>285</v>
      </c>
      <c r="C137" s="16">
        <v>279.04000000000002</v>
      </c>
      <c r="D137" s="16">
        <v>279.04000000000002</v>
      </c>
      <c r="E137" s="17">
        <v>0</v>
      </c>
      <c r="F137" s="18">
        <v>0</v>
      </c>
      <c r="G137" s="18">
        <v>0</v>
      </c>
      <c r="H137" s="18">
        <v>0</v>
      </c>
      <c r="I137" s="17">
        <v>0</v>
      </c>
      <c r="J137" s="17">
        <f t="shared" si="24"/>
        <v>0</v>
      </c>
      <c r="K137" s="17">
        <v>0</v>
      </c>
      <c r="L137" s="17">
        <v>0</v>
      </c>
      <c r="M137" s="17" t="b">
        <f t="shared" si="35"/>
        <v>1</v>
      </c>
      <c r="N137" s="17">
        <v>0</v>
      </c>
      <c r="O137" s="17">
        <v>0</v>
      </c>
      <c r="P137" s="17">
        <f t="shared" si="25"/>
        <v>0</v>
      </c>
      <c r="Q137" s="17">
        <f t="shared" si="26"/>
        <v>0</v>
      </c>
      <c r="R137" s="3"/>
      <c r="S137" s="19">
        <f t="shared" si="27"/>
        <v>0</v>
      </c>
      <c r="T137" s="19">
        <v>0</v>
      </c>
      <c r="U137" s="19">
        <f t="shared" si="28"/>
        <v>0</v>
      </c>
      <c r="V137" s="19">
        <f t="shared" si="29"/>
        <v>0</v>
      </c>
      <c r="W137" s="19">
        <f t="shared" si="30"/>
        <v>0</v>
      </c>
      <c r="X137" s="19">
        <f t="shared" si="31"/>
        <v>0</v>
      </c>
      <c r="Y137" s="19">
        <f t="shared" si="32"/>
        <v>0</v>
      </c>
      <c r="Z137" s="20">
        <f t="shared" si="33"/>
        <v>0</v>
      </c>
      <c r="AA137" s="20">
        <f t="shared" si="34"/>
        <v>0</v>
      </c>
    </row>
    <row r="138" spans="1:27" ht="15.75" customHeight="1">
      <c r="A138" s="14" t="s">
        <v>286</v>
      </c>
      <c r="B138" s="15" t="s">
        <v>287</v>
      </c>
      <c r="C138" s="16">
        <v>152.25</v>
      </c>
      <c r="D138" s="16">
        <v>152.25</v>
      </c>
      <c r="E138" s="17">
        <v>7</v>
      </c>
      <c r="F138" s="18">
        <v>0</v>
      </c>
      <c r="G138" s="18">
        <v>0</v>
      </c>
      <c r="H138" s="18">
        <v>0</v>
      </c>
      <c r="I138" s="17">
        <v>0</v>
      </c>
      <c r="J138" s="17">
        <f t="shared" si="24"/>
        <v>7</v>
      </c>
      <c r="K138" s="17">
        <v>7</v>
      </c>
      <c r="L138" s="17">
        <v>7</v>
      </c>
      <c r="M138" s="17" t="b">
        <f t="shared" si="35"/>
        <v>1</v>
      </c>
      <c r="N138" s="17">
        <v>0</v>
      </c>
      <c r="O138" s="17">
        <v>0</v>
      </c>
      <c r="P138" s="17">
        <f t="shared" si="25"/>
        <v>7</v>
      </c>
      <c r="Q138" s="17">
        <f t="shared" si="26"/>
        <v>0</v>
      </c>
      <c r="R138" s="3"/>
      <c r="S138" s="19">
        <f t="shared" si="27"/>
        <v>1065.75</v>
      </c>
      <c r="T138" s="19">
        <v>0</v>
      </c>
      <c r="U138" s="19">
        <f t="shared" si="28"/>
        <v>0</v>
      </c>
      <c r="V138" s="19">
        <f t="shared" si="29"/>
        <v>0</v>
      </c>
      <c r="W138" s="19">
        <f t="shared" si="30"/>
        <v>0</v>
      </c>
      <c r="X138" s="19">
        <f t="shared" si="31"/>
        <v>0</v>
      </c>
      <c r="Y138" s="19">
        <f t="shared" si="32"/>
        <v>1065.75</v>
      </c>
      <c r="Z138" s="20">
        <f t="shared" si="33"/>
        <v>1065.75</v>
      </c>
      <c r="AA138" s="20">
        <f t="shared" si="34"/>
        <v>0</v>
      </c>
    </row>
    <row r="139" spans="1:27" ht="15.75" customHeight="1">
      <c r="A139" s="14" t="s">
        <v>288</v>
      </c>
      <c r="B139" s="15" t="s">
        <v>289</v>
      </c>
      <c r="C139" s="16">
        <v>690</v>
      </c>
      <c r="D139" s="16">
        <v>690</v>
      </c>
      <c r="E139" s="17">
        <v>1</v>
      </c>
      <c r="F139" s="18">
        <v>0</v>
      </c>
      <c r="G139" s="18">
        <v>0</v>
      </c>
      <c r="H139" s="18">
        <v>0</v>
      </c>
      <c r="I139" s="17">
        <v>0</v>
      </c>
      <c r="J139" s="17">
        <f t="shared" si="24"/>
        <v>1</v>
      </c>
      <c r="K139" s="17">
        <v>0</v>
      </c>
      <c r="L139" s="17">
        <v>0</v>
      </c>
      <c r="M139" s="17" t="b">
        <f t="shared" si="35"/>
        <v>1</v>
      </c>
      <c r="N139" s="17">
        <v>0</v>
      </c>
      <c r="O139" s="17">
        <v>1</v>
      </c>
      <c r="P139" s="17">
        <f t="shared" si="25"/>
        <v>1</v>
      </c>
      <c r="Q139" s="17">
        <f t="shared" si="26"/>
        <v>0</v>
      </c>
      <c r="R139" s="3"/>
      <c r="S139" s="19">
        <f t="shared" si="27"/>
        <v>690</v>
      </c>
      <c r="T139" s="19">
        <v>0</v>
      </c>
      <c r="U139" s="19">
        <f t="shared" si="28"/>
        <v>0</v>
      </c>
      <c r="V139" s="19">
        <f t="shared" si="29"/>
        <v>0</v>
      </c>
      <c r="W139" s="19">
        <f t="shared" si="30"/>
        <v>0</v>
      </c>
      <c r="X139" s="19">
        <f t="shared" si="31"/>
        <v>0</v>
      </c>
      <c r="Y139" s="19">
        <f t="shared" si="32"/>
        <v>690</v>
      </c>
      <c r="Z139" s="20">
        <f t="shared" si="33"/>
        <v>690</v>
      </c>
      <c r="AA139" s="20">
        <f t="shared" si="34"/>
        <v>0</v>
      </c>
    </row>
    <row r="140" spans="1:27" ht="15.75" customHeight="1">
      <c r="A140" s="14" t="s">
        <v>290</v>
      </c>
      <c r="B140" s="15" t="s">
        <v>291</v>
      </c>
      <c r="C140" s="16">
        <v>650</v>
      </c>
      <c r="D140" s="16">
        <v>650</v>
      </c>
      <c r="E140" s="17">
        <v>2</v>
      </c>
      <c r="F140" s="18">
        <v>0</v>
      </c>
      <c r="G140" s="18">
        <v>0</v>
      </c>
      <c r="H140" s="18">
        <v>0</v>
      </c>
      <c r="I140" s="17">
        <v>0</v>
      </c>
      <c r="J140" s="17">
        <f t="shared" si="24"/>
        <v>2</v>
      </c>
      <c r="K140" s="17">
        <v>0</v>
      </c>
      <c r="L140" s="17">
        <v>0</v>
      </c>
      <c r="M140" s="17" t="b">
        <f t="shared" si="35"/>
        <v>1</v>
      </c>
      <c r="N140" s="17">
        <v>0</v>
      </c>
      <c r="O140" s="17">
        <v>2</v>
      </c>
      <c r="P140" s="17">
        <f t="shared" si="25"/>
        <v>2</v>
      </c>
      <c r="Q140" s="17">
        <f t="shared" si="26"/>
        <v>0</v>
      </c>
      <c r="R140" s="3"/>
      <c r="S140" s="19">
        <f t="shared" si="27"/>
        <v>1300</v>
      </c>
      <c r="T140" s="19">
        <v>0</v>
      </c>
      <c r="U140" s="19">
        <f t="shared" si="28"/>
        <v>0</v>
      </c>
      <c r="V140" s="19">
        <f t="shared" si="29"/>
        <v>0</v>
      </c>
      <c r="W140" s="19">
        <f t="shared" si="30"/>
        <v>0</v>
      </c>
      <c r="X140" s="19">
        <f t="shared" si="31"/>
        <v>0</v>
      </c>
      <c r="Y140" s="19">
        <f t="shared" si="32"/>
        <v>1300</v>
      </c>
      <c r="Z140" s="20">
        <f t="shared" si="33"/>
        <v>1300</v>
      </c>
      <c r="AA140" s="20">
        <f t="shared" si="34"/>
        <v>0</v>
      </c>
    </row>
    <row r="141" spans="1:27" ht="15.75" customHeight="1">
      <c r="A141" s="14" t="s">
        <v>292</v>
      </c>
      <c r="B141" s="15" t="s">
        <v>293</v>
      </c>
      <c r="C141" s="16">
        <v>590</v>
      </c>
      <c r="D141" s="16">
        <v>590</v>
      </c>
      <c r="E141" s="17">
        <v>1</v>
      </c>
      <c r="F141" s="18">
        <v>0</v>
      </c>
      <c r="G141" s="18">
        <v>0</v>
      </c>
      <c r="H141" s="18">
        <v>0</v>
      </c>
      <c r="I141" s="17">
        <v>0</v>
      </c>
      <c r="J141" s="17">
        <f t="shared" si="24"/>
        <v>1</v>
      </c>
      <c r="K141" s="17">
        <v>0</v>
      </c>
      <c r="L141" s="17">
        <v>0</v>
      </c>
      <c r="M141" s="17" t="b">
        <f t="shared" si="35"/>
        <v>1</v>
      </c>
      <c r="N141" s="17">
        <v>0</v>
      </c>
      <c r="O141" s="17">
        <v>1</v>
      </c>
      <c r="P141" s="17">
        <f t="shared" si="25"/>
        <v>1</v>
      </c>
      <c r="Q141" s="17">
        <f t="shared" si="26"/>
        <v>0</v>
      </c>
      <c r="R141" s="3"/>
      <c r="S141" s="19">
        <f t="shared" si="27"/>
        <v>590</v>
      </c>
      <c r="T141" s="19">
        <v>0</v>
      </c>
      <c r="U141" s="19">
        <f t="shared" si="28"/>
        <v>0</v>
      </c>
      <c r="V141" s="19">
        <f t="shared" si="29"/>
        <v>0</v>
      </c>
      <c r="W141" s="19">
        <f t="shared" si="30"/>
        <v>0</v>
      </c>
      <c r="X141" s="19">
        <f t="shared" si="31"/>
        <v>0</v>
      </c>
      <c r="Y141" s="19">
        <f t="shared" si="32"/>
        <v>590</v>
      </c>
      <c r="Z141" s="20">
        <f t="shared" si="33"/>
        <v>590</v>
      </c>
      <c r="AA141" s="20">
        <f t="shared" si="34"/>
        <v>0</v>
      </c>
    </row>
    <row r="142" spans="1:27" ht="15.75" customHeight="1">
      <c r="A142" s="14" t="s">
        <v>294</v>
      </c>
      <c r="B142" s="15" t="s">
        <v>295</v>
      </c>
      <c r="C142" s="16">
        <v>0</v>
      </c>
      <c r="D142" s="16">
        <v>0</v>
      </c>
      <c r="E142" s="17">
        <v>0</v>
      </c>
      <c r="F142" s="18">
        <v>0</v>
      </c>
      <c r="G142" s="18">
        <v>0</v>
      </c>
      <c r="H142" s="18">
        <v>0</v>
      </c>
      <c r="I142" s="17">
        <v>0</v>
      </c>
      <c r="J142" s="17">
        <f t="shared" si="24"/>
        <v>0</v>
      </c>
      <c r="K142" s="17">
        <v>0</v>
      </c>
      <c r="L142" s="17">
        <v>0</v>
      </c>
      <c r="M142" s="17" t="b">
        <f t="shared" si="35"/>
        <v>1</v>
      </c>
      <c r="N142" s="17">
        <v>0</v>
      </c>
      <c r="O142" s="17">
        <v>0</v>
      </c>
      <c r="P142" s="17">
        <f t="shared" si="25"/>
        <v>0</v>
      </c>
      <c r="Q142" s="17">
        <f t="shared" si="26"/>
        <v>0</v>
      </c>
      <c r="R142" s="3"/>
      <c r="S142" s="19">
        <f t="shared" si="27"/>
        <v>0</v>
      </c>
      <c r="T142" s="19">
        <v>0</v>
      </c>
      <c r="U142" s="19">
        <f t="shared" si="28"/>
        <v>0</v>
      </c>
      <c r="V142" s="19">
        <f t="shared" si="29"/>
        <v>0</v>
      </c>
      <c r="W142" s="19">
        <f t="shared" si="30"/>
        <v>0</v>
      </c>
      <c r="X142" s="19">
        <f t="shared" si="31"/>
        <v>0</v>
      </c>
      <c r="Y142" s="19">
        <f t="shared" si="32"/>
        <v>0</v>
      </c>
      <c r="Z142" s="20">
        <f t="shared" si="33"/>
        <v>0</v>
      </c>
      <c r="AA142" s="20">
        <f t="shared" si="34"/>
        <v>0</v>
      </c>
    </row>
    <row r="143" spans="1:27" ht="15.75" customHeight="1">
      <c r="A143" s="14" t="s">
        <v>296</v>
      </c>
      <c r="B143" s="15" t="s">
        <v>297</v>
      </c>
      <c r="C143" s="16">
        <v>220.17</v>
      </c>
      <c r="D143" s="16">
        <v>220.17</v>
      </c>
      <c r="E143" s="17">
        <v>3</v>
      </c>
      <c r="F143" s="18">
        <v>0</v>
      </c>
      <c r="G143" s="18">
        <v>0</v>
      </c>
      <c r="H143" s="18">
        <v>0</v>
      </c>
      <c r="I143" s="17">
        <v>0</v>
      </c>
      <c r="J143" s="17">
        <f t="shared" si="24"/>
        <v>3</v>
      </c>
      <c r="K143" s="17">
        <v>3</v>
      </c>
      <c r="L143" s="17">
        <v>3</v>
      </c>
      <c r="M143" s="17" t="b">
        <f t="shared" si="35"/>
        <v>1</v>
      </c>
      <c r="N143" s="17">
        <v>0</v>
      </c>
      <c r="O143" s="17">
        <v>0</v>
      </c>
      <c r="P143" s="17">
        <f t="shared" si="25"/>
        <v>3</v>
      </c>
      <c r="Q143" s="17">
        <f t="shared" si="26"/>
        <v>0</v>
      </c>
      <c r="R143" s="3"/>
      <c r="S143" s="19">
        <f t="shared" si="27"/>
        <v>660.51</v>
      </c>
      <c r="T143" s="19">
        <v>0</v>
      </c>
      <c r="U143" s="19">
        <f t="shared" si="28"/>
        <v>0</v>
      </c>
      <c r="V143" s="19">
        <f t="shared" si="29"/>
        <v>0</v>
      </c>
      <c r="W143" s="19">
        <f t="shared" si="30"/>
        <v>0</v>
      </c>
      <c r="X143" s="19">
        <f t="shared" si="31"/>
        <v>0</v>
      </c>
      <c r="Y143" s="19">
        <f t="shared" si="32"/>
        <v>660.51</v>
      </c>
      <c r="Z143" s="20">
        <f t="shared" si="33"/>
        <v>660.51</v>
      </c>
      <c r="AA143" s="20">
        <f t="shared" si="34"/>
        <v>0</v>
      </c>
    </row>
    <row r="144" spans="1:27" ht="15.75" customHeight="1">
      <c r="A144" s="14" t="s">
        <v>298</v>
      </c>
      <c r="B144" s="15" t="s">
        <v>299</v>
      </c>
      <c r="C144" s="16">
        <v>50</v>
      </c>
      <c r="D144" s="16">
        <v>50</v>
      </c>
      <c r="E144" s="17">
        <v>0</v>
      </c>
      <c r="F144" s="18">
        <v>0</v>
      </c>
      <c r="G144" s="18">
        <v>0</v>
      </c>
      <c r="H144" s="18">
        <v>0</v>
      </c>
      <c r="I144" s="17">
        <v>0</v>
      </c>
      <c r="J144" s="17">
        <f t="shared" si="24"/>
        <v>0</v>
      </c>
      <c r="K144" s="17">
        <v>0</v>
      </c>
      <c r="L144" s="17">
        <v>0</v>
      </c>
      <c r="M144" s="17" t="b">
        <f t="shared" si="35"/>
        <v>1</v>
      </c>
      <c r="N144" s="17">
        <v>0</v>
      </c>
      <c r="O144" s="17">
        <v>0</v>
      </c>
      <c r="P144" s="17">
        <f t="shared" si="25"/>
        <v>0</v>
      </c>
      <c r="Q144" s="17">
        <f t="shared" si="26"/>
        <v>0</v>
      </c>
      <c r="R144" s="3"/>
      <c r="S144" s="19">
        <f t="shared" si="27"/>
        <v>0</v>
      </c>
      <c r="T144" s="19">
        <v>0</v>
      </c>
      <c r="U144" s="19">
        <f t="shared" si="28"/>
        <v>0</v>
      </c>
      <c r="V144" s="19">
        <f t="shared" si="29"/>
        <v>0</v>
      </c>
      <c r="W144" s="19">
        <f t="shared" si="30"/>
        <v>0</v>
      </c>
      <c r="X144" s="19">
        <f t="shared" si="31"/>
        <v>0</v>
      </c>
      <c r="Y144" s="19">
        <f t="shared" si="32"/>
        <v>0</v>
      </c>
      <c r="Z144" s="20">
        <f t="shared" si="33"/>
        <v>0</v>
      </c>
      <c r="AA144" s="20">
        <f t="shared" si="34"/>
        <v>0</v>
      </c>
    </row>
    <row r="145" spans="1:27" ht="15.75" customHeight="1">
      <c r="A145" s="14" t="s">
        <v>300</v>
      </c>
      <c r="B145" s="15" t="s">
        <v>301</v>
      </c>
      <c r="C145" s="16">
        <v>467.15</v>
      </c>
      <c r="D145" s="16">
        <v>467.15</v>
      </c>
      <c r="E145" s="17">
        <v>0</v>
      </c>
      <c r="F145" s="18">
        <v>0</v>
      </c>
      <c r="G145" s="18">
        <v>0</v>
      </c>
      <c r="H145" s="18">
        <v>0</v>
      </c>
      <c r="I145" s="17">
        <v>0</v>
      </c>
      <c r="J145" s="17">
        <f t="shared" si="24"/>
        <v>0</v>
      </c>
      <c r="K145" s="17">
        <v>0</v>
      </c>
      <c r="L145" s="17">
        <v>0</v>
      </c>
      <c r="M145" s="17" t="b">
        <f t="shared" si="35"/>
        <v>1</v>
      </c>
      <c r="N145" s="17">
        <v>0</v>
      </c>
      <c r="O145" s="17">
        <v>0</v>
      </c>
      <c r="P145" s="17">
        <f t="shared" si="25"/>
        <v>0</v>
      </c>
      <c r="Q145" s="17">
        <f t="shared" si="26"/>
        <v>0</v>
      </c>
      <c r="R145" s="3"/>
      <c r="S145" s="19">
        <f t="shared" si="27"/>
        <v>0</v>
      </c>
      <c r="T145" s="19">
        <v>0</v>
      </c>
      <c r="U145" s="19">
        <f t="shared" si="28"/>
        <v>0</v>
      </c>
      <c r="V145" s="19">
        <f t="shared" si="29"/>
        <v>0</v>
      </c>
      <c r="W145" s="19">
        <f t="shared" si="30"/>
        <v>0</v>
      </c>
      <c r="X145" s="19">
        <f t="shared" si="31"/>
        <v>0</v>
      </c>
      <c r="Y145" s="19">
        <f t="shared" si="32"/>
        <v>0</v>
      </c>
      <c r="Z145" s="20">
        <f t="shared" si="33"/>
        <v>0</v>
      </c>
      <c r="AA145" s="20">
        <f t="shared" si="34"/>
        <v>0</v>
      </c>
    </row>
    <row r="146" spans="1:27" ht="15.75" customHeight="1">
      <c r="A146" s="14" t="s">
        <v>302</v>
      </c>
      <c r="B146" s="15" t="s">
        <v>303</v>
      </c>
      <c r="C146" s="16">
        <v>680</v>
      </c>
      <c r="D146" s="16">
        <v>680</v>
      </c>
      <c r="E146" s="17">
        <v>1</v>
      </c>
      <c r="F146" s="18">
        <v>0</v>
      </c>
      <c r="G146" s="18">
        <v>0</v>
      </c>
      <c r="H146" s="18">
        <v>0</v>
      </c>
      <c r="I146" s="17">
        <v>0</v>
      </c>
      <c r="J146" s="17">
        <f t="shared" si="24"/>
        <v>1</v>
      </c>
      <c r="K146" s="17">
        <v>1</v>
      </c>
      <c r="L146" s="17">
        <v>1</v>
      </c>
      <c r="M146" s="17" t="b">
        <f t="shared" si="35"/>
        <v>1</v>
      </c>
      <c r="N146" s="17">
        <v>0</v>
      </c>
      <c r="O146" s="17">
        <v>0</v>
      </c>
      <c r="P146" s="17">
        <f t="shared" si="25"/>
        <v>1</v>
      </c>
      <c r="Q146" s="17">
        <f t="shared" si="26"/>
        <v>0</v>
      </c>
      <c r="R146" s="3"/>
      <c r="S146" s="19">
        <f t="shared" si="27"/>
        <v>680</v>
      </c>
      <c r="T146" s="19">
        <v>0</v>
      </c>
      <c r="U146" s="19">
        <f t="shared" si="28"/>
        <v>0</v>
      </c>
      <c r="V146" s="19">
        <f t="shared" si="29"/>
        <v>0</v>
      </c>
      <c r="W146" s="19">
        <f t="shared" si="30"/>
        <v>0</v>
      </c>
      <c r="X146" s="19">
        <f t="shared" si="31"/>
        <v>0</v>
      </c>
      <c r="Y146" s="19">
        <f t="shared" si="32"/>
        <v>680</v>
      </c>
      <c r="Z146" s="20">
        <f t="shared" si="33"/>
        <v>680</v>
      </c>
      <c r="AA146" s="20">
        <f t="shared" si="34"/>
        <v>0</v>
      </c>
    </row>
    <row r="147" spans="1:27" ht="15.75" customHeight="1">
      <c r="A147" s="14" t="s">
        <v>304</v>
      </c>
      <c r="B147" s="15" t="s">
        <v>305</v>
      </c>
      <c r="C147" s="16">
        <v>0</v>
      </c>
      <c r="D147" s="16">
        <v>0</v>
      </c>
      <c r="E147" s="17">
        <v>0</v>
      </c>
      <c r="F147" s="18">
        <v>0</v>
      </c>
      <c r="G147" s="18">
        <v>0</v>
      </c>
      <c r="H147" s="18">
        <v>0</v>
      </c>
      <c r="I147" s="17">
        <v>0</v>
      </c>
      <c r="J147" s="17">
        <f t="shared" si="24"/>
        <v>0</v>
      </c>
      <c r="K147" s="17">
        <v>0</v>
      </c>
      <c r="L147" s="17">
        <v>0</v>
      </c>
      <c r="M147" s="17" t="b">
        <f t="shared" si="35"/>
        <v>1</v>
      </c>
      <c r="N147" s="17">
        <v>0</v>
      </c>
      <c r="O147" s="17">
        <v>0</v>
      </c>
      <c r="P147" s="17">
        <f t="shared" si="25"/>
        <v>0</v>
      </c>
      <c r="Q147" s="17">
        <f t="shared" si="26"/>
        <v>0</v>
      </c>
      <c r="R147" s="3"/>
      <c r="S147" s="19">
        <f t="shared" si="27"/>
        <v>0</v>
      </c>
      <c r="T147" s="19">
        <v>0</v>
      </c>
      <c r="U147" s="19">
        <f t="shared" si="28"/>
        <v>0</v>
      </c>
      <c r="V147" s="19">
        <f t="shared" si="29"/>
        <v>0</v>
      </c>
      <c r="W147" s="19">
        <f t="shared" si="30"/>
        <v>0</v>
      </c>
      <c r="X147" s="19">
        <f t="shared" si="31"/>
        <v>0</v>
      </c>
      <c r="Y147" s="19">
        <f t="shared" si="32"/>
        <v>0</v>
      </c>
      <c r="Z147" s="20">
        <f t="shared" si="33"/>
        <v>0</v>
      </c>
      <c r="AA147" s="20">
        <f t="shared" si="34"/>
        <v>0</v>
      </c>
    </row>
    <row r="148" spans="1:27" ht="15.75" customHeight="1">
      <c r="A148" s="14" t="s">
        <v>306</v>
      </c>
      <c r="B148" s="15" t="s">
        <v>307</v>
      </c>
      <c r="C148" s="16">
        <v>1850</v>
      </c>
      <c r="D148" s="16">
        <v>1850</v>
      </c>
      <c r="E148" s="17">
        <v>0</v>
      </c>
      <c r="F148" s="18">
        <v>0</v>
      </c>
      <c r="G148" s="18">
        <v>0</v>
      </c>
      <c r="H148" s="18">
        <v>0</v>
      </c>
      <c r="I148" s="17">
        <v>0</v>
      </c>
      <c r="J148" s="17">
        <f t="shared" si="24"/>
        <v>0</v>
      </c>
      <c r="K148" s="17">
        <v>0</v>
      </c>
      <c r="L148" s="17">
        <v>0</v>
      </c>
      <c r="M148" s="17" t="b">
        <f t="shared" si="35"/>
        <v>1</v>
      </c>
      <c r="N148" s="17">
        <v>0</v>
      </c>
      <c r="O148" s="17">
        <v>0</v>
      </c>
      <c r="P148" s="17">
        <f t="shared" si="25"/>
        <v>0</v>
      </c>
      <c r="Q148" s="17">
        <f t="shared" si="26"/>
        <v>0</v>
      </c>
      <c r="R148" s="3"/>
      <c r="S148" s="19">
        <f t="shared" si="27"/>
        <v>0</v>
      </c>
      <c r="T148" s="19">
        <v>0</v>
      </c>
      <c r="U148" s="19">
        <f t="shared" si="28"/>
        <v>0</v>
      </c>
      <c r="V148" s="19">
        <f t="shared" si="29"/>
        <v>0</v>
      </c>
      <c r="W148" s="19">
        <f t="shared" si="30"/>
        <v>0</v>
      </c>
      <c r="X148" s="19">
        <f t="shared" si="31"/>
        <v>0</v>
      </c>
      <c r="Y148" s="19">
        <f t="shared" si="32"/>
        <v>0</v>
      </c>
      <c r="Z148" s="20">
        <f t="shared" si="33"/>
        <v>0</v>
      </c>
      <c r="AA148" s="20">
        <f t="shared" si="34"/>
        <v>0</v>
      </c>
    </row>
    <row r="149" spans="1:27" ht="15.75" customHeight="1">
      <c r="A149" s="14" t="s">
        <v>308</v>
      </c>
      <c r="B149" s="15" t="s">
        <v>309</v>
      </c>
      <c r="C149" s="16">
        <v>450</v>
      </c>
      <c r="D149" s="16">
        <v>450</v>
      </c>
      <c r="E149" s="17">
        <v>1</v>
      </c>
      <c r="F149" s="18">
        <v>0</v>
      </c>
      <c r="G149" s="18">
        <v>0</v>
      </c>
      <c r="H149" s="18">
        <v>0</v>
      </c>
      <c r="I149" s="17">
        <v>0</v>
      </c>
      <c r="J149" s="17">
        <f t="shared" si="24"/>
        <v>1</v>
      </c>
      <c r="K149" s="17">
        <v>1</v>
      </c>
      <c r="L149" s="17">
        <v>1</v>
      </c>
      <c r="M149" s="17" t="b">
        <f t="shared" si="35"/>
        <v>1</v>
      </c>
      <c r="N149" s="17">
        <v>0</v>
      </c>
      <c r="O149" s="17">
        <v>0</v>
      </c>
      <c r="P149" s="17">
        <f t="shared" si="25"/>
        <v>1</v>
      </c>
      <c r="Q149" s="17">
        <f t="shared" si="26"/>
        <v>0</v>
      </c>
      <c r="R149" s="3"/>
      <c r="S149" s="19">
        <f t="shared" si="27"/>
        <v>450</v>
      </c>
      <c r="T149" s="19">
        <v>0</v>
      </c>
      <c r="U149" s="19">
        <f t="shared" si="28"/>
        <v>0</v>
      </c>
      <c r="V149" s="19">
        <f t="shared" si="29"/>
        <v>0</v>
      </c>
      <c r="W149" s="19">
        <f t="shared" si="30"/>
        <v>0</v>
      </c>
      <c r="X149" s="19">
        <f t="shared" si="31"/>
        <v>0</v>
      </c>
      <c r="Y149" s="19">
        <f t="shared" si="32"/>
        <v>450</v>
      </c>
      <c r="Z149" s="20">
        <f t="shared" si="33"/>
        <v>450</v>
      </c>
      <c r="AA149" s="20">
        <f t="shared" si="34"/>
        <v>0</v>
      </c>
    </row>
    <row r="150" spans="1:27" ht="15.75" customHeight="1">
      <c r="A150" s="14" t="s">
        <v>310</v>
      </c>
      <c r="B150" s="15" t="s">
        <v>311</v>
      </c>
      <c r="C150" s="16">
        <v>62.64</v>
      </c>
      <c r="D150" s="16">
        <v>62.64</v>
      </c>
      <c r="E150" s="17">
        <v>0</v>
      </c>
      <c r="F150" s="18">
        <v>0</v>
      </c>
      <c r="G150" s="18">
        <v>0</v>
      </c>
      <c r="H150" s="18">
        <v>0</v>
      </c>
      <c r="I150" s="17">
        <v>0</v>
      </c>
      <c r="J150" s="17">
        <f t="shared" si="24"/>
        <v>0</v>
      </c>
      <c r="K150" s="17">
        <v>0</v>
      </c>
      <c r="L150" s="17">
        <v>0</v>
      </c>
      <c r="M150" s="17" t="b">
        <f t="shared" si="35"/>
        <v>1</v>
      </c>
      <c r="N150" s="17">
        <v>0</v>
      </c>
      <c r="O150" s="17">
        <v>0</v>
      </c>
      <c r="P150" s="17">
        <f t="shared" si="25"/>
        <v>0</v>
      </c>
      <c r="Q150" s="17">
        <f t="shared" si="26"/>
        <v>0</v>
      </c>
      <c r="R150" s="3"/>
      <c r="S150" s="19">
        <f t="shared" si="27"/>
        <v>0</v>
      </c>
      <c r="T150" s="19">
        <v>0</v>
      </c>
      <c r="U150" s="19">
        <f t="shared" si="28"/>
        <v>0</v>
      </c>
      <c r="V150" s="19">
        <f t="shared" si="29"/>
        <v>0</v>
      </c>
      <c r="W150" s="19">
        <f t="shared" si="30"/>
        <v>0</v>
      </c>
      <c r="X150" s="19">
        <f t="shared" si="31"/>
        <v>0</v>
      </c>
      <c r="Y150" s="19">
        <f t="shared" si="32"/>
        <v>0</v>
      </c>
      <c r="Z150" s="20">
        <f t="shared" si="33"/>
        <v>0</v>
      </c>
      <c r="AA150" s="20">
        <f t="shared" si="34"/>
        <v>0</v>
      </c>
    </row>
    <row r="151" spans="1:27" ht="15.75" customHeight="1">
      <c r="A151" s="14" t="s">
        <v>312</v>
      </c>
      <c r="B151" s="15" t="s">
        <v>313</v>
      </c>
      <c r="C151" s="16">
        <v>420.5</v>
      </c>
      <c r="D151" s="16">
        <v>420.5</v>
      </c>
      <c r="E151" s="17">
        <v>5</v>
      </c>
      <c r="F151" s="18">
        <v>0</v>
      </c>
      <c r="G151" s="18">
        <v>0</v>
      </c>
      <c r="H151" s="18">
        <v>0</v>
      </c>
      <c r="I151" s="17">
        <v>0</v>
      </c>
      <c r="J151" s="17">
        <f t="shared" si="24"/>
        <v>5</v>
      </c>
      <c r="K151" s="17">
        <v>5</v>
      </c>
      <c r="L151" s="17">
        <v>5</v>
      </c>
      <c r="M151" s="17" t="b">
        <f t="shared" si="35"/>
        <v>1</v>
      </c>
      <c r="N151" s="17">
        <v>0</v>
      </c>
      <c r="O151" s="17">
        <v>0</v>
      </c>
      <c r="P151" s="17">
        <f t="shared" si="25"/>
        <v>5</v>
      </c>
      <c r="Q151" s="17">
        <f t="shared" si="26"/>
        <v>0</v>
      </c>
      <c r="R151" s="3"/>
      <c r="S151" s="19">
        <f t="shared" si="27"/>
        <v>2102.5</v>
      </c>
      <c r="T151" s="19">
        <v>0</v>
      </c>
      <c r="U151" s="19">
        <f t="shared" si="28"/>
        <v>0</v>
      </c>
      <c r="V151" s="19">
        <f t="shared" si="29"/>
        <v>0</v>
      </c>
      <c r="W151" s="19">
        <f t="shared" si="30"/>
        <v>0</v>
      </c>
      <c r="X151" s="19">
        <f t="shared" si="31"/>
        <v>0</v>
      </c>
      <c r="Y151" s="19">
        <f t="shared" si="32"/>
        <v>2102.5</v>
      </c>
      <c r="Z151" s="20">
        <f t="shared" si="33"/>
        <v>2102.5</v>
      </c>
      <c r="AA151" s="20">
        <f t="shared" si="34"/>
        <v>0</v>
      </c>
    </row>
    <row r="152" spans="1:27" ht="15.75" customHeight="1">
      <c r="A152" s="14" t="s">
        <v>314</v>
      </c>
      <c r="B152" s="15" t="s">
        <v>315</v>
      </c>
      <c r="C152" s="16">
        <v>290</v>
      </c>
      <c r="D152" s="16">
        <v>290</v>
      </c>
      <c r="E152" s="17">
        <v>2</v>
      </c>
      <c r="F152" s="18">
        <v>0</v>
      </c>
      <c r="G152" s="18">
        <v>0</v>
      </c>
      <c r="H152" s="18">
        <v>0</v>
      </c>
      <c r="I152" s="17">
        <v>0</v>
      </c>
      <c r="J152" s="17">
        <f t="shared" si="24"/>
        <v>2</v>
      </c>
      <c r="K152" s="17">
        <v>2</v>
      </c>
      <c r="L152" s="17">
        <v>2</v>
      </c>
      <c r="M152" s="17" t="b">
        <f t="shared" si="35"/>
        <v>1</v>
      </c>
      <c r="N152" s="17">
        <v>0</v>
      </c>
      <c r="O152" s="17">
        <v>0</v>
      </c>
      <c r="P152" s="17">
        <f t="shared" si="25"/>
        <v>2</v>
      </c>
      <c r="Q152" s="17">
        <f t="shared" si="26"/>
        <v>0</v>
      </c>
      <c r="R152" s="3"/>
      <c r="S152" s="19">
        <f t="shared" si="27"/>
        <v>580</v>
      </c>
      <c r="T152" s="19">
        <v>0</v>
      </c>
      <c r="U152" s="19">
        <f t="shared" si="28"/>
        <v>0</v>
      </c>
      <c r="V152" s="19">
        <f t="shared" si="29"/>
        <v>0</v>
      </c>
      <c r="W152" s="19">
        <f t="shared" si="30"/>
        <v>0</v>
      </c>
      <c r="X152" s="19">
        <f t="shared" si="31"/>
        <v>0</v>
      </c>
      <c r="Y152" s="19">
        <f t="shared" si="32"/>
        <v>580</v>
      </c>
      <c r="Z152" s="20">
        <f t="shared" si="33"/>
        <v>580</v>
      </c>
      <c r="AA152" s="20">
        <f t="shared" si="34"/>
        <v>0</v>
      </c>
    </row>
    <row r="153" spans="1:27" ht="15.75" customHeight="1">
      <c r="A153" s="14" t="s">
        <v>316</v>
      </c>
      <c r="B153" s="15" t="s">
        <v>317</v>
      </c>
      <c r="C153" s="16">
        <v>443</v>
      </c>
      <c r="D153" s="16">
        <v>443</v>
      </c>
      <c r="E153" s="17">
        <v>4</v>
      </c>
      <c r="F153" s="18">
        <v>0</v>
      </c>
      <c r="G153" s="18">
        <v>0</v>
      </c>
      <c r="H153" s="18">
        <v>0</v>
      </c>
      <c r="I153" s="17">
        <v>0</v>
      </c>
      <c r="J153" s="17">
        <f t="shared" si="24"/>
        <v>4</v>
      </c>
      <c r="K153" s="17">
        <v>4</v>
      </c>
      <c r="L153" s="17">
        <v>4</v>
      </c>
      <c r="M153" s="17" t="b">
        <f t="shared" si="35"/>
        <v>1</v>
      </c>
      <c r="N153" s="17">
        <v>0</v>
      </c>
      <c r="O153" s="17">
        <v>0</v>
      </c>
      <c r="P153" s="17">
        <f t="shared" si="25"/>
        <v>4</v>
      </c>
      <c r="Q153" s="17">
        <f t="shared" si="26"/>
        <v>0</v>
      </c>
      <c r="R153" s="3"/>
      <c r="S153" s="19">
        <f t="shared" si="27"/>
        <v>1772</v>
      </c>
      <c r="T153" s="19">
        <v>0</v>
      </c>
      <c r="U153" s="19">
        <f t="shared" si="28"/>
        <v>0</v>
      </c>
      <c r="V153" s="19">
        <f t="shared" si="29"/>
        <v>0</v>
      </c>
      <c r="W153" s="19">
        <f t="shared" si="30"/>
        <v>0</v>
      </c>
      <c r="X153" s="19">
        <f t="shared" si="31"/>
        <v>0</v>
      </c>
      <c r="Y153" s="19">
        <f t="shared" si="32"/>
        <v>1772</v>
      </c>
      <c r="Z153" s="20">
        <f t="shared" si="33"/>
        <v>1772</v>
      </c>
      <c r="AA153" s="20">
        <f t="shared" si="34"/>
        <v>0</v>
      </c>
    </row>
    <row r="154" spans="1:27" ht="15.75" customHeight="1">
      <c r="A154" s="14" t="s">
        <v>318</v>
      </c>
      <c r="B154" s="15" t="s">
        <v>319</v>
      </c>
      <c r="C154" s="16">
        <v>319</v>
      </c>
      <c r="D154" s="16">
        <v>319</v>
      </c>
      <c r="E154" s="17">
        <v>3</v>
      </c>
      <c r="F154" s="18">
        <v>0</v>
      </c>
      <c r="G154" s="18">
        <v>0</v>
      </c>
      <c r="H154" s="18">
        <v>0</v>
      </c>
      <c r="I154" s="17">
        <v>0</v>
      </c>
      <c r="J154" s="17">
        <f t="shared" si="24"/>
        <v>3</v>
      </c>
      <c r="K154" s="17">
        <v>3</v>
      </c>
      <c r="L154" s="17">
        <v>3</v>
      </c>
      <c r="M154" s="17" t="b">
        <f t="shared" si="35"/>
        <v>1</v>
      </c>
      <c r="N154" s="17">
        <v>0</v>
      </c>
      <c r="O154" s="17">
        <v>0</v>
      </c>
      <c r="P154" s="17">
        <f t="shared" si="25"/>
        <v>3</v>
      </c>
      <c r="Q154" s="17">
        <f t="shared" si="26"/>
        <v>0</v>
      </c>
      <c r="R154" s="3"/>
      <c r="S154" s="19">
        <f t="shared" si="27"/>
        <v>957</v>
      </c>
      <c r="T154" s="19">
        <v>0</v>
      </c>
      <c r="U154" s="19">
        <f t="shared" si="28"/>
        <v>0</v>
      </c>
      <c r="V154" s="19">
        <f t="shared" si="29"/>
        <v>0</v>
      </c>
      <c r="W154" s="19">
        <f t="shared" si="30"/>
        <v>0</v>
      </c>
      <c r="X154" s="19">
        <f t="shared" si="31"/>
        <v>0</v>
      </c>
      <c r="Y154" s="19">
        <f t="shared" si="32"/>
        <v>957</v>
      </c>
      <c r="Z154" s="20">
        <f t="shared" si="33"/>
        <v>957</v>
      </c>
      <c r="AA154" s="20">
        <f t="shared" si="34"/>
        <v>0</v>
      </c>
    </row>
    <row r="155" spans="1:27" ht="15.75" customHeight="1">
      <c r="A155" s="14" t="s">
        <v>320</v>
      </c>
      <c r="B155" s="15" t="s">
        <v>321</v>
      </c>
      <c r="C155" s="16">
        <v>2.35</v>
      </c>
      <c r="D155" s="16">
        <v>2.35</v>
      </c>
      <c r="E155" s="17">
        <v>0</v>
      </c>
      <c r="F155" s="18">
        <v>0</v>
      </c>
      <c r="G155" s="18">
        <v>0</v>
      </c>
      <c r="H155" s="18">
        <v>0</v>
      </c>
      <c r="I155" s="17">
        <v>0</v>
      </c>
      <c r="J155" s="17">
        <f t="shared" si="24"/>
        <v>0</v>
      </c>
      <c r="K155" s="17">
        <v>0</v>
      </c>
      <c r="L155" s="17">
        <v>0</v>
      </c>
      <c r="M155" s="17" t="b">
        <f t="shared" si="35"/>
        <v>1</v>
      </c>
      <c r="N155" s="17">
        <v>0</v>
      </c>
      <c r="O155" s="17">
        <v>0</v>
      </c>
      <c r="P155" s="17">
        <f t="shared" si="25"/>
        <v>0</v>
      </c>
      <c r="Q155" s="17">
        <f t="shared" si="26"/>
        <v>0</v>
      </c>
      <c r="R155" s="3"/>
      <c r="S155" s="19">
        <f t="shared" si="27"/>
        <v>0</v>
      </c>
      <c r="T155" s="19">
        <v>0</v>
      </c>
      <c r="U155" s="19">
        <f t="shared" si="28"/>
        <v>0</v>
      </c>
      <c r="V155" s="19">
        <f t="shared" si="29"/>
        <v>0</v>
      </c>
      <c r="W155" s="19">
        <f t="shared" si="30"/>
        <v>0</v>
      </c>
      <c r="X155" s="19">
        <f t="shared" si="31"/>
        <v>0</v>
      </c>
      <c r="Y155" s="19">
        <f t="shared" si="32"/>
        <v>0</v>
      </c>
      <c r="Z155" s="20">
        <f t="shared" si="33"/>
        <v>0</v>
      </c>
      <c r="AA155" s="20">
        <f t="shared" si="34"/>
        <v>0</v>
      </c>
    </row>
    <row r="156" spans="1:27" ht="15.75" customHeight="1">
      <c r="A156" s="14" t="s">
        <v>322</v>
      </c>
      <c r="B156" s="15" t="s">
        <v>323</v>
      </c>
      <c r="C156" s="16">
        <v>275.5</v>
      </c>
      <c r="D156" s="16">
        <v>275.5</v>
      </c>
      <c r="E156" s="17">
        <v>2</v>
      </c>
      <c r="F156" s="18">
        <v>0</v>
      </c>
      <c r="G156" s="18">
        <v>0</v>
      </c>
      <c r="H156" s="18">
        <v>0</v>
      </c>
      <c r="I156" s="17">
        <v>0</v>
      </c>
      <c r="J156" s="17">
        <f t="shared" si="24"/>
        <v>2</v>
      </c>
      <c r="K156" s="17">
        <v>2</v>
      </c>
      <c r="L156" s="17">
        <v>2</v>
      </c>
      <c r="M156" s="17" t="b">
        <f t="shared" si="35"/>
        <v>1</v>
      </c>
      <c r="N156" s="17">
        <v>0</v>
      </c>
      <c r="O156" s="17">
        <v>0</v>
      </c>
      <c r="P156" s="17">
        <f t="shared" si="25"/>
        <v>2</v>
      </c>
      <c r="Q156" s="17">
        <f t="shared" si="26"/>
        <v>0</v>
      </c>
      <c r="R156" s="3"/>
      <c r="S156" s="19">
        <f t="shared" si="27"/>
        <v>551</v>
      </c>
      <c r="T156" s="19">
        <v>0</v>
      </c>
      <c r="U156" s="19">
        <f t="shared" si="28"/>
        <v>0</v>
      </c>
      <c r="V156" s="19">
        <f t="shared" si="29"/>
        <v>0</v>
      </c>
      <c r="W156" s="19">
        <f t="shared" si="30"/>
        <v>0</v>
      </c>
      <c r="X156" s="19">
        <f t="shared" si="31"/>
        <v>0</v>
      </c>
      <c r="Y156" s="19">
        <f t="shared" si="32"/>
        <v>551</v>
      </c>
      <c r="Z156" s="20">
        <f t="shared" si="33"/>
        <v>551</v>
      </c>
      <c r="AA156" s="20">
        <f t="shared" si="34"/>
        <v>0</v>
      </c>
    </row>
    <row r="157" spans="1:27" ht="15.75" customHeight="1">
      <c r="A157" s="14" t="s">
        <v>324</v>
      </c>
      <c r="B157" s="15" t="s">
        <v>325</v>
      </c>
      <c r="C157" s="16">
        <v>418.76</v>
      </c>
      <c r="D157" s="16">
        <v>418.76</v>
      </c>
      <c r="E157" s="17">
        <v>5</v>
      </c>
      <c r="F157" s="18">
        <v>0</v>
      </c>
      <c r="G157" s="18">
        <v>0</v>
      </c>
      <c r="H157" s="18">
        <v>0</v>
      </c>
      <c r="I157" s="17">
        <v>0</v>
      </c>
      <c r="J157" s="17">
        <f t="shared" si="24"/>
        <v>5</v>
      </c>
      <c r="K157" s="17">
        <v>5</v>
      </c>
      <c r="L157" s="17">
        <v>5</v>
      </c>
      <c r="M157" s="17" t="b">
        <f t="shared" si="35"/>
        <v>1</v>
      </c>
      <c r="N157" s="17">
        <v>0</v>
      </c>
      <c r="O157" s="17">
        <v>0</v>
      </c>
      <c r="P157" s="17">
        <f t="shared" si="25"/>
        <v>5</v>
      </c>
      <c r="Q157" s="17">
        <f t="shared" si="26"/>
        <v>0</v>
      </c>
      <c r="R157" s="3"/>
      <c r="S157" s="19">
        <f t="shared" si="27"/>
        <v>2093.8000000000002</v>
      </c>
      <c r="T157" s="19">
        <v>0</v>
      </c>
      <c r="U157" s="19">
        <f t="shared" si="28"/>
        <v>0</v>
      </c>
      <c r="V157" s="19">
        <f t="shared" si="29"/>
        <v>0</v>
      </c>
      <c r="W157" s="19">
        <f t="shared" si="30"/>
        <v>0</v>
      </c>
      <c r="X157" s="19">
        <f t="shared" si="31"/>
        <v>0</v>
      </c>
      <c r="Y157" s="19">
        <f t="shared" si="32"/>
        <v>2093.8000000000002</v>
      </c>
      <c r="Z157" s="20">
        <f t="shared" si="33"/>
        <v>2093.8000000000002</v>
      </c>
      <c r="AA157" s="20">
        <f t="shared" si="34"/>
        <v>0</v>
      </c>
    </row>
    <row r="158" spans="1:27" ht="15.75" customHeight="1">
      <c r="A158" s="14" t="s">
        <v>326</v>
      </c>
      <c r="B158" s="15" t="s">
        <v>327</v>
      </c>
      <c r="C158" s="16">
        <v>1082</v>
      </c>
      <c r="D158" s="16">
        <v>1082</v>
      </c>
      <c r="E158" s="17">
        <v>3</v>
      </c>
      <c r="F158" s="18">
        <v>0</v>
      </c>
      <c r="G158" s="18">
        <v>0</v>
      </c>
      <c r="H158" s="18">
        <v>0</v>
      </c>
      <c r="I158" s="17">
        <v>0</v>
      </c>
      <c r="J158" s="17">
        <f t="shared" si="24"/>
        <v>3</v>
      </c>
      <c r="K158" s="17">
        <v>3</v>
      </c>
      <c r="L158" s="17">
        <v>3</v>
      </c>
      <c r="M158" s="17" t="b">
        <f t="shared" si="35"/>
        <v>1</v>
      </c>
      <c r="N158" s="17">
        <v>0</v>
      </c>
      <c r="O158" s="17">
        <v>0</v>
      </c>
      <c r="P158" s="17">
        <f t="shared" si="25"/>
        <v>3</v>
      </c>
      <c r="Q158" s="17">
        <f t="shared" si="26"/>
        <v>0</v>
      </c>
      <c r="R158" s="3"/>
      <c r="S158" s="19">
        <f t="shared" si="27"/>
        <v>3246</v>
      </c>
      <c r="T158" s="19">
        <v>0</v>
      </c>
      <c r="U158" s="19">
        <f t="shared" si="28"/>
        <v>0</v>
      </c>
      <c r="V158" s="19">
        <f t="shared" si="29"/>
        <v>0</v>
      </c>
      <c r="W158" s="19">
        <f t="shared" si="30"/>
        <v>0</v>
      </c>
      <c r="X158" s="19">
        <f t="shared" si="31"/>
        <v>0</v>
      </c>
      <c r="Y158" s="19">
        <f t="shared" si="32"/>
        <v>3246</v>
      </c>
      <c r="Z158" s="20">
        <f t="shared" si="33"/>
        <v>3246</v>
      </c>
      <c r="AA158" s="20">
        <f t="shared" si="34"/>
        <v>0</v>
      </c>
    </row>
    <row r="159" spans="1:27" ht="15.75" customHeight="1">
      <c r="A159" s="14" t="s">
        <v>328</v>
      </c>
      <c r="B159" s="15" t="s">
        <v>329</v>
      </c>
      <c r="C159" s="16">
        <v>311.75</v>
      </c>
      <c r="D159" s="16">
        <v>311.75</v>
      </c>
      <c r="E159" s="17">
        <v>3</v>
      </c>
      <c r="F159" s="18">
        <v>0</v>
      </c>
      <c r="G159" s="18">
        <v>0</v>
      </c>
      <c r="H159" s="18">
        <v>0</v>
      </c>
      <c r="I159" s="17">
        <v>0</v>
      </c>
      <c r="J159" s="17">
        <f t="shared" si="24"/>
        <v>3</v>
      </c>
      <c r="K159" s="17">
        <v>3</v>
      </c>
      <c r="L159" s="17">
        <v>3</v>
      </c>
      <c r="M159" s="17" t="b">
        <f t="shared" si="35"/>
        <v>1</v>
      </c>
      <c r="N159" s="17">
        <v>0</v>
      </c>
      <c r="O159" s="17">
        <v>0</v>
      </c>
      <c r="P159" s="17">
        <f t="shared" si="25"/>
        <v>3</v>
      </c>
      <c r="Q159" s="17">
        <f t="shared" si="26"/>
        <v>0</v>
      </c>
      <c r="R159" s="3"/>
      <c r="S159" s="19">
        <f t="shared" si="27"/>
        <v>935.25</v>
      </c>
      <c r="T159" s="19">
        <v>0</v>
      </c>
      <c r="U159" s="19">
        <f t="shared" si="28"/>
        <v>0</v>
      </c>
      <c r="V159" s="19">
        <f t="shared" si="29"/>
        <v>0</v>
      </c>
      <c r="W159" s="19">
        <f t="shared" si="30"/>
        <v>0</v>
      </c>
      <c r="X159" s="19">
        <f t="shared" si="31"/>
        <v>0</v>
      </c>
      <c r="Y159" s="19">
        <f t="shared" si="32"/>
        <v>935.25</v>
      </c>
      <c r="Z159" s="20">
        <f t="shared" si="33"/>
        <v>935.25</v>
      </c>
      <c r="AA159" s="20">
        <f t="shared" si="34"/>
        <v>0</v>
      </c>
    </row>
    <row r="160" spans="1:27" ht="15.75" customHeight="1">
      <c r="A160" s="14" t="s">
        <v>330</v>
      </c>
      <c r="B160" s="15" t="s">
        <v>331</v>
      </c>
      <c r="C160" s="16">
        <v>662.01</v>
      </c>
      <c r="D160" s="16">
        <v>662.01</v>
      </c>
      <c r="E160" s="17">
        <v>3</v>
      </c>
      <c r="F160" s="18">
        <v>0</v>
      </c>
      <c r="G160" s="18">
        <v>0</v>
      </c>
      <c r="H160" s="18">
        <v>0</v>
      </c>
      <c r="I160" s="17">
        <v>0</v>
      </c>
      <c r="J160" s="17">
        <f t="shared" si="24"/>
        <v>3</v>
      </c>
      <c r="K160" s="17">
        <v>3</v>
      </c>
      <c r="L160" s="17">
        <v>3</v>
      </c>
      <c r="M160" s="17" t="b">
        <f t="shared" si="35"/>
        <v>1</v>
      </c>
      <c r="N160" s="17">
        <v>0</v>
      </c>
      <c r="O160" s="17">
        <v>0</v>
      </c>
      <c r="P160" s="17">
        <f t="shared" si="25"/>
        <v>3</v>
      </c>
      <c r="Q160" s="17">
        <f t="shared" si="26"/>
        <v>0</v>
      </c>
      <c r="R160" s="3"/>
      <c r="S160" s="19">
        <f t="shared" si="27"/>
        <v>1986.03</v>
      </c>
      <c r="T160" s="19">
        <v>0</v>
      </c>
      <c r="U160" s="19">
        <f t="shared" si="28"/>
        <v>0</v>
      </c>
      <c r="V160" s="19">
        <f t="shared" si="29"/>
        <v>0</v>
      </c>
      <c r="W160" s="19">
        <f t="shared" si="30"/>
        <v>0</v>
      </c>
      <c r="X160" s="19">
        <f t="shared" si="31"/>
        <v>0</v>
      </c>
      <c r="Y160" s="19">
        <f t="shared" si="32"/>
        <v>1986.03</v>
      </c>
      <c r="Z160" s="20">
        <f t="shared" si="33"/>
        <v>1986.03</v>
      </c>
      <c r="AA160" s="20">
        <f t="shared" si="34"/>
        <v>0</v>
      </c>
    </row>
    <row r="161" spans="1:27" ht="15.75" customHeight="1">
      <c r="A161" s="14" t="s">
        <v>332</v>
      </c>
      <c r="B161" s="15" t="s">
        <v>333</v>
      </c>
      <c r="C161" s="16">
        <v>383.5</v>
      </c>
      <c r="D161" s="16">
        <v>383.5</v>
      </c>
      <c r="E161" s="17">
        <v>0</v>
      </c>
      <c r="F161" s="18">
        <v>0</v>
      </c>
      <c r="G161" s="18">
        <v>0</v>
      </c>
      <c r="H161" s="18">
        <v>0</v>
      </c>
      <c r="I161" s="17">
        <v>0</v>
      </c>
      <c r="J161" s="17">
        <f t="shared" si="24"/>
        <v>0</v>
      </c>
      <c r="K161" s="17">
        <v>0</v>
      </c>
      <c r="L161" s="17">
        <v>0</v>
      </c>
      <c r="M161" s="17" t="b">
        <f t="shared" si="35"/>
        <v>1</v>
      </c>
      <c r="N161" s="17">
        <v>0</v>
      </c>
      <c r="O161" s="17">
        <v>0</v>
      </c>
      <c r="P161" s="17">
        <f t="shared" si="25"/>
        <v>0</v>
      </c>
      <c r="Q161" s="17">
        <f t="shared" si="26"/>
        <v>0</v>
      </c>
      <c r="R161" s="3"/>
      <c r="S161" s="19">
        <f t="shared" si="27"/>
        <v>0</v>
      </c>
      <c r="T161" s="19">
        <v>0</v>
      </c>
      <c r="U161" s="19">
        <f t="shared" si="28"/>
        <v>0</v>
      </c>
      <c r="V161" s="19">
        <f t="shared" si="29"/>
        <v>0</v>
      </c>
      <c r="W161" s="19">
        <f t="shared" si="30"/>
        <v>0</v>
      </c>
      <c r="X161" s="19">
        <f t="shared" si="31"/>
        <v>0</v>
      </c>
      <c r="Y161" s="19">
        <f t="shared" si="32"/>
        <v>0</v>
      </c>
      <c r="Z161" s="20">
        <f t="shared" si="33"/>
        <v>0</v>
      </c>
      <c r="AA161" s="20">
        <f t="shared" si="34"/>
        <v>0</v>
      </c>
    </row>
    <row r="162" spans="1:27" ht="15.75" customHeight="1">
      <c r="A162" s="14" t="s">
        <v>334</v>
      </c>
      <c r="B162" s="15" t="s">
        <v>335</v>
      </c>
      <c r="C162" s="16">
        <v>43.1</v>
      </c>
      <c r="D162" s="16">
        <v>43.1</v>
      </c>
      <c r="E162" s="17">
        <v>1</v>
      </c>
      <c r="F162" s="18">
        <v>0</v>
      </c>
      <c r="G162" s="18">
        <v>0</v>
      </c>
      <c r="H162" s="18">
        <v>0</v>
      </c>
      <c r="I162" s="17">
        <v>0</v>
      </c>
      <c r="J162" s="17">
        <f t="shared" si="24"/>
        <v>1</v>
      </c>
      <c r="K162" s="17">
        <v>1</v>
      </c>
      <c r="L162" s="17">
        <v>1</v>
      </c>
      <c r="M162" s="17" t="b">
        <f t="shared" si="35"/>
        <v>1</v>
      </c>
      <c r="N162" s="17">
        <v>0</v>
      </c>
      <c r="O162" s="17">
        <v>0</v>
      </c>
      <c r="P162" s="17">
        <f t="shared" si="25"/>
        <v>1</v>
      </c>
      <c r="Q162" s="17">
        <f t="shared" si="26"/>
        <v>0</v>
      </c>
      <c r="R162" s="3"/>
      <c r="S162" s="19">
        <f t="shared" si="27"/>
        <v>43.1</v>
      </c>
      <c r="T162" s="19">
        <v>0</v>
      </c>
      <c r="U162" s="19">
        <f t="shared" si="28"/>
        <v>0</v>
      </c>
      <c r="V162" s="19">
        <f t="shared" si="29"/>
        <v>0</v>
      </c>
      <c r="W162" s="19">
        <f t="shared" si="30"/>
        <v>0</v>
      </c>
      <c r="X162" s="19">
        <f t="shared" si="31"/>
        <v>0</v>
      </c>
      <c r="Y162" s="19">
        <f t="shared" si="32"/>
        <v>43.1</v>
      </c>
      <c r="Z162" s="20">
        <f t="shared" si="33"/>
        <v>43.1</v>
      </c>
      <c r="AA162" s="20">
        <f t="shared" si="34"/>
        <v>0</v>
      </c>
    </row>
    <row r="163" spans="1:27" ht="15.75" customHeight="1">
      <c r="A163" s="14" t="s">
        <v>336</v>
      </c>
      <c r="B163" s="15" t="s">
        <v>337</v>
      </c>
      <c r="C163" s="16">
        <v>41.38</v>
      </c>
      <c r="D163" s="16">
        <v>41.38</v>
      </c>
      <c r="E163" s="17">
        <v>1</v>
      </c>
      <c r="F163" s="18">
        <v>0</v>
      </c>
      <c r="G163" s="18">
        <v>0</v>
      </c>
      <c r="H163" s="18">
        <v>0</v>
      </c>
      <c r="I163" s="17">
        <v>0</v>
      </c>
      <c r="J163" s="17">
        <f t="shared" si="24"/>
        <v>1</v>
      </c>
      <c r="K163" s="17">
        <v>1</v>
      </c>
      <c r="L163" s="17">
        <v>1</v>
      </c>
      <c r="M163" s="17" t="b">
        <f t="shared" si="35"/>
        <v>1</v>
      </c>
      <c r="N163" s="17">
        <v>0</v>
      </c>
      <c r="O163" s="17">
        <v>0</v>
      </c>
      <c r="P163" s="17">
        <f t="shared" si="25"/>
        <v>1</v>
      </c>
      <c r="Q163" s="17">
        <f t="shared" si="26"/>
        <v>0</v>
      </c>
      <c r="R163" s="3"/>
      <c r="S163" s="19">
        <f t="shared" si="27"/>
        <v>41.38</v>
      </c>
      <c r="T163" s="19">
        <v>0</v>
      </c>
      <c r="U163" s="19">
        <f t="shared" si="28"/>
        <v>0</v>
      </c>
      <c r="V163" s="19">
        <f t="shared" si="29"/>
        <v>0</v>
      </c>
      <c r="W163" s="19">
        <f t="shared" si="30"/>
        <v>0</v>
      </c>
      <c r="X163" s="19">
        <f t="shared" si="31"/>
        <v>0</v>
      </c>
      <c r="Y163" s="19">
        <f t="shared" si="32"/>
        <v>41.38</v>
      </c>
      <c r="Z163" s="20">
        <f t="shared" si="33"/>
        <v>41.38</v>
      </c>
      <c r="AA163" s="20">
        <f t="shared" si="34"/>
        <v>0</v>
      </c>
    </row>
    <row r="164" spans="1:27" ht="15.75" customHeight="1">
      <c r="A164" s="14" t="s">
        <v>338</v>
      </c>
      <c r="B164" s="15" t="s">
        <v>339</v>
      </c>
      <c r="C164" s="16">
        <v>344.52</v>
      </c>
      <c r="D164" s="16">
        <v>344.52</v>
      </c>
      <c r="E164" s="17">
        <v>0</v>
      </c>
      <c r="F164" s="18">
        <v>0</v>
      </c>
      <c r="G164" s="18">
        <v>0</v>
      </c>
      <c r="H164" s="18">
        <v>0</v>
      </c>
      <c r="I164" s="17">
        <v>0</v>
      </c>
      <c r="J164" s="17">
        <f t="shared" si="24"/>
        <v>0</v>
      </c>
      <c r="K164" s="17">
        <v>0</v>
      </c>
      <c r="L164" s="17">
        <v>0</v>
      </c>
      <c r="M164" s="17" t="b">
        <f t="shared" si="35"/>
        <v>1</v>
      </c>
      <c r="N164" s="17">
        <v>0</v>
      </c>
      <c r="O164" s="17">
        <v>0</v>
      </c>
      <c r="P164" s="17">
        <f t="shared" si="25"/>
        <v>0</v>
      </c>
      <c r="Q164" s="17">
        <f t="shared" si="26"/>
        <v>0</v>
      </c>
      <c r="R164" s="3"/>
      <c r="S164" s="19">
        <f t="shared" si="27"/>
        <v>0</v>
      </c>
      <c r="T164" s="19">
        <v>0</v>
      </c>
      <c r="U164" s="19">
        <f t="shared" si="28"/>
        <v>0</v>
      </c>
      <c r="V164" s="19">
        <f t="shared" si="29"/>
        <v>0</v>
      </c>
      <c r="W164" s="19">
        <f t="shared" si="30"/>
        <v>0</v>
      </c>
      <c r="X164" s="19">
        <f t="shared" si="31"/>
        <v>0</v>
      </c>
      <c r="Y164" s="19">
        <f t="shared" si="32"/>
        <v>0</v>
      </c>
      <c r="Z164" s="20">
        <f t="shared" si="33"/>
        <v>0</v>
      </c>
      <c r="AA164" s="20">
        <f t="shared" si="34"/>
        <v>0</v>
      </c>
    </row>
    <row r="165" spans="1:27" ht="15.75" customHeight="1">
      <c r="A165" s="14" t="s">
        <v>340</v>
      </c>
      <c r="B165" s="15" t="s">
        <v>341</v>
      </c>
      <c r="C165" s="16">
        <v>1350</v>
      </c>
      <c r="D165" s="16">
        <v>1350</v>
      </c>
      <c r="E165" s="17">
        <v>0</v>
      </c>
      <c r="F165" s="18">
        <v>0</v>
      </c>
      <c r="G165" s="18">
        <v>0</v>
      </c>
      <c r="H165" s="18">
        <v>0</v>
      </c>
      <c r="I165" s="17">
        <v>0</v>
      </c>
      <c r="J165" s="17">
        <f t="shared" si="24"/>
        <v>0</v>
      </c>
      <c r="K165" s="17">
        <v>0</v>
      </c>
      <c r="L165" s="17">
        <v>0</v>
      </c>
      <c r="M165" s="17" t="b">
        <f t="shared" si="35"/>
        <v>1</v>
      </c>
      <c r="N165" s="17">
        <v>0</v>
      </c>
      <c r="O165" s="17">
        <v>0</v>
      </c>
      <c r="P165" s="17">
        <f t="shared" si="25"/>
        <v>0</v>
      </c>
      <c r="Q165" s="17">
        <f t="shared" si="26"/>
        <v>0</v>
      </c>
      <c r="R165" s="3"/>
      <c r="S165" s="19">
        <f t="shared" si="27"/>
        <v>0</v>
      </c>
      <c r="T165" s="19">
        <v>0</v>
      </c>
      <c r="U165" s="19">
        <f t="shared" si="28"/>
        <v>0</v>
      </c>
      <c r="V165" s="19">
        <f t="shared" si="29"/>
        <v>0</v>
      </c>
      <c r="W165" s="19">
        <f t="shared" si="30"/>
        <v>0</v>
      </c>
      <c r="X165" s="19">
        <f t="shared" si="31"/>
        <v>0</v>
      </c>
      <c r="Y165" s="19">
        <f t="shared" si="32"/>
        <v>0</v>
      </c>
      <c r="Z165" s="20">
        <f t="shared" si="33"/>
        <v>0</v>
      </c>
      <c r="AA165" s="20">
        <f t="shared" si="34"/>
        <v>0</v>
      </c>
    </row>
    <row r="166" spans="1:27" ht="15.75" customHeight="1">
      <c r="A166" s="14" t="s">
        <v>342</v>
      </c>
      <c r="B166" s="15" t="s">
        <v>343</v>
      </c>
      <c r="C166" s="16">
        <v>1083.3399999999999</v>
      </c>
      <c r="D166" s="16">
        <v>1083.3399999999999</v>
      </c>
      <c r="E166" s="17">
        <v>0</v>
      </c>
      <c r="F166" s="18">
        <v>0</v>
      </c>
      <c r="G166" s="18">
        <v>0</v>
      </c>
      <c r="H166" s="18">
        <v>0</v>
      </c>
      <c r="I166" s="17">
        <v>0</v>
      </c>
      <c r="J166" s="17">
        <f t="shared" si="24"/>
        <v>0</v>
      </c>
      <c r="K166" s="17">
        <v>0</v>
      </c>
      <c r="L166" s="17">
        <v>0</v>
      </c>
      <c r="M166" s="17" t="b">
        <f t="shared" si="35"/>
        <v>1</v>
      </c>
      <c r="N166" s="17">
        <v>0</v>
      </c>
      <c r="O166" s="17">
        <v>0</v>
      </c>
      <c r="P166" s="17">
        <f t="shared" si="25"/>
        <v>0</v>
      </c>
      <c r="Q166" s="17">
        <f t="shared" si="26"/>
        <v>0</v>
      </c>
      <c r="R166" s="3"/>
      <c r="S166" s="19">
        <f t="shared" si="27"/>
        <v>0</v>
      </c>
      <c r="T166" s="19">
        <v>0</v>
      </c>
      <c r="U166" s="19">
        <f t="shared" si="28"/>
        <v>0</v>
      </c>
      <c r="V166" s="19">
        <f t="shared" si="29"/>
        <v>0</v>
      </c>
      <c r="W166" s="19">
        <f t="shared" si="30"/>
        <v>0</v>
      </c>
      <c r="X166" s="19">
        <f t="shared" si="31"/>
        <v>0</v>
      </c>
      <c r="Y166" s="19">
        <f t="shared" si="32"/>
        <v>0</v>
      </c>
      <c r="Z166" s="20">
        <f t="shared" si="33"/>
        <v>0</v>
      </c>
      <c r="AA166" s="20">
        <f t="shared" si="34"/>
        <v>0</v>
      </c>
    </row>
    <row r="167" spans="1:27" ht="15.75" customHeight="1">
      <c r="A167" s="14" t="s">
        <v>344</v>
      </c>
      <c r="B167" s="15" t="s">
        <v>345</v>
      </c>
      <c r="C167" s="16">
        <v>400</v>
      </c>
      <c r="D167" s="16">
        <v>400</v>
      </c>
      <c r="E167" s="17">
        <v>4</v>
      </c>
      <c r="F167" s="18">
        <v>0</v>
      </c>
      <c r="G167" s="18">
        <v>0</v>
      </c>
      <c r="H167" s="18">
        <v>0</v>
      </c>
      <c r="I167" s="17">
        <v>0</v>
      </c>
      <c r="J167" s="17">
        <f t="shared" si="24"/>
        <v>4</v>
      </c>
      <c r="K167" s="17">
        <v>4</v>
      </c>
      <c r="L167" s="17">
        <v>4</v>
      </c>
      <c r="M167" s="17" t="b">
        <f t="shared" si="35"/>
        <v>1</v>
      </c>
      <c r="N167" s="17">
        <v>0</v>
      </c>
      <c r="O167" s="17">
        <v>0</v>
      </c>
      <c r="P167" s="17">
        <f t="shared" si="25"/>
        <v>4</v>
      </c>
      <c r="Q167" s="17">
        <f t="shared" si="26"/>
        <v>0</v>
      </c>
      <c r="R167" s="3"/>
      <c r="S167" s="19">
        <f t="shared" si="27"/>
        <v>1600</v>
      </c>
      <c r="T167" s="19">
        <v>0</v>
      </c>
      <c r="U167" s="19">
        <f t="shared" si="28"/>
        <v>0</v>
      </c>
      <c r="V167" s="19">
        <f t="shared" si="29"/>
        <v>0</v>
      </c>
      <c r="W167" s="19">
        <f t="shared" si="30"/>
        <v>0</v>
      </c>
      <c r="X167" s="19">
        <f t="shared" si="31"/>
        <v>0</v>
      </c>
      <c r="Y167" s="19">
        <f t="shared" si="32"/>
        <v>1600</v>
      </c>
      <c r="Z167" s="20">
        <f t="shared" si="33"/>
        <v>1600</v>
      </c>
      <c r="AA167" s="20">
        <f t="shared" si="34"/>
        <v>0</v>
      </c>
    </row>
    <row r="168" spans="1:27" ht="15.75" customHeight="1">
      <c r="A168" s="14" t="s">
        <v>346</v>
      </c>
      <c r="B168" s="15" t="s">
        <v>347</v>
      </c>
      <c r="C168" s="16">
        <v>697.5</v>
      </c>
      <c r="D168" s="16">
        <v>697.5</v>
      </c>
      <c r="E168" s="17">
        <v>2</v>
      </c>
      <c r="F168" s="18">
        <v>0</v>
      </c>
      <c r="G168" s="18">
        <v>0</v>
      </c>
      <c r="H168" s="18">
        <v>0</v>
      </c>
      <c r="I168" s="17">
        <v>0</v>
      </c>
      <c r="J168" s="17">
        <f t="shared" si="24"/>
        <v>2</v>
      </c>
      <c r="K168" s="17">
        <v>2</v>
      </c>
      <c r="L168" s="17">
        <v>2</v>
      </c>
      <c r="M168" s="17" t="b">
        <f t="shared" si="35"/>
        <v>1</v>
      </c>
      <c r="N168" s="17">
        <v>0</v>
      </c>
      <c r="O168" s="17">
        <v>0</v>
      </c>
      <c r="P168" s="17">
        <f t="shared" si="25"/>
        <v>2</v>
      </c>
      <c r="Q168" s="17">
        <f t="shared" si="26"/>
        <v>0</v>
      </c>
      <c r="R168" s="3"/>
      <c r="S168" s="19">
        <f t="shared" si="27"/>
        <v>1395</v>
      </c>
      <c r="T168" s="19">
        <v>0</v>
      </c>
      <c r="U168" s="19">
        <f t="shared" si="28"/>
        <v>0</v>
      </c>
      <c r="V168" s="19">
        <f t="shared" si="29"/>
        <v>0</v>
      </c>
      <c r="W168" s="19">
        <f t="shared" si="30"/>
        <v>0</v>
      </c>
      <c r="X168" s="19">
        <f t="shared" si="31"/>
        <v>0</v>
      </c>
      <c r="Y168" s="19">
        <f t="shared" si="32"/>
        <v>1395</v>
      </c>
      <c r="Z168" s="20">
        <f t="shared" si="33"/>
        <v>1395</v>
      </c>
      <c r="AA168" s="20">
        <f t="shared" si="34"/>
        <v>0</v>
      </c>
    </row>
    <row r="169" spans="1:27" ht="15.75" customHeight="1">
      <c r="A169" s="14" t="s">
        <v>348</v>
      </c>
      <c r="B169" s="15" t="s">
        <v>349</v>
      </c>
      <c r="C169" s="16">
        <v>0</v>
      </c>
      <c r="D169" s="16">
        <v>0</v>
      </c>
      <c r="E169" s="17">
        <v>0</v>
      </c>
      <c r="F169" s="18">
        <v>0</v>
      </c>
      <c r="G169" s="18">
        <v>0</v>
      </c>
      <c r="H169" s="18">
        <v>0</v>
      </c>
      <c r="I169" s="17">
        <v>0</v>
      </c>
      <c r="J169" s="17">
        <f t="shared" si="24"/>
        <v>0</v>
      </c>
      <c r="K169" s="17">
        <v>0</v>
      </c>
      <c r="L169" s="17">
        <v>0</v>
      </c>
      <c r="M169" s="17" t="b">
        <f t="shared" si="35"/>
        <v>1</v>
      </c>
      <c r="N169" s="17">
        <v>0</v>
      </c>
      <c r="O169" s="17">
        <v>0</v>
      </c>
      <c r="P169" s="17">
        <f t="shared" si="25"/>
        <v>0</v>
      </c>
      <c r="Q169" s="17">
        <f t="shared" si="26"/>
        <v>0</v>
      </c>
      <c r="R169" s="3"/>
      <c r="S169" s="19">
        <f t="shared" si="27"/>
        <v>0</v>
      </c>
      <c r="T169" s="19">
        <v>0</v>
      </c>
      <c r="U169" s="19">
        <f t="shared" si="28"/>
        <v>0</v>
      </c>
      <c r="V169" s="19">
        <f t="shared" si="29"/>
        <v>0</v>
      </c>
      <c r="W169" s="19">
        <f t="shared" si="30"/>
        <v>0</v>
      </c>
      <c r="X169" s="19">
        <f t="shared" si="31"/>
        <v>0</v>
      </c>
      <c r="Y169" s="19">
        <f t="shared" si="32"/>
        <v>0</v>
      </c>
      <c r="Z169" s="20">
        <f t="shared" si="33"/>
        <v>0</v>
      </c>
      <c r="AA169" s="20">
        <f t="shared" si="34"/>
        <v>0</v>
      </c>
    </row>
    <row r="170" spans="1:27" ht="15.75" customHeight="1">
      <c r="A170" s="14" t="s">
        <v>350</v>
      </c>
      <c r="B170" s="15" t="s">
        <v>351</v>
      </c>
      <c r="C170" s="16">
        <v>380</v>
      </c>
      <c r="D170" s="16">
        <v>380</v>
      </c>
      <c r="E170" s="17">
        <v>1</v>
      </c>
      <c r="F170" s="18">
        <v>0</v>
      </c>
      <c r="G170" s="18">
        <v>0</v>
      </c>
      <c r="H170" s="18">
        <v>0</v>
      </c>
      <c r="I170" s="17">
        <v>0</v>
      </c>
      <c r="J170" s="17">
        <f t="shared" si="24"/>
        <v>1</v>
      </c>
      <c r="K170" s="17">
        <v>1</v>
      </c>
      <c r="L170" s="17">
        <v>1</v>
      </c>
      <c r="M170" s="17" t="b">
        <f t="shared" si="35"/>
        <v>1</v>
      </c>
      <c r="N170" s="17">
        <v>0</v>
      </c>
      <c r="O170" s="17">
        <v>0</v>
      </c>
      <c r="P170" s="17">
        <f t="shared" si="25"/>
        <v>1</v>
      </c>
      <c r="Q170" s="17">
        <f t="shared" si="26"/>
        <v>0</v>
      </c>
      <c r="R170" s="3"/>
      <c r="S170" s="19">
        <f t="shared" si="27"/>
        <v>380</v>
      </c>
      <c r="T170" s="19">
        <v>0</v>
      </c>
      <c r="U170" s="19">
        <f t="shared" si="28"/>
        <v>0</v>
      </c>
      <c r="V170" s="19">
        <f t="shared" si="29"/>
        <v>0</v>
      </c>
      <c r="W170" s="19">
        <f t="shared" si="30"/>
        <v>0</v>
      </c>
      <c r="X170" s="19">
        <f t="shared" si="31"/>
        <v>0</v>
      </c>
      <c r="Y170" s="19">
        <f t="shared" si="32"/>
        <v>380</v>
      </c>
      <c r="Z170" s="20">
        <f t="shared" si="33"/>
        <v>380</v>
      </c>
      <c r="AA170" s="20">
        <f t="shared" si="34"/>
        <v>0</v>
      </c>
    </row>
    <row r="171" spans="1:27" ht="15.75" customHeight="1">
      <c r="A171" s="14" t="s">
        <v>352</v>
      </c>
      <c r="B171" s="15" t="s">
        <v>353</v>
      </c>
      <c r="C171" s="16">
        <v>670</v>
      </c>
      <c r="D171" s="16">
        <v>670</v>
      </c>
      <c r="E171" s="17">
        <v>1</v>
      </c>
      <c r="F171" s="18">
        <v>0</v>
      </c>
      <c r="G171" s="18">
        <v>0</v>
      </c>
      <c r="H171" s="18">
        <v>0</v>
      </c>
      <c r="I171" s="17">
        <v>0</v>
      </c>
      <c r="J171" s="17">
        <f t="shared" si="24"/>
        <v>1</v>
      </c>
      <c r="K171" s="17">
        <v>1</v>
      </c>
      <c r="L171" s="17">
        <v>1</v>
      </c>
      <c r="M171" s="17" t="b">
        <f t="shared" si="35"/>
        <v>1</v>
      </c>
      <c r="N171" s="17">
        <v>0</v>
      </c>
      <c r="O171" s="17">
        <v>0</v>
      </c>
      <c r="P171" s="17">
        <f t="shared" si="25"/>
        <v>1</v>
      </c>
      <c r="Q171" s="17">
        <f t="shared" si="26"/>
        <v>0</v>
      </c>
      <c r="R171" s="3"/>
      <c r="S171" s="19">
        <f t="shared" si="27"/>
        <v>670</v>
      </c>
      <c r="T171" s="19">
        <v>0</v>
      </c>
      <c r="U171" s="19">
        <f t="shared" si="28"/>
        <v>0</v>
      </c>
      <c r="V171" s="19">
        <f t="shared" si="29"/>
        <v>0</v>
      </c>
      <c r="W171" s="19">
        <f t="shared" si="30"/>
        <v>0</v>
      </c>
      <c r="X171" s="19">
        <f t="shared" si="31"/>
        <v>0</v>
      </c>
      <c r="Y171" s="19">
        <f t="shared" si="32"/>
        <v>670</v>
      </c>
      <c r="Z171" s="20">
        <f t="shared" si="33"/>
        <v>670</v>
      </c>
      <c r="AA171" s="20">
        <f t="shared" si="34"/>
        <v>0</v>
      </c>
    </row>
    <row r="172" spans="1:27" ht="15.75" customHeight="1">
      <c r="A172" s="14" t="s">
        <v>354</v>
      </c>
      <c r="B172" s="15" t="s">
        <v>355</v>
      </c>
      <c r="C172" s="16">
        <v>990</v>
      </c>
      <c r="D172" s="16">
        <v>990</v>
      </c>
      <c r="E172" s="17">
        <v>0</v>
      </c>
      <c r="F172" s="18">
        <v>0</v>
      </c>
      <c r="G172" s="18">
        <v>0</v>
      </c>
      <c r="H172" s="18">
        <v>0</v>
      </c>
      <c r="I172" s="17">
        <v>0</v>
      </c>
      <c r="J172" s="17">
        <f t="shared" si="24"/>
        <v>0</v>
      </c>
      <c r="K172" s="17">
        <v>0</v>
      </c>
      <c r="L172" s="17">
        <v>0</v>
      </c>
      <c r="M172" s="17" t="b">
        <f t="shared" si="35"/>
        <v>1</v>
      </c>
      <c r="N172" s="17">
        <v>0</v>
      </c>
      <c r="O172" s="17">
        <v>0</v>
      </c>
      <c r="P172" s="17">
        <f t="shared" si="25"/>
        <v>0</v>
      </c>
      <c r="Q172" s="17">
        <f t="shared" si="26"/>
        <v>0</v>
      </c>
      <c r="R172" s="3"/>
      <c r="S172" s="19">
        <f t="shared" si="27"/>
        <v>0</v>
      </c>
      <c r="T172" s="19">
        <v>0</v>
      </c>
      <c r="U172" s="19">
        <f t="shared" si="28"/>
        <v>0</v>
      </c>
      <c r="V172" s="19">
        <f t="shared" si="29"/>
        <v>0</v>
      </c>
      <c r="W172" s="19">
        <f t="shared" si="30"/>
        <v>0</v>
      </c>
      <c r="X172" s="19">
        <f t="shared" si="31"/>
        <v>0</v>
      </c>
      <c r="Y172" s="19">
        <f t="shared" si="32"/>
        <v>0</v>
      </c>
      <c r="Z172" s="20">
        <f t="shared" si="33"/>
        <v>0</v>
      </c>
      <c r="AA172" s="20">
        <f t="shared" si="34"/>
        <v>0</v>
      </c>
    </row>
    <row r="173" spans="1:27" ht="15.75" customHeight="1">
      <c r="A173" s="14" t="s">
        <v>356</v>
      </c>
      <c r="B173" s="15" t="s">
        <v>357</v>
      </c>
      <c r="C173" s="16">
        <v>400</v>
      </c>
      <c r="D173" s="16">
        <v>400</v>
      </c>
      <c r="E173" s="17">
        <v>0</v>
      </c>
      <c r="F173" s="18">
        <v>0</v>
      </c>
      <c r="G173" s="18">
        <v>0</v>
      </c>
      <c r="H173" s="18">
        <v>0</v>
      </c>
      <c r="I173" s="17">
        <v>0</v>
      </c>
      <c r="J173" s="17">
        <f t="shared" si="24"/>
        <v>0</v>
      </c>
      <c r="K173" s="17">
        <v>0</v>
      </c>
      <c r="L173" s="17">
        <v>0</v>
      </c>
      <c r="M173" s="17" t="b">
        <f t="shared" si="35"/>
        <v>1</v>
      </c>
      <c r="N173" s="17">
        <v>0</v>
      </c>
      <c r="O173" s="17">
        <v>0</v>
      </c>
      <c r="P173" s="17">
        <f t="shared" si="25"/>
        <v>0</v>
      </c>
      <c r="Q173" s="17">
        <f t="shared" si="26"/>
        <v>0</v>
      </c>
      <c r="R173" s="3"/>
      <c r="S173" s="19">
        <f t="shared" si="27"/>
        <v>0</v>
      </c>
      <c r="T173" s="19">
        <v>0</v>
      </c>
      <c r="U173" s="19">
        <f t="shared" si="28"/>
        <v>0</v>
      </c>
      <c r="V173" s="19">
        <f t="shared" si="29"/>
        <v>0</v>
      </c>
      <c r="W173" s="19">
        <f t="shared" si="30"/>
        <v>0</v>
      </c>
      <c r="X173" s="19">
        <f t="shared" si="31"/>
        <v>0</v>
      </c>
      <c r="Y173" s="19">
        <f t="shared" si="32"/>
        <v>0</v>
      </c>
      <c r="Z173" s="20">
        <f t="shared" si="33"/>
        <v>0</v>
      </c>
      <c r="AA173" s="20">
        <f t="shared" si="34"/>
        <v>0</v>
      </c>
    </row>
    <row r="174" spans="1:27" ht="15.75" customHeight="1">
      <c r="A174" s="14" t="s">
        <v>358</v>
      </c>
      <c r="B174" s="15" t="s">
        <v>359</v>
      </c>
      <c r="C174" s="16">
        <v>0</v>
      </c>
      <c r="D174" s="16">
        <v>0</v>
      </c>
      <c r="E174" s="17">
        <v>0</v>
      </c>
      <c r="F174" s="18">
        <v>0</v>
      </c>
      <c r="G174" s="18">
        <v>0</v>
      </c>
      <c r="H174" s="18">
        <v>0</v>
      </c>
      <c r="I174" s="17">
        <v>0</v>
      </c>
      <c r="J174" s="17">
        <f t="shared" si="24"/>
        <v>0</v>
      </c>
      <c r="K174" s="17">
        <v>0</v>
      </c>
      <c r="L174" s="17">
        <v>0</v>
      </c>
      <c r="M174" s="17" t="b">
        <f t="shared" si="35"/>
        <v>1</v>
      </c>
      <c r="N174" s="17">
        <v>0</v>
      </c>
      <c r="O174" s="17">
        <v>0</v>
      </c>
      <c r="P174" s="17">
        <f t="shared" si="25"/>
        <v>0</v>
      </c>
      <c r="Q174" s="17">
        <f t="shared" si="26"/>
        <v>0</v>
      </c>
      <c r="R174" s="3"/>
      <c r="S174" s="19">
        <f t="shared" si="27"/>
        <v>0</v>
      </c>
      <c r="T174" s="19">
        <v>0</v>
      </c>
      <c r="U174" s="19">
        <f t="shared" si="28"/>
        <v>0</v>
      </c>
      <c r="V174" s="19">
        <f t="shared" si="29"/>
        <v>0</v>
      </c>
      <c r="W174" s="19">
        <f t="shared" si="30"/>
        <v>0</v>
      </c>
      <c r="X174" s="19">
        <f t="shared" si="31"/>
        <v>0</v>
      </c>
      <c r="Y174" s="19">
        <f t="shared" si="32"/>
        <v>0</v>
      </c>
      <c r="Z174" s="20">
        <f t="shared" si="33"/>
        <v>0</v>
      </c>
      <c r="AA174" s="20">
        <f t="shared" si="34"/>
        <v>0</v>
      </c>
    </row>
    <row r="175" spans="1:27" ht="15.75" customHeight="1">
      <c r="A175" s="14" t="s">
        <v>360</v>
      </c>
      <c r="B175" s="15" t="s">
        <v>361</v>
      </c>
      <c r="C175" s="16">
        <v>10.35</v>
      </c>
      <c r="D175" s="16">
        <v>10.35</v>
      </c>
      <c r="E175" s="17">
        <v>1</v>
      </c>
      <c r="F175" s="18">
        <v>0</v>
      </c>
      <c r="G175" s="18">
        <v>0</v>
      </c>
      <c r="H175" s="18">
        <v>0</v>
      </c>
      <c r="I175" s="17">
        <v>0</v>
      </c>
      <c r="J175" s="17">
        <f t="shared" si="24"/>
        <v>1</v>
      </c>
      <c r="K175" s="17">
        <v>1</v>
      </c>
      <c r="L175" s="17">
        <v>1</v>
      </c>
      <c r="M175" s="17" t="b">
        <f t="shared" si="35"/>
        <v>1</v>
      </c>
      <c r="N175" s="17">
        <v>0</v>
      </c>
      <c r="O175" s="17">
        <v>0</v>
      </c>
      <c r="P175" s="17">
        <f t="shared" si="25"/>
        <v>1</v>
      </c>
      <c r="Q175" s="17">
        <f t="shared" si="26"/>
        <v>0</v>
      </c>
      <c r="R175" s="3"/>
      <c r="S175" s="19">
        <f t="shared" si="27"/>
        <v>10.35</v>
      </c>
      <c r="T175" s="19">
        <v>0</v>
      </c>
      <c r="U175" s="19">
        <f t="shared" si="28"/>
        <v>0</v>
      </c>
      <c r="V175" s="19">
        <f t="shared" si="29"/>
        <v>0</v>
      </c>
      <c r="W175" s="19">
        <f t="shared" si="30"/>
        <v>0</v>
      </c>
      <c r="X175" s="19">
        <f t="shared" si="31"/>
        <v>0</v>
      </c>
      <c r="Y175" s="19">
        <f t="shared" si="32"/>
        <v>10.35</v>
      </c>
      <c r="Z175" s="20">
        <f t="shared" si="33"/>
        <v>10.35</v>
      </c>
      <c r="AA175" s="20">
        <f t="shared" si="34"/>
        <v>0</v>
      </c>
    </row>
    <row r="176" spans="1:27" ht="15.75" customHeight="1">
      <c r="A176" s="14" t="s">
        <v>362</v>
      </c>
      <c r="B176" s="15" t="s">
        <v>363</v>
      </c>
      <c r="C176" s="16">
        <v>34</v>
      </c>
      <c r="D176" s="16">
        <v>34</v>
      </c>
      <c r="E176" s="17">
        <v>0</v>
      </c>
      <c r="F176" s="18">
        <v>0</v>
      </c>
      <c r="G176" s="18">
        <v>0</v>
      </c>
      <c r="H176" s="18">
        <v>0</v>
      </c>
      <c r="I176" s="17">
        <v>0</v>
      </c>
      <c r="J176" s="17">
        <f t="shared" si="24"/>
        <v>0</v>
      </c>
      <c r="K176" s="17">
        <v>0</v>
      </c>
      <c r="L176" s="17">
        <v>0</v>
      </c>
      <c r="M176" s="17" t="b">
        <f t="shared" si="35"/>
        <v>1</v>
      </c>
      <c r="N176" s="17">
        <v>0</v>
      </c>
      <c r="O176" s="17">
        <v>0</v>
      </c>
      <c r="P176" s="17">
        <f t="shared" si="25"/>
        <v>0</v>
      </c>
      <c r="Q176" s="17">
        <f t="shared" si="26"/>
        <v>0</v>
      </c>
      <c r="R176" s="3"/>
      <c r="S176" s="19">
        <f t="shared" si="27"/>
        <v>0</v>
      </c>
      <c r="T176" s="19">
        <v>0</v>
      </c>
      <c r="U176" s="19">
        <f t="shared" si="28"/>
        <v>0</v>
      </c>
      <c r="V176" s="19">
        <f t="shared" si="29"/>
        <v>0</v>
      </c>
      <c r="W176" s="19">
        <f t="shared" si="30"/>
        <v>0</v>
      </c>
      <c r="X176" s="19">
        <f t="shared" si="31"/>
        <v>0</v>
      </c>
      <c r="Y176" s="19">
        <f t="shared" si="32"/>
        <v>0</v>
      </c>
      <c r="Z176" s="20">
        <f t="shared" si="33"/>
        <v>0</v>
      </c>
      <c r="AA176" s="20">
        <f t="shared" si="34"/>
        <v>0</v>
      </c>
    </row>
    <row r="177" spans="1:27" ht="15.75" customHeight="1">
      <c r="A177" s="14" t="s">
        <v>364</v>
      </c>
      <c r="B177" s="15" t="s">
        <v>365</v>
      </c>
      <c r="C177" s="16">
        <v>12.11</v>
      </c>
      <c r="D177" s="16">
        <v>12.11</v>
      </c>
      <c r="E177" s="17">
        <v>0</v>
      </c>
      <c r="F177" s="18">
        <v>0</v>
      </c>
      <c r="G177" s="18">
        <v>0</v>
      </c>
      <c r="H177" s="18">
        <v>0</v>
      </c>
      <c r="I177" s="17">
        <v>0</v>
      </c>
      <c r="J177" s="17">
        <f t="shared" si="24"/>
        <v>0</v>
      </c>
      <c r="K177" s="17">
        <v>0</v>
      </c>
      <c r="L177" s="17">
        <v>0</v>
      </c>
      <c r="M177" s="17" t="b">
        <f t="shared" si="35"/>
        <v>1</v>
      </c>
      <c r="N177" s="17">
        <v>0</v>
      </c>
      <c r="O177" s="17">
        <v>0</v>
      </c>
      <c r="P177" s="17">
        <f t="shared" si="25"/>
        <v>0</v>
      </c>
      <c r="Q177" s="17">
        <f t="shared" si="26"/>
        <v>0</v>
      </c>
      <c r="R177" s="3"/>
      <c r="S177" s="19">
        <f t="shared" si="27"/>
        <v>0</v>
      </c>
      <c r="T177" s="19">
        <v>0</v>
      </c>
      <c r="U177" s="19">
        <f t="shared" si="28"/>
        <v>0</v>
      </c>
      <c r="V177" s="19">
        <f t="shared" si="29"/>
        <v>0</v>
      </c>
      <c r="W177" s="19">
        <f t="shared" si="30"/>
        <v>0</v>
      </c>
      <c r="X177" s="19">
        <f t="shared" si="31"/>
        <v>0</v>
      </c>
      <c r="Y177" s="19">
        <f t="shared" si="32"/>
        <v>0</v>
      </c>
      <c r="Z177" s="20">
        <f t="shared" si="33"/>
        <v>0</v>
      </c>
      <c r="AA177" s="20">
        <f t="shared" si="34"/>
        <v>0</v>
      </c>
    </row>
    <row r="178" spans="1:27" ht="15.75" customHeight="1">
      <c r="A178" s="14" t="s">
        <v>366</v>
      </c>
      <c r="B178" s="15" t="s">
        <v>367</v>
      </c>
      <c r="C178" s="16">
        <v>75</v>
      </c>
      <c r="D178" s="16">
        <v>75</v>
      </c>
      <c r="E178" s="17">
        <v>10</v>
      </c>
      <c r="F178" s="18">
        <v>0</v>
      </c>
      <c r="G178" s="18">
        <v>0</v>
      </c>
      <c r="H178" s="18">
        <v>0</v>
      </c>
      <c r="I178" s="17">
        <v>0</v>
      </c>
      <c r="J178" s="17">
        <f t="shared" si="24"/>
        <v>10</v>
      </c>
      <c r="K178" s="17">
        <v>0</v>
      </c>
      <c r="L178" s="17">
        <v>0</v>
      </c>
      <c r="M178" s="17" t="b">
        <f t="shared" si="35"/>
        <v>1</v>
      </c>
      <c r="N178" s="17">
        <v>0</v>
      </c>
      <c r="O178" s="17">
        <v>10</v>
      </c>
      <c r="P178" s="17">
        <f t="shared" si="25"/>
        <v>10</v>
      </c>
      <c r="Q178" s="17">
        <f t="shared" si="26"/>
        <v>0</v>
      </c>
      <c r="R178" s="3"/>
      <c r="S178" s="19">
        <f t="shared" si="27"/>
        <v>750</v>
      </c>
      <c r="T178" s="19">
        <v>0</v>
      </c>
      <c r="U178" s="19">
        <f t="shared" si="28"/>
        <v>0</v>
      </c>
      <c r="V178" s="19">
        <f t="shared" si="29"/>
        <v>0</v>
      </c>
      <c r="W178" s="19">
        <f t="shared" si="30"/>
        <v>0</v>
      </c>
      <c r="X178" s="19">
        <f t="shared" si="31"/>
        <v>0</v>
      </c>
      <c r="Y178" s="19">
        <f t="shared" si="32"/>
        <v>750</v>
      </c>
      <c r="Z178" s="20">
        <f t="shared" si="33"/>
        <v>750</v>
      </c>
      <c r="AA178" s="20">
        <f t="shared" si="34"/>
        <v>0</v>
      </c>
    </row>
    <row r="179" spans="1:27" ht="15.75" customHeight="1">
      <c r="A179" s="14" t="s">
        <v>368</v>
      </c>
      <c r="B179" s="15" t="s">
        <v>369</v>
      </c>
      <c r="C179" s="16">
        <v>110</v>
      </c>
      <c r="D179" s="16">
        <v>110</v>
      </c>
      <c r="E179" s="17">
        <v>10</v>
      </c>
      <c r="F179" s="18">
        <v>0</v>
      </c>
      <c r="G179" s="18">
        <v>0</v>
      </c>
      <c r="H179" s="18">
        <v>0</v>
      </c>
      <c r="I179" s="17">
        <v>0</v>
      </c>
      <c r="J179" s="17">
        <f t="shared" si="24"/>
        <v>10</v>
      </c>
      <c r="K179" s="17">
        <v>0</v>
      </c>
      <c r="L179" s="17">
        <v>0</v>
      </c>
      <c r="M179" s="17" t="b">
        <f t="shared" si="35"/>
        <v>1</v>
      </c>
      <c r="N179" s="17">
        <v>0</v>
      </c>
      <c r="O179" s="17">
        <v>10</v>
      </c>
      <c r="P179" s="17">
        <f t="shared" si="25"/>
        <v>10</v>
      </c>
      <c r="Q179" s="17">
        <f t="shared" si="26"/>
        <v>0</v>
      </c>
      <c r="R179" s="3"/>
      <c r="S179" s="19">
        <f t="shared" si="27"/>
        <v>1100</v>
      </c>
      <c r="T179" s="19">
        <v>0</v>
      </c>
      <c r="U179" s="19">
        <f t="shared" si="28"/>
        <v>0</v>
      </c>
      <c r="V179" s="19">
        <f t="shared" si="29"/>
        <v>0</v>
      </c>
      <c r="W179" s="19">
        <f t="shared" si="30"/>
        <v>0</v>
      </c>
      <c r="X179" s="19">
        <f t="shared" si="31"/>
        <v>0</v>
      </c>
      <c r="Y179" s="19">
        <f t="shared" si="32"/>
        <v>1100</v>
      </c>
      <c r="Z179" s="20">
        <f t="shared" si="33"/>
        <v>1100</v>
      </c>
      <c r="AA179" s="20">
        <f t="shared" si="34"/>
        <v>0</v>
      </c>
    </row>
    <row r="180" spans="1:27" ht="15.75" customHeight="1">
      <c r="A180" s="14" t="s">
        <v>370</v>
      </c>
      <c r="B180" s="15" t="s">
        <v>371</v>
      </c>
      <c r="C180" s="16">
        <v>110</v>
      </c>
      <c r="D180" s="16">
        <v>110</v>
      </c>
      <c r="E180" s="17">
        <v>10</v>
      </c>
      <c r="F180" s="18">
        <v>0</v>
      </c>
      <c r="G180" s="18">
        <v>0</v>
      </c>
      <c r="H180" s="18">
        <v>0</v>
      </c>
      <c r="I180" s="17">
        <v>0</v>
      </c>
      <c r="J180" s="17">
        <f t="shared" si="24"/>
        <v>10</v>
      </c>
      <c r="K180" s="17">
        <v>0</v>
      </c>
      <c r="L180" s="17">
        <v>0</v>
      </c>
      <c r="M180" s="17" t="b">
        <f t="shared" si="35"/>
        <v>1</v>
      </c>
      <c r="N180" s="17">
        <v>0</v>
      </c>
      <c r="O180" s="17">
        <v>10</v>
      </c>
      <c r="P180" s="17">
        <f t="shared" si="25"/>
        <v>10</v>
      </c>
      <c r="Q180" s="17">
        <f t="shared" si="26"/>
        <v>0</v>
      </c>
      <c r="R180" s="3"/>
      <c r="S180" s="19">
        <f t="shared" si="27"/>
        <v>1100</v>
      </c>
      <c r="T180" s="19">
        <v>0</v>
      </c>
      <c r="U180" s="19">
        <f t="shared" si="28"/>
        <v>0</v>
      </c>
      <c r="V180" s="19">
        <f t="shared" si="29"/>
        <v>0</v>
      </c>
      <c r="W180" s="19">
        <f t="shared" si="30"/>
        <v>0</v>
      </c>
      <c r="X180" s="19">
        <f t="shared" si="31"/>
        <v>0</v>
      </c>
      <c r="Y180" s="19">
        <f t="shared" si="32"/>
        <v>1100</v>
      </c>
      <c r="Z180" s="20">
        <f t="shared" si="33"/>
        <v>1100</v>
      </c>
      <c r="AA180" s="20">
        <f t="shared" si="34"/>
        <v>0</v>
      </c>
    </row>
    <row r="181" spans="1:27" ht="15.75" customHeight="1">
      <c r="A181" s="14" t="s">
        <v>372</v>
      </c>
      <c r="B181" s="15" t="s">
        <v>373</v>
      </c>
      <c r="C181" s="16">
        <v>272.31</v>
      </c>
      <c r="D181" s="16">
        <v>272.31</v>
      </c>
      <c r="E181" s="17">
        <v>0</v>
      </c>
      <c r="F181" s="18">
        <v>0</v>
      </c>
      <c r="G181" s="18">
        <v>0</v>
      </c>
      <c r="H181" s="18">
        <v>0</v>
      </c>
      <c r="I181" s="17">
        <v>0</v>
      </c>
      <c r="J181" s="17">
        <f t="shared" si="24"/>
        <v>0</v>
      </c>
      <c r="K181" s="17">
        <v>0</v>
      </c>
      <c r="L181" s="17">
        <v>0</v>
      </c>
      <c r="M181" s="17" t="b">
        <f t="shared" si="35"/>
        <v>1</v>
      </c>
      <c r="N181" s="17">
        <v>0</v>
      </c>
      <c r="O181" s="17">
        <v>0</v>
      </c>
      <c r="P181" s="17">
        <f t="shared" si="25"/>
        <v>0</v>
      </c>
      <c r="Q181" s="17">
        <f t="shared" si="26"/>
        <v>0</v>
      </c>
      <c r="R181" s="3"/>
      <c r="S181" s="19">
        <f t="shared" si="27"/>
        <v>0</v>
      </c>
      <c r="T181" s="19">
        <v>0</v>
      </c>
      <c r="U181" s="19">
        <f t="shared" si="28"/>
        <v>0</v>
      </c>
      <c r="V181" s="19">
        <f t="shared" si="29"/>
        <v>0</v>
      </c>
      <c r="W181" s="19">
        <f t="shared" si="30"/>
        <v>0</v>
      </c>
      <c r="X181" s="19">
        <f t="shared" si="31"/>
        <v>0</v>
      </c>
      <c r="Y181" s="19">
        <f t="shared" si="32"/>
        <v>0</v>
      </c>
      <c r="Z181" s="20">
        <f t="shared" si="33"/>
        <v>0</v>
      </c>
      <c r="AA181" s="20">
        <f t="shared" si="34"/>
        <v>0</v>
      </c>
    </row>
    <row r="182" spans="1:27" ht="15.75" customHeight="1">
      <c r="A182" s="14" t="s">
        <v>374</v>
      </c>
      <c r="B182" s="15" t="s">
        <v>375</v>
      </c>
      <c r="C182" s="16">
        <v>0</v>
      </c>
      <c r="D182" s="16">
        <v>0</v>
      </c>
      <c r="E182" s="17">
        <v>0</v>
      </c>
      <c r="F182" s="18">
        <v>0</v>
      </c>
      <c r="G182" s="18">
        <v>0</v>
      </c>
      <c r="H182" s="18">
        <v>0</v>
      </c>
      <c r="I182" s="17">
        <v>0</v>
      </c>
      <c r="J182" s="17">
        <f t="shared" si="24"/>
        <v>0</v>
      </c>
      <c r="K182" s="17">
        <v>0</v>
      </c>
      <c r="L182" s="17">
        <v>0</v>
      </c>
      <c r="M182" s="17" t="b">
        <f t="shared" si="35"/>
        <v>1</v>
      </c>
      <c r="N182" s="17">
        <v>0</v>
      </c>
      <c r="O182" s="17">
        <v>0</v>
      </c>
      <c r="P182" s="17">
        <f t="shared" si="25"/>
        <v>0</v>
      </c>
      <c r="Q182" s="17">
        <f t="shared" si="26"/>
        <v>0</v>
      </c>
      <c r="R182" s="3"/>
      <c r="S182" s="19">
        <f t="shared" si="27"/>
        <v>0</v>
      </c>
      <c r="T182" s="19">
        <v>0</v>
      </c>
      <c r="U182" s="19">
        <f t="shared" si="28"/>
        <v>0</v>
      </c>
      <c r="V182" s="19">
        <f t="shared" si="29"/>
        <v>0</v>
      </c>
      <c r="W182" s="19">
        <f t="shared" si="30"/>
        <v>0</v>
      </c>
      <c r="X182" s="19">
        <f t="shared" si="31"/>
        <v>0</v>
      </c>
      <c r="Y182" s="19">
        <f t="shared" si="32"/>
        <v>0</v>
      </c>
      <c r="Z182" s="20">
        <f t="shared" si="33"/>
        <v>0</v>
      </c>
      <c r="AA182" s="20">
        <f t="shared" si="34"/>
        <v>0</v>
      </c>
    </row>
    <row r="183" spans="1:27" ht="15.75" customHeight="1">
      <c r="A183" s="14" t="s">
        <v>376</v>
      </c>
      <c r="B183" s="15" t="s">
        <v>377</v>
      </c>
      <c r="C183" s="16">
        <v>4500</v>
      </c>
      <c r="D183" s="16">
        <v>4500</v>
      </c>
      <c r="E183" s="17">
        <v>1</v>
      </c>
      <c r="F183" s="18">
        <v>0</v>
      </c>
      <c r="G183" s="18">
        <v>0</v>
      </c>
      <c r="H183" s="18">
        <v>0</v>
      </c>
      <c r="I183" s="17">
        <v>0</v>
      </c>
      <c r="J183" s="17">
        <f t="shared" si="24"/>
        <v>1</v>
      </c>
      <c r="K183" s="17">
        <v>1</v>
      </c>
      <c r="L183" s="17">
        <v>1</v>
      </c>
      <c r="M183" s="17" t="b">
        <f t="shared" si="35"/>
        <v>1</v>
      </c>
      <c r="N183" s="17">
        <v>0</v>
      </c>
      <c r="O183" s="17">
        <v>0</v>
      </c>
      <c r="P183" s="17">
        <f t="shared" si="25"/>
        <v>1</v>
      </c>
      <c r="Q183" s="17">
        <f t="shared" si="26"/>
        <v>0</v>
      </c>
      <c r="R183" s="3"/>
      <c r="S183" s="19">
        <f t="shared" si="27"/>
        <v>4500</v>
      </c>
      <c r="T183" s="19">
        <v>0</v>
      </c>
      <c r="U183" s="19">
        <f t="shared" si="28"/>
        <v>0</v>
      </c>
      <c r="V183" s="19">
        <f t="shared" si="29"/>
        <v>0</v>
      </c>
      <c r="W183" s="19">
        <f t="shared" si="30"/>
        <v>0</v>
      </c>
      <c r="X183" s="19">
        <f t="shared" si="31"/>
        <v>0</v>
      </c>
      <c r="Y183" s="19">
        <f t="shared" si="32"/>
        <v>4500</v>
      </c>
      <c r="Z183" s="20">
        <f t="shared" si="33"/>
        <v>4500</v>
      </c>
      <c r="AA183" s="20">
        <f t="shared" si="34"/>
        <v>0</v>
      </c>
    </row>
    <row r="184" spans="1:27" ht="15.75" customHeight="1">
      <c r="A184" s="14" t="s">
        <v>378</v>
      </c>
      <c r="B184" s="15" t="s">
        <v>379</v>
      </c>
      <c r="C184" s="16">
        <v>1860</v>
      </c>
      <c r="D184" s="16">
        <v>1860</v>
      </c>
      <c r="E184" s="17">
        <v>0</v>
      </c>
      <c r="F184" s="18">
        <v>0</v>
      </c>
      <c r="G184" s="18">
        <v>0</v>
      </c>
      <c r="H184" s="24">
        <v>0</v>
      </c>
      <c r="I184" s="17">
        <v>0</v>
      </c>
      <c r="J184" s="17">
        <f t="shared" si="24"/>
        <v>0</v>
      </c>
      <c r="K184" s="17">
        <v>0</v>
      </c>
      <c r="L184" s="17">
        <v>0</v>
      </c>
      <c r="M184" s="17" t="b">
        <f t="shared" si="35"/>
        <v>1</v>
      </c>
      <c r="N184" s="17">
        <v>0</v>
      </c>
      <c r="O184" s="17">
        <v>0</v>
      </c>
      <c r="P184" s="17">
        <f t="shared" si="25"/>
        <v>0</v>
      </c>
      <c r="Q184" s="17">
        <f t="shared" si="26"/>
        <v>0</v>
      </c>
      <c r="R184" s="3"/>
      <c r="S184" s="19">
        <f t="shared" si="27"/>
        <v>0</v>
      </c>
      <c r="T184" s="19">
        <v>0</v>
      </c>
      <c r="U184" s="19">
        <f t="shared" si="28"/>
        <v>0</v>
      </c>
      <c r="V184" s="19">
        <f t="shared" si="29"/>
        <v>0</v>
      </c>
      <c r="W184" s="19">
        <f t="shared" si="30"/>
        <v>0</v>
      </c>
      <c r="X184" s="19">
        <f t="shared" si="31"/>
        <v>0</v>
      </c>
      <c r="Y184" s="19">
        <f t="shared" si="32"/>
        <v>0</v>
      </c>
      <c r="Z184" s="20">
        <f t="shared" si="33"/>
        <v>0</v>
      </c>
      <c r="AA184" s="20">
        <f t="shared" si="34"/>
        <v>0</v>
      </c>
    </row>
    <row r="185" spans="1:27" ht="15.75" customHeight="1">
      <c r="A185" s="14" t="s">
        <v>380</v>
      </c>
      <c r="B185" s="15" t="s">
        <v>381</v>
      </c>
      <c r="C185" s="16">
        <v>1780</v>
      </c>
      <c r="D185" s="16">
        <v>1780</v>
      </c>
      <c r="E185" s="17">
        <v>1</v>
      </c>
      <c r="F185" s="18">
        <v>0</v>
      </c>
      <c r="G185" s="18">
        <v>0</v>
      </c>
      <c r="H185" s="18">
        <v>0</v>
      </c>
      <c r="I185" s="17">
        <v>0</v>
      </c>
      <c r="J185" s="17">
        <f t="shared" si="24"/>
        <v>1</v>
      </c>
      <c r="K185" s="17">
        <v>1</v>
      </c>
      <c r="L185" s="17">
        <v>1</v>
      </c>
      <c r="M185" s="17" t="b">
        <f t="shared" si="35"/>
        <v>1</v>
      </c>
      <c r="N185" s="17">
        <v>0</v>
      </c>
      <c r="O185" s="17">
        <v>0</v>
      </c>
      <c r="P185" s="17">
        <f t="shared" si="25"/>
        <v>1</v>
      </c>
      <c r="Q185" s="17">
        <f t="shared" si="26"/>
        <v>0</v>
      </c>
      <c r="R185" s="3"/>
      <c r="S185" s="19">
        <f t="shared" si="27"/>
        <v>1780</v>
      </c>
      <c r="T185" s="19">
        <v>0</v>
      </c>
      <c r="U185" s="19">
        <f t="shared" si="28"/>
        <v>0</v>
      </c>
      <c r="V185" s="19">
        <f t="shared" si="29"/>
        <v>0</v>
      </c>
      <c r="W185" s="19">
        <f t="shared" si="30"/>
        <v>0</v>
      </c>
      <c r="X185" s="19">
        <f t="shared" si="31"/>
        <v>0</v>
      </c>
      <c r="Y185" s="19">
        <f t="shared" si="32"/>
        <v>1780</v>
      </c>
      <c r="Z185" s="20">
        <f t="shared" si="33"/>
        <v>1780</v>
      </c>
      <c r="AA185" s="20">
        <f t="shared" si="34"/>
        <v>0</v>
      </c>
    </row>
    <row r="186" spans="1:27" ht="15.75" customHeight="1">
      <c r="A186" s="14" t="s">
        <v>382</v>
      </c>
      <c r="B186" s="15" t="s">
        <v>383</v>
      </c>
      <c r="C186" s="16">
        <v>530</v>
      </c>
      <c r="D186" s="16">
        <v>530</v>
      </c>
      <c r="E186" s="17">
        <v>4</v>
      </c>
      <c r="F186" s="18">
        <v>0</v>
      </c>
      <c r="G186" s="18">
        <v>0</v>
      </c>
      <c r="H186" s="18">
        <v>0</v>
      </c>
      <c r="I186" s="17">
        <v>0</v>
      </c>
      <c r="J186" s="17">
        <f t="shared" si="24"/>
        <v>4</v>
      </c>
      <c r="K186" s="17">
        <v>4</v>
      </c>
      <c r="L186" s="17">
        <v>4</v>
      </c>
      <c r="M186" s="17" t="b">
        <f t="shared" si="35"/>
        <v>1</v>
      </c>
      <c r="N186" s="17">
        <v>0</v>
      </c>
      <c r="O186" s="17">
        <v>0</v>
      </c>
      <c r="P186" s="17">
        <f t="shared" si="25"/>
        <v>4</v>
      </c>
      <c r="Q186" s="17">
        <f t="shared" si="26"/>
        <v>0</v>
      </c>
      <c r="R186" s="3"/>
      <c r="S186" s="19">
        <f t="shared" si="27"/>
        <v>2120</v>
      </c>
      <c r="T186" s="19">
        <v>0</v>
      </c>
      <c r="U186" s="19">
        <f t="shared" si="28"/>
        <v>0</v>
      </c>
      <c r="V186" s="19">
        <f t="shared" si="29"/>
        <v>0</v>
      </c>
      <c r="W186" s="19">
        <f t="shared" si="30"/>
        <v>0</v>
      </c>
      <c r="X186" s="19">
        <f t="shared" si="31"/>
        <v>0</v>
      </c>
      <c r="Y186" s="19">
        <f t="shared" si="32"/>
        <v>2120</v>
      </c>
      <c r="Z186" s="20">
        <f t="shared" si="33"/>
        <v>2120</v>
      </c>
      <c r="AA186" s="20">
        <f t="shared" si="34"/>
        <v>0</v>
      </c>
    </row>
    <row r="187" spans="1:27" ht="15.75" customHeight="1">
      <c r="A187" s="14" t="s">
        <v>384</v>
      </c>
      <c r="B187" s="15" t="s">
        <v>385</v>
      </c>
      <c r="C187" s="16">
        <v>250</v>
      </c>
      <c r="D187" s="16">
        <v>250</v>
      </c>
      <c r="E187" s="17">
        <v>2</v>
      </c>
      <c r="F187" s="18">
        <v>0</v>
      </c>
      <c r="G187" s="18">
        <v>0</v>
      </c>
      <c r="H187" s="18">
        <v>0</v>
      </c>
      <c r="I187" s="17">
        <v>0</v>
      </c>
      <c r="J187" s="17">
        <f t="shared" si="24"/>
        <v>2</v>
      </c>
      <c r="K187" s="17">
        <v>2</v>
      </c>
      <c r="L187" s="17">
        <v>2</v>
      </c>
      <c r="M187" s="17" t="b">
        <f t="shared" si="35"/>
        <v>1</v>
      </c>
      <c r="N187" s="17">
        <v>0</v>
      </c>
      <c r="O187" s="17">
        <v>0</v>
      </c>
      <c r="P187" s="17">
        <f t="shared" si="25"/>
        <v>2</v>
      </c>
      <c r="Q187" s="17">
        <f t="shared" si="26"/>
        <v>0</v>
      </c>
      <c r="R187" s="3"/>
      <c r="S187" s="19">
        <f t="shared" si="27"/>
        <v>500</v>
      </c>
      <c r="T187" s="19">
        <v>0</v>
      </c>
      <c r="U187" s="19">
        <f t="shared" si="28"/>
        <v>0</v>
      </c>
      <c r="V187" s="19">
        <f t="shared" si="29"/>
        <v>0</v>
      </c>
      <c r="W187" s="19">
        <f t="shared" si="30"/>
        <v>0</v>
      </c>
      <c r="X187" s="19">
        <f t="shared" si="31"/>
        <v>0</v>
      </c>
      <c r="Y187" s="19">
        <f t="shared" si="32"/>
        <v>500</v>
      </c>
      <c r="Z187" s="20">
        <f t="shared" si="33"/>
        <v>500</v>
      </c>
      <c r="AA187" s="20">
        <f t="shared" si="34"/>
        <v>0</v>
      </c>
    </row>
    <row r="188" spans="1:27" ht="15.75" customHeight="1">
      <c r="A188" s="14" t="s">
        <v>386</v>
      </c>
      <c r="B188" s="15" t="s">
        <v>387</v>
      </c>
      <c r="C188" s="16">
        <v>517.89</v>
      </c>
      <c r="D188" s="16">
        <v>517.89</v>
      </c>
      <c r="E188" s="17">
        <v>50</v>
      </c>
      <c r="F188" s="18">
        <v>0</v>
      </c>
      <c r="G188" s="18">
        <v>0</v>
      </c>
      <c r="H188" s="18">
        <v>0</v>
      </c>
      <c r="I188" s="17">
        <v>0</v>
      </c>
      <c r="J188" s="17">
        <f t="shared" si="24"/>
        <v>50</v>
      </c>
      <c r="K188" s="17">
        <v>50</v>
      </c>
      <c r="L188" s="17">
        <v>50</v>
      </c>
      <c r="M188" s="17" t="b">
        <f t="shared" si="35"/>
        <v>1</v>
      </c>
      <c r="N188" s="17">
        <v>0</v>
      </c>
      <c r="O188" s="17">
        <v>0</v>
      </c>
      <c r="P188" s="17">
        <f t="shared" si="25"/>
        <v>50</v>
      </c>
      <c r="Q188" s="17">
        <f t="shared" si="26"/>
        <v>0</v>
      </c>
      <c r="R188" s="3"/>
      <c r="S188" s="19">
        <f t="shared" si="27"/>
        <v>25894.5</v>
      </c>
      <c r="T188" s="19">
        <v>0</v>
      </c>
      <c r="U188" s="19">
        <f t="shared" si="28"/>
        <v>0</v>
      </c>
      <c r="V188" s="19">
        <f t="shared" si="29"/>
        <v>0</v>
      </c>
      <c r="W188" s="19">
        <f t="shared" si="30"/>
        <v>0</v>
      </c>
      <c r="X188" s="19">
        <f t="shared" si="31"/>
        <v>0</v>
      </c>
      <c r="Y188" s="19">
        <f t="shared" si="32"/>
        <v>25894.5</v>
      </c>
      <c r="Z188" s="20">
        <f t="shared" si="33"/>
        <v>25894.5</v>
      </c>
      <c r="AA188" s="20">
        <f t="shared" si="34"/>
        <v>0</v>
      </c>
    </row>
    <row r="189" spans="1:27" ht="15.75" customHeight="1">
      <c r="A189" s="14" t="s">
        <v>388</v>
      </c>
      <c r="B189" s="15" t="s">
        <v>389</v>
      </c>
      <c r="C189" s="16">
        <v>70</v>
      </c>
      <c r="D189" s="16">
        <v>70</v>
      </c>
      <c r="E189" s="17">
        <v>4</v>
      </c>
      <c r="F189" s="18">
        <v>0</v>
      </c>
      <c r="G189" s="18">
        <v>0</v>
      </c>
      <c r="H189" s="18">
        <v>0</v>
      </c>
      <c r="I189" s="17">
        <v>0</v>
      </c>
      <c r="J189" s="17">
        <f t="shared" si="24"/>
        <v>4</v>
      </c>
      <c r="K189" s="17">
        <v>4</v>
      </c>
      <c r="L189" s="17">
        <v>4</v>
      </c>
      <c r="M189" s="17" t="b">
        <f t="shared" si="35"/>
        <v>1</v>
      </c>
      <c r="N189" s="17">
        <v>0</v>
      </c>
      <c r="O189" s="17">
        <v>0</v>
      </c>
      <c r="P189" s="17">
        <f t="shared" si="25"/>
        <v>4</v>
      </c>
      <c r="Q189" s="17">
        <f t="shared" si="26"/>
        <v>0</v>
      </c>
      <c r="R189" s="3"/>
      <c r="S189" s="19">
        <f t="shared" si="27"/>
        <v>280</v>
      </c>
      <c r="T189" s="19">
        <v>0</v>
      </c>
      <c r="U189" s="19">
        <f t="shared" si="28"/>
        <v>0</v>
      </c>
      <c r="V189" s="19">
        <f t="shared" si="29"/>
        <v>0</v>
      </c>
      <c r="W189" s="19">
        <f t="shared" si="30"/>
        <v>0</v>
      </c>
      <c r="X189" s="19">
        <f t="shared" si="31"/>
        <v>0</v>
      </c>
      <c r="Y189" s="19">
        <f t="shared" si="32"/>
        <v>280</v>
      </c>
      <c r="Z189" s="20">
        <f t="shared" si="33"/>
        <v>280</v>
      </c>
      <c r="AA189" s="20">
        <f t="shared" si="34"/>
        <v>0</v>
      </c>
    </row>
    <row r="190" spans="1:27" ht="15.75" customHeight="1">
      <c r="A190" s="14" t="s">
        <v>390</v>
      </c>
      <c r="B190" s="15" t="s">
        <v>391</v>
      </c>
      <c r="C190" s="16">
        <v>0</v>
      </c>
      <c r="D190" s="16">
        <v>0</v>
      </c>
      <c r="E190" s="17">
        <v>0</v>
      </c>
      <c r="F190" s="18">
        <v>0</v>
      </c>
      <c r="G190" s="18">
        <v>0</v>
      </c>
      <c r="H190" s="18">
        <v>0</v>
      </c>
      <c r="I190" s="17">
        <v>0</v>
      </c>
      <c r="J190" s="17">
        <f t="shared" si="24"/>
        <v>0</v>
      </c>
      <c r="K190" s="17">
        <v>0</v>
      </c>
      <c r="L190" s="17">
        <v>0</v>
      </c>
      <c r="M190" s="17" t="b">
        <f t="shared" si="35"/>
        <v>1</v>
      </c>
      <c r="N190" s="17">
        <v>0</v>
      </c>
      <c r="O190" s="17">
        <v>0</v>
      </c>
      <c r="P190" s="17">
        <f t="shared" si="25"/>
        <v>0</v>
      </c>
      <c r="Q190" s="17">
        <f t="shared" si="26"/>
        <v>0</v>
      </c>
      <c r="R190" s="3"/>
      <c r="S190" s="19">
        <f t="shared" si="27"/>
        <v>0</v>
      </c>
      <c r="T190" s="19">
        <v>0</v>
      </c>
      <c r="U190" s="19">
        <f t="shared" si="28"/>
        <v>0</v>
      </c>
      <c r="V190" s="19">
        <f t="shared" si="29"/>
        <v>0</v>
      </c>
      <c r="W190" s="19">
        <f t="shared" si="30"/>
        <v>0</v>
      </c>
      <c r="X190" s="19">
        <f t="shared" si="31"/>
        <v>0</v>
      </c>
      <c r="Y190" s="19">
        <f t="shared" si="32"/>
        <v>0</v>
      </c>
      <c r="Z190" s="20">
        <f t="shared" si="33"/>
        <v>0</v>
      </c>
      <c r="AA190" s="20">
        <f t="shared" si="34"/>
        <v>0</v>
      </c>
    </row>
    <row r="191" spans="1:27" ht="15.75" customHeight="1">
      <c r="A191" s="14" t="s">
        <v>392</v>
      </c>
      <c r="B191" s="15" t="s">
        <v>393</v>
      </c>
      <c r="C191" s="16">
        <v>690</v>
      </c>
      <c r="D191" s="16">
        <v>690</v>
      </c>
      <c r="E191" s="17">
        <v>1</v>
      </c>
      <c r="F191" s="18">
        <v>0</v>
      </c>
      <c r="G191" s="18">
        <v>0</v>
      </c>
      <c r="H191" s="18">
        <v>0</v>
      </c>
      <c r="I191" s="17">
        <v>0</v>
      </c>
      <c r="J191" s="17">
        <f t="shared" si="24"/>
        <v>1</v>
      </c>
      <c r="K191" s="17">
        <v>1</v>
      </c>
      <c r="L191" s="17">
        <v>1</v>
      </c>
      <c r="M191" s="17" t="b">
        <f t="shared" si="35"/>
        <v>1</v>
      </c>
      <c r="N191" s="17">
        <v>0</v>
      </c>
      <c r="O191" s="17">
        <v>0</v>
      </c>
      <c r="P191" s="17">
        <f t="shared" si="25"/>
        <v>1</v>
      </c>
      <c r="Q191" s="17">
        <f t="shared" si="26"/>
        <v>0</v>
      </c>
      <c r="R191" s="3"/>
      <c r="S191" s="19">
        <f t="shared" si="27"/>
        <v>690</v>
      </c>
      <c r="T191" s="19">
        <v>0</v>
      </c>
      <c r="U191" s="19">
        <f t="shared" si="28"/>
        <v>0</v>
      </c>
      <c r="V191" s="19">
        <f t="shared" si="29"/>
        <v>0</v>
      </c>
      <c r="W191" s="19">
        <f t="shared" si="30"/>
        <v>0</v>
      </c>
      <c r="X191" s="19">
        <f t="shared" si="31"/>
        <v>0</v>
      </c>
      <c r="Y191" s="19">
        <f t="shared" si="32"/>
        <v>690</v>
      </c>
      <c r="Z191" s="20">
        <f t="shared" si="33"/>
        <v>690</v>
      </c>
      <c r="AA191" s="20">
        <f t="shared" si="34"/>
        <v>0</v>
      </c>
    </row>
    <row r="192" spans="1:27" ht="15.75" customHeight="1">
      <c r="A192" s="14" t="s">
        <v>394</v>
      </c>
      <c r="B192" s="15" t="s">
        <v>395</v>
      </c>
      <c r="C192" s="16">
        <v>0</v>
      </c>
      <c r="D192" s="16">
        <v>0</v>
      </c>
      <c r="E192" s="17">
        <v>0</v>
      </c>
      <c r="F192" s="18">
        <v>0</v>
      </c>
      <c r="G192" s="18">
        <v>0</v>
      </c>
      <c r="H192" s="18">
        <v>0</v>
      </c>
      <c r="I192" s="17">
        <v>0</v>
      </c>
      <c r="J192" s="17">
        <f t="shared" si="24"/>
        <v>0</v>
      </c>
      <c r="K192" s="17">
        <v>0</v>
      </c>
      <c r="L192" s="17">
        <v>0</v>
      </c>
      <c r="M192" s="17" t="b">
        <f t="shared" si="35"/>
        <v>1</v>
      </c>
      <c r="N192" s="17">
        <v>0</v>
      </c>
      <c r="O192" s="17">
        <v>0</v>
      </c>
      <c r="P192" s="17">
        <f t="shared" si="25"/>
        <v>0</v>
      </c>
      <c r="Q192" s="17">
        <f t="shared" si="26"/>
        <v>0</v>
      </c>
      <c r="R192" s="3"/>
      <c r="S192" s="19">
        <f t="shared" si="27"/>
        <v>0</v>
      </c>
      <c r="T192" s="19">
        <v>0</v>
      </c>
      <c r="U192" s="19">
        <f t="shared" si="28"/>
        <v>0</v>
      </c>
      <c r="V192" s="19">
        <f t="shared" si="29"/>
        <v>0</v>
      </c>
      <c r="W192" s="19">
        <f t="shared" si="30"/>
        <v>0</v>
      </c>
      <c r="X192" s="19">
        <f t="shared" si="31"/>
        <v>0</v>
      </c>
      <c r="Y192" s="19">
        <f t="shared" si="32"/>
        <v>0</v>
      </c>
      <c r="Z192" s="20">
        <f t="shared" si="33"/>
        <v>0</v>
      </c>
      <c r="AA192" s="20">
        <f t="shared" si="34"/>
        <v>0</v>
      </c>
    </row>
    <row r="193" spans="1:27" ht="15.75" customHeight="1">
      <c r="A193" s="14" t="s">
        <v>396</v>
      </c>
      <c r="B193" s="15" t="s">
        <v>397</v>
      </c>
      <c r="C193" s="16">
        <v>60</v>
      </c>
      <c r="D193" s="16">
        <v>60</v>
      </c>
      <c r="E193" s="17">
        <v>9</v>
      </c>
      <c r="F193" s="18">
        <v>0</v>
      </c>
      <c r="G193" s="18">
        <v>0</v>
      </c>
      <c r="H193" s="18">
        <v>0</v>
      </c>
      <c r="I193" s="17">
        <v>0</v>
      </c>
      <c r="J193" s="17">
        <f t="shared" si="24"/>
        <v>9</v>
      </c>
      <c r="K193" s="17">
        <v>9</v>
      </c>
      <c r="L193" s="17">
        <v>9</v>
      </c>
      <c r="M193" s="17" t="b">
        <f t="shared" si="35"/>
        <v>1</v>
      </c>
      <c r="N193" s="17">
        <v>0</v>
      </c>
      <c r="O193" s="17">
        <v>0</v>
      </c>
      <c r="P193" s="17">
        <f t="shared" si="25"/>
        <v>9</v>
      </c>
      <c r="Q193" s="17">
        <f t="shared" si="26"/>
        <v>0</v>
      </c>
      <c r="R193" s="3"/>
      <c r="S193" s="19">
        <f t="shared" si="27"/>
        <v>540</v>
      </c>
      <c r="T193" s="19">
        <v>0</v>
      </c>
      <c r="U193" s="19">
        <f t="shared" si="28"/>
        <v>0</v>
      </c>
      <c r="V193" s="19">
        <f t="shared" si="29"/>
        <v>0</v>
      </c>
      <c r="W193" s="19">
        <f t="shared" si="30"/>
        <v>0</v>
      </c>
      <c r="X193" s="19">
        <f t="shared" si="31"/>
        <v>0</v>
      </c>
      <c r="Y193" s="19">
        <f t="shared" si="32"/>
        <v>540</v>
      </c>
      <c r="Z193" s="20">
        <f t="shared" si="33"/>
        <v>540</v>
      </c>
      <c r="AA193" s="20">
        <f t="shared" si="34"/>
        <v>0</v>
      </c>
    </row>
    <row r="194" spans="1:27" ht="15.75" customHeight="1">
      <c r="A194" s="14" t="s">
        <v>398</v>
      </c>
      <c r="B194" s="15" t="s">
        <v>399</v>
      </c>
      <c r="C194" s="16">
        <v>620</v>
      </c>
      <c r="D194" s="16">
        <v>620</v>
      </c>
      <c r="E194" s="17">
        <v>0</v>
      </c>
      <c r="F194" s="18">
        <v>0</v>
      </c>
      <c r="G194" s="18">
        <v>0</v>
      </c>
      <c r="H194" s="18">
        <v>0</v>
      </c>
      <c r="I194" s="17">
        <v>0</v>
      </c>
      <c r="J194" s="17">
        <f t="shared" si="24"/>
        <v>0</v>
      </c>
      <c r="K194" s="17">
        <v>0</v>
      </c>
      <c r="L194" s="17">
        <v>0</v>
      </c>
      <c r="M194" s="17" t="b">
        <f t="shared" si="35"/>
        <v>1</v>
      </c>
      <c r="N194" s="17">
        <v>0</v>
      </c>
      <c r="O194" s="17">
        <v>0</v>
      </c>
      <c r="P194" s="17">
        <f t="shared" si="25"/>
        <v>0</v>
      </c>
      <c r="Q194" s="17">
        <f t="shared" si="26"/>
        <v>0</v>
      </c>
      <c r="R194" s="3"/>
      <c r="S194" s="19">
        <f t="shared" si="27"/>
        <v>0</v>
      </c>
      <c r="T194" s="19">
        <v>0</v>
      </c>
      <c r="U194" s="19">
        <f t="shared" si="28"/>
        <v>0</v>
      </c>
      <c r="V194" s="19">
        <f t="shared" si="29"/>
        <v>0</v>
      </c>
      <c r="W194" s="19">
        <f t="shared" si="30"/>
        <v>0</v>
      </c>
      <c r="X194" s="19">
        <f t="shared" si="31"/>
        <v>0</v>
      </c>
      <c r="Y194" s="19">
        <f t="shared" si="32"/>
        <v>0</v>
      </c>
      <c r="Z194" s="20">
        <f t="shared" si="33"/>
        <v>0</v>
      </c>
      <c r="AA194" s="20">
        <f t="shared" si="34"/>
        <v>0</v>
      </c>
    </row>
    <row r="195" spans="1:27" ht="15.75" customHeight="1">
      <c r="A195" s="14" t="s">
        <v>400</v>
      </c>
      <c r="B195" s="15" t="s">
        <v>401</v>
      </c>
      <c r="C195" s="16">
        <v>390</v>
      </c>
      <c r="D195" s="16">
        <v>390</v>
      </c>
      <c r="E195" s="17">
        <v>3</v>
      </c>
      <c r="F195" s="18">
        <v>0</v>
      </c>
      <c r="G195" s="18">
        <v>0</v>
      </c>
      <c r="H195" s="18">
        <v>0</v>
      </c>
      <c r="I195" s="17">
        <v>0</v>
      </c>
      <c r="J195" s="17">
        <f t="shared" si="24"/>
        <v>3</v>
      </c>
      <c r="K195" s="17">
        <v>3</v>
      </c>
      <c r="L195" s="17">
        <v>3</v>
      </c>
      <c r="M195" s="17" t="b">
        <f t="shared" si="35"/>
        <v>1</v>
      </c>
      <c r="N195" s="17">
        <v>0</v>
      </c>
      <c r="O195" s="17">
        <v>0</v>
      </c>
      <c r="P195" s="17">
        <f t="shared" si="25"/>
        <v>3</v>
      </c>
      <c r="Q195" s="17">
        <f t="shared" si="26"/>
        <v>0</v>
      </c>
      <c r="R195" s="3"/>
      <c r="S195" s="19">
        <f t="shared" si="27"/>
        <v>1170</v>
      </c>
      <c r="T195" s="19">
        <v>0</v>
      </c>
      <c r="U195" s="19">
        <f t="shared" si="28"/>
        <v>0</v>
      </c>
      <c r="V195" s="19">
        <f t="shared" si="29"/>
        <v>0</v>
      </c>
      <c r="W195" s="19">
        <f t="shared" si="30"/>
        <v>0</v>
      </c>
      <c r="X195" s="19">
        <f t="shared" si="31"/>
        <v>0</v>
      </c>
      <c r="Y195" s="19">
        <f t="shared" si="32"/>
        <v>1170</v>
      </c>
      <c r="Z195" s="20">
        <f t="shared" si="33"/>
        <v>1170</v>
      </c>
      <c r="AA195" s="20">
        <f t="shared" si="34"/>
        <v>0</v>
      </c>
    </row>
    <row r="196" spans="1:27" ht="15.75" customHeight="1">
      <c r="A196" s="14" t="s">
        <v>402</v>
      </c>
      <c r="B196" s="15" t="s">
        <v>403</v>
      </c>
      <c r="C196" s="16">
        <v>320</v>
      </c>
      <c r="D196" s="16">
        <v>320</v>
      </c>
      <c r="E196" s="17">
        <v>0</v>
      </c>
      <c r="F196" s="18">
        <v>0</v>
      </c>
      <c r="G196" s="18">
        <v>0</v>
      </c>
      <c r="H196" s="18">
        <v>0</v>
      </c>
      <c r="I196" s="17">
        <v>0</v>
      </c>
      <c r="J196" s="17">
        <f t="shared" si="24"/>
        <v>0</v>
      </c>
      <c r="K196" s="17">
        <v>0</v>
      </c>
      <c r="L196" s="17">
        <v>0</v>
      </c>
      <c r="M196" s="17" t="b">
        <f t="shared" si="35"/>
        <v>1</v>
      </c>
      <c r="N196" s="17">
        <v>0</v>
      </c>
      <c r="O196" s="17">
        <v>0</v>
      </c>
      <c r="P196" s="17">
        <f t="shared" si="25"/>
        <v>0</v>
      </c>
      <c r="Q196" s="17">
        <f t="shared" si="26"/>
        <v>0</v>
      </c>
      <c r="R196" s="3"/>
      <c r="S196" s="19">
        <f t="shared" si="27"/>
        <v>0</v>
      </c>
      <c r="T196" s="19">
        <v>0</v>
      </c>
      <c r="U196" s="19">
        <f t="shared" si="28"/>
        <v>0</v>
      </c>
      <c r="V196" s="19">
        <f t="shared" si="29"/>
        <v>0</v>
      </c>
      <c r="W196" s="19">
        <f t="shared" si="30"/>
        <v>0</v>
      </c>
      <c r="X196" s="19">
        <f t="shared" si="31"/>
        <v>0</v>
      </c>
      <c r="Y196" s="19">
        <f t="shared" si="32"/>
        <v>0</v>
      </c>
      <c r="Z196" s="20">
        <f t="shared" si="33"/>
        <v>0</v>
      </c>
      <c r="AA196" s="20">
        <f t="shared" si="34"/>
        <v>0</v>
      </c>
    </row>
    <row r="197" spans="1:27" ht="15.75" customHeight="1">
      <c r="A197" s="14" t="s">
        <v>404</v>
      </c>
      <c r="B197" s="15" t="s">
        <v>405</v>
      </c>
      <c r="C197" s="16">
        <v>80</v>
      </c>
      <c r="D197" s="16">
        <v>80</v>
      </c>
      <c r="E197" s="17">
        <v>1</v>
      </c>
      <c r="F197" s="18">
        <v>0</v>
      </c>
      <c r="G197" s="18">
        <v>0</v>
      </c>
      <c r="H197" s="18">
        <v>0</v>
      </c>
      <c r="I197" s="17">
        <v>0</v>
      </c>
      <c r="J197" s="17">
        <f t="shared" si="24"/>
        <v>1</v>
      </c>
      <c r="K197" s="17">
        <v>1</v>
      </c>
      <c r="L197" s="17">
        <v>1</v>
      </c>
      <c r="M197" s="17" t="b">
        <f t="shared" si="35"/>
        <v>1</v>
      </c>
      <c r="N197" s="17">
        <v>0</v>
      </c>
      <c r="O197" s="17">
        <v>0</v>
      </c>
      <c r="P197" s="17">
        <f t="shared" si="25"/>
        <v>1</v>
      </c>
      <c r="Q197" s="17">
        <f t="shared" si="26"/>
        <v>0</v>
      </c>
      <c r="R197" s="3"/>
      <c r="S197" s="19">
        <f t="shared" si="27"/>
        <v>80</v>
      </c>
      <c r="T197" s="19">
        <v>0</v>
      </c>
      <c r="U197" s="19">
        <f t="shared" si="28"/>
        <v>0</v>
      </c>
      <c r="V197" s="19">
        <f t="shared" si="29"/>
        <v>0</v>
      </c>
      <c r="W197" s="19">
        <f t="shared" si="30"/>
        <v>0</v>
      </c>
      <c r="X197" s="19">
        <f t="shared" si="31"/>
        <v>0</v>
      </c>
      <c r="Y197" s="19">
        <f t="shared" si="32"/>
        <v>80</v>
      </c>
      <c r="Z197" s="20">
        <f t="shared" si="33"/>
        <v>80</v>
      </c>
      <c r="AA197" s="20">
        <f t="shared" si="34"/>
        <v>0</v>
      </c>
    </row>
    <row r="198" spans="1:27" ht="15.75" customHeight="1">
      <c r="A198" s="14" t="s">
        <v>406</v>
      </c>
      <c r="B198" s="15" t="s">
        <v>407</v>
      </c>
      <c r="C198" s="16">
        <v>251.92</v>
      </c>
      <c r="D198" s="16">
        <v>251.92</v>
      </c>
      <c r="E198" s="17">
        <v>2</v>
      </c>
      <c r="F198" s="18">
        <v>0</v>
      </c>
      <c r="G198" s="18">
        <v>0</v>
      </c>
      <c r="H198" s="18">
        <v>0</v>
      </c>
      <c r="I198" s="17">
        <v>0</v>
      </c>
      <c r="J198" s="17">
        <f t="shared" si="24"/>
        <v>2</v>
      </c>
      <c r="K198" s="17">
        <v>2</v>
      </c>
      <c r="L198" s="17">
        <v>2</v>
      </c>
      <c r="M198" s="17" t="b">
        <f t="shared" si="35"/>
        <v>1</v>
      </c>
      <c r="N198" s="17">
        <v>0</v>
      </c>
      <c r="O198" s="17">
        <v>0</v>
      </c>
      <c r="P198" s="17">
        <f t="shared" si="25"/>
        <v>2</v>
      </c>
      <c r="Q198" s="17">
        <f t="shared" si="26"/>
        <v>0</v>
      </c>
      <c r="R198" s="3"/>
      <c r="S198" s="19">
        <f t="shared" si="27"/>
        <v>503.84</v>
      </c>
      <c r="T198" s="19">
        <v>0</v>
      </c>
      <c r="U198" s="19">
        <f t="shared" si="28"/>
        <v>0</v>
      </c>
      <c r="V198" s="19">
        <f t="shared" si="29"/>
        <v>0</v>
      </c>
      <c r="W198" s="19">
        <f t="shared" si="30"/>
        <v>0</v>
      </c>
      <c r="X198" s="19">
        <f t="shared" si="31"/>
        <v>0</v>
      </c>
      <c r="Y198" s="19">
        <f t="shared" si="32"/>
        <v>503.84</v>
      </c>
      <c r="Z198" s="20">
        <f t="shared" si="33"/>
        <v>503.84</v>
      </c>
      <c r="AA198" s="20">
        <f t="shared" si="34"/>
        <v>0</v>
      </c>
    </row>
    <row r="199" spans="1:27" ht="15.75" customHeight="1">
      <c r="A199" s="14" t="s">
        <v>408</v>
      </c>
      <c r="B199" s="15" t="s">
        <v>409</v>
      </c>
      <c r="C199" s="16">
        <v>3400</v>
      </c>
      <c r="D199" s="16">
        <v>3400</v>
      </c>
      <c r="E199" s="17">
        <v>1</v>
      </c>
      <c r="F199" s="18">
        <v>0</v>
      </c>
      <c r="G199" s="18">
        <v>0</v>
      </c>
      <c r="H199" s="18">
        <v>0</v>
      </c>
      <c r="I199" s="17">
        <v>0</v>
      </c>
      <c r="J199" s="17">
        <f t="shared" ref="J199:J262" si="36">E199+F199+G199-H199-I199</f>
        <v>1</v>
      </c>
      <c r="K199" s="17">
        <v>1</v>
      </c>
      <c r="L199" s="17">
        <v>1</v>
      </c>
      <c r="M199" s="17" t="b">
        <f t="shared" si="35"/>
        <v>1</v>
      </c>
      <c r="N199" s="17">
        <v>0</v>
      </c>
      <c r="O199" s="17">
        <v>0</v>
      </c>
      <c r="P199" s="17">
        <f t="shared" ref="P199:P262" si="37">K199+N199+O199</f>
        <v>1</v>
      </c>
      <c r="Q199" s="17">
        <f t="shared" ref="Q199:Q262" si="38">P199-J199</f>
        <v>0</v>
      </c>
      <c r="R199" s="3"/>
      <c r="S199" s="19">
        <f t="shared" ref="S199:S262" si="39">C199*E199</f>
        <v>3400</v>
      </c>
      <c r="T199" s="19">
        <v>0</v>
      </c>
      <c r="U199" s="19">
        <f t="shared" ref="U199:U262" si="40">D199*F199</f>
        <v>0</v>
      </c>
      <c r="V199" s="19">
        <f t="shared" ref="V199:V262" si="41">D199*G199</f>
        <v>0</v>
      </c>
      <c r="W199" s="19">
        <f t="shared" ref="W199:W262" si="42">D199*H199</f>
        <v>0</v>
      </c>
      <c r="X199" s="19">
        <f t="shared" ref="X199:X262" si="43">D199*I199</f>
        <v>0</v>
      </c>
      <c r="Y199" s="19">
        <f t="shared" ref="Y199:Y262" si="44">S199+T199+U199+V199-W199-X199</f>
        <v>3400</v>
      </c>
      <c r="Z199" s="20">
        <f t="shared" ref="Z199:Z262" si="45">J199*D199</f>
        <v>3400</v>
      </c>
      <c r="AA199" s="20">
        <f t="shared" ref="AA199:AA262" si="46">Z199-Y199</f>
        <v>0</v>
      </c>
    </row>
    <row r="200" spans="1:27" ht="15.75" customHeight="1">
      <c r="A200" s="14" t="s">
        <v>410</v>
      </c>
      <c r="B200" s="15" t="s">
        <v>411</v>
      </c>
      <c r="C200" s="16">
        <v>6665.36</v>
      </c>
      <c r="D200" s="16">
        <v>6665.36</v>
      </c>
      <c r="E200" s="17">
        <v>0</v>
      </c>
      <c r="F200" s="18">
        <v>0</v>
      </c>
      <c r="G200" s="18">
        <v>0</v>
      </c>
      <c r="H200" s="18">
        <v>0</v>
      </c>
      <c r="I200" s="17">
        <v>0</v>
      </c>
      <c r="J200" s="17">
        <f t="shared" si="36"/>
        <v>0</v>
      </c>
      <c r="K200" s="17">
        <v>0</v>
      </c>
      <c r="L200" s="17">
        <v>0</v>
      </c>
      <c r="M200" s="17" t="b">
        <f t="shared" ref="M200:M263" si="47">K200=L200</f>
        <v>1</v>
      </c>
      <c r="N200" s="17">
        <v>0</v>
      </c>
      <c r="O200" s="17">
        <v>0</v>
      </c>
      <c r="P200" s="17">
        <f t="shared" si="37"/>
        <v>0</v>
      </c>
      <c r="Q200" s="17">
        <f t="shared" si="38"/>
        <v>0</v>
      </c>
      <c r="R200" s="3"/>
      <c r="S200" s="19">
        <f t="shared" si="39"/>
        <v>0</v>
      </c>
      <c r="T200" s="19">
        <v>0</v>
      </c>
      <c r="U200" s="19">
        <f t="shared" si="40"/>
        <v>0</v>
      </c>
      <c r="V200" s="19">
        <f t="shared" si="41"/>
        <v>0</v>
      </c>
      <c r="W200" s="19">
        <f t="shared" si="42"/>
        <v>0</v>
      </c>
      <c r="X200" s="19">
        <f t="shared" si="43"/>
        <v>0</v>
      </c>
      <c r="Y200" s="19">
        <f t="shared" si="44"/>
        <v>0</v>
      </c>
      <c r="Z200" s="20">
        <f t="shared" si="45"/>
        <v>0</v>
      </c>
      <c r="AA200" s="20">
        <f t="shared" si="46"/>
        <v>0</v>
      </c>
    </row>
    <row r="201" spans="1:27" ht="15.75" customHeight="1">
      <c r="A201" s="14" t="s">
        <v>412</v>
      </c>
      <c r="B201" s="15" t="s">
        <v>413</v>
      </c>
      <c r="C201" s="16">
        <v>0</v>
      </c>
      <c r="D201" s="16">
        <v>0</v>
      </c>
      <c r="E201" s="17">
        <v>0</v>
      </c>
      <c r="F201" s="18">
        <v>0</v>
      </c>
      <c r="G201" s="18">
        <v>0</v>
      </c>
      <c r="H201" s="18">
        <v>0</v>
      </c>
      <c r="I201" s="17">
        <v>0</v>
      </c>
      <c r="J201" s="17">
        <f t="shared" si="36"/>
        <v>0</v>
      </c>
      <c r="K201" s="17">
        <v>0</v>
      </c>
      <c r="L201" s="17">
        <v>0</v>
      </c>
      <c r="M201" s="17" t="b">
        <f t="shared" si="47"/>
        <v>1</v>
      </c>
      <c r="N201" s="17">
        <v>0</v>
      </c>
      <c r="O201" s="17">
        <v>0</v>
      </c>
      <c r="P201" s="17">
        <f t="shared" si="37"/>
        <v>0</v>
      </c>
      <c r="Q201" s="17">
        <f t="shared" si="38"/>
        <v>0</v>
      </c>
      <c r="R201" s="3"/>
      <c r="S201" s="19">
        <f t="shared" si="39"/>
        <v>0</v>
      </c>
      <c r="T201" s="19">
        <v>0</v>
      </c>
      <c r="U201" s="19">
        <f t="shared" si="40"/>
        <v>0</v>
      </c>
      <c r="V201" s="19">
        <f t="shared" si="41"/>
        <v>0</v>
      </c>
      <c r="W201" s="19">
        <f t="shared" si="42"/>
        <v>0</v>
      </c>
      <c r="X201" s="19">
        <f t="shared" si="43"/>
        <v>0</v>
      </c>
      <c r="Y201" s="19">
        <f t="shared" si="44"/>
        <v>0</v>
      </c>
      <c r="Z201" s="20">
        <f t="shared" si="45"/>
        <v>0</v>
      </c>
      <c r="AA201" s="20">
        <f t="shared" si="46"/>
        <v>0</v>
      </c>
    </row>
    <row r="202" spans="1:27" ht="15.75" customHeight="1">
      <c r="A202" s="14" t="s">
        <v>414</v>
      </c>
      <c r="B202" s="15" t="s">
        <v>415</v>
      </c>
      <c r="C202" s="16">
        <v>68</v>
      </c>
      <c r="D202" s="16">
        <v>68</v>
      </c>
      <c r="E202" s="17">
        <v>50</v>
      </c>
      <c r="F202" s="18">
        <v>0</v>
      </c>
      <c r="G202" s="18">
        <v>0</v>
      </c>
      <c r="H202" s="18">
        <v>0</v>
      </c>
      <c r="I202" s="17">
        <v>0</v>
      </c>
      <c r="J202" s="17">
        <f t="shared" si="36"/>
        <v>50</v>
      </c>
      <c r="K202" s="17">
        <v>50</v>
      </c>
      <c r="L202" s="17">
        <v>50</v>
      </c>
      <c r="M202" s="17" t="b">
        <f t="shared" si="47"/>
        <v>1</v>
      </c>
      <c r="N202" s="17">
        <v>0</v>
      </c>
      <c r="O202" s="17">
        <v>0</v>
      </c>
      <c r="P202" s="17">
        <f t="shared" si="37"/>
        <v>50</v>
      </c>
      <c r="Q202" s="17">
        <f t="shared" si="38"/>
        <v>0</v>
      </c>
      <c r="R202" s="3"/>
      <c r="S202" s="19">
        <f t="shared" si="39"/>
        <v>3400</v>
      </c>
      <c r="T202" s="19">
        <v>0</v>
      </c>
      <c r="U202" s="19">
        <f t="shared" si="40"/>
        <v>0</v>
      </c>
      <c r="V202" s="19">
        <f t="shared" si="41"/>
        <v>0</v>
      </c>
      <c r="W202" s="19">
        <f t="shared" si="42"/>
        <v>0</v>
      </c>
      <c r="X202" s="19">
        <f t="shared" si="43"/>
        <v>0</v>
      </c>
      <c r="Y202" s="19">
        <f t="shared" si="44"/>
        <v>3400</v>
      </c>
      <c r="Z202" s="20">
        <f t="shared" si="45"/>
        <v>3400</v>
      </c>
      <c r="AA202" s="20">
        <f t="shared" si="46"/>
        <v>0</v>
      </c>
    </row>
    <row r="203" spans="1:27" ht="15.75" customHeight="1">
      <c r="A203" s="14" t="s">
        <v>416</v>
      </c>
      <c r="B203" s="15" t="s">
        <v>417</v>
      </c>
      <c r="C203" s="16">
        <v>60</v>
      </c>
      <c r="D203" s="16">
        <v>60</v>
      </c>
      <c r="E203" s="17">
        <v>25</v>
      </c>
      <c r="F203" s="18">
        <v>0</v>
      </c>
      <c r="G203" s="18">
        <v>0</v>
      </c>
      <c r="H203" s="18">
        <v>0</v>
      </c>
      <c r="I203" s="17">
        <v>0</v>
      </c>
      <c r="J203" s="17">
        <f t="shared" si="36"/>
        <v>25</v>
      </c>
      <c r="K203" s="17">
        <v>25</v>
      </c>
      <c r="L203" s="17">
        <v>25</v>
      </c>
      <c r="M203" s="17" t="b">
        <f t="shared" si="47"/>
        <v>1</v>
      </c>
      <c r="N203" s="17">
        <v>0</v>
      </c>
      <c r="O203" s="17">
        <v>0</v>
      </c>
      <c r="P203" s="17">
        <f t="shared" si="37"/>
        <v>25</v>
      </c>
      <c r="Q203" s="17">
        <f t="shared" si="38"/>
        <v>0</v>
      </c>
      <c r="R203" s="3"/>
      <c r="S203" s="19">
        <f t="shared" si="39"/>
        <v>1500</v>
      </c>
      <c r="T203" s="19">
        <v>0</v>
      </c>
      <c r="U203" s="19">
        <f t="shared" si="40"/>
        <v>0</v>
      </c>
      <c r="V203" s="19">
        <f t="shared" si="41"/>
        <v>0</v>
      </c>
      <c r="W203" s="19">
        <f t="shared" si="42"/>
        <v>0</v>
      </c>
      <c r="X203" s="19">
        <f t="shared" si="43"/>
        <v>0</v>
      </c>
      <c r="Y203" s="19">
        <f t="shared" si="44"/>
        <v>1500</v>
      </c>
      <c r="Z203" s="20">
        <f t="shared" si="45"/>
        <v>1500</v>
      </c>
      <c r="AA203" s="20">
        <f t="shared" si="46"/>
        <v>0</v>
      </c>
    </row>
    <row r="204" spans="1:27" ht="15.75" customHeight="1">
      <c r="A204" s="14" t="s">
        <v>418</v>
      </c>
      <c r="B204" s="15" t="s">
        <v>419</v>
      </c>
      <c r="C204" s="16">
        <v>3900</v>
      </c>
      <c r="D204" s="16">
        <v>3900</v>
      </c>
      <c r="E204" s="17">
        <v>1</v>
      </c>
      <c r="F204" s="18">
        <v>0</v>
      </c>
      <c r="G204" s="18">
        <v>0</v>
      </c>
      <c r="H204" s="18">
        <v>0</v>
      </c>
      <c r="I204" s="17">
        <v>0</v>
      </c>
      <c r="J204" s="17">
        <f t="shared" si="36"/>
        <v>1</v>
      </c>
      <c r="K204" s="17">
        <v>1</v>
      </c>
      <c r="L204" s="17">
        <v>1</v>
      </c>
      <c r="M204" s="17" t="b">
        <f t="shared" si="47"/>
        <v>1</v>
      </c>
      <c r="N204" s="17">
        <v>0</v>
      </c>
      <c r="O204" s="17">
        <v>0</v>
      </c>
      <c r="P204" s="17">
        <f t="shared" si="37"/>
        <v>1</v>
      </c>
      <c r="Q204" s="17">
        <f t="shared" si="38"/>
        <v>0</v>
      </c>
      <c r="R204" s="3"/>
      <c r="S204" s="19">
        <f t="shared" si="39"/>
        <v>3900</v>
      </c>
      <c r="T204" s="19">
        <v>0</v>
      </c>
      <c r="U204" s="19">
        <f t="shared" si="40"/>
        <v>0</v>
      </c>
      <c r="V204" s="19">
        <f t="shared" si="41"/>
        <v>0</v>
      </c>
      <c r="W204" s="19">
        <f t="shared" si="42"/>
        <v>0</v>
      </c>
      <c r="X204" s="19">
        <f t="shared" si="43"/>
        <v>0</v>
      </c>
      <c r="Y204" s="19">
        <f t="shared" si="44"/>
        <v>3900</v>
      </c>
      <c r="Z204" s="20">
        <f t="shared" si="45"/>
        <v>3900</v>
      </c>
      <c r="AA204" s="20">
        <f t="shared" si="46"/>
        <v>0</v>
      </c>
    </row>
    <row r="205" spans="1:27" ht="15.75" customHeight="1">
      <c r="A205" s="14" t="s">
        <v>420</v>
      </c>
      <c r="B205" s="15" t="s">
        <v>421</v>
      </c>
      <c r="C205" s="16">
        <v>0</v>
      </c>
      <c r="D205" s="16">
        <v>0</v>
      </c>
      <c r="E205" s="17">
        <v>0</v>
      </c>
      <c r="F205" s="18">
        <v>0</v>
      </c>
      <c r="G205" s="18">
        <v>0</v>
      </c>
      <c r="H205" s="18">
        <v>0</v>
      </c>
      <c r="I205" s="17">
        <v>0</v>
      </c>
      <c r="J205" s="17">
        <f t="shared" si="36"/>
        <v>0</v>
      </c>
      <c r="K205" s="17">
        <v>0</v>
      </c>
      <c r="L205" s="17">
        <v>0</v>
      </c>
      <c r="M205" s="17" t="b">
        <f t="shared" si="47"/>
        <v>1</v>
      </c>
      <c r="N205" s="17">
        <v>0</v>
      </c>
      <c r="O205" s="17">
        <v>0</v>
      </c>
      <c r="P205" s="17">
        <f t="shared" si="37"/>
        <v>0</v>
      </c>
      <c r="Q205" s="17">
        <f t="shared" si="38"/>
        <v>0</v>
      </c>
      <c r="R205" s="3"/>
      <c r="S205" s="19">
        <f t="shared" si="39"/>
        <v>0</v>
      </c>
      <c r="T205" s="19">
        <v>0</v>
      </c>
      <c r="U205" s="19">
        <f t="shared" si="40"/>
        <v>0</v>
      </c>
      <c r="V205" s="19">
        <f t="shared" si="41"/>
        <v>0</v>
      </c>
      <c r="W205" s="19">
        <f t="shared" si="42"/>
        <v>0</v>
      </c>
      <c r="X205" s="19">
        <f t="shared" si="43"/>
        <v>0</v>
      </c>
      <c r="Y205" s="19">
        <f t="shared" si="44"/>
        <v>0</v>
      </c>
      <c r="Z205" s="20">
        <f t="shared" si="45"/>
        <v>0</v>
      </c>
      <c r="AA205" s="20">
        <f t="shared" si="46"/>
        <v>0</v>
      </c>
    </row>
    <row r="206" spans="1:27" ht="15.75" customHeight="1">
      <c r="A206" s="14" t="s">
        <v>422</v>
      </c>
      <c r="B206" s="15" t="s">
        <v>423</v>
      </c>
      <c r="C206" s="16">
        <v>0</v>
      </c>
      <c r="D206" s="16">
        <v>0</v>
      </c>
      <c r="E206" s="17">
        <v>0</v>
      </c>
      <c r="F206" s="18">
        <v>0</v>
      </c>
      <c r="G206" s="18">
        <v>0</v>
      </c>
      <c r="H206" s="18">
        <v>0</v>
      </c>
      <c r="I206" s="17">
        <v>0</v>
      </c>
      <c r="J206" s="17">
        <f t="shared" si="36"/>
        <v>0</v>
      </c>
      <c r="K206" s="17">
        <v>0</v>
      </c>
      <c r="L206" s="17">
        <v>0</v>
      </c>
      <c r="M206" s="17" t="b">
        <f t="shared" si="47"/>
        <v>1</v>
      </c>
      <c r="N206" s="17">
        <v>0</v>
      </c>
      <c r="O206" s="17">
        <v>0</v>
      </c>
      <c r="P206" s="17">
        <f t="shared" si="37"/>
        <v>0</v>
      </c>
      <c r="Q206" s="17">
        <f t="shared" si="38"/>
        <v>0</v>
      </c>
      <c r="R206" s="3"/>
      <c r="S206" s="19">
        <f t="shared" si="39"/>
        <v>0</v>
      </c>
      <c r="T206" s="19">
        <v>0</v>
      </c>
      <c r="U206" s="19">
        <f t="shared" si="40"/>
        <v>0</v>
      </c>
      <c r="V206" s="19">
        <f t="shared" si="41"/>
        <v>0</v>
      </c>
      <c r="W206" s="19">
        <f t="shared" si="42"/>
        <v>0</v>
      </c>
      <c r="X206" s="19">
        <f t="shared" si="43"/>
        <v>0</v>
      </c>
      <c r="Y206" s="19">
        <f t="shared" si="44"/>
        <v>0</v>
      </c>
      <c r="Z206" s="20">
        <f t="shared" si="45"/>
        <v>0</v>
      </c>
      <c r="AA206" s="20">
        <f t="shared" si="46"/>
        <v>0</v>
      </c>
    </row>
    <row r="207" spans="1:27" ht="15.75" customHeight="1">
      <c r="A207" s="14" t="s">
        <v>424</v>
      </c>
      <c r="B207" s="15" t="s">
        <v>425</v>
      </c>
      <c r="C207" s="16">
        <v>0</v>
      </c>
      <c r="D207" s="16">
        <v>0</v>
      </c>
      <c r="E207" s="17">
        <v>0</v>
      </c>
      <c r="F207" s="18">
        <v>0</v>
      </c>
      <c r="G207" s="18">
        <v>0</v>
      </c>
      <c r="H207" s="18">
        <v>0</v>
      </c>
      <c r="I207" s="17">
        <v>0</v>
      </c>
      <c r="J207" s="17">
        <f t="shared" si="36"/>
        <v>0</v>
      </c>
      <c r="K207" s="17">
        <v>0</v>
      </c>
      <c r="L207" s="17">
        <v>0</v>
      </c>
      <c r="M207" s="17" t="b">
        <f t="shared" si="47"/>
        <v>1</v>
      </c>
      <c r="N207" s="17">
        <v>0</v>
      </c>
      <c r="O207" s="17">
        <v>0</v>
      </c>
      <c r="P207" s="17">
        <f t="shared" si="37"/>
        <v>0</v>
      </c>
      <c r="Q207" s="17">
        <f t="shared" si="38"/>
        <v>0</v>
      </c>
      <c r="R207" s="3"/>
      <c r="S207" s="19">
        <f t="shared" si="39"/>
        <v>0</v>
      </c>
      <c r="T207" s="19">
        <v>0</v>
      </c>
      <c r="U207" s="19">
        <f t="shared" si="40"/>
        <v>0</v>
      </c>
      <c r="V207" s="19">
        <f t="shared" si="41"/>
        <v>0</v>
      </c>
      <c r="W207" s="19">
        <f t="shared" si="42"/>
        <v>0</v>
      </c>
      <c r="X207" s="19">
        <f t="shared" si="43"/>
        <v>0</v>
      </c>
      <c r="Y207" s="19">
        <f t="shared" si="44"/>
        <v>0</v>
      </c>
      <c r="Z207" s="20">
        <f t="shared" si="45"/>
        <v>0</v>
      </c>
      <c r="AA207" s="20">
        <f t="shared" si="46"/>
        <v>0</v>
      </c>
    </row>
    <row r="208" spans="1:27" ht="15.75" customHeight="1">
      <c r="A208" s="14" t="s">
        <v>426</v>
      </c>
      <c r="B208" s="15" t="s">
        <v>427</v>
      </c>
      <c r="C208" s="16">
        <v>0</v>
      </c>
      <c r="D208" s="16">
        <v>0</v>
      </c>
      <c r="E208" s="17">
        <v>0</v>
      </c>
      <c r="F208" s="18">
        <v>0</v>
      </c>
      <c r="G208" s="18">
        <v>0</v>
      </c>
      <c r="H208" s="18">
        <v>0</v>
      </c>
      <c r="I208" s="17">
        <v>0</v>
      </c>
      <c r="J208" s="17">
        <f t="shared" si="36"/>
        <v>0</v>
      </c>
      <c r="K208" s="17">
        <v>0</v>
      </c>
      <c r="L208" s="17">
        <v>0</v>
      </c>
      <c r="M208" s="17" t="b">
        <f t="shared" si="47"/>
        <v>1</v>
      </c>
      <c r="N208" s="17">
        <v>0</v>
      </c>
      <c r="O208" s="17">
        <v>0</v>
      </c>
      <c r="P208" s="17">
        <f t="shared" si="37"/>
        <v>0</v>
      </c>
      <c r="Q208" s="17">
        <f t="shared" si="38"/>
        <v>0</v>
      </c>
      <c r="R208" s="3"/>
      <c r="S208" s="19">
        <f t="shared" si="39"/>
        <v>0</v>
      </c>
      <c r="T208" s="19">
        <v>0</v>
      </c>
      <c r="U208" s="19">
        <f t="shared" si="40"/>
        <v>0</v>
      </c>
      <c r="V208" s="19">
        <f t="shared" si="41"/>
        <v>0</v>
      </c>
      <c r="W208" s="19">
        <f t="shared" si="42"/>
        <v>0</v>
      </c>
      <c r="X208" s="19">
        <f t="shared" si="43"/>
        <v>0</v>
      </c>
      <c r="Y208" s="19">
        <f t="shared" si="44"/>
        <v>0</v>
      </c>
      <c r="Z208" s="20">
        <f t="shared" si="45"/>
        <v>0</v>
      </c>
      <c r="AA208" s="20">
        <f t="shared" si="46"/>
        <v>0</v>
      </c>
    </row>
    <row r="209" spans="1:27" ht="15.75" customHeight="1">
      <c r="A209" s="14" t="s">
        <v>428</v>
      </c>
      <c r="B209" s="15" t="s">
        <v>429</v>
      </c>
      <c r="C209" s="16">
        <v>0</v>
      </c>
      <c r="D209" s="16">
        <v>0</v>
      </c>
      <c r="E209" s="17">
        <v>0</v>
      </c>
      <c r="F209" s="18">
        <v>0</v>
      </c>
      <c r="G209" s="18">
        <v>0</v>
      </c>
      <c r="H209" s="18">
        <v>0</v>
      </c>
      <c r="I209" s="17">
        <v>0</v>
      </c>
      <c r="J209" s="17">
        <f t="shared" si="36"/>
        <v>0</v>
      </c>
      <c r="K209" s="17">
        <v>0</v>
      </c>
      <c r="L209" s="17">
        <v>0</v>
      </c>
      <c r="M209" s="17" t="b">
        <f t="shared" si="47"/>
        <v>1</v>
      </c>
      <c r="N209" s="17">
        <v>0</v>
      </c>
      <c r="O209" s="17">
        <v>0</v>
      </c>
      <c r="P209" s="17">
        <f t="shared" si="37"/>
        <v>0</v>
      </c>
      <c r="Q209" s="17">
        <f t="shared" si="38"/>
        <v>0</v>
      </c>
      <c r="R209" s="3"/>
      <c r="S209" s="19">
        <f t="shared" si="39"/>
        <v>0</v>
      </c>
      <c r="T209" s="19">
        <v>0</v>
      </c>
      <c r="U209" s="19">
        <f t="shared" si="40"/>
        <v>0</v>
      </c>
      <c r="V209" s="19">
        <f t="shared" si="41"/>
        <v>0</v>
      </c>
      <c r="W209" s="19">
        <f t="shared" si="42"/>
        <v>0</v>
      </c>
      <c r="X209" s="19">
        <f t="shared" si="43"/>
        <v>0</v>
      </c>
      <c r="Y209" s="19">
        <f t="shared" si="44"/>
        <v>0</v>
      </c>
      <c r="Z209" s="20">
        <f t="shared" si="45"/>
        <v>0</v>
      </c>
      <c r="AA209" s="20">
        <f t="shared" si="46"/>
        <v>0</v>
      </c>
    </row>
    <row r="210" spans="1:27" ht="15.75" customHeight="1">
      <c r="A210" s="14" t="s">
        <v>430</v>
      </c>
      <c r="B210" s="15" t="s">
        <v>431</v>
      </c>
      <c r="C210" s="16">
        <v>0</v>
      </c>
      <c r="D210" s="16">
        <v>0</v>
      </c>
      <c r="E210" s="17">
        <v>0</v>
      </c>
      <c r="F210" s="18">
        <v>0</v>
      </c>
      <c r="G210" s="18">
        <v>0</v>
      </c>
      <c r="H210" s="18">
        <v>0</v>
      </c>
      <c r="I210" s="17">
        <v>0</v>
      </c>
      <c r="J210" s="17">
        <f t="shared" si="36"/>
        <v>0</v>
      </c>
      <c r="K210" s="17">
        <v>0</v>
      </c>
      <c r="L210" s="17">
        <v>0</v>
      </c>
      <c r="M210" s="17" t="b">
        <f t="shared" si="47"/>
        <v>1</v>
      </c>
      <c r="N210" s="17">
        <v>0</v>
      </c>
      <c r="O210" s="17">
        <v>0</v>
      </c>
      <c r="P210" s="17">
        <f t="shared" si="37"/>
        <v>0</v>
      </c>
      <c r="Q210" s="17">
        <f t="shared" si="38"/>
        <v>0</v>
      </c>
      <c r="R210" s="3"/>
      <c r="S210" s="19">
        <f t="shared" si="39"/>
        <v>0</v>
      </c>
      <c r="T210" s="19">
        <v>0</v>
      </c>
      <c r="U210" s="19">
        <f t="shared" si="40"/>
        <v>0</v>
      </c>
      <c r="V210" s="19">
        <f t="shared" si="41"/>
        <v>0</v>
      </c>
      <c r="W210" s="19">
        <f t="shared" si="42"/>
        <v>0</v>
      </c>
      <c r="X210" s="19">
        <f t="shared" si="43"/>
        <v>0</v>
      </c>
      <c r="Y210" s="19">
        <f t="shared" si="44"/>
        <v>0</v>
      </c>
      <c r="Z210" s="20">
        <f t="shared" si="45"/>
        <v>0</v>
      </c>
      <c r="AA210" s="20">
        <f t="shared" si="46"/>
        <v>0</v>
      </c>
    </row>
    <row r="211" spans="1:27" ht="15.75" customHeight="1">
      <c r="A211" s="14" t="s">
        <v>432</v>
      </c>
      <c r="B211" s="15" t="s">
        <v>433</v>
      </c>
      <c r="C211" s="16">
        <v>0</v>
      </c>
      <c r="D211" s="16">
        <v>0</v>
      </c>
      <c r="E211" s="17">
        <v>0</v>
      </c>
      <c r="F211" s="18">
        <v>0</v>
      </c>
      <c r="G211" s="18">
        <v>0</v>
      </c>
      <c r="H211" s="18">
        <v>0</v>
      </c>
      <c r="I211" s="17">
        <v>0</v>
      </c>
      <c r="J211" s="17">
        <f t="shared" si="36"/>
        <v>0</v>
      </c>
      <c r="K211" s="17">
        <v>0</v>
      </c>
      <c r="L211" s="17">
        <v>0</v>
      </c>
      <c r="M211" s="17" t="b">
        <f t="shared" si="47"/>
        <v>1</v>
      </c>
      <c r="N211" s="17">
        <v>0</v>
      </c>
      <c r="O211" s="17">
        <v>0</v>
      </c>
      <c r="P211" s="17">
        <f t="shared" si="37"/>
        <v>0</v>
      </c>
      <c r="Q211" s="17">
        <f t="shared" si="38"/>
        <v>0</v>
      </c>
      <c r="R211" s="3"/>
      <c r="S211" s="19">
        <f t="shared" si="39"/>
        <v>0</v>
      </c>
      <c r="T211" s="19">
        <v>0</v>
      </c>
      <c r="U211" s="19">
        <f t="shared" si="40"/>
        <v>0</v>
      </c>
      <c r="V211" s="19">
        <f t="shared" si="41"/>
        <v>0</v>
      </c>
      <c r="W211" s="19">
        <f t="shared" si="42"/>
        <v>0</v>
      </c>
      <c r="X211" s="19">
        <f t="shared" si="43"/>
        <v>0</v>
      </c>
      <c r="Y211" s="19">
        <f t="shared" si="44"/>
        <v>0</v>
      </c>
      <c r="Z211" s="20">
        <f t="shared" si="45"/>
        <v>0</v>
      </c>
      <c r="AA211" s="20">
        <f t="shared" si="46"/>
        <v>0</v>
      </c>
    </row>
    <row r="212" spans="1:27" ht="15.75" customHeight="1">
      <c r="A212" s="14" t="s">
        <v>434</v>
      </c>
      <c r="B212" s="15" t="s">
        <v>435</v>
      </c>
      <c r="C212" s="16">
        <v>406</v>
      </c>
      <c r="D212" s="16">
        <v>406</v>
      </c>
      <c r="E212" s="17">
        <v>4</v>
      </c>
      <c r="F212" s="18">
        <v>0</v>
      </c>
      <c r="G212" s="18">
        <v>0</v>
      </c>
      <c r="H212" s="18">
        <v>0</v>
      </c>
      <c r="I212" s="17">
        <v>0</v>
      </c>
      <c r="J212" s="17">
        <f t="shared" si="36"/>
        <v>4</v>
      </c>
      <c r="K212" s="17">
        <v>0</v>
      </c>
      <c r="L212" s="17">
        <v>0</v>
      </c>
      <c r="M212" s="17" t="b">
        <f t="shared" si="47"/>
        <v>1</v>
      </c>
      <c r="N212" s="17">
        <v>0</v>
      </c>
      <c r="O212" s="17">
        <v>4</v>
      </c>
      <c r="P212" s="17">
        <f t="shared" si="37"/>
        <v>4</v>
      </c>
      <c r="Q212" s="17">
        <f t="shared" si="38"/>
        <v>0</v>
      </c>
      <c r="R212" s="3"/>
      <c r="S212" s="19">
        <f t="shared" si="39"/>
        <v>1624</v>
      </c>
      <c r="T212" s="19">
        <v>0</v>
      </c>
      <c r="U212" s="19">
        <f t="shared" si="40"/>
        <v>0</v>
      </c>
      <c r="V212" s="19">
        <f t="shared" si="41"/>
        <v>0</v>
      </c>
      <c r="W212" s="19">
        <f t="shared" si="42"/>
        <v>0</v>
      </c>
      <c r="X212" s="19">
        <f t="shared" si="43"/>
        <v>0</v>
      </c>
      <c r="Y212" s="19">
        <f t="shared" si="44"/>
        <v>1624</v>
      </c>
      <c r="Z212" s="20">
        <f t="shared" si="45"/>
        <v>1624</v>
      </c>
      <c r="AA212" s="20">
        <f t="shared" si="46"/>
        <v>0</v>
      </c>
    </row>
    <row r="213" spans="1:27" ht="15.75" customHeight="1">
      <c r="A213" s="14" t="s">
        <v>436</v>
      </c>
      <c r="B213" s="15" t="s">
        <v>437</v>
      </c>
      <c r="C213" s="16">
        <v>630</v>
      </c>
      <c r="D213" s="16">
        <v>630</v>
      </c>
      <c r="E213" s="17">
        <v>0</v>
      </c>
      <c r="F213" s="18">
        <v>0</v>
      </c>
      <c r="G213" s="18">
        <v>0</v>
      </c>
      <c r="H213" s="18">
        <v>0</v>
      </c>
      <c r="I213" s="17">
        <v>0</v>
      </c>
      <c r="J213" s="17">
        <f t="shared" si="36"/>
        <v>0</v>
      </c>
      <c r="K213" s="17">
        <v>0</v>
      </c>
      <c r="L213" s="17">
        <v>0</v>
      </c>
      <c r="M213" s="17" t="b">
        <f t="shared" si="47"/>
        <v>1</v>
      </c>
      <c r="N213" s="17">
        <v>0</v>
      </c>
      <c r="O213" s="17">
        <v>0</v>
      </c>
      <c r="P213" s="17">
        <f t="shared" si="37"/>
        <v>0</v>
      </c>
      <c r="Q213" s="17">
        <f t="shared" si="38"/>
        <v>0</v>
      </c>
      <c r="R213" s="3"/>
      <c r="S213" s="19">
        <f t="shared" si="39"/>
        <v>0</v>
      </c>
      <c r="T213" s="19">
        <v>0</v>
      </c>
      <c r="U213" s="19">
        <f t="shared" si="40"/>
        <v>0</v>
      </c>
      <c r="V213" s="19">
        <f t="shared" si="41"/>
        <v>0</v>
      </c>
      <c r="W213" s="19">
        <f t="shared" si="42"/>
        <v>0</v>
      </c>
      <c r="X213" s="19">
        <f t="shared" si="43"/>
        <v>0</v>
      </c>
      <c r="Y213" s="19">
        <f t="shared" si="44"/>
        <v>0</v>
      </c>
      <c r="Z213" s="20">
        <f t="shared" si="45"/>
        <v>0</v>
      </c>
      <c r="AA213" s="20">
        <f t="shared" si="46"/>
        <v>0</v>
      </c>
    </row>
    <row r="214" spans="1:27" ht="15.75" customHeight="1">
      <c r="A214" s="14" t="s">
        <v>438</v>
      </c>
      <c r="B214" s="15" t="s">
        <v>439</v>
      </c>
      <c r="C214" s="16">
        <v>520</v>
      </c>
      <c r="D214" s="16">
        <v>520</v>
      </c>
      <c r="E214" s="17">
        <v>2</v>
      </c>
      <c r="F214" s="18">
        <v>0</v>
      </c>
      <c r="G214" s="18">
        <v>0</v>
      </c>
      <c r="H214" s="18">
        <v>0</v>
      </c>
      <c r="I214" s="17">
        <v>0</v>
      </c>
      <c r="J214" s="17">
        <f t="shared" si="36"/>
        <v>2</v>
      </c>
      <c r="K214" s="17">
        <v>0</v>
      </c>
      <c r="L214" s="17">
        <v>0</v>
      </c>
      <c r="M214" s="17" t="b">
        <f t="shared" si="47"/>
        <v>1</v>
      </c>
      <c r="N214" s="17">
        <v>0</v>
      </c>
      <c r="O214" s="17">
        <v>2</v>
      </c>
      <c r="P214" s="17">
        <f t="shared" si="37"/>
        <v>2</v>
      </c>
      <c r="Q214" s="17">
        <f t="shared" si="38"/>
        <v>0</v>
      </c>
      <c r="R214" s="3"/>
      <c r="S214" s="19">
        <f t="shared" si="39"/>
        <v>1040</v>
      </c>
      <c r="T214" s="19">
        <v>0</v>
      </c>
      <c r="U214" s="19">
        <f t="shared" si="40"/>
        <v>0</v>
      </c>
      <c r="V214" s="19">
        <f t="shared" si="41"/>
        <v>0</v>
      </c>
      <c r="W214" s="19">
        <f t="shared" si="42"/>
        <v>0</v>
      </c>
      <c r="X214" s="19">
        <f t="shared" si="43"/>
        <v>0</v>
      </c>
      <c r="Y214" s="19">
        <f t="shared" si="44"/>
        <v>1040</v>
      </c>
      <c r="Z214" s="20">
        <f t="shared" si="45"/>
        <v>1040</v>
      </c>
      <c r="AA214" s="20">
        <f t="shared" si="46"/>
        <v>0</v>
      </c>
    </row>
    <row r="215" spans="1:27" ht="15.75" customHeight="1">
      <c r="A215" s="14" t="s">
        <v>440</v>
      </c>
      <c r="B215" s="15" t="s">
        <v>441</v>
      </c>
      <c r="C215" s="16">
        <v>93</v>
      </c>
      <c r="D215" s="16">
        <v>93</v>
      </c>
      <c r="E215" s="17">
        <v>0</v>
      </c>
      <c r="F215" s="18">
        <v>0</v>
      </c>
      <c r="G215" s="18">
        <v>0</v>
      </c>
      <c r="H215" s="18">
        <v>0</v>
      </c>
      <c r="I215" s="17">
        <v>0</v>
      </c>
      <c r="J215" s="17">
        <f t="shared" si="36"/>
        <v>0</v>
      </c>
      <c r="K215" s="17">
        <v>0</v>
      </c>
      <c r="L215" s="17">
        <v>0</v>
      </c>
      <c r="M215" s="17" t="b">
        <f t="shared" si="47"/>
        <v>1</v>
      </c>
      <c r="N215" s="17">
        <v>0</v>
      </c>
      <c r="O215" s="17">
        <v>0</v>
      </c>
      <c r="P215" s="17">
        <f t="shared" si="37"/>
        <v>0</v>
      </c>
      <c r="Q215" s="17">
        <f t="shared" si="38"/>
        <v>0</v>
      </c>
      <c r="R215" s="3"/>
      <c r="S215" s="19">
        <f t="shared" si="39"/>
        <v>0</v>
      </c>
      <c r="T215" s="19">
        <v>0</v>
      </c>
      <c r="U215" s="19">
        <f t="shared" si="40"/>
        <v>0</v>
      </c>
      <c r="V215" s="19">
        <f t="shared" si="41"/>
        <v>0</v>
      </c>
      <c r="W215" s="19">
        <f t="shared" si="42"/>
        <v>0</v>
      </c>
      <c r="X215" s="19">
        <f t="shared" si="43"/>
        <v>0</v>
      </c>
      <c r="Y215" s="19">
        <f t="shared" si="44"/>
        <v>0</v>
      </c>
      <c r="Z215" s="20">
        <f t="shared" si="45"/>
        <v>0</v>
      </c>
      <c r="AA215" s="20">
        <f t="shared" si="46"/>
        <v>0</v>
      </c>
    </row>
    <row r="216" spans="1:27" ht="15.75" customHeight="1">
      <c r="A216" s="14" t="s">
        <v>442</v>
      </c>
      <c r="B216" s="15" t="s">
        <v>443</v>
      </c>
      <c r="C216" s="16">
        <v>46.34</v>
      </c>
      <c r="D216" s="16">
        <v>46.34</v>
      </c>
      <c r="E216" s="17">
        <v>1</v>
      </c>
      <c r="F216" s="18">
        <v>0</v>
      </c>
      <c r="G216" s="18">
        <v>0</v>
      </c>
      <c r="H216" s="18">
        <v>0</v>
      </c>
      <c r="I216" s="17">
        <v>0</v>
      </c>
      <c r="J216" s="17">
        <f t="shared" si="36"/>
        <v>1</v>
      </c>
      <c r="K216" s="17">
        <v>1</v>
      </c>
      <c r="L216" s="17">
        <v>1</v>
      </c>
      <c r="M216" s="17" t="b">
        <f t="shared" si="47"/>
        <v>1</v>
      </c>
      <c r="N216" s="17">
        <v>0</v>
      </c>
      <c r="O216" s="17">
        <v>0</v>
      </c>
      <c r="P216" s="17">
        <f t="shared" si="37"/>
        <v>1</v>
      </c>
      <c r="Q216" s="17">
        <f t="shared" si="38"/>
        <v>0</v>
      </c>
      <c r="R216" s="3"/>
      <c r="S216" s="19">
        <f t="shared" si="39"/>
        <v>46.34</v>
      </c>
      <c r="T216" s="19">
        <v>0</v>
      </c>
      <c r="U216" s="19">
        <f t="shared" si="40"/>
        <v>0</v>
      </c>
      <c r="V216" s="19">
        <f t="shared" si="41"/>
        <v>0</v>
      </c>
      <c r="W216" s="19">
        <f t="shared" si="42"/>
        <v>0</v>
      </c>
      <c r="X216" s="19">
        <f t="shared" si="43"/>
        <v>0</v>
      </c>
      <c r="Y216" s="19">
        <f t="shared" si="44"/>
        <v>46.34</v>
      </c>
      <c r="Z216" s="20">
        <f t="shared" si="45"/>
        <v>46.34</v>
      </c>
      <c r="AA216" s="20">
        <f t="shared" si="46"/>
        <v>0</v>
      </c>
    </row>
    <row r="217" spans="1:27" ht="15.75" customHeight="1">
      <c r="A217" s="14" t="s">
        <v>444</v>
      </c>
      <c r="B217" s="15" t="s">
        <v>445</v>
      </c>
      <c r="C217" s="16">
        <v>570</v>
      </c>
      <c r="D217" s="16">
        <v>570</v>
      </c>
      <c r="E217" s="17">
        <v>1</v>
      </c>
      <c r="F217" s="18">
        <v>0</v>
      </c>
      <c r="G217" s="18">
        <v>0</v>
      </c>
      <c r="H217" s="18">
        <v>0</v>
      </c>
      <c r="I217" s="17">
        <v>0</v>
      </c>
      <c r="J217" s="17">
        <f t="shared" si="36"/>
        <v>1</v>
      </c>
      <c r="K217" s="17">
        <v>1</v>
      </c>
      <c r="L217" s="17">
        <v>1</v>
      </c>
      <c r="M217" s="17" t="b">
        <f t="shared" si="47"/>
        <v>1</v>
      </c>
      <c r="N217" s="17">
        <v>0</v>
      </c>
      <c r="O217" s="17">
        <v>0</v>
      </c>
      <c r="P217" s="17">
        <f t="shared" si="37"/>
        <v>1</v>
      </c>
      <c r="Q217" s="17">
        <f t="shared" si="38"/>
        <v>0</v>
      </c>
      <c r="R217" s="3"/>
      <c r="S217" s="19">
        <f t="shared" si="39"/>
        <v>570</v>
      </c>
      <c r="T217" s="19">
        <v>0</v>
      </c>
      <c r="U217" s="19">
        <f t="shared" si="40"/>
        <v>0</v>
      </c>
      <c r="V217" s="19">
        <f t="shared" si="41"/>
        <v>0</v>
      </c>
      <c r="W217" s="19">
        <f t="shared" si="42"/>
        <v>0</v>
      </c>
      <c r="X217" s="19">
        <f t="shared" si="43"/>
        <v>0</v>
      </c>
      <c r="Y217" s="19">
        <f t="shared" si="44"/>
        <v>570</v>
      </c>
      <c r="Z217" s="20">
        <f t="shared" si="45"/>
        <v>570</v>
      </c>
      <c r="AA217" s="20">
        <f t="shared" si="46"/>
        <v>0</v>
      </c>
    </row>
    <row r="218" spans="1:27" ht="15.75" customHeight="1">
      <c r="A218" s="14" t="s">
        <v>446</v>
      </c>
      <c r="B218" s="15" t="s">
        <v>447</v>
      </c>
      <c r="C218" s="16">
        <v>2520</v>
      </c>
      <c r="D218" s="16">
        <v>2520</v>
      </c>
      <c r="E218" s="17">
        <v>1</v>
      </c>
      <c r="F218" s="18">
        <v>0</v>
      </c>
      <c r="G218" s="18">
        <v>0</v>
      </c>
      <c r="H218" s="18">
        <v>0</v>
      </c>
      <c r="I218" s="17">
        <v>0</v>
      </c>
      <c r="J218" s="17">
        <f t="shared" si="36"/>
        <v>1</v>
      </c>
      <c r="K218" s="17">
        <v>1</v>
      </c>
      <c r="L218" s="17">
        <v>1</v>
      </c>
      <c r="M218" s="17" t="b">
        <f t="shared" si="47"/>
        <v>1</v>
      </c>
      <c r="N218" s="17">
        <v>0</v>
      </c>
      <c r="O218" s="17">
        <v>0</v>
      </c>
      <c r="P218" s="17">
        <f t="shared" si="37"/>
        <v>1</v>
      </c>
      <c r="Q218" s="17">
        <f t="shared" si="38"/>
        <v>0</v>
      </c>
      <c r="R218" s="3"/>
      <c r="S218" s="19">
        <f t="shared" si="39"/>
        <v>2520</v>
      </c>
      <c r="T218" s="19">
        <v>0</v>
      </c>
      <c r="U218" s="19">
        <f t="shared" si="40"/>
        <v>0</v>
      </c>
      <c r="V218" s="19">
        <f t="shared" si="41"/>
        <v>0</v>
      </c>
      <c r="W218" s="19">
        <f t="shared" si="42"/>
        <v>0</v>
      </c>
      <c r="X218" s="19">
        <f t="shared" si="43"/>
        <v>0</v>
      </c>
      <c r="Y218" s="19">
        <f t="shared" si="44"/>
        <v>2520</v>
      </c>
      <c r="Z218" s="20">
        <f t="shared" si="45"/>
        <v>2520</v>
      </c>
      <c r="AA218" s="20">
        <f t="shared" si="46"/>
        <v>0</v>
      </c>
    </row>
    <row r="219" spans="1:27" ht="15.75" customHeight="1">
      <c r="A219" s="14" t="s">
        <v>448</v>
      </c>
      <c r="B219" s="15" t="s">
        <v>449</v>
      </c>
      <c r="C219" s="16">
        <v>1380</v>
      </c>
      <c r="D219" s="16">
        <v>1380</v>
      </c>
      <c r="E219" s="17">
        <v>4</v>
      </c>
      <c r="F219" s="18">
        <v>0</v>
      </c>
      <c r="G219" s="18">
        <v>0</v>
      </c>
      <c r="H219" s="18">
        <v>0</v>
      </c>
      <c r="I219" s="17">
        <v>0</v>
      </c>
      <c r="J219" s="17">
        <f t="shared" si="36"/>
        <v>4</v>
      </c>
      <c r="K219" s="17">
        <v>4</v>
      </c>
      <c r="L219" s="17">
        <v>4</v>
      </c>
      <c r="M219" s="17" t="b">
        <f t="shared" si="47"/>
        <v>1</v>
      </c>
      <c r="N219" s="17">
        <v>0</v>
      </c>
      <c r="O219" s="17">
        <v>0</v>
      </c>
      <c r="P219" s="17">
        <f t="shared" si="37"/>
        <v>4</v>
      </c>
      <c r="Q219" s="17">
        <f t="shared" si="38"/>
        <v>0</v>
      </c>
      <c r="R219" s="3"/>
      <c r="S219" s="19">
        <f t="shared" si="39"/>
        <v>5520</v>
      </c>
      <c r="T219" s="19">
        <v>0</v>
      </c>
      <c r="U219" s="19">
        <f t="shared" si="40"/>
        <v>0</v>
      </c>
      <c r="V219" s="19">
        <f t="shared" si="41"/>
        <v>0</v>
      </c>
      <c r="W219" s="19">
        <f t="shared" si="42"/>
        <v>0</v>
      </c>
      <c r="X219" s="19">
        <f t="shared" si="43"/>
        <v>0</v>
      </c>
      <c r="Y219" s="19">
        <f t="shared" si="44"/>
        <v>5520</v>
      </c>
      <c r="Z219" s="20">
        <f t="shared" si="45"/>
        <v>5520</v>
      </c>
      <c r="AA219" s="20">
        <f t="shared" si="46"/>
        <v>0</v>
      </c>
    </row>
    <row r="220" spans="1:27" ht="15.75" customHeight="1">
      <c r="A220" s="14" t="s">
        <v>450</v>
      </c>
      <c r="B220" s="15" t="s">
        <v>451</v>
      </c>
      <c r="C220" s="16">
        <v>1380</v>
      </c>
      <c r="D220" s="16">
        <v>1380</v>
      </c>
      <c r="E220" s="17">
        <v>2</v>
      </c>
      <c r="F220" s="18">
        <v>0</v>
      </c>
      <c r="G220" s="18">
        <v>0</v>
      </c>
      <c r="H220" s="18">
        <v>0</v>
      </c>
      <c r="I220" s="17">
        <v>0</v>
      </c>
      <c r="J220" s="17">
        <f t="shared" si="36"/>
        <v>2</v>
      </c>
      <c r="K220" s="17">
        <v>2</v>
      </c>
      <c r="L220" s="17">
        <v>2</v>
      </c>
      <c r="M220" s="17" t="b">
        <f t="shared" si="47"/>
        <v>1</v>
      </c>
      <c r="N220" s="17">
        <v>0</v>
      </c>
      <c r="O220" s="17">
        <v>0</v>
      </c>
      <c r="P220" s="17">
        <f t="shared" si="37"/>
        <v>2</v>
      </c>
      <c r="Q220" s="17">
        <f t="shared" si="38"/>
        <v>0</v>
      </c>
      <c r="R220" s="3"/>
      <c r="S220" s="19">
        <f t="shared" si="39"/>
        <v>2760</v>
      </c>
      <c r="T220" s="19">
        <v>0</v>
      </c>
      <c r="U220" s="19">
        <f t="shared" si="40"/>
        <v>0</v>
      </c>
      <c r="V220" s="19">
        <f t="shared" si="41"/>
        <v>0</v>
      </c>
      <c r="W220" s="19">
        <f t="shared" si="42"/>
        <v>0</v>
      </c>
      <c r="X220" s="19">
        <f t="shared" si="43"/>
        <v>0</v>
      </c>
      <c r="Y220" s="19">
        <f t="shared" si="44"/>
        <v>2760</v>
      </c>
      <c r="Z220" s="20">
        <f t="shared" si="45"/>
        <v>2760</v>
      </c>
      <c r="AA220" s="20">
        <f t="shared" si="46"/>
        <v>0</v>
      </c>
    </row>
    <row r="221" spans="1:27" ht="15.75" customHeight="1">
      <c r="A221" s="14" t="s">
        <v>452</v>
      </c>
      <c r="B221" s="15" t="s">
        <v>453</v>
      </c>
      <c r="C221" s="16">
        <v>16.82</v>
      </c>
      <c r="D221" s="16">
        <v>16.82</v>
      </c>
      <c r="E221" s="17">
        <v>50</v>
      </c>
      <c r="F221" s="18">
        <v>0</v>
      </c>
      <c r="G221" s="18">
        <v>0</v>
      </c>
      <c r="H221" s="18">
        <v>0</v>
      </c>
      <c r="I221" s="17">
        <v>0</v>
      </c>
      <c r="J221" s="17">
        <f t="shared" si="36"/>
        <v>50</v>
      </c>
      <c r="K221" s="17">
        <v>50</v>
      </c>
      <c r="L221" s="17">
        <v>50</v>
      </c>
      <c r="M221" s="17" t="b">
        <f t="shared" si="47"/>
        <v>1</v>
      </c>
      <c r="N221" s="17">
        <v>0</v>
      </c>
      <c r="O221" s="17">
        <v>0</v>
      </c>
      <c r="P221" s="17">
        <f t="shared" si="37"/>
        <v>50</v>
      </c>
      <c r="Q221" s="17">
        <f t="shared" si="38"/>
        <v>0</v>
      </c>
      <c r="R221" s="3"/>
      <c r="S221" s="19">
        <f t="shared" si="39"/>
        <v>841</v>
      </c>
      <c r="T221" s="19">
        <v>0</v>
      </c>
      <c r="U221" s="19">
        <f t="shared" si="40"/>
        <v>0</v>
      </c>
      <c r="V221" s="19">
        <f t="shared" si="41"/>
        <v>0</v>
      </c>
      <c r="W221" s="19">
        <f t="shared" si="42"/>
        <v>0</v>
      </c>
      <c r="X221" s="19">
        <f t="shared" si="43"/>
        <v>0</v>
      </c>
      <c r="Y221" s="19">
        <f t="shared" si="44"/>
        <v>841</v>
      </c>
      <c r="Z221" s="20">
        <f t="shared" si="45"/>
        <v>841</v>
      </c>
      <c r="AA221" s="20">
        <f t="shared" si="46"/>
        <v>0</v>
      </c>
    </row>
    <row r="222" spans="1:27" ht="15.75" customHeight="1">
      <c r="A222" s="14" t="s">
        <v>454</v>
      </c>
      <c r="B222" s="15" t="s">
        <v>455</v>
      </c>
      <c r="C222" s="16">
        <v>16.82</v>
      </c>
      <c r="D222" s="16">
        <v>16.82</v>
      </c>
      <c r="E222" s="17">
        <v>50</v>
      </c>
      <c r="F222" s="18">
        <v>0</v>
      </c>
      <c r="G222" s="18">
        <v>0</v>
      </c>
      <c r="H222" s="18">
        <v>0</v>
      </c>
      <c r="I222" s="17">
        <v>0</v>
      </c>
      <c r="J222" s="17">
        <f t="shared" si="36"/>
        <v>50</v>
      </c>
      <c r="K222" s="17">
        <v>50</v>
      </c>
      <c r="L222" s="17">
        <v>50</v>
      </c>
      <c r="M222" s="17" t="b">
        <f t="shared" si="47"/>
        <v>1</v>
      </c>
      <c r="N222" s="17">
        <v>0</v>
      </c>
      <c r="O222" s="17">
        <v>0</v>
      </c>
      <c r="P222" s="17">
        <f t="shared" si="37"/>
        <v>50</v>
      </c>
      <c r="Q222" s="17">
        <f t="shared" si="38"/>
        <v>0</v>
      </c>
      <c r="R222" s="3"/>
      <c r="S222" s="19">
        <f t="shared" si="39"/>
        <v>841</v>
      </c>
      <c r="T222" s="19">
        <v>0</v>
      </c>
      <c r="U222" s="19">
        <f t="shared" si="40"/>
        <v>0</v>
      </c>
      <c r="V222" s="19">
        <f t="shared" si="41"/>
        <v>0</v>
      </c>
      <c r="W222" s="19">
        <f t="shared" si="42"/>
        <v>0</v>
      </c>
      <c r="X222" s="19">
        <f t="shared" si="43"/>
        <v>0</v>
      </c>
      <c r="Y222" s="19">
        <f t="shared" si="44"/>
        <v>841</v>
      </c>
      <c r="Z222" s="20">
        <f t="shared" si="45"/>
        <v>841</v>
      </c>
      <c r="AA222" s="20">
        <f t="shared" si="46"/>
        <v>0</v>
      </c>
    </row>
    <row r="223" spans="1:27" ht="15.75" customHeight="1">
      <c r="A223" s="14" t="s">
        <v>456</v>
      </c>
      <c r="B223" s="15" t="s">
        <v>457</v>
      </c>
      <c r="C223" s="16">
        <v>16.82</v>
      </c>
      <c r="D223" s="16">
        <v>16.82</v>
      </c>
      <c r="E223" s="17">
        <v>50</v>
      </c>
      <c r="F223" s="18">
        <v>0</v>
      </c>
      <c r="G223" s="18">
        <v>0</v>
      </c>
      <c r="H223" s="18">
        <v>0</v>
      </c>
      <c r="I223" s="17">
        <v>0</v>
      </c>
      <c r="J223" s="17">
        <f t="shared" si="36"/>
        <v>50</v>
      </c>
      <c r="K223" s="17">
        <v>50</v>
      </c>
      <c r="L223" s="17">
        <v>50</v>
      </c>
      <c r="M223" s="17" t="b">
        <f t="shared" si="47"/>
        <v>1</v>
      </c>
      <c r="N223" s="17">
        <v>0</v>
      </c>
      <c r="O223" s="17">
        <v>0</v>
      </c>
      <c r="P223" s="17">
        <f t="shared" si="37"/>
        <v>50</v>
      </c>
      <c r="Q223" s="17">
        <f t="shared" si="38"/>
        <v>0</v>
      </c>
      <c r="R223" s="3"/>
      <c r="S223" s="19">
        <f t="shared" si="39"/>
        <v>841</v>
      </c>
      <c r="T223" s="19">
        <v>0</v>
      </c>
      <c r="U223" s="19">
        <f t="shared" si="40"/>
        <v>0</v>
      </c>
      <c r="V223" s="19">
        <f t="shared" si="41"/>
        <v>0</v>
      </c>
      <c r="W223" s="19">
        <f t="shared" si="42"/>
        <v>0</v>
      </c>
      <c r="X223" s="19">
        <f t="shared" si="43"/>
        <v>0</v>
      </c>
      <c r="Y223" s="19">
        <f t="shared" si="44"/>
        <v>841</v>
      </c>
      <c r="Z223" s="20">
        <f t="shared" si="45"/>
        <v>841</v>
      </c>
      <c r="AA223" s="20">
        <f t="shared" si="46"/>
        <v>0</v>
      </c>
    </row>
    <row r="224" spans="1:27" ht="15.75" customHeight="1">
      <c r="A224" s="14" t="s">
        <v>458</v>
      </c>
      <c r="B224" s="15" t="s">
        <v>459</v>
      </c>
      <c r="C224" s="16">
        <v>15.6</v>
      </c>
      <c r="D224" s="16">
        <v>15.6</v>
      </c>
      <c r="E224" s="17">
        <v>50</v>
      </c>
      <c r="F224" s="18">
        <v>0</v>
      </c>
      <c r="G224" s="18">
        <v>0</v>
      </c>
      <c r="H224" s="18">
        <v>0</v>
      </c>
      <c r="I224" s="17">
        <v>0</v>
      </c>
      <c r="J224" s="17">
        <f t="shared" si="36"/>
        <v>50</v>
      </c>
      <c r="K224" s="17">
        <v>50</v>
      </c>
      <c r="L224" s="17">
        <v>50</v>
      </c>
      <c r="M224" s="17" t="b">
        <f t="shared" si="47"/>
        <v>1</v>
      </c>
      <c r="N224" s="17">
        <v>0</v>
      </c>
      <c r="O224" s="17">
        <v>0</v>
      </c>
      <c r="P224" s="17">
        <f t="shared" si="37"/>
        <v>50</v>
      </c>
      <c r="Q224" s="17">
        <f t="shared" si="38"/>
        <v>0</v>
      </c>
      <c r="R224" s="3"/>
      <c r="S224" s="19">
        <f t="shared" si="39"/>
        <v>780</v>
      </c>
      <c r="T224" s="19">
        <v>0</v>
      </c>
      <c r="U224" s="19">
        <f t="shared" si="40"/>
        <v>0</v>
      </c>
      <c r="V224" s="19">
        <f t="shared" si="41"/>
        <v>0</v>
      </c>
      <c r="W224" s="19">
        <f t="shared" si="42"/>
        <v>0</v>
      </c>
      <c r="X224" s="19">
        <f t="shared" si="43"/>
        <v>0</v>
      </c>
      <c r="Y224" s="19">
        <f t="shared" si="44"/>
        <v>780</v>
      </c>
      <c r="Z224" s="20">
        <f t="shared" si="45"/>
        <v>780</v>
      </c>
      <c r="AA224" s="20">
        <f t="shared" si="46"/>
        <v>0</v>
      </c>
    </row>
    <row r="225" spans="1:27" ht="15.75" customHeight="1">
      <c r="A225" s="14" t="s">
        <v>460</v>
      </c>
      <c r="B225" s="15" t="s">
        <v>461</v>
      </c>
      <c r="C225" s="16">
        <v>15.6</v>
      </c>
      <c r="D225" s="16">
        <v>15.6</v>
      </c>
      <c r="E225" s="17">
        <v>50</v>
      </c>
      <c r="F225" s="18">
        <v>0</v>
      </c>
      <c r="G225" s="18">
        <v>0</v>
      </c>
      <c r="H225" s="18">
        <v>0</v>
      </c>
      <c r="I225" s="17">
        <v>0</v>
      </c>
      <c r="J225" s="17">
        <f t="shared" si="36"/>
        <v>50</v>
      </c>
      <c r="K225" s="17">
        <v>50</v>
      </c>
      <c r="L225" s="17">
        <v>50</v>
      </c>
      <c r="M225" s="17" t="b">
        <f t="shared" si="47"/>
        <v>1</v>
      </c>
      <c r="N225" s="17">
        <v>0</v>
      </c>
      <c r="O225" s="17">
        <v>0</v>
      </c>
      <c r="P225" s="17">
        <f t="shared" si="37"/>
        <v>50</v>
      </c>
      <c r="Q225" s="17">
        <f t="shared" si="38"/>
        <v>0</v>
      </c>
      <c r="R225" s="3"/>
      <c r="S225" s="19">
        <f t="shared" si="39"/>
        <v>780</v>
      </c>
      <c r="T225" s="19">
        <v>0</v>
      </c>
      <c r="U225" s="19">
        <f t="shared" si="40"/>
        <v>0</v>
      </c>
      <c r="V225" s="19">
        <f t="shared" si="41"/>
        <v>0</v>
      </c>
      <c r="W225" s="19">
        <f t="shared" si="42"/>
        <v>0</v>
      </c>
      <c r="X225" s="19">
        <f t="shared" si="43"/>
        <v>0</v>
      </c>
      <c r="Y225" s="19">
        <f t="shared" si="44"/>
        <v>780</v>
      </c>
      <c r="Z225" s="20">
        <f t="shared" si="45"/>
        <v>780</v>
      </c>
      <c r="AA225" s="20">
        <f t="shared" si="46"/>
        <v>0</v>
      </c>
    </row>
    <row r="226" spans="1:27" ht="15.75" customHeight="1">
      <c r="A226" s="14" t="s">
        <v>462</v>
      </c>
      <c r="B226" s="15" t="s">
        <v>463</v>
      </c>
      <c r="C226" s="16">
        <v>15.6</v>
      </c>
      <c r="D226" s="16">
        <v>15.6</v>
      </c>
      <c r="E226" s="17">
        <v>50</v>
      </c>
      <c r="F226" s="18">
        <v>0</v>
      </c>
      <c r="G226" s="18">
        <v>0</v>
      </c>
      <c r="H226" s="18">
        <v>0</v>
      </c>
      <c r="I226" s="17">
        <v>0</v>
      </c>
      <c r="J226" s="17">
        <f t="shared" si="36"/>
        <v>50</v>
      </c>
      <c r="K226" s="17">
        <v>50</v>
      </c>
      <c r="L226" s="17">
        <v>50</v>
      </c>
      <c r="M226" s="17" t="b">
        <f t="shared" si="47"/>
        <v>1</v>
      </c>
      <c r="N226" s="17">
        <v>0</v>
      </c>
      <c r="O226" s="17">
        <v>0</v>
      </c>
      <c r="P226" s="17">
        <f t="shared" si="37"/>
        <v>50</v>
      </c>
      <c r="Q226" s="17">
        <f t="shared" si="38"/>
        <v>0</v>
      </c>
      <c r="R226" s="3"/>
      <c r="S226" s="19">
        <f t="shared" si="39"/>
        <v>780</v>
      </c>
      <c r="T226" s="19">
        <v>0</v>
      </c>
      <c r="U226" s="19">
        <f t="shared" si="40"/>
        <v>0</v>
      </c>
      <c r="V226" s="19">
        <f t="shared" si="41"/>
        <v>0</v>
      </c>
      <c r="W226" s="19">
        <f t="shared" si="42"/>
        <v>0</v>
      </c>
      <c r="X226" s="19">
        <f t="shared" si="43"/>
        <v>0</v>
      </c>
      <c r="Y226" s="19">
        <f t="shared" si="44"/>
        <v>780</v>
      </c>
      <c r="Z226" s="20">
        <f t="shared" si="45"/>
        <v>780</v>
      </c>
      <c r="AA226" s="20">
        <f t="shared" si="46"/>
        <v>0</v>
      </c>
    </row>
    <row r="227" spans="1:27" ht="15.75" customHeight="1">
      <c r="A227" s="14" t="s">
        <v>464</v>
      </c>
      <c r="B227" s="15" t="s">
        <v>465</v>
      </c>
      <c r="C227" s="16">
        <v>940</v>
      </c>
      <c r="D227" s="16">
        <v>940</v>
      </c>
      <c r="E227" s="17">
        <v>1</v>
      </c>
      <c r="F227" s="18">
        <v>0</v>
      </c>
      <c r="G227" s="18">
        <v>0</v>
      </c>
      <c r="H227" s="18">
        <v>0</v>
      </c>
      <c r="I227" s="17">
        <v>0</v>
      </c>
      <c r="J227" s="17">
        <f t="shared" si="36"/>
        <v>1</v>
      </c>
      <c r="K227" s="17">
        <v>1</v>
      </c>
      <c r="L227" s="17">
        <v>1</v>
      </c>
      <c r="M227" s="17" t="b">
        <f t="shared" si="47"/>
        <v>1</v>
      </c>
      <c r="N227" s="17">
        <v>0</v>
      </c>
      <c r="O227" s="17">
        <v>0</v>
      </c>
      <c r="P227" s="17">
        <f t="shared" si="37"/>
        <v>1</v>
      </c>
      <c r="Q227" s="17">
        <f t="shared" si="38"/>
        <v>0</v>
      </c>
      <c r="R227" s="3"/>
      <c r="S227" s="19">
        <f t="shared" si="39"/>
        <v>940</v>
      </c>
      <c r="T227" s="19">
        <v>0</v>
      </c>
      <c r="U227" s="19">
        <f t="shared" si="40"/>
        <v>0</v>
      </c>
      <c r="V227" s="19">
        <f t="shared" si="41"/>
        <v>0</v>
      </c>
      <c r="W227" s="19">
        <f t="shared" si="42"/>
        <v>0</v>
      </c>
      <c r="X227" s="19">
        <f t="shared" si="43"/>
        <v>0</v>
      </c>
      <c r="Y227" s="19">
        <f t="shared" si="44"/>
        <v>940</v>
      </c>
      <c r="Z227" s="20">
        <f t="shared" si="45"/>
        <v>940</v>
      </c>
      <c r="AA227" s="20">
        <f t="shared" si="46"/>
        <v>0</v>
      </c>
    </row>
    <row r="228" spans="1:27" ht="15.75" customHeight="1">
      <c r="A228" s="14" t="s">
        <v>466</v>
      </c>
      <c r="B228" s="15" t="s">
        <v>467</v>
      </c>
      <c r="C228" s="16">
        <v>290</v>
      </c>
      <c r="D228" s="16">
        <v>290</v>
      </c>
      <c r="E228" s="17">
        <v>0</v>
      </c>
      <c r="F228" s="18">
        <v>0</v>
      </c>
      <c r="G228" s="18">
        <v>0</v>
      </c>
      <c r="H228" s="18">
        <v>0</v>
      </c>
      <c r="I228" s="17">
        <v>0</v>
      </c>
      <c r="J228" s="17">
        <f t="shared" si="36"/>
        <v>0</v>
      </c>
      <c r="K228" s="17">
        <v>0</v>
      </c>
      <c r="L228" s="17">
        <v>0</v>
      </c>
      <c r="M228" s="17" t="b">
        <f t="shared" si="47"/>
        <v>1</v>
      </c>
      <c r="N228" s="17">
        <v>0</v>
      </c>
      <c r="O228" s="17">
        <v>0</v>
      </c>
      <c r="P228" s="17">
        <f t="shared" si="37"/>
        <v>0</v>
      </c>
      <c r="Q228" s="17">
        <f t="shared" si="38"/>
        <v>0</v>
      </c>
      <c r="R228" s="3"/>
      <c r="S228" s="19">
        <f t="shared" si="39"/>
        <v>0</v>
      </c>
      <c r="T228" s="19">
        <v>0</v>
      </c>
      <c r="U228" s="19">
        <f t="shared" si="40"/>
        <v>0</v>
      </c>
      <c r="V228" s="19">
        <f t="shared" si="41"/>
        <v>0</v>
      </c>
      <c r="W228" s="19">
        <f t="shared" si="42"/>
        <v>0</v>
      </c>
      <c r="X228" s="19">
        <f t="shared" si="43"/>
        <v>0</v>
      </c>
      <c r="Y228" s="19">
        <f t="shared" si="44"/>
        <v>0</v>
      </c>
      <c r="Z228" s="20">
        <f t="shared" si="45"/>
        <v>0</v>
      </c>
      <c r="AA228" s="20">
        <f t="shared" si="46"/>
        <v>0</v>
      </c>
    </row>
    <row r="229" spans="1:27" ht="15.75" customHeight="1">
      <c r="A229" s="14" t="s">
        <v>468</v>
      </c>
      <c r="B229" s="15" t="s">
        <v>469</v>
      </c>
      <c r="C229" s="16">
        <v>999</v>
      </c>
      <c r="D229" s="16">
        <v>999</v>
      </c>
      <c r="E229" s="17">
        <v>0</v>
      </c>
      <c r="F229" s="18">
        <v>0</v>
      </c>
      <c r="G229" s="18">
        <v>0</v>
      </c>
      <c r="H229" s="18">
        <v>0</v>
      </c>
      <c r="I229" s="17">
        <v>0</v>
      </c>
      <c r="J229" s="17">
        <f t="shared" si="36"/>
        <v>0</v>
      </c>
      <c r="K229" s="17">
        <v>0</v>
      </c>
      <c r="L229" s="17">
        <v>0</v>
      </c>
      <c r="M229" s="17" t="b">
        <f t="shared" si="47"/>
        <v>1</v>
      </c>
      <c r="N229" s="17">
        <v>0</v>
      </c>
      <c r="O229" s="17">
        <v>0</v>
      </c>
      <c r="P229" s="17">
        <f t="shared" si="37"/>
        <v>0</v>
      </c>
      <c r="Q229" s="17">
        <f t="shared" si="38"/>
        <v>0</v>
      </c>
      <c r="R229" s="3"/>
      <c r="S229" s="19">
        <f t="shared" si="39"/>
        <v>0</v>
      </c>
      <c r="T229" s="19">
        <v>0</v>
      </c>
      <c r="U229" s="19">
        <f t="shared" si="40"/>
        <v>0</v>
      </c>
      <c r="V229" s="19">
        <f t="shared" si="41"/>
        <v>0</v>
      </c>
      <c r="W229" s="19">
        <f t="shared" si="42"/>
        <v>0</v>
      </c>
      <c r="X229" s="19">
        <f t="shared" si="43"/>
        <v>0</v>
      </c>
      <c r="Y229" s="19">
        <f t="shared" si="44"/>
        <v>0</v>
      </c>
      <c r="Z229" s="20">
        <f t="shared" si="45"/>
        <v>0</v>
      </c>
      <c r="AA229" s="20">
        <f t="shared" si="46"/>
        <v>0</v>
      </c>
    </row>
    <row r="230" spans="1:27" ht="15.75" customHeight="1">
      <c r="A230" s="14" t="s">
        <v>470</v>
      </c>
      <c r="B230" s="15" t="s">
        <v>471</v>
      </c>
      <c r="C230" s="16">
        <v>1458.35</v>
      </c>
      <c r="D230" s="16">
        <v>1458.35</v>
      </c>
      <c r="E230" s="17">
        <v>0</v>
      </c>
      <c r="F230" s="18">
        <v>0</v>
      </c>
      <c r="G230" s="18">
        <v>0</v>
      </c>
      <c r="H230" s="18">
        <v>0</v>
      </c>
      <c r="I230" s="17">
        <v>0</v>
      </c>
      <c r="J230" s="17">
        <f t="shared" si="36"/>
        <v>0</v>
      </c>
      <c r="K230" s="17">
        <v>0</v>
      </c>
      <c r="L230" s="17">
        <v>0</v>
      </c>
      <c r="M230" s="17" t="b">
        <f t="shared" si="47"/>
        <v>1</v>
      </c>
      <c r="N230" s="17">
        <v>0</v>
      </c>
      <c r="O230" s="17">
        <v>0</v>
      </c>
      <c r="P230" s="17">
        <f t="shared" si="37"/>
        <v>0</v>
      </c>
      <c r="Q230" s="17">
        <f t="shared" si="38"/>
        <v>0</v>
      </c>
      <c r="R230" s="3"/>
      <c r="S230" s="19">
        <f t="shared" si="39"/>
        <v>0</v>
      </c>
      <c r="T230" s="19">
        <v>0</v>
      </c>
      <c r="U230" s="19">
        <f t="shared" si="40"/>
        <v>0</v>
      </c>
      <c r="V230" s="19">
        <f t="shared" si="41"/>
        <v>0</v>
      </c>
      <c r="W230" s="19">
        <f t="shared" si="42"/>
        <v>0</v>
      </c>
      <c r="X230" s="19">
        <f t="shared" si="43"/>
        <v>0</v>
      </c>
      <c r="Y230" s="19">
        <f t="shared" si="44"/>
        <v>0</v>
      </c>
      <c r="Z230" s="20">
        <f t="shared" si="45"/>
        <v>0</v>
      </c>
      <c r="AA230" s="20">
        <f t="shared" si="46"/>
        <v>0</v>
      </c>
    </row>
    <row r="231" spans="1:27" ht="15.75" customHeight="1">
      <c r="A231" s="14" t="s">
        <v>472</v>
      </c>
      <c r="B231" s="15" t="s">
        <v>473</v>
      </c>
      <c r="C231" s="16">
        <v>0</v>
      </c>
      <c r="D231" s="16">
        <v>0</v>
      </c>
      <c r="E231" s="17">
        <v>0</v>
      </c>
      <c r="F231" s="18">
        <v>0</v>
      </c>
      <c r="G231" s="18">
        <v>0</v>
      </c>
      <c r="H231" s="18">
        <v>0</v>
      </c>
      <c r="I231" s="17">
        <v>0</v>
      </c>
      <c r="J231" s="17">
        <f t="shared" si="36"/>
        <v>0</v>
      </c>
      <c r="K231" s="17">
        <v>0</v>
      </c>
      <c r="L231" s="17">
        <v>0</v>
      </c>
      <c r="M231" s="17" t="b">
        <f t="shared" si="47"/>
        <v>1</v>
      </c>
      <c r="N231" s="17">
        <v>0</v>
      </c>
      <c r="O231" s="17">
        <v>0</v>
      </c>
      <c r="P231" s="17">
        <f t="shared" si="37"/>
        <v>0</v>
      </c>
      <c r="Q231" s="17">
        <f t="shared" si="38"/>
        <v>0</v>
      </c>
      <c r="R231" s="3"/>
      <c r="S231" s="19">
        <f t="shared" si="39"/>
        <v>0</v>
      </c>
      <c r="T231" s="19">
        <v>0</v>
      </c>
      <c r="U231" s="19">
        <f t="shared" si="40"/>
        <v>0</v>
      </c>
      <c r="V231" s="19">
        <f t="shared" si="41"/>
        <v>0</v>
      </c>
      <c r="W231" s="19">
        <f t="shared" si="42"/>
        <v>0</v>
      </c>
      <c r="X231" s="19">
        <f t="shared" si="43"/>
        <v>0</v>
      </c>
      <c r="Y231" s="19">
        <f t="shared" si="44"/>
        <v>0</v>
      </c>
      <c r="Z231" s="20">
        <f t="shared" si="45"/>
        <v>0</v>
      </c>
      <c r="AA231" s="20">
        <f t="shared" si="46"/>
        <v>0</v>
      </c>
    </row>
    <row r="232" spans="1:27" ht="15.75" customHeight="1">
      <c r="A232" s="14" t="s">
        <v>474</v>
      </c>
      <c r="B232" s="15" t="s">
        <v>475</v>
      </c>
      <c r="C232" s="16">
        <v>985</v>
      </c>
      <c r="D232" s="16">
        <v>985</v>
      </c>
      <c r="E232" s="17">
        <v>1</v>
      </c>
      <c r="F232" s="18">
        <v>0</v>
      </c>
      <c r="G232" s="18">
        <v>0</v>
      </c>
      <c r="H232" s="18">
        <v>0</v>
      </c>
      <c r="I232" s="17">
        <v>0</v>
      </c>
      <c r="J232" s="17">
        <f t="shared" si="36"/>
        <v>1</v>
      </c>
      <c r="K232" s="17">
        <v>0</v>
      </c>
      <c r="L232" s="17">
        <v>0</v>
      </c>
      <c r="M232" s="17" t="b">
        <f t="shared" si="47"/>
        <v>1</v>
      </c>
      <c r="N232" s="17">
        <v>0</v>
      </c>
      <c r="O232" s="17">
        <v>1</v>
      </c>
      <c r="P232" s="17">
        <f t="shared" si="37"/>
        <v>1</v>
      </c>
      <c r="Q232" s="17">
        <f t="shared" si="38"/>
        <v>0</v>
      </c>
      <c r="R232" s="3"/>
      <c r="S232" s="19">
        <f t="shared" si="39"/>
        <v>985</v>
      </c>
      <c r="T232" s="19">
        <v>0</v>
      </c>
      <c r="U232" s="19">
        <f t="shared" si="40"/>
        <v>0</v>
      </c>
      <c r="V232" s="19">
        <f t="shared" si="41"/>
        <v>0</v>
      </c>
      <c r="W232" s="19">
        <f t="shared" si="42"/>
        <v>0</v>
      </c>
      <c r="X232" s="19">
        <f t="shared" si="43"/>
        <v>0</v>
      </c>
      <c r="Y232" s="19">
        <f t="shared" si="44"/>
        <v>985</v>
      </c>
      <c r="Z232" s="20">
        <f t="shared" si="45"/>
        <v>985</v>
      </c>
      <c r="AA232" s="20">
        <f t="shared" si="46"/>
        <v>0</v>
      </c>
    </row>
    <row r="233" spans="1:27" ht="15.75" customHeight="1">
      <c r="A233" s="14" t="s">
        <v>476</v>
      </c>
      <c r="B233" s="15" t="s">
        <v>477</v>
      </c>
      <c r="C233" s="16">
        <v>0</v>
      </c>
      <c r="D233" s="16">
        <v>0</v>
      </c>
      <c r="E233" s="17">
        <v>0</v>
      </c>
      <c r="F233" s="18">
        <v>0</v>
      </c>
      <c r="G233" s="18">
        <v>0</v>
      </c>
      <c r="H233" s="18">
        <v>0</v>
      </c>
      <c r="I233" s="17">
        <v>0</v>
      </c>
      <c r="J233" s="17">
        <f t="shared" si="36"/>
        <v>0</v>
      </c>
      <c r="K233" s="17">
        <v>0</v>
      </c>
      <c r="L233" s="17">
        <v>0</v>
      </c>
      <c r="M233" s="17" t="b">
        <f t="shared" si="47"/>
        <v>1</v>
      </c>
      <c r="N233" s="17">
        <v>0</v>
      </c>
      <c r="O233" s="17">
        <v>0</v>
      </c>
      <c r="P233" s="17">
        <f t="shared" si="37"/>
        <v>0</v>
      </c>
      <c r="Q233" s="17">
        <f t="shared" si="38"/>
        <v>0</v>
      </c>
      <c r="R233" s="3"/>
      <c r="S233" s="19">
        <f t="shared" si="39"/>
        <v>0</v>
      </c>
      <c r="T233" s="19">
        <v>0</v>
      </c>
      <c r="U233" s="19">
        <f t="shared" si="40"/>
        <v>0</v>
      </c>
      <c r="V233" s="19">
        <f t="shared" si="41"/>
        <v>0</v>
      </c>
      <c r="W233" s="19">
        <f t="shared" si="42"/>
        <v>0</v>
      </c>
      <c r="X233" s="19">
        <f t="shared" si="43"/>
        <v>0</v>
      </c>
      <c r="Y233" s="19">
        <f t="shared" si="44"/>
        <v>0</v>
      </c>
      <c r="Z233" s="20">
        <f t="shared" si="45"/>
        <v>0</v>
      </c>
      <c r="AA233" s="20">
        <f t="shared" si="46"/>
        <v>0</v>
      </c>
    </row>
    <row r="234" spans="1:27" ht="15.75" customHeight="1">
      <c r="A234" s="14" t="s">
        <v>478</v>
      </c>
      <c r="B234" s="15" t="s">
        <v>479</v>
      </c>
      <c r="C234" s="16">
        <v>0</v>
      </c>
      <c r="D234" s="16">
        <v>0</v>
      </c>
      <c r="E234" s="17">
        <v>0</v>
      </c>
      <c r="F234" s="18">
        <v>0</v>
      </c>
      <c r="G234" s="18">
        <v>0</v>
      </c>
      <c r="H234" s="18">
        <v>0</v>
      </c>
      <c r="I234" s="17">
        <v>0</v>
      </c>
      <c r="J234" s="17">
        <f t="shared" si="36"/>
        <v>0</v>
      </c>
      <c r="K234" s="17">
        <v>0</v>
      </c>
      <c r="L234" s="17">
        <v>0</v>
      </c>
      <c r="M234" s="17" t="b">
        <f t="shared" si="47"/>
        <v>1</v>
      </c>
      <c r="N234" s="17">
        <v>0</v>
      </c>
      <c r="O234" s="17">
        <v>0</v>
      </c>
      <c r="P234" s="17">
        <f t="shared" si="37"/>
        <v>0</v>
      </c>
      <c r="Q234" s="17">
        <f t="shared" si="38"/>
        <v>0</v>
      </c>
      <c r="R234" s="3"/>
      <c r="S234" s="19">
        <f t="shared" si="39"/>
        <v>0</v>
      </c>
      <c r="T234" s="19">
        <v>0</v>
      </c>
      <c r="U234" s="19">
        <f t="shared" si="40"/>
        <v>0</v>
      </c>
      <c r="V234" s="19">
        <f t="shared" si="41"/>
        <v>0</v>
      </c>
      <c r="W234" s="19">
        <f t="shared" si="42"/>
        <v>0</v>
      </c>
      <c r="X234" s="19">
        <f t="shared" si="43"/>
        <v>0</v>
      </c>
      <c r="Y234" s="19">
        <f t="shared" si="44"/>
        <v>0</v>
      </c>
      <c r="Z234" s="20">
        <f t="shared" si="45"/>
        <v>0</v>
      </c>
      <c r="AA234" s="20">
        <f t="shared" si="46"/>
        <v>0</v>
      </c>
    </row>
    <row r="235" spans="1:27" ht="22.5" customHeight="1">
      <c r="A235" s="14" t="s">
        <v>480</v>
      </c>
      <c r="B235" s="15" t="s">
        <v>481</v>
      </c>
      <c r="C235" s="16">
        <v>841</v>
      </c>
      <c r="D235" s="16">
        <v>841</v>
      </c>
      <c r="E235" s="17">
        <v>1</v>
      </c>
      <c r="F235" s="18">
        <v>0</v>
      </c>
      <c r="G235" s="18">
        <v>0</v>
      </c>
      <c r="H235" s="18">
        <v>0</v>
      </c>
      <c r="I235" s="17">
        <v>0</v>
      </c>
      <c r="J235" s="17">
        <f t="shared" si="36"/>
        <v>1</v>
      </c>
      <c r="K235" s="17">
        <v>1</v>
      </c>
      <c r="L235" s="17">
        <v>1</v>
      </c>
      <c r="M235" s="17" t="b">
        <f t="shared" si="47"/>
        <v>1</v>
      </c>
      <c r="N235" s="17">
        <v>0</v>
      </c>
      <c r="O235" s="17">
        <v>0</v>
      </c>
      <c r="P235" s="17">
        <f t="shared" si="37"/>
        <v>1</v>
      </c>
      <c r="Q235" s="17">
        <f t="shared" si="38"/>
        <v>0</v>
      </c>
      <c r="R235" s="3"/>
      <c r="S235" s="19">
        <f t="shared" si="39"/>
        <v>841</v>
      </c>
      <c r="T235" s="19">
        <v>0</v>
      </c>
      <c r="U235" s="19">
        <f t="shared" si="40"/>
        <v>0</v>
      </c>
      <c r="V235" s="19">
        <f t="shared" si="41"/>
        <v>0</v>
      </c>
      <c r="W235" s="19">
        <f t="shared" si="42"/>
        <v>0</v>
      </c>
      <c r="X235" s="19">
        <f t="shared" si="43"/>
        <v>0</v>
      </c>
      <c r="Y235" s="19">
        <f t="shared" si="44"/>
        <v>841</v>
      </c>
      <c r="Z235" s="20">
        <f t="shared" si="45"/>
        <v>841</v>
      </c>
      <c r="AA235" s="20">
        <f t="shared" si="46"/>
        <v>0</v>
      </c>
    </row>
    <row r="236" spans="1:27" ht="15.75" customHeight="1">
      <c r="A236" s="14" t="s">
        <v>482</v>
      </c>
      <c r="B236" s="15" t="s">
        <v>483</v>
      </c>
      <c r="C236" s="16">
        <v>0</v>
      </c>
      <c r="D236" s="16">
        <v>0</v>
      </c>
      <c r="E236" s="17">
        <v>0</v>
      </c>
      <c r="F236" s="18">
        <v>0</v>
      </c>
      <c r="G236" s="18">
        <v>0</v>
      </c>
      <c r="H236" s="18">
        <v>0</v>
      </c>
      <c r="I236" s="17">
        <v>0</v>
      </c>
      <c r="J236" s="17">
        <f t="shared" si="36"/>
        <v>0</v>
      </c>
      <c r="K236" s="17">
        <v>0</v>
      </c>
      <c r="L236" s="17">
        <v>0</v>
      </c>
      <c r="M236" s="17" t="b">
        <f t="shared" si="47"/>
        <v>1</v>
      </c>
      <c r="N236" s="17">
        <v>0</v>
      </c>
      <c r="O236" s="17">
        <v>0</v>
      </c>
      <c r="P236" s="17">
        <f t="shared" si="37"/>
        <v>0</v>
      </c>
      <c r="Q236" s="17">
        <f t="shared" si="38"/>
        <v>0</v>
      </c>
      <c r="R236" s="3"/>
      <c r="S236" s="19">
        <f t="shared" si="39"/>
        <v>0</v>
      </c>
      <c r="T236" s="19">
        <v>0</v>
      </c>
      <c r="U236" s="19">
        <f t="shared" si="40"/>
        <v>0</v>
      </c>
      <c r="V236" s="19">
        <f t="shared" si="41"/>
        <v>0</v>
      </c>
      <c r="W236" s="19">
        <f t="shared" si="42"/>
        <v>0</v>
      </c>
      <c r="X236" s="19">
        <f t="shared" si="43"/>
        <v>0</v>
      </c>
      <c r="Y236" s="19">
        <f t="shared" si="44"/>
        <v>0</v>
      </c>
      <c r="Z236" s="20">
        <f t="shared" si="45"/>
        <v>0</v>
      </c>
      <c r="AA236" s="20">
        <f t="shared" si="46"/>
        <v>0</v>
      </c>
    </row>
    <row r="237" spans="1:27" ht="15.75" customHeight="1">
      <c r="A237" s="14" t="s">
        <v>484</v>
      </c>
      <c r="B237" s="15" t="s">
        <v>485</v>
      </c>
      <c r="C237" s="16">
        <v>3410</v>
      </c>
      <c r="D237" s="16">
        <v>3410</v>
      </c>
      <c r="E237" s="17">
        <v>0</v>
      </c>
      <c r="F237" s="18">
        <v>0</v>
      </c>
      <c r="G237" s="18">
        <v>0</v>
      </c>
      <c r="H237" s="18">
        <v>0</v>
      </c>
      <c r="I237" s="17">
        <v>0</v>
      </c>
      <c r="J237" s="17">
        <f t="shared" si="36"/>
        <v>0</v>
      </c>
      <c r="K237" s="17">
        <v>0</v>
      </c>
      <c r="L237" s="17">
        <v>0</v>
      </c>
      <c r="M237" s="17" t="b">
        <f t="shared" si="47"/>
        <v>1</v>
      </c>
      <c r="N237" s="17">
        <v>0</v>
      </c>
      <c r="O237" s="17">
        <v>0</v>
      </c>
      <c r="P237" s="17">
        <f t="shared" si="37"/>
        <v>0</v>
      </c>
      <c r="Q237" s="17">
        <f t="shared" si="38"/>
        <v>0</v>
      </c>
      <c r="R237" s="3"/>
      <c r="S237" s="19">
        <f t="shared" si="39"/>
        <v>0</v>
      </c>
      <c r="T237" s="19">
        <v>0</v>
      </c>
      <c r="U237" s="19">
        <f t="shared" si="40"/>
        <v>0</v>
      </c>
      <c r="V237" s="19">
        <f t="shared" si="41"/>
        <v>0</v>
      </c>
      <c r="W237" s="19">
        <f t="shared" si="42"/>
        <v>0</v>
      </c>
      <c r="X237" s="19">
        <f t="shared" si="43"/>
        <v>0</v>
      </c>
      <c r="Y237" s="19">
        <f t="shared" si="44"/>
        <v>0</v>
      </c>
      <c r="Z237" s="20">
        <f t="shared" si="45"/>
        <v>0</v>
      </c>
      <c r="AA237" s="20">
        <f t="shared" si="46"/>
        <v>0</v>
      </c>
    </row>
    <row r="238" spans="1:27" ht="15.75" customHeight="1">
      <c r="A238" s="14" t="s">
        <v>486</v>
      </c>
      <c r="B238" s="15" t="s">
        <v>487</v>
      </c>
      <c r="C238" s="16">
        <v>99</v>
      </c>
      <c r="D238" s="16">
        <v>99</v>
      </c>
      <c r="E238" s="17">
        <v>1</v>
      </c>
      <c r="F238" s="18">
        <v>0</v>
      </c>
      <c r="G238" s="18">
        <v>0</v>
      </c>
      <c r="H238" s="18">
        <v>0</v>
      </c>
      <c r="I238" s="17">
        <v>0</v>
      </c>
      <c r="J238" s="17">
        <f t="shared" si="36"/>
        <v>1</v>
      </c>
      <c r="K238" s="17">
        <v>1</v>
      </c>
      <c r="L238" s="17">
        <v>1</v>
      </c>
      <c r="M238" s="17" t="b">
        <f t="shared" si="47"/>
        <v>1</v>
      </c>
      <c r="N238" s="17">
        <v>0</v>
      </c>
      <c r="O238" s="17">
        <v>0</v>
      </c>
      <c r="P238" s="17">
        <f t="shared" si="37"/>
        <v>1</v>
      </c>
      <c r="Q238" s="17">
        <f t="shared" si="38"/>
        <v>0</v>
      </c>
      <c r="R238" s="3"/>
      <c r="S238" s="19">
        <f t="shared" si="39"/>
        <v>99</v>
      </c>
      <c r="T238" s="19">
        <v>0</v>
      </c>
      <c r="U238" s="19">
        <f t="shared" si="40"/>
        <v>0</v>
      </c>
      <c r="V238" s="19">
        <f t="shared" si="41"/>
        <v>0</v>
      </c>
      <c r="W238" s="19">
        <f t="shared" si="42"/>
        <v>0</v>
      </c>
      <c r="X238" s="19">
        <f t="shared" si="43"/>
        <v>0</v>
      </c>
      <c r="Y238" s="19">
        <f t="shared" si="44"/>
        <v>99</v>
      </c>
      <c r="Z238" s="20">
        <f t="shared" si="45"/>
        <v>99</v>
      </c>
      <c r="AA238" s="20">
        <f t="shared" si="46"/>
        <v>0</v>
      </c>
    </row>
    <row r="239" spans="1:27" ht="15.75" customHeight="1">
      <c r="A239" s="14" t="s">
        <v>488</v>
      </c>
      <c r="B239" s="15" t="s">
        <v>489</v>
      </c>
      <c r="C239" s="16">
        <v>113.5</v>
      </c>
      <c r="D239" s="16">
        <v>113.5</v>
      </c>
      <c r="E239" s="17">
        <v>3</v>
      </c>
      <c r="F239" s="18">
        <v>0</v>
      </c>
      <c r="G239" s="18">
        <v>0</v>
      </c>
      <c r="H239" s="18">
        <v>0</v>
      </c>
      <c r="I239" s="17">
        <v>0</v>
      </c>
      <c r="J239" s="17">
        <f t="shared" si="36"/>
        <v>3</v>
      </c>
      <c r="K239" s="17">
        <v>3</v>
      </c>
      <c r="L239" s="17">
        <v>3</v>
      </c>
      <c r="M239" s="17" t="b">
        <f t="shared" si="47"/>
        <v>1</v>
      </c>
      <c r="N239" s="17">
        <v>0</v>
      </c>
      <c r="O239" s="17">
        <v>0</v>
      </c>
      <c r="P239" s="17">
        <f t="shared" si="37"/>
        <v>3</v>
      </c>
      <c r="Q239" s="17">
        <f t="shared" si="38"/>
        <v>0</v>
      </c>
      <c r="R239" s="3"/>
      <c r="S239" s="19">
        <f t="shared" si="39"/>
        <v>340.5</v>
      </c>
      <c r="T239" s="19">
        <v>0</v>
      </c>
      <c r="U239" s="19">
        <f t="shared" si="40"/>
        <v>0</v>
      </c>
      <c r="V239" s="19">
        <f t="shared" si="41"/>
        <v>0</v>
      </c>
      <c r="W239" s="19">
        <f t="shared" si="42"/>
        <v>0</v>
      </c>
      <c r="X239" s="19">
        <f t="shared" si="43"/>
        <v>0</v>
      </c>
      <c r="Y239" s="19">
        <f t="shared" si="44"/>
        <v>340.5</v>
      </c>
      <c r="Z239" s="20">
        <f t="shared" si="45"/>
        <v>340.5</v>
      </c>
      <c r="AA239" s="20">
        <f t="shared" si="46"/>
        <v>0</v>
      </c>
    </row>
    <row r="240" spans="1:27" ht="15.75" customHeight="1">
      <c r="A240" s="14" t="s">
        <v>490</v>
      </c>
      <c r="B240" s="15" t="s">
        <v>491</v>
      </c>
      <c r="C240" s="16">
        <v>1536</v>
      </c>
      <c r="D240" s="16">
        <v>1536</v>
      </c>
      <c r="E240" s="17">
        <v>3</v>
      </c>
      <c r="F240" s="18">
        <v>0</v>
      </c>
      <c r="G240" s="18">
        <v>0</v>
      </c>
      <c r="H240" s="18">
        <v>0</v>
      </c>
      <c r="I240" s="17">
        <v>0</v>
      </c>
      <c r="J240" s="17">
        <f t="shared" si="36"/>
        <v>3</v>
      </c>
      <c r="K240" s="17">
        <v>3</v>
      </c>
      <c r="L240" s="17">
        <v>3</v>
      </c>
      <c r="M240" s="17" t="b">
        <f t="shared" si="47"/>
        <v>1</v>
      </c>
      <c r="N240" s="17">
        <v>0</v>
      </c>
      <c r="O240" s="17">
        <v>0</v>
      </c>
      <c r="P240" s="17">
        <f t="shared" si="37"/>
        <v>3</v>
      </c>
      <c r="Q240" s="17">
        <f t="shared" si="38"/>
        <v>0</v>
      </c>
      <c r="R240" s="3"/>
      <c r="S240" s="19">
        <f t="shared" si="39"/>
        <v>4608</v>
      </c>
      <c r="T240" s="19">
        <v>0</v>
      </c>
      <c r="U240" s="19">
        <f t="shared" si="40"/>
        <v>0</v>
      </c>
      <c r="V240" s="19">
        <f t="shared" si="41"/>
        <v>0</v>
      </c>
      <c r="W240" s="19">
        <f t="shared" si="42"/>
        <v>0</v>
      </c>
      <c r="X240" s="19">
        <f t="shared" si="43"/>
        <v>0</v>
      </c>
      <c r="Y240" s="19">
        <f t="shared" si="44"/>
        <v>4608</v>
      </c>
      <c r="Z240" s="20">
        <f t="shared" si="45"/>
        <v>4608</v>
      </c>
      <c r="AA240" s="20">
        <f t="shared" si="46"/>
        <v>0</v>
      </c>
    </row>
    <row r="241" spans="1:27" ht="15.75" customHeight="1">
      <c r="A241" s="14" t="s">
        <v>492</v>
      </c>
      <c r="B241" s="15" t="s">
        <v>493</v>
      </c>
      <c r="C241" s="16">
        <v>757.98</v>
      </c>
      <c r="D241" s="16">
        <v>757.98</v>
      </c>
      <c r="E241" s="17">
        <v>1</v>
      </c>
      <c r="F241" s="18">
        <v>0</v>
      </c>
      <c r="G241" s="18">
        <v>0</v>
      </c>
      <c r="H241" s="18">
        <v>0</v>
      </c>
      <c r="I241" s="17">
        <v>0</v>
      </c>
      <c r="J241" s="17">
        <f t="shared" si="36"/>
        <v>1</v>
      </c>
      <c r="K241" s="17">
        <v>1</v>
      </c>
      <c r="L241" s="17">
        <v>1</v>
      </c>
      <c r="M241" s="17" t="b">
        <f t="shared" si="47"/>
        <v>1</v>
      </c>
      <c r="N241" s="17">
        <v>0</v>
      </c>
      <c r="O241" s="17">
        <v>0</v>
      </c>
      <c r="P241" s="17">
        <f t="shared" si="37"/>
        <v>1</v>
      </c>
      <c r="Q241" s="17">
        <f t="shared" si="38"/>
        <v>0</v>
      </c>
      <c r="R241" s="3"/>
      <c r="S241" s="19">
        <f t="shared" si="39"/>
        <v>757.98</v>
      </c>
      <c r="T241" s="19">
        <v>0</v>
      </c>
      <c r="U241" s="19">
        <f t="shared" si="40"/>
        <v>0</v>
      </c>
      <c r="V241" s="19">
        <f t="shared" si="41"/>
        <v>0</v>
      </c>
      <c r="W241" s="19">
        <f t="shared" si="42"/>
        <v>0</v>
      </c>
      <c r="X241" s="19">
        <f t="shared" si="43"/>
        <v>0</v>
      </c>
      <c r="Y241" s="19">
        <f t="shared" si="44"/>
        <v>757.98</v>
      </c>
      <c r="Z241" s="20">
        <f t="shared" si="45"/>
        <v>757.98</v>
      </c>
      <c r="AA241" s="20">
        <f t="shared" si="46"/>
        <v>0</v>
      </c>
    </row>
    <row r="242" spans="1:27" ht="15.75" customHeight="1">
      <c r="A242" s="14" t="s">
        <v>494</v>
      </c>
      <c r="B242" s="15" t="s">
        <v>495</v>
      </c>
      <c r="C242" s="16">
        <v>36.5</v>
      </c>
      <c r="D242" s="16">
        <v>36.5</v>
      </c>
      <c r="E242" s="17">
        <v>4</v>
      </c>
      <c r="F242" s="18">
        <v>0</v>
      </c>
      <c r="G242" s="18">
        <v>0</v>
      </c>
      <c r="H242" s="18">
        <v>0</v>
      </c>
      <c r="I242" s="17">
        <v>0</v>
      </c>
      <c r="J242" s="17">
        <f t="shared" si="36"/>
        <v>4</v>
      </c>
      <c r="K242" s="17">
        <v>4</v>
      </c>
      <c r="L242" s="17">
        <v>4</v>
      </c>
      <c r="M242" s="17" t="b">
        <f t="shared" si="47"/>
        <v>1</v>
      </c>
      <c r="N242" s="17">
        <v>0</v>
      </c>
      <c r="O242" s="17">
        <v>0</v>
      </c>
      <c r="P242" s="17">
        <f t="shared" si="37"/>
        <v>4</v>
      </c>
      <c r="Q242" s="17">
        <f t="shared" si="38"/>
        <v>0</v>
      </c>
      <c r="R242" s="3"/>
      <c r="S242" s="19">
        <f t="shared" si="39"/>
        <v>146</v>
      </c>
      <c r="T242" s="19">
        <v>0</v>
      </c>
      <c r="U242" s="19">
        <f t="shared" si="40"/>
        <v>0</v>
      </c>
      <c r="V242" s="19">
        <f t="shared" si="41"/>
        <v>0</v>
      </c>
      <c r="W242" s="19">
        <f t="shared" si="42"/>
        <v>0</v>
      </c>
      <c r="X242" s="19">
        <f t="shared" si="43"/>
        <v>0</v>
      </c>
      <c r="Y242" s="19">
        <f t="shared" si="44"/>
        <v>146</v>
      </c>
      <c r="Z242" s="20">
        <f t="shared" si="45"/>
        <v>146</v>
      </c>
      <c r="AA242" s="20">
        <f t="shared" si="46"/>
        <v>0</v>
      </c>
    </row>
    <row r="243" spans="1:27" ht="15.75" customHeight="1">
      <c r="A243" s="14" t="s">
        <v>496</v>
      </c>
      <c r="B243" s="15" t="s">
        <v>497</v>
      </c>
      <c r="C243" s="16">
        <v>36.5</v>
      </c>
      <c r="D243" s="16">
        <v>36.5</v>
      </c>
      <c r="E243" s="17">
        <v>5</v>
      </c>
      <c r="F243" s="18">
        <v>0</v>
      </c>
      <c r="G243" s="18">
        <v>0</v>
      </c>
      <c r="H243" s="18">
        <v>0</v>
      </c>
      <c r="I243" s="17">
        <v>0</v>
      </c>
      <c r="J243" s="17">
        <f t="shared" si="36"/>
        <v>5</v>
      </c>
      <c r="K243" s="17">
        <v>5</v>
      </c>
      <c r="L243" s="17">
        <v>5</v>
      </c>
      <c r="M243" s="17" t="b">
        <f t="shared" si="47"/>
        <v>1</v>
      </c>
      <c r="N243" s="17">
        <v>0</v>
      </c>
      <c r="O243" s="17">
        <v>0</v>
      </c>
      <c r="P243" s="17">
        <f t="shared" si="37"/>
        <v>5</v>
      </c>
      <c r="Q243" s="17">
        <f t="shared" si="38"/>
        <v>0</v>
      </c>
      <c r="R243" s="3"/>
      <c r="S243" s="19">
        <f t="shared" si="39"/>
        <v>182.5</v>
      </c>
      <c r="T243" s="19">
        <v>0</v>
      </c>
      <c r="U243" s="19">
        <f t="shared" si="40"/>
        <v>0</v>
      </c>
      <c r="V243" s="19">
        <f t="shared" si="41"/>
        <v>0</v>
      </c>
      <c r="W243" s="19">
        <f t="shared" si="42"/>
        <v>0</v>
      </c>
      <c r="X243" s="19">
        <f t="shared" si="43"/>
        <v>0</v>
      </c>
      <c r="Y243" s="19">
        <f t="shared" si="44"/>
        <v>182.5</v>
      </c>
      <c r="Z243" s="20">
        <f t="shared" si="45"/>
        <v>182.5</v>
      </c>
      <c r="AA243" s="20">
        <f t="shared" si="46"/>
        <v>0</v>
      </c>
    </row>
    <row r="244" spans="1:27" ht="15.75" customHeight="1">
      <c r="A244" s="14" t="s">
        <v>498</v>
      </c>
      <c r="B244" s="15" t="s">
        <v>499</v>
      </c>
      <c r="C244" s="16">
        <v>0</v>
      </c>
      <c r="D244" s="16">
        <v>0</v>
      </c>
      <c r="E244" s="17">
        <v>0</v>
      </c>
      <c r="F244" s="18">
        <v>0</v>
      </c>
      <c r="G244" s="18">
        <v>0</v>
      </c>
      <c r="H244" s="18">
        <v>0</v>
      </c>
      <c r="I244" s="17">
        <v>0</v>
      </c>
      <c r="J244" s="17">
        <f t="shared" si="36"/>
        <v>0</v>
      </c>
      <c r="K244" s="17">
        <v>0</v>
      </c>
      <c r="L244" s="17">
        <v>0</v>
      </c>
      <c r="M244" s="17" t="b">
        <f t="shared" si="47"/>
        <v>1</v>
      </c>
      <c r="N244" s="17">
        <v>0</v>
      </c>
      <c r="O244" s="17">
        <v>0</v>
      </c>
      <c r="P244" s="17">
        <f t="shared" si="37"/>
        <v>0</v>
      </c>
      <c r="Q244" s="17">
        <f t="shared" si="38"/>
        <v>0</v>
      </c>
      <c r="R244" s="3"/>
      <c r="S244" s="19">
        <f t="shared" si="39"/>
        <v>0</v>
      </c>
      <c r="T244" s="19">
        <v>0</v>
      </c>
      <c r="U244" s="19">
        <f t="shared" si="40"/>
        <v>0</v>
      </c>
      <c r="V244" s="19">
        <f t="shared" si="41"/>
        <v>0</v>
      </c>
      <c r="W244" s="19">
        <f t="shared" si="42"/>
        <v>0</v>
      </c>
      <c r="X244" s="19">
        <f t="shared" si="43"/>
        <v>0</v>
      </c>
      <c r="Y244" s="19">
        <f t="shared" si="44"/>
        <v>0</v>
      </c>
      <c r="Z244" s="20">
        <f t="shared" si="45"/>
        <v>0</v>
      </c>
      <c r="AA244" s="20">
        <f t="shared" si="46"/>
        <v>0</v>
      </c>
    </row>
    <row r="245" spans="1:27" ht="15.75" customHeight="1">
      <c r="A245" s="14" t="s">
        <v>500</v>
      </c>
      <c r="B245" s="15" t="s">
        <v>501</v>
      </c>
      <c r="C245" s="16">
        <v>46.5</v>
      </c>
      <c r="D245" s="16">
        <v>46.5</v>
      </c>
      <c r="E245" s="17">
        <v>10</v>
      </c>
      <c r="F245" s="18">
        <v>0</v>
      </c>
      <c r="G245" s="18">
        <v>0</v>
      </c>
      <c r="H245" s="18">
        <v>0</v>
      </c>
      <c r="I245" s="17">
        <v>0</v>
      </c>
      <c r="J245" s="17">
        <f t="shared" si="36"/>
        <v>10</v>
      </c>
      <c r="K245" s="17">
        <v>10</v>
      </c>
      <c r="L245" s="17">
        <v>10</v>
      </c>
      <c r="M245" s="17" t="b">
        <f t="shared" si="47"/>
        <v>1</v>
      </c>
      <c r="N245" s="17">
        <v>0</v>
      </c>
      <c r="O245" s="17">
        <v>0</v>
      </c>
      <c r="P245" s="17">
        <f t="shared" si="37"/>
        <v>10</v>
      </c>
      <c r="Q245" s="17">
        <f t="shared" si="38"/>
        <v>0</v>
      </c>
      <c r="R245" s="3"/>
      <c r="S245" s="19">
        <f t="shared" si="39"/>
        <v>465</v>
      </c>
      <c r="T245" s="19">
        <v>0</v>
      </c>
      <c r="U245" s="19">
        <f t="shared" si="40"/>
        <v>0</v>
      </c>
      <c r="V245" s="19">
        <f t="shared" si="41"/>
        <v>0</v>
      </c>
      <c r="W245" s="19">
        <f t="shared" si="42"/>
        <v>0</v>
      </c>
      <c r="X245" s="19">
        <f t="shared" si="43"/>
        <v>0</v>
      </c>
      <c r="Y245" s="19">
        <f t="shared" si="44"/>
        <v>465</v>
      </c>
      <c r="Z245" s="20">
        <f t="shared" si="45"/>
        <v>465</v>
      </c>
      <c r="AA245" s="20">
        <f t="shared" si="46"/>
        <v>0</v>
      </c>
    </row>
    <row r="246" spans="1:27" ht="15.75" customHeight="1">
      <c r="A246" s="14" t="s">
        <v>502</v>
      </c>
      <c r="B246" s="15" t="s">
        <v>503</v>
      </c>
      <c r="C246" s="16">
        <v>120</v>
      </c>
      <c r="D246" s="16">
        <v>120</v>
      </c>
      <c r="E246" s="17">
        <v>8</v>
      </c>
      <c r="F246" s="18">
        <v>0</v>
      </c>
      <c r="G246" s="18">
        <v>0</v>
      </c>
      <c r="H246" s="18">
        <v>0</v>
      </c>
      <c r="I246" s="17">
        <v>0</v>
      </c>
      <c r="J246" s="17">
        <f t="shared" si="36"/>
        <v>8</v>
      </c>
      <c r="K246" s="17">
        <v>8</v>
      </c>
      <c r="L246" s="17">
        <v>8</v>
      </c>
      <c r="M246" s="17" t="b">
        <f t="shared" si="47"/>
        <v>1</v>
      </c>
      <c r="N246" s="17">
        <v>0</v>
      </c>
      <c r="O246" s="17">
        <v>0</v>
      </c>
      <c r="P246" s="17">
        <f t="shared" si="37"/>
        <v>8</v>
      </c>
      <c r="Q246" s="17">
        <f t="shared" si="38"/>
        <v>0</v>
      </c>
      <c r="R246" s="3"/>
      <c r="S246" s="19">
        <f t="shared" si="39"/>
        <v>960</v>
      </c>
      <c r="T246" s="19">
        <v>0</v>
      </c>
      <c r="U246" s="19">
        <f t="shared" si="40"/>
        <v>0</v>
      </c>
      <c r="V246" s="19">
        <f t="shared" si="41"/>
        <v>0</v>
      </c>
      <c r="W246" s="19">
        <f t="shared" si="42"/>
        <v>0</v>
      </c>
      <c r="X246" s="19">
        <f t="shared" si="43"/>
        <v>0</v>
      </c>
      <c r="Y246" s="19">
        <f t="shared" si="44"/>
        <v>960</v>
      </c>
      <c r="Z246" s="20">
        <f t="shared" si="45"/>
        <v>960</v>
      </c>
      <c r="AA246" s="20">
        <f t="shared" si="46"/>
        <v>0</v>
      </c>
    </row>
    <row r="247" spans="1:27" ht="15.75" customHeight="1">
      <c r="A247" s="14" t="s">
        <v>504</v>
      </c>
      <c r="B247" s="15" t="s">
        <v>505</v>
      </c>
      <c r="C247" s="16">
        <v>130</v>
      </c>
      <c r="D247" s="16">
        <v>130</v>
      </c>
      <c r="E247" s="17">
        <v>28</v>
      </c>
      <c r="F247" s="18">
        <v>0</v>
      </c>
      <c r="G247" s="18">
        <v>0</v>
      </c>
      <c r="H247" s="18">
        <v>0</v>
      </c>
      <c r="I247" s="17">
        <v>0</v>
      </c>
      <c r="J247" s="17">
        <f t="shared" si="36"/>
        <v>28</v>
      </c>
      <c r="K247" s="17">
        <v>28</v>
      </c>
      <c r="L247" s="17">
        <v>28</v>
      </c>
      <c r="M247" s="17" t="b">
        <f t="shared" si="47"/>
        <v>1</v>
      </c>
      <c r="N247" s="17">
        <v>0</v>
      </c>
      <c r="O247" s="17">
        <v>0</v>
      </c>
      <c r="P247" s="17">
        <f t="shared" si="37"/>
        <v>28</v>
      </c>
      <c r="Q247" s="17">
        <f t="shared" si="38"/>
        <v>0</v>
      </c>
      <c r="R247" s="3"/>
      <c r="S247" s="19">
        <f t="shared" si="39"/>
        <v>3640</v>
      </c>
      <c r="T247" s="19">
        <v>0</v>
      </c>
      <c r="U247" s="19">
        <f t="shared" si="40"/>
        <v>0</v>
      </c>
      <c r="V247" s="19">
        <f t="shared" si="41"/>
        <v>0</v>
      </c>
      <c r="W247" s="19">
        <f t="shared" si="42"/>
        <v>0</v>
      </c>
      <c r="X247" s="19">
        <f t="shared" si="43"/>
        <v>0</v>
      </c>
      <c r="Y247" s="19">
        <f t="shared" si="44"/>
        <v>3640</v>
      </c>
      <c r="Z247" s="20">
        <f t="shared" si="45"/>
        <v>3640</v>
      </c>
      <c r="AA247" s="20">
        <f t="shared" si="46"/>
        <v>0</v>
      </c>
    </row>
    <row r="248" spans="1:27" ht="15.75" customHeight="1">
      <c r="A248" s="14" t="s">
        <v>506</v>
      </c>
      <c r="B248" s="15" t="s">
        <v>507</v>
      </c>
      <c r="C248" s="16">
        <v>120</v>
      </c>
      <c r="D248" s="16">
        <v>120</v>
      </c>
      <c r="E248" s="17">
        <v>2</v>
      </c>
      <c r="F248" s="18">
        <v>0</v>
      </c>
      <c r="G248" s="18">
        <v>0</v>
      </c>
      <c r="H248" s="18">
        <v>0</v>
      </c>
      <c r="I248" s="17">
        <v>0</v>
      </c>
      <c r="J248" s="17">
        <f t="shared" si="36"/>
        <v>2</v>
      </c>
      <c r="K248" s="17">
        <v>2</v>
      </c>
      <c r="L248" s="17">
        <v>2</v>
      </c>
      <c r="M248" s="17" t="b">
        <f t="shared" si="47"/>
        <v>1</v>
      </c>
      <c r="N248" s="17">
        <v>0</v>
      </c>
      <c r="O248" s="17">
        <v>0</v>
      </c>
      <c r="P248" s="17">
        <f t="shared" si="37"/>
        <v>2</v>
      </c>
      <c r="Q248" s="17">
        <f t="shared" si="38"/>
        <v>0</v>
      </c>
      <c r="R248" s="3"/>
      <c r="S248" s="19">
        <f t="shared" si="39"/>
        <v>240</v>
      </c>
      <c r="T248" s="19">
        <v>0</v>
      </c>
      <c r="U248" s="19">
        <f t="shared" si="40"/>
        <v>0</v>
      </c>
      <c r="V248" s="19">
        <f t="shared" si="41"/>
        <v>0</v>
      </c>
      <c r="W248" s="19">
        <f t="shared" si="42"/>
        <v>0</v>
      </c>
      <c r="X248" s="19">
        <f t="shared" si="43"/>
        <v>0</v>
      </c>
      <c r="Y248" s="19">
        <f t="shared" si="44"/>
        <v>240</v>
      </c>
      <c r="Z248" s="20">
        <f t="shared" si="45"/>
        <v>240</v>
      </c>
      <c r="AA248" s="20">
        <f t="shared" si="46"/>
        <v>0</v>
      </c>
    </row>
    <row r="249" spans="1:27" ht="15.75" customHeight="1">
      <c r="A249" s="14" t="s">
        <v>508</v>
      </c>
      <c r="B249" s="15" t="s">
        <v>509</v>
      </c>
      <c r="C249" s="16">
        <v>720</v>
      </c>
      <c r="D249" s="16">
        <v>720</v>
      </c>
      <c r="E249" s="17">
        <v>2</v>
      </c>
      <c r="F249" s="18">
        <v>0</v>
      </c>
      <c r="G249" s="18">
        <v>0</v>
      </c>
      <c r="H249" s="18">
        <v>0</v>
      </c>
      <c r="I249" s="17">
        <v>0</v>
      </c>
      <c r="J249" s="17">
        <f t="shared" si="36"/>
        <v>2</v>
      </c>
      <c r="K249" s="17">
        <v>2</v>
      </c>
      <c r="L249" s="17">
        <v>2</v>
      </c>
      <c r="M249" s="17" t="b">
        <f t="shared" si="47"/>
        <v>1</v>
      </c>
      <c r="N249" s="17">
        <v>0</v>
      </c>
      <c r="O249" s="17">
        <v>0</v>
      </c>
      <c r="P249" s="17">
        <f t="shared" si="37"/>
        <v>2</v>
      </c>
      <c r="Q249" s="17">
        <f t="shared" si="38"/>
        <v>0</v>
      </c>
      <c r="R249" s="3"/>
      <c r="S249" s="19">
        <f t="shared" si="39"/>
        <v>1440</v>
      </c>
      <c r="T249" s="19">
        <v>0</v>
      </c>
      <c r="U249" s="19">
        <f t="shared" si="40"/>
        <v>0</v>
      </c>
      <c r="V249" s="19">
        <f t="shared" si="41"/>
        <v>0</v>
      </c>
      <c r="W249" s="19">
        <f t="shared" si="42"/>
        <v>0</v>
      </c>
      <c r="X249" s="19">
        <f t="shared" si="43"/>
        <v>0</v>
      </c>
      <c r="Y249" s="19">
        <f t="shared" si="44"/>
        <v>1440</v>
      </c>
      <c r="Z249" s="20">
        <f t="shared" si="45"/>
        <v>1440</v>
      </c>
      <c r="AA249" s="20">
        <f t="shared" si="46"/>
        <v>0</v>
      </c>
    </row>
    <row r="250" spans="1:27" ht="15.75" customHeight="1">
      <c r="A250" s="14" t="s">
        <v>510</v>
      </c>
      <c r="B250" s="15" t="s">
        <v>511</v>
      </c>
      <c r="C250" s="16">
        <v>2151.2199999999998</v>
      </c>
      <c r="D250" s="16">
        <v>2151.2199999999998</v>
      </c>
      <c r="E250" s="17">
        <v>1</v>
      </c>
      <c r="F250" s="18">
        <v>0</v>
      </c>
      <c r="G250" s="18">
        <v>0</v>
      </c>
      <c r="H250" s="18">
        <v>0</v>
      </c>
      <c r="I250" s="17">
        <v>0</v>
      </c>
      <c r="J250" s="17">
        <f t="shared" si="36"/>
        <v>1</v>
      </c>
      <c r="K250" s="17">
        <v>1</v>
      </c>
      <c r="L250" s="17">
        <v>1</v>
      </c>
      <c r="M250" s="17" t="b">
        <f t="shared" si="47"/>
        <v>1</v>
      </c>
      <c r="N250" s="17">
        <v>0</v>
      </c>
      <c r="O250" s="17">
        <v>0</v>
      </c>
      <c r="P250" s="17">
        <f t="shared" si="37"/>
        <v>1</v>
      </c>
      <c r="Q250" s="17">
        <f t="shared" si="38"/>
        <v>0</v>
      </c>
      <c r="R250" s="3"/>
      <c r="S250" s="19">
        <f t="shared" si="39"/>
        <v>2151.2199999999998</v>
      </c>
      <c r="T250" s="19">
        <v>0</v>
      </c>
      <c r="U250" s="19">
        <f t="shared" si="40"/>
        <v>0</v>
      </c>
      <c r="V250" s="19">
        <f t="shared" si="41"/>
        <v>0</v>
      </c>
      <c r="W250" s="19">
        <f t="shared" si="42"/>
        <v>0</v>
      </c>
      <c r="X250" s="19">
        <f t="shared" si="43"/>
        <v>0</v>
      </c>
      <c r="Y250" s="19">
        <f t="shared" si="44"/>
        <v>2151.2199999999998</v>
      </c>
      <c r="Z250" s="20">
        <f t="shared" si="45"/>
        <v>2151.2199999999998</v>
      </c>
      <c r="AA250" s="20">
        <f t="shared" si="46"/>
        <v>0</v>
      </c>
    </row>
    <row r="251" spans="1:27" ht="15.75" customHeight="1">
      <c r="A251" s="14" t="s">
        <v>512</v>
      </c>
      <c r="B251" s="15" t="s">
        <v>513</v>
      </c>
      <c r="C251" s="16">
        <v>215.76</v>
      </c>
      <c r="D251" s="16">
        <v>215.76</v>
      </c>
      <c r="E251" s="17">
        <v>1</v>
      </c>
      <c r="F251" s="18">
        <v>0</v>
      </c>
      <c r="G251" s="18">
        <v>0</v>
      </c>
      <c r="H251" s="18">
        <v>0</v>
      </c>
      <c r="I251" s="17">
        <v>0</v>
      </c>
      <c r="J251" s="17">
        <f t="shared" si="36"/>
        <v>1</v>
      </c>
      <c r="K251" s="18">
        <v>1</v>
      </c>
      <c r="L251" s="51">
        <v>1</v>
      </c>
      <c r="M251" s="17" t="b">
        <f t="shared" si="47"/>
        <v>1</v>
      </c>
      <c r="N251" s="18">
        <v>0</v>
      </c>
      <c r="O251" s="17">
        <v>0</v>
      </c>
      <c r="P251" s="18">
        <f t="shared" si="37"/>
        <v>1</v>
      </c>
      <c r="Q251" s="17">
        <f t="shared" si="38"/>
        <v>0</v>
      </c>
      <c r="R251" s="3"/>
      <c r="S251" s="19">
        <f t="shared" si="39"/>
        <v>215.76</v>
      </c>
      <c r="T251" s="19">
        <v>0</v>
      </c>
      <c r="U251" s="19">
        <f t="shared" si="40"/>
        <v>0</v>
      </c>
      <c r="V251" s="19">
        <f t="shared" si="41"/>
        <v>0</v>
      </c>
      <c r="W251" s="19">
        <f t="shared" si="42"/>
        <v>0</v>
      </c>
      <c r="X251" s="19">
        <f t="shared" si="43"/>
        <v>0</v>
      </c>
      <c r="Y251" s="19">
        <f t="shared" si="44"/>
        <v>215.76</v>
      </c>
      <c r="Z251" s="20">
        <f t="shared" si="45"/>
        <v>215.76</v>
      </c>
      <c r="AA251" s="20">
        <f t="shared" si="46"/>
        <v>0</v>
      </c>
    </row>
    <row r="252" spans="1:27" ht="15.75" customHeight="1">
      <c r="A252" s="14" t="s">
        <v>514</v>
      </c>
      <c r="B252" s="15" t="s">
        <v>515</v>
      </c>
      <c r="C252" s="16">
        <v>182.12</v>
      </c>
      <c r="D252" s="16">
        <v>182.12</v>
      </c>
      <c r="E252" s="17">
        <v>1</v>
      </c>
      <c r="F252" s="18">
        <v>0</v>
      </c>
      <c r="G252" s="18">
        <v>0</v>
      </c>
      <c r="H252" s="18">
        <v>0</v>
      </c>
      <c r="I252" s="17">
        <v>0</v>
      </c>
      <c r="J252" s="17">
        <f t="shared" si="36"/>
        <v>1</v>
      </c>
      <c r="K252" s="18">
        <v>1</v>
      </c>
      <c r="L252" s="51">
        <v>1</v>
      </c>
      <c r="M252" s="17" t="b">
        <f t="shared" si="47"/>
        <v>1</v>
      </c>
      <c r="N252" s="18">
        <v>0</v>
      </c>
      <c r="O252" s="17">
        <v>0</v>
      </c>
      <c r="P252" s="18">
        <f t="shared" si="37"/>
        <v>1</v>
      </c>
      <c r="Q252" s="17">
        <f t="shared" si="38"/>
        <v>0</v>
      </c>
      <c r="R252" s="3"/>
      <c r="S252" s="19">
        <f t="shared" si="39"/>
        <v>182.12</v>
      </c>
      <c r="T252" s="19">
        <v>0</v>
      </c>
      <c r="U252" s="19">
        <f t="shared" si="40"/>
        <v>0</v>
      </c>
      <c r="V252" s="19">
        <f t="shared" si="41"/>
        <v>0</v>
      </c>
      <c r="W252" s="19">
        <f t="shared" si="42"/>
        <v>0</v>
      </c>
      <c r="X252" s="19">
        <f t="shared" si="43"/>
        <v>0</v>
      </c>
      <c r="Y252" s="19">
        <f t="shared" si="44"/>
        <v>182.12</v>
      </c>
      <c r="Z252" s="20">
        <f t="shared" si="45"/>
        <v>182.12</v>
      </c>
      <c r="AA252" s="20">
        <f t="shared" si="46"/>
        <v>0</v>
      </c>
    </row>
    <row r="253" spans="1:27" ht="15.75" customHeight="1">
      <c r="A253" s="14" t="s">
        <v>516</v>
      </c>
      <c r="B253" s="15" t="s">
        <v>517</v>
      </c>
      <c r="C253" s="16">
        <v>192.56</v>
      </c>
      <c r="D253" s="16">
        <v>192.56</v>
      </c>
      <c r="E253" s="17">
        <v>1</v>
      </c>
      <c r="F253" s="18">
        <v>0</v>
      </c>
      <c r="G253" s="18">
        <v>0</v>
      </c>
      <c r="H253" s="18">
        <v>0</v>
      </c>
      <c r="I253" s="17">
        <v>0</v>
      </c>
      <c r="J253" s="17">
        <f t="shared" si="36"/>
        <v>1</v>
      </c>
      <c r="K253" s="18">
        <v>1</v>
      </c>
      <c r="L253" s="51">
        <v>1</v>
      </c>
      <c r="M253" s="17" t="b">
        <f t="shared" si="47"/>
        <v>1</v>
      </c>
      <c r="N253" s="18">
        <v>0</v>
      </c>
      <c r="O253" s="17">
        <v>0</v>
      </c>
      <c r="P253" s="18">
        <f t="shared" si="37"/>
        <v>1</v>
      </c>
      <c r="Q253" s="17">
        <f t="shared" si="38"/>
        <v>0</v>
      </c>
      <c r="R253" s="3"/>
      <c r="S253" s="19">
        <f t="shared" si="39"/>
        <v>192.56</v>
      </c>
      <c r="T253" s="19">
        <v>0</v>
      </c>
      <c r="U253" s="19">
        <f t="shared" si="40"/>
        <v>0</v>
      </c>
      <c r="V253" s="19">
        <f t="shared" si="41"/>
        <v>0</v>
      </c>
      <c r="W253" s="19">
        <f t="shared" si="42"/>
        <v>0</v>
      </c>
      <c r="X253" s="19">
        <f t="shared" si="43"/>
        <v>0</v>
      </c>
      <c r="Y253" s="19">
        <f t="shared" si="44"/>
        <v>192.56</v>
      </c>
      <c r="Z253" s="20">
        <f t="shared" si="45"/>
        <v>192.56</v>
      </c>
      <c r="AA253" s="20">
        <f t="shared" si="46"/>
        <v>0</v>
      </c>
    </row>
    <row r="254" spans="1:27" ht="15.75" customHeight="1">
      <c r="A254" s="14" t="s">
        <v>518</v>
      </c>
      <c r="B254" s="15" t="s">
        <v>519</v>
      </c>
      <c r="C254" s="16">
        <v>1983.6</v>
      </c>
      <c r="D254" s="16">
        <v>1983.6</v>
      </c>
      <c r="E254" s="17">
        <v>1</v>
      </c>
      <c r="F254" s="18">
        <v>0</v>
      </c>
      <c r="G254" s="18">
        <v>0</v>
      </c>
      <c r="H254" s="18">
        <v>0</v>
      </c>
      <c r="I254" s="17">
        <v>0</v>
      </c>
      <c r="J254" s="17">
        <f t="shared" si="36"/>
        <v>1</v>
      </c>
      <c r="K254" s="18">
        <v>1</v>
      </c>
      <c r="L254" s="51">
        <v>1</v>
      </c>
      <c r="M254" s="17" t="b">
        <f t="shared" si="47"/>
        <v>1</v>
      </c>
      <c r="N254" s="18">
        <v>0</v>
      </c>
      <c r="O254" s="17">
        <v>0</v>
      </c>
      <c r="P254" s="18">
        <f t="shared" si="37"/>
        <v>1</v>
      </c>
      <c r="Q254" s="17">
        <f t="shared" si="38"/>
        <v>0</v>
      </c>
      <c r="R254" s="3"/>
      <c r="S254" s="19">
        <f t="shared" si="39"/>
        <v>1983.6</v>
      </c>
      <c r="T254" s="19">
        <v>0</v>
      </c>
      <c r="U254" s="19">
        <f t="shared" si="40"/>
        <v>0</v>
      </c>
      <c r="V254" s="19">
        <f t="shared" si="41"/>
        <v>0</v>
      </c>
      <c r="W254" s="19">
        <f t="shared" si="42"/>
        <v>0</v>
      </c>
      <c r="X254" s="19">
        <f t="shared" si="43"/>
        <v>0</v>
      </c>
      <c r="Y254" s="19">
        <f t="shared" si="44"/>
        <v>1983.6</v>
      </c>
      <c r="Z254" s="20">
        <f t="shared" si="45"/>
        <v>1983.6</v>
      </c>
      <c r="AA254" s="20">
        <f t="shared" si="46"/>
        <v>0</v>
      </c>
    </row>
    <row r="255" spans="1:27" ht="15.75" customHeight="1">
      <c r="A255" s="14" t="s">
        <v>520</v>
      </c>
      <c r="B255" s="15" t="s">
        <v>521</v>
      </c>
      <c r="C255" s="16">
        <v>0</v>
      </c>
      <c r="D255" s="16">
        <v>0</v>
      </c>
      <c r="E255" s="17">
        <v>0</v>
      </c>
      <c r="F255" s="18">
        <v>0</v>
      </c>
      <c r="G255" s="18">
        <v>0</v>
      </c>
      <c r="H255" s="18">
        <v>0</v>
      </c>
      <c r="I255" s="17">
        <v>0</v>
      </c>
      <c r="J255" s="17">
        <f t="shared" si="36"/>
        <v>0</v>
      </c>
      <c r="K255" s="18">
        <v>0</v>
      </c>
      <c r="L255" s="51">
        <v>0</v>
      </c>
      <c r="M255" s="17" t="b">
        <f t="shared" si="47"/>
        <v>1</v>
      </c>
      <c r="N255" s="18">
        <v>0</v>
      </c>
      <c r="O255" s="17">
        <v>0</v>
      </c>
      <c r="P255" s="18">
        <f t="shared" si="37"/>
        <v>0</v>
      </c>
      <c r="Q255" s="17">
        <f t="shared" si="38"/>
        <v>0</v>
      </c>
      <c r="R255" s="3"/>
      <c r="S255" s="19">
        <f t="shared" si="39"/>
        <v>0</v>
      </c>
      <c r="T255" s="19">
        <v>0</v>
      </c>
      <c r="U255" s="19">
        <f t="shared" si="40"/>
        <v>0</v>
      </c>
      <c r="V255" s="19">
        <f t="shared" si="41"/>
        <v>0</v>
      </c>
      <c r="W255" s="19">
        <f t="shared" si="42"/>
        <v>0</v>
      </c>
      <c r="X255" s="19">
        <f t="shared" si="43"/>
        <v>0</v>
      </c>
      <c r="Y255" s="19">
        <f t="shared" si="44"/>
        <v>0</v>
      </c>
      <c r="Z255" s="20">
        <f t="shared" si="45"/>
        <v>0</v>
      </c>
      <c r="AA255" s="20">
        <f t="shared" si="46"/>
        <v>0</v>
      </c>
    </row>
    <row r="256" spans="1:27" ht="15.75" customHeight="1">
      <c r="A256" s="14" t="s">
        <v>522</v>
      </c>
      <c r="B256" s="15" t="s">
        <v>523</v>
      </c>
      <c r="C256" s="16">
        <v>723.8</v>
      </c>
      <c r="D256" s="16">
        <v>723.8</v>
      </c>
      <c r="E256" s="17">
        <v>2</v>
      </c>
      <c r="F256" s="18">
        <v>0</v>
      </c>
      <c r="G256" s="18">
        <v>0</v>
      </c>
      <c r="H256" s="18">
        <v>0</v>
      </c>
      <c r="I256" s="17">
        <v>0</v>
      </c>
      <c r="J256" s="17">
        <f t="shared" si="36"/>
        <v>2</v>
      </c>
      <c r="K256" s="18">
        <v>2</v>
      </c>
      <c r="L256" s="51">
        <v>2</v>
      </c>
      <c r="M256" s="17" t="b">
        <f t="shared" si="47"/>
        <v>1</v>
      </c>
      <c r="N256" s="18">
        <v>0</v>
      </c>
      <c r="O256" s="17">
        <v>0</v>
      </c>
      <c r="P256" s="18">
        <f t="shared" si="37"/>
        <v>2</v>
      </c>
      <c r="Q256" s="17">
        <f t="shared" si="38"/>
        <v>0</v>
      </c>
      <c r="R256" s="3"/>
      <c r="S256" s="19">
        <f t="shared" si="39"/>
        <v>1447.6</v>
      </c>
      <c r="T256" s="19">
        <v>0</v>
      </c>
      <c r="U256" s="19">
        <f t="shared" si="40"/>
        <v>0</v>
      </c>
      <c r="V256" s="19">
        <f t="shared" si="41"/>
        <v>0</v>
      </c>
      <c r="W256" s="19">
        <f t="shared" si="42"/>
        <v>0</v>
      </c>
      <c r="X256" s="19">
        <f t="shared" si="43"/>
        <v>0</v>
      </c>
      <c r="Y256" s="19">
        <f t="shared" si="44"/>
        <v>1447.6</v>
      </c>
      <c r="Z256" s="20">
        <f t="shared" si="45"/>
        <v>1447.6</v>
      </c>
      <c r="AA256" s="20">
        <f t="shared" si="46"/>
        <v>0</v>
      </c>
    </row>
    <row r="257" spans="1:27" ht="15.75" customHeight="1">
      <c r="A257" s="14" t="s">
        <v>524</v>
      </c>
      <c r="B257" s="15" t="s">
        <v>525</v>
      </c>
      <c r="C257" s="16">
        <v>460</v>
      </c>
      <c r="D257" s="16">
        <v>460</v>
      </c>
      <c r="E257" s="17">
        <v>2</v>
      </c>
      <c r="F257" s="18">
        <v>0</v>
      </c>
      <c r="G257" s="18">
        <v>0</v>
      </c>
      <c r="H257" s="18">
        <v>0</v>
      </c>
      <c r="I257" s="17">
        <v>0</v>
      </c>
      <c r="J257" s="17">
        <f t="shared" si="36"/>
        <v>2</v>
      </c>
      <c r="K257" s="18">
        <v>1</v>
      </c>
      <c r="L257" s="51">
        <v>1</v>
      </c>
      <c r="M257" s="17" t="b">
        <f t="shared" si="47"/>
        <v>1</v>
      </c>
      <c r="N257" s="18">
        <v>0</v>
      </c>
      <c r="O257" s="17">
        <v>1</v>
      </c>
      <c r="P257" s="18">
        <f t="shared" si="37"/>
        <v>2</v>
      </c>
      <c r="Q257" s="17">
        <f t="shared" si="38"/>
        <v>0</v>
      </c>
      <c r="R257" s="3"/>
      <c r="S257" s="19">
        <f t="shared" si="39"/>
        <v>920</v>
      </c>
      <c r="T257" s="19">
        <v>0</v>
      </c>
      <c r="U257" s="19">
        <f t="shared" si="40"/>
        <v>0</v>
      </c>
      <c r="V257" s="19">
        <f t="shared" si="41"/>
        <v>0</v>
      </c>
      <c r="W257" s="19">
        <f t="shared" si="42"/>
        <v>0</v>
      </c>
      <c r="X257" s="19">
        <f t="shared" si="43"/>
        <v>0</v>
      </c>
      <c r="Y257" s="19">
        <f t="shared" si="44"/>
        <v>920</v>
      </c>
      <c r="Z257" s="20">
        <f t="shared" si="45"/>
        <v>920</v>
      </c>
      <c r="AA257" s="20">
        <f t="shared" si="46"/>
        <v>0</v>
      </c>
    </row>
    <row r="258" spans="1:27" ht="15.75" customHeight="1">
      <c r="A258" s="14" t="s">
        <v>526</v>
      </c>
      <c r="B258" s="15" t="s">
        <v>527</v>
      </c>
      <c r="C258" s="16">
        <v>0</v>
      </c>
      <c r="D258" s="16">
        <v>0</v>
      </c>
      <c r="E258" s="17">
        <v>0</v>
      </c>
      <c r="F258" s="18">
        <v>0</v>
      </c>
      <c r="G258" s="18">
        <v>0</v>
      </c>
      <c r="H258" s="18">
        <v>0</v>
      </c>
      <c r="I258" s="17">
        <v>0</v>
      </c>
      <c r="J258" s="17">
        <f t="shared" si="36"/>
        <v>0</v>
      </c>
      <c r="K258" s="18">
        <v>0</v>
      </c>
      <c r="L258" s="51">
        <v>0</v>
      </c>
      <c r="M258" s="17" t="b">
        <f t="shared" si="47"/>
        <v>1</v>
      </c>
      <c r="N258" s="18">
        <v>0</v>
      </c>
      <c r="O258" s="17">
        <v>0</v>
      </c>
      <c r="P258" s="18">
        <f t="shared" si="37"/>
        <v>0</v>
      </c>
      <c r="Q258" s="17">
        <f t="shared" si="38"/>
        <v>0</v>
      </c>
      <c r="R258" s="3"/>
      <c r="S258" s="19">
        <f t="shared" si="39"/>
        <v>0</v>
      </c>
      <c r="T258" s="19">
        <v>0</v>
      </c>
      <c r="U258" s="19">
        <f t="shared" si="40"/>
        <v>0</v>
      </c>
      <c r="V258" s="19">
        <f t="shared" si="41"/>
        <v>0</v>
      </c>
      <c r="W258" s="19">
        <f t="shared" si="42"/>
        <v>0</v>
      </c>
      <c r="X258" s="19">
        <f t="shared" si="43"/>
        <v>0</v>
      </c>
      <c r="Y258" s="19">
        <f t="shared" si="44"/>
        <v>0</v>
      </c>
      <c r="Z258" s="20">
        <f t="shared" si="45"/>
        <v>0</v>
      </c>
      <c r="AA258" s="20">
        <f t="shared" si="46"/>
        <v>0</v>
      </c>
    </row>
    <row r="259" spans="1:27" ht="15.75" customHeight="1">
      <c r="A259" s="14" t="s">
        <v>528</v>
      </c>
      <c r="B259" s="15" t="s">
        <v>529</v>
      </c>
      <c r="C259" s="16">
        <v>4700</v>
      </c>
      <c r="D259" s="16">
        <v>4700</v>
      </c>
      <c r="E259" s="17">
        <v>0</v>
      </c>
      <c r="F259" s="18">
        <v>0</v>
      </c>
      <c r="G259" s="18">
        <v>0</v>
      </c>
      <c r="H259" s="18">
        <v>0</v>
      </c>
      <c r="I259" s="17">
        <v>0</v>
      </c>
      <c r="J259" s="17">
        <f t="shared" si="36"/>
        <v>0</v>
      </c>
      <c r="K259" s="18">
        <v>0</v>
      </c>
      <c r="L259" s="51">
        <v>0</v>
      </c>
      <c r="M259" s="17" t="b">
        <f t="shared" si="47"/>
        <v>1</v>
      </c>
      <c r="N259" s="18">
        <v>0</v>
      </c>
      <c r="O259" s="17">
        <v>0</v>
      </c>
      <c r="P259" s="18">
        <f t="shared" si="37"/>
        <v>0</v>
      </c>
      <c r="Q259" s="17">
        <f t="shared" si="38"/>
        <v>0</v>
      </c>
      <c r="R259" s="3"/>
      <c r="S259" s="19">
        <f t="shared" si="39"/>
        <v>0</v>
      </c>
      <c r="T259" s="19">
        <v>0</v>
      </c>
      <c r="U259" s="19">
        <f t="shared" si="40"/>
        <v>0</v>
      </c>
      <c r="V259" s="19">
        <f t="shared" si="41"/>
        <v>0</v>
      </c>
      <c r="W259" s="19">
        <f t="shared" si="42"/>
        <v>0</v>
      </c>
      <c r="X259" s="19">
        <f t="shared" si="43"/>
        <v>0</v>
      </c>
      <c r="Y259" s="19">
        <f t="shared" si="44"/>
        <v>0</v>
      </c>
      <c r="Z259" s="20">
        <f t="shared" si="45"/>
        <v>0</v>
      </c>
      <c r="AA259" s="20">
        <f t="shared" si="46"/>
        <v>0</v>
      </c>
    </row>
    <row r="260" spans="1:27" ht="15.75" customHeight="1">
      <c r="A260" s="14" t="s">
        <v>530</v>
      </c>
      <c r="B260" s="15" t="s">
        <v>531</v>
      </c>
      <c r="C260" s="16">
        <v>9600</v>
      </c>
      <c r="D260" s="16">
        <v>9600</v>
      </c>
      <c r="E260" s="17">
        <v>1</v>
      </c>
      <c r="F260" s="18">
        <v>0</v>
      </c>
      <c r="G260" s="18">
        <v>0</v>
      </c>
      <c r="H260" s="18">
        <v>0</v>
      </c>
      <c r="I260" s="17">
        <v>0</v>
      </c>
      <c r="J260" s="17">
        <f t="shared" si="36"/>
        <v>1</v>
      </c>
      <c r="K260" s="18">
        <v>1</v>
      </c>
      <c r="L260" s="51">
        <v>1</v>
      </c>
      <c r="M260" s="17" t="b">
        <f t="shared" si="47"/>
        <v>1</v>
      </c>
      <c r="N260" s="18">
        <v>0</v>
      </c>
      <c r="O260" s="18">
        <v>0</v>
      </c>
      <c r="P260" s="18">
        <f t="shared" si="37"/>
        <v>1</v>
      </c>
      <c r="Q260" s="17">
        <f t="shared" si="38"/>
        <v>0</v>
      </c>
      <c r="R260" s="3"/>
      <c r="S260" s="19">
        <f t="shared" si="39"/>
        <v>9600</v>
      </c>
      <c r="T260" s="19">
        <v>0</v>
      </c>
      <c r="U260" s="19">
        <f t="shared" si="40"/>
        <v>0</v>
      </c>
      <c r="V260" s="19">
        <f t="shared" si="41"/>
        <v>0</v>
      </c>
      <c r="W260" s="19">
        <f t="shared" si="42"/>
        <v>0</v>
      </c>
      <c r="X260" s="19">
        <f t="shared" si="43"/>
        <v>0</v>
      </c>
      <c r="Y260" s="19">
        <f t="shared" si="44"/>
        <v>9600</v>
      </c>
      <c r="Z260" s="20">
        <f t="shared" si="45"/>
        <v>9600</v>
      </c>
      <c r="AA260" s="20">
        <f t="shared" si="46"/>
        <v>0</v>
      </c>
    </row>
    <row r="261" spans="1:27" ht="15.75" customHeight="1">
      <c r="A261" s="14" t="s">
        <v>532</v>
      </c>
      <c r="B261" s="15" t="s">
        <v>533</v>
      </c>
      <c r="C261" s="16">
        <v>652.5</v>
      </c>
      <c r="D261" s="16">
        <v>652.5</v>
      </c>
      <c r="E261" s="17">
        <v>3</v>
      </c>
      <c r="F261" s="18">
        <v>0</v>
      </c>
      <c r="G261" s="18">
        <v>0</v>
      </c>
      <c r="H261" s="18">
        <v>0</v>
      </c>
      <c r="I261" s="17">
        <v>0</v>
      </c>
      <c r="J261" s="17">
        <f t="shared" si="36"/>
        <v>3</v>
      </c>
      <c r="K261" s="18">
        <v>3</v>
      </c>
      <c r="L261" s="51">
        <v>3</v>
      </c>
      <c r="M261" s="17" t="b">
        <f t="shared" si="47"/>
        <v>1</v>
      </c>
      <c r="N261" s="18">
        <v>0</v>
      </c>
      <c r="O261" s="17">
        <v>0</v>
      </c>
      <c r="P261" s="18">
        <f t="shared" si="37"/>
        <v>3</v>
      </c>
      <c r="Q261" s="17">
        <f t="shared" si="38"/>
        <v>0</v>
      </c>
      <c r="R261" s="3"/>
      <c r="S261" s="19">
        <f t="shared" si="39"/>
        <v>1957.5</v>
      </c>
      <c r="T261" s="19">
        <v>0</v>
      </c>
      <c r="U261" s="19">
        <f t="shared" si="40"/>
        <v>0</v>
      </c>
      <c r="V261" s="19">
        <f t="shared" si="41"/>
        <v>0</v>
      </c>
      <c r="W261" s="19">
        <f t="shared" si="42"/>
        <v>0</v>
      </c>
      <c r="X261" s="19">
        <f t="shared" si="43"/>
        <v>0</v>
      </c>
      <c r="Y261" s="19">
        <f t="shared" si="44"/>
        <v>1957.5</v>
      </c>
      <c r="Z261" s="20">
        <f t="shared" si="45"/>
        <v>1957.5</v>
      </c>
      <c r="AA261" s="20">
        <f t="shared" si="46"/>
        <v>0</v>
      </c>
    </row>
    <row r="262" spans="1:27" ht="15.75" customHeight="1">
      <c r="A262" s="14" t="s">
        <v>534</v>
      </c>
      <c r="B262" s="15" t="s">
        <v>535</v>
      </c>
      <c r="C262" s="16">
        <v>652.5</v>
      </c>
      <c r="D262" s="16">
        <v>652.5</v>
      </c>
      <c r="E262" s="17">
        <v>3</v>
      </c>
      <c r="F262" s="18">
        <v>0</v>
      </c>
      <c r="G262" s="18">
        <v>0</v>
      </c>
      <c r="H262" s="18">
        <v>0</v>
      </c>
      <c r="I262" s="17">
        <v>0</v>
      </c>
      <c r="J262" s="17">
        <f t="shared" si="36"/>
        <v>3</v>
      </c>
      <c r="K262" s="18">
        <v>3</v>
      </c>
      <c r="L262" s="51">
        <v>3</v>
      </c>
      <c r="M262" s="17" t="b">
        <f t="shared" si="47"/>
        <v>1</v>
      </c>
      <c r="N262" s="18">
        <v>0</v>
      </c>
      <c r="O262" s="17">
        <v>0</v>
      </c>
      <c r="P262" s="18">
        <f t="shared" si="37"/>
        <v>3</v>
      </c>
      <c r="Q262" s="17">
        <f t="shared" si="38"/>
        <v>0</v>
      </c>
      <c r="R262" s="3"/>
      <c r="S262" s="19">
        <f t="shared" si="39"/>
        <v>1957.5</v>
      </c>
      <c r="T262" s="19">
        <v>0</v>
      </c>
      <c r="U262" s="19">
        <f t="shared" si="40"/>
        <v>0</v>
      </c>
      <c r="V262" s="19">
        <f t="shared" si="41"/>
        <v>0</v>
      </c>
      <c r="W262" s="19">
        <f t="shared" si="42"/>
        <v>0</v>
      </c>
      <c r="X262" s="19">
        <f t="shared" si="43"/>
        <v>0</v>
      </c>
      <c r="Y262" s="19">
        <f t="shared" si="44"/>
        <v>1957.5</v>
      </c>
      <c r="Z262" s="20">
        <f t="shared" si="45"/>
        <v>1957.5</v>
      </c>
      <c r="AA262" s="20">
        <f t="shared" si="46"/>
        <v>0</v>
      </c>
    </row>
    <row r="263" spans="1:27" ht="15.75" customHeight="1">
      <c r="A263" s="14" t="s">
        <v>536</v>
      </c>
      <c r="B263" s="15" t="s">
        <v>537</v>
      </c>
      <c r="C263" s="16">
        <v>652.5</v>
      </c>
      <c r="D263" s="16">
        <v>652.5</v>
      </c>
      <c r="E263" s="17">
        <v>3</v>
      </c>
      <c r="F263" s="18">
        <v>0</v>
      </c>
      <c r="G263" s="18">
        <v>0</v>
      </c>
      <c r="H263" s="18">
        <v>0</v>
      </c>
      <c r="I263" s="17">
        <v>0</v>
      </c>
      <c r="J263" s="17">
        <f t="shared" ref="J263:J304" si="48">E263+F263+G263-H263-I263</f>
        <v>3</v>
      </c>
      <c r="K263" s="18">
        <v>3</v>
      </c>
      <c r="L263" s="51">
        <v>3</v>
      </c>
      <c r="M263" s="17" t="b">
        <f t="shared" si="47"/>
        <v>1</v>
      </c>
      <c r="N263" s="18">
        <v>0</v>
      </c>
      <c r="O263" s="17">
        <v>0</v>
      </c>
      <c r="P263" s="18">
        <f t="shared" ref="P263:P304" si="49">K263+N263+O263</f>
        <v>3</v>
      </c>
      <c r="Q263" s="17">
        <f t="shared" ref="Q263:Q304" si="50">P263-J263</f>
        <v>0</v>
      </c>
      <c r="R263" s="3"/>
      <c r="S263" s="19">
        <f t="shared" ref="S263:S304" si="51">C263*E263</f>
        <v>1957.5</v>
      </c>
      <c r="T263" s="19">
        <v>0</v>
      </c>
      <c r="U263" s="19">
        <f t="shared" ref="U263:U304" si="52">D263*F263</f>
        <v>0</v>
      </c>
      <c r="V263" s="19">
        <f t="shared" ref="V263:V304" si="53">D263*G263</f>
        <v>0</v>
      </c>
      <c r="W263" s="19">
        <f t="shared" ref="W263:W304" si="54">D263*H263</f>
        <v>0</v>
      </c>
      <c r="X263" s="19">
        <f t="shared" ref="X263:X304" si="55">D263*I263</f>
        <v>0</v>
      </c>
      <c r="Y263" s="19">
        <f t="shared" ref="Y263:Y304" si="56">S263+T263+U263+V263-W263-X263</f>
        <v>1957.5</v>
      </c>
      <c r="Z263" s="20">
        <f t="shared" ref="Z263:Z304" si="57">J263*D263</f>
        <v>1957.5</v>
      </c>
      <c r="AA263" s="20">
        <f t="shared" ref="AA263:AA304" si="58">Z263-Y263</f>
        <v>0</v>
      </c>
    </row>
    <row r="264" spans="1:27" ht="15.75" customHeight="1">
      <c r="A264" s="14" t="s">
        <v>538</v>
      </c>
      <c r="B264" s="15" t="s">
        <v>539</v>
      </c>
      <c r="C264" s="16">
        <v>652</v>
      </c>
      <c r="D264" s="16">
        <v>652</v>
      </c>
      <c r="E264" s="17">
        <v>3</v>
      </c>
      <c r="F264" s="18">
        <v>0</v>
      </c>
      <c r="G264" s="18">
        <v>0</v>
      </c>
      <c r="H264" s="18">
        <v>0</v>
      </c>
      <c r="I264" s="17">
        <v>0</v>
      </c>
      <c r="J264" s="17">
        <f t="shared" si="48"/>
        <v>3</v>
      </c>
      <c r="K264" s="18">
        <v>3</v>
      </c>
      <c r="L264" s="51">
        <v>3</v>
      </c>
      <c r="M264" s="17" t="b">
        <f t="shared" ref="M264:M304" si="59">K264=L264</f>
        <v>1</v>
      </c>
      <c r="N264" s="18">
        <v>0</v>
      </c>
      <c r="O264" s="17">
        <v>0</v>
      </c>
      <c r="P264" s="18">
        <f t="shared" si="49"/>
        <v>3</v>
      </c>
      <c r="Q264" s="17">
        <f t="shared" si="50"/>
        <v>0</v>
      </c>
      <c r="R264" s="3"/>
      <c r="S264" s="19">
        <f t="shared" si="51"/>
        <v>1956</v>
      </c>
      <c r="T264" s="19">
        <v>0</v>
      </c>
      <c r="U264" s="19">
        <f t="shared" si="52"/>
        <v>0</v>
      </c>
      <c r="V264" s="19">
        <f t="shared" si="53"/>
        <v>0</v>
      </c>
      <c r="W264" s="19">
        <f t="shared" si="54"/>
        <v>0</v>
      </c>
      <c r="X264" s="19">
        <f t="shared" si="55"/>
        <v>0</v>
      </c>
      <c r="Y264" s="19">
        <f t="shared" si="56"/>
        <v>1956</v>
      </c>
      <c r="Z264" s="20">
        <f t="shared" si="57"/>
        <v>1956</v>
      </c>
      <c r="AA264" s="20">
        <f t="shared" si="58"/>
        <v>0</v>
      </c>
    </row>
    <row r="265" spans="1:27" ht="15.75" customHeight="1">
      <c r="A265" s="14" t="s">
        <v>540</v>
      </c>
      <c r="B265" s="15" t="s">
        <v>541</v>
      </c>
      <c r="C265" s="16">
        <v>1320.89</v>
      </c>
      <c r="D265" s="16">
        <v>1320.89</v>
      </c>
      <c r="E265" s="17">
        <v>0</v>
      </c>
      <c r="F265" s="18">
        <v>0</v>
      </c>
      <c r="G265" s="18">
        <v>0</v>
      </c>
      <c r="H265" s="18">
        <v>0</v>
      </c>
      <c r="I265" s="17">
        <v>0</v>
      </c>
      <c r="J265" s="17">
        <f t="shared" si="48"/>
        <v>0</v>
      </c>
      <c r="K265" s="18">
        <v>0</v>
      </c>
      <c r="L265" s="51">
        <v>0</v>
      </c>
      <c r="M265" s="17" t="b">
        <f t="shared" si="59"/>
        <v>1</v>
      </c>
      <c r="N265" s="18">
        <v>0</v>
      </c>
      <c r="O265" s="17">
        <v>0</v>
      </c>
      <c r="P265" s="18">
        <f t="shared" si="49"/>
        <v>0</v>
      </c>
      <c r="Q265" s="17">
        <f t="shared" si="50"/>
        <v>0</v>
      </c>
      <c r="R265" s="3"/>
      <c r="S265" s="19">
        <f t="shared" si="51"/>
        <v>0</v>
      </c>
      <c r="T265" s="19">
        <v>0</v>
      </c>
      <c r="U265" s="19">
        <f t="shared" si="52"/>
        <v>0</v>
      </c>
      <c r="V265" s="19">
        <f t="shared" si="53"/>
        <v>0</v>
      </c>
      <c r="W265" s="19">
        <f t="shared" si="54"/>
        <v>0</v>
      </c>
      <c r="X265" s="19">
        <f t="shared" si="55"/>
        <v>0</v>
      </c>
      <c r="Y265" s="19">
        <f t="shared" si="56"/>
        <v>0</v>
      </c>
      <c r="Z265" s="20">
        <f t="shared" si="57"/>
        <v>0</v>
      </c>
      <c r="AA265" s="20">
        <f t="shared" si="58"/>
        <v>0</v>
      </c>
    </row>
    <row r="266" spans="1:27" ht="15.75" customHeight="1">
      <c r="A266" s="14" t="s">
        <v>542</v>
      </c>
      <c r="B266" s="15" t="s">
        <v>543</v>
      </c>
      <c r="C266" s="16">
        <v>2086.2600000000002</v>
      </c>
      <c r="D266" s="16">
        <v>2086.2600000000002</v>
      </c>
      <c r="E266" s="17">
        <v>3</v>
      </c>
      <c r="F266" s="18">
        <v>0</v>
      </c>
      <c r="G266" s="18">
        <v>0</v>
      </c>
      <c r="H266" s="18">
        <v>0</v>
      </c>
      <c r="I266" s="17">
        <v>0</v>
      </c>
      <c r="J266" s="17">
        <f t="shared" si="48"/>
        <v>3</v>
      </c>
      <c r="K266" s="18">
        <v>3</v>
      </c>
      <c r="L266" s="51">
        <v>3</v>
      </c>
      <c r="M266" s="17" t="b">
        <f t="shared" si="59"/>
        <v>1</v>
      </c>
      <c r="N266" s="18">
        <v>0</v>
      </c>
      <c r="O266" s="17">
        <v>0</v>
      </c>
      <c r="P266" s="18">
        <f t="shared" si="49"/>
        <v>3</v>
      </c>
      <c r="Q266" s="17">
        <f t="shared" si="50"/>
        <v>0</v>
      </c>
      <c r="R266" s="3"/>
      <c r="S266" s="19">
        <f t="shared" si="51"/>
        <v>6258.7800000000007</v>
      </c>
      <c r="T266" s="19">
        <v>0</v>
      </c>
      <c r="U266" s="19">
        <f t="shared" si="52"/>
        <v>0</v>
      </c>
      <c r="V266" s="19">
        <f t="shared" si="53"/>
        <v>0</v>
      </c>
      <c r="W266" s="19">
        <f t="shared" si="54"/>
        <v>0</v>
      </c>
      <c r="X266" s="19">
        <f t="shared" si="55"/>
        <v>0</v>
      </c>
      <c r="Y266" s="19">
        <f t="shared" si="56"/>
        <v>6258.7800000000007</v>
      </c>
      <c r="Z266" s="20">
        <f t="shared" si="57"/>
        <v>6258.7800000000007</v>
      </c>
      <c r="AA266" s="20">
        <f t="shared" si="58"/>
        <v>0</v>
      </c>
    </row>
    <row r="267" spans="1:27" ht="15.75" customHeight="1">
      <c r="A267" s="14" t="s">
        <v>544</v>
      </c>
      <c r="B267" s="15" t="s">
        <v>545</v>
      </c>
      <c r="C267" s="16">
        <v>1462.18</v>
      </c>
      <c r="D267" s="16">
        <v>1462.18</v>
      </c>
      <c r="E267" s="17">
        <v>0</v>
      </c>
      <c r="F267" s="18">
        <v>0</v>
      </c>
      <c r="G267" s="18">
        <v>0</v>
      </c>
      <c r="H267" s="18">
        <v>0</v>
      </c>
      <c r="I267" s="17">
        <v>0</v>
      </c>
      <c r="J267" s="17">
        <f t="shared" si="48"/>
        <v>0</v>
      </c>
      <c r="K267" s="18">
        <v>0</v>
      </c>
      <c r="L267" s="51">
        <v>0</v>
      </c>
      <c r="M267" s="17" t="b">
        <f t="shared" si="59"/>
        <v>1</v>
      </c>
      <c r="N267" s="18">
        <v>0</v>
      </c>
      <c r="O267" s="17">
        <v>0</v>
      </c>
      <c r="P267" s="18">
        <f t="shared" si="49"/>
        <v>0</v>
      </c>
      <c r="Q267" s="17">
        <f t="shared" si="50"/>
        <v>0</v>
      </c>
      <c r="R267" s="3"/>
      <c r="S267" s="19">
        <f t="shared" si="51"/>
        <v>0</v>
      </c>
      <c r="T267" s="19">
        <v>0</v>
      </c>
      <c r="U267" s="19">
        <f t="shared" si="52"/>
        <v>0</v>
      </c>
      <c r="V267" s="19">
        <f t="shared" si="53"/>
        <v>0</v>
      </c>
      <c r="W267" s="19">
        <f t="shared" si="54"/>
        <v>0</v>
      </c>
      <c r="X267" s="19">
        <f t="shared" si="55"/>
        <v>0</v>
      </c>
      <c r="Y267" s="19">
        <f t="shared" si="56"/>
        <v>0</v>
      </c>
      <c r="Z267" s="20">
        <f t="shared" si="57"/>
        <v>0</v>
      </c>
      <c r="AA267" s="20">
        <f t="shared" si="58"/>
        <v>0</v>
      </c>
    </row>
    <row r="268" spans="1:27" ht="15.75" customHeight="1">
      <c r="A268" s="14" t="s">
        <v>546</v>
      </c>
      <c r="B268" s="15" t="s">
        <v>547</v>
      </c>
      <c r="C268" s="16">
        <v>1981.28</v>
      </c>
      <c r="D268" s="16">
        <v>1981.28</v>
      </c>
      <c r="E268" s="17">
        <v>0</v>
      </c>
      <c r="F268" s="18">
        <v>0</v>
      </c>
      <c r="G268" s="18">
        <v>0</v>
      </c>
      <c r="H268" s="18">
        <v>0</v>
      </c>
      <c r="I268" s="17">
        <v>0</v>
      </c>
      <c r="J268" s="17">
        <f t="shared" si="48"/>
        <v>0</v>
      </c>
      <c r="K268" s="18">
        <v>0</v>
      </c>
      <c r="L268" s="51">
        <v>0</v>
      </c>
      <c r="M268" s="17" t="b">
        <f t="shared" si="59"/>
        <v>1</v>
      </c>
      <c r="N268" s="18">
        <v>0</v>
      </c>
      <c r="O268" s="17">
        <v>0</v>
      </c>
      <c r="P268" s="18">
        <f t="shared" si="49"/>
        <v>0</v>
      </c>
      <c r="Q268" s="17">
        <f t="shared" si="50"/>
        <v>0</v>
      </c>
      <c r="R268" s="3"/>
      <c r="S268" s="19">
        <f t="shared" si="51"/>
        <v>0</v>
      </c>
      <c r="T268" s="19">
        <v>0</v>
      </c>
      <c r="U268" s="19">
        <f t="shared" si="52"/>
        <v>0</v>
      </c>
      <c r="V268" s="19">
        <f t="shared" si="53"/>
        <v>0</v>
      </c>
      <c r="W268" s="19">
        <f t="shared" si="54"/>
        <v>0</v>
      </c>
      <c r="X268" s="19">
        <f t="shared" si="55"/>
        <v>0</v>
      </c>
      <c r="Y268" s="19">
        <f t="shared" si="56"/>
        <v>0</v>
      </c>
      <c r="Z268" s="20">
        <f t="shared" si="57"/>
        <v>0</v>
      </c>
      <c r="AA268" s="20">
        <f t="shared" si="58"/>
        <v>0</v>
      </c>
    </row>
    <row r="269" spans="1:27" ht="15.75" customHeight="1">
      <c r="A269" s="14" t="s">
        <v>548</v>
      </c>
      <c r="B269" s="15" t="s">
        <v>549</v>
      </c>
      <c r="C269" s="16">
        <v>630</v>
      </c>
      <c r="D269" s="16">
        <v>630</v>
      </c>
      <c r="E269" s="17">
        <v>3</v>
      </c>
      <c r="F269" s="18">
        <v>0</v>
      </c>
      <c r="G269" s="18">
        <v>0</v>
      </c>
      <c r="H269" s="18">
        <v>0</v>
      </c>
      <c r="I269" s="17">
        <v>0</v>
      </c>
      <c r="J269" s="17">
        <f t="shared" si="48"/>
        <v>3</v>
      </c>
      <c r="K269" s="18">
        <v>3</v>
      </c>
      <c r="L269" s="51">
        <v>3</v>
      </c>
      <c r="M269" s="17" t="b">
        <f t="shared" si="59"/>
        <v>1</v>
      </c>
      <c r="N269" s="18">
        <v>0</v>
      </c>
      <c r="O269" s="17">
        <v>0</v>
      </c>
      <c r="P269" s="18">
        <f t="shared" si="49"/>
        <v>3</v>
      </c>
      <c r="Q269" s="17">
        <f t="shared" si="50"/>
        <v>0</v>
      </c>
      <c r="R269" s="3"/>
      <c r="S269" s="19">
        <f t="shared" si="51"/>
        <v>1890</v>
      </c>
      <c r="T269" s="19">
        <v>0</v>
      </c>
      <c r="U269" s="19">
        <f t="shared" si="52"/>
        <v>0</v>
      </c>
      <c r="V269" s="19">
        <f t="shared" si="53"/>
        <v>0</v>
      </c>
      <c r="W269" s="19">
        <f t="shared" si="54"/>
        <v>0</v>
      </c>
      <c r="X269" s="19">
        <f t="shared" si="55"/>
        <v>0</v>
      </c>
      <c r="Y269" s="19">
        <f t="shared" si="56"/>
        <v>1890</v>
      </c>
      <c r="Z269" s="20">
        <f t="shared" si="57"/>
        <v>1890</v>
      </c>
      <c r="AA269" s="20">
        <f t="shared" si="58"/>
        <v>0</v>
      </c>
    </row>
    <row r="270" spans="1:27" ht="15.75" customHeight="1">
      <c r="A270" s="14" t="s">
        <v>550</v>
      </c>
      <c r="B270" s="15" t="s">
        <v>551</v>
      </c>
      <c r="C270" s="16">
        <v>60</v>
      </c>
      <c r="D270" s="16">
        <v>60</v>
      </c>
      <c r="E270" s="17">
        <v>191</v>
      </c>
      <c r="F270" s="18">
        <v>0</v>
      </c>
      <c r="G270" s="18">
        <v>0</v>
      </c>
      <c r="H270" s="18">
        <v>0</v>
      </c>
      <c r="I270" s="17">
        <v>0</v>
      </c>
      <c r="J270" s="17">
        <f t="shared" si="48"/>
        <v>191</v>
      </c>
      <c r="K270" s="18">
        <v>91</v>
      </c>
      <c r="L270" s="51">
        <v>91</v>
      </c>
      <c r="M270" s="17" t="b">
        <f t="shared" si="59"/>
        <v>1</v>
      </c>
      <c r="N270" s="18">
        <v>100</v>
      </c>
      <c r="O270" s="17">
        <v>0</v>
      </c>
      <c r="P270" s="18">
        <f t="shared" si="49"/>
        <v>191</v>
      </c>
      <c r="Q270" s="17">
        <f t="shared" si="50"/>
        <v>0</v>
      </c>
      <c r="R270" s="3"/>
      <c r="S270" s="19">
        <f t="shared" si="51"/>
        <v>11460</v>
      </c>
      <c r="T270" s="19">
        <v>0</v>
      </c>
      <c r="U270" s="19">
        <f t="shared" si="52"/>
        <v>0</v>
      </c>
      <c r="V270" s="19">
        <f t="shared" si="53"/>
        <v>0</v>
      </c>
      <c r="W270" s="19">
        <f t="shared" si="54"/>
        <v>0</v>
      </c>
      <c r="X270" s="19">
        <f t="shared" si="55"/>
        <v>0</v>
      </c>
      <c r="Y270" s="19">
        <f t="shared" si="56"/>
        <v>11460</v>
      </c>
      <c r="Z270" s="20">
        <f t="shared" si="57"/>
        <v>11460</v>
      </c>
      <c r="AA270" s="20">
        <f t="shared" si="58"/>
        <v>0</v>
      </c>
    </row>
    <row r="271" spans="1:27" ht="15.75" customHeight="1">
      <c r="A271" s="14" t="s">
        <v>552</v>
      </c>
      <c r="B271" s="15" t="s">
        <v>553</v>
      </c>
      <c r="C271" s="16">
        <v>120</v>
      </c>
      <c r="D271" s="16">
        <v>120</v>
      </c>
      <c r="E271" s="17">
        <v>1</v>
      </c>
      <c r="F271" s="18">
        <v>0</v>
      </c>
      <c r="G271" s="18">
        <v>0</v>
      </c>
      <c r="H271" s="18">
        <v>0</v>
      </c>
      <c r="I271" s="17">
        <v>0</v>
      </c>
      <c r="J271" s="17">
        <f t="shared" si="48"/>
        <v>1</v>
      </c>
      <c r="K271" s="18">
        <v>1</v>
      </c>
      <c r="L271" s="51">
        <v>1</v>
      </c>
      <c r="M271" s="17" t="b">
        <f t="shared" si="59"/>
        <v>1</v>
      </c>
      <c r="N271" s="18">
        <v>0</v>
      </c>
      <c r="O271" s="17">
        <v>0</v>
      </c>
      <c r="P271" s="18">
        <f t="shared" si="49"/>
        <v>1</v>
      </c>
      <c r="Q271" s="17">
        <f t="shared" si="50"/>
        <v>0</v>
      </c>
      <c r="R271" s="3"/>
      <c r="S271" s="19">
        <f t="shared" si="51"/>
        <v>120</v>
      </c>
      <c r="T271" s="19">
        <v>0</v>
      </c>
      <c r="U271" s="19">
        <f t="shared" si="52"/>
        <v>0</v>
      </c>
      <c r="V271" s="19">
        <f t="shared" si="53"/>
        <v>0</v>
      </c>
      <c r="W271" s="19">
        <f t="shared" si="54"/>
        <v>0</v>
      </c>
      <c r="X271" s="19">
        <f t="shared" si="55"/>
        <v>0</v>
      </c>
      <c r="Y271" s="19">
        <f t="shared" si="56"/>
        <v>120</v>
      </c>
      <c r="Z271" s="20">
        <f t="shared" si="57"/>
        <v>120</v>
      </c>
      <c r="AA271" s="20">
        <f t="shared" si="58"/>
        <v>0</v>
      </c>
    </row>
    <row r="272" spans="1:27" ht="15.75" customHeight="1">
      <c r="A272" s="14" t="s">
        <v>554</v>
      </c>
      <c r="B272" s="15" t="s">
        <v>555</v>
      </c>
      <c r="C272" s="16">
        <v>0</v>
      </c>
      <c r="D272" s="16">
        <v>0</v>
      </c>
      <c r="E272" s="17">
        <v>0</v>
      </c>
      <c r="F272" s="18">
        <v>0</v>
      </c>
      <c r="G272" s="18">
        <v>0</v>
      </c>
      <c r="H272" s="18">
        <v>0</v>
      </c>
      <c r="I272" s="17">
        <v>0</v>
      </c>
      <c r="J272" s="17">
        <f t="shared" si="48"/>
        <v>0</v>
      </c>
      <c r="K272" s="18">
        <v>0</v>
      </c>
      <c r="L272" s="51">
        <v>0</v>
      </c>
      <c r="M272" s="17" t="b">
        <f t="shared" si="59"/>
        <v>1</v>
      </c>
      <c r="N272" s="18">
        <v>0</v>
      </c>
      <c r="O272" s="17">
        <v>0</v>
      </c>
      <c r="P272" s="18">
        <f t="shared" si="49"/>
        <v>0</v>
      </c>
      <c r="Q272" s="17">
        <f t="shared" si="50"/>
        <v>0</v>
      </c>
      <c r="R272" s="3"/>
      <c r="S272" s="19">
        <f t="shared" si="51"/>
        <v>0</v>
      </c>
      <c r="T272" s="19">
        <v>0</v>
      </c>
      <c r="U272" s="19">
        <f t="shared" si="52"/>
        <v>0</v>
      </c>
      <c r="V272" s="19">
        <f t="shared" si="53"/>
        <v>0</v>
      </c>
      <c r="W272" s="19">
        <f t="shared" si="54"/>
        <v>0</v>
      </c>
      <c r="X272" s="19">
        <f t="shared" si="55"/>
        <v>0</v>
      </c>
      <c r="Y272" s="19">
        <f t="shared" si="56"/>
        <v>0</v>
      </c>
      <c r="Z272" s="20">
        <f t="shared" si="57"/>
        <v>0</v>
      </c>
      <c r="AA272" s="20">
        <f t="shared" si="58"/>
        <v>0</v>
      </c>
    </row>
    <row r="273" spans="1:27" ht="15.75" customHeight="1">
      <c r="A273" s="14" t="s">
        <v>556</v>
      </c>
      <c r="B273" s="15" t="s">
        <v>557</v>
      </c>
      <c r="C273" s="16">
        <v>48.28</v>
      </c>
      <c r="D273" s="16">
        <v>48.28</v>
      </c>
      <c r="E273" s="17">
        <v>0</v>
      </c>
      <c r="F273" s="18">
        <v>0</v>
      </c>
      <c r="G273" s="18">
        <v>0</v>
      </c>
      <c r="H273" s="18">
        <v>0</v>
      </c>
      <c r="I273" s="17">
        <v>0</v>
      </c>
      <c r="J273" s="17">
        <f t="shared" si="48"/>
        <v>0</v>
      </c>
      <c r="K273" s="18">
        <v>0</v>
      </c>
      <c r="L273" s="51">
        <v>0</v>
      </c>
      <c r="M273" s="17" t="b">
        <f t="shared" si="59"/>
        <v>1</v>
      </c>
      <c r="N273" s="18">
        <v>0</v>
      </c>
      <c r="O273" s="17">
        <v>0</v>
      </c>
      <c r="P273" s="18">
        <f t="shared" si="49"/>
        <v>0</v>
      </c>
      <c r="Q273" s="17">
        <f t="shared" si="50"/>
        <v>0</v>
      </c>
      <c r="R273" s="3"/>
      <c r="S273" s="19">
        <f t="shared" si="51"/>
        <v>0</v>
      </c>
      <c r="T273" s="19">
        <v>0</v>
      </c>
      <c r="U273" s="19">
        <f t="shared" si="52"/>
        <v>0</v>
      </c>
      <c r="V273" s="19">
        <f t="shared" si="53"/>
        <v>0</v>
      </c>
      <c r="W273" s="19">
        <f t="shared" si="54"/>
        <v>0</v>
      </c>
      <c r="X273" s="19">
        <f t="shared" si="55"/>
        <v>0</v>
      </c>
      <c r="Y273" s="19">
        <f t="shared" si="56"/>
        <v>0</v>
      </c>
      <c r="Z273" s="20">
        <f t="shared" si="57"/>
        <v>0</v>
      </c>
      <c r="AA273" s="20">
        <f t="shared" si="58"/>
        <v>0</v>
      </c>
    </row>
    <row r="274" spans="1:27" ht="15.75" customHeight="1">
      <c r="A274" s="14" t="s">
        <v>558</v>
      </c>
      <c r="B274" s="15" t="s">
        <v>559</v>
      </c>
      <c r="C274" s="16">
        <v>0</v>
      </c>
      <c r="D274" s="16">
        <v>0</v>
      </c>
      <c r="E274" s="17">
        <v>0</v>
      </c>
      <c r="F274" s="18">
        <v>0</v>
      </c>
      <c r="G274" s="18">
        <v>0</v>
      </c>
      <c r="H274" s="18">
        <v>0</v>
      </c>
      <c r="I274" s="17">
        <v>0</v>
      </c>
      <c r="J274" s="17">
        <f t="shared" si="48"/>
        <v>0</v>
      </c>
      <c r="K274" s="18">
        <v>0</v>
      </c>
      <c r="L274" s="51">
        <v>0</v>
      </c>
      <c r="M274" s="17" t="b">
        <f t="shared" si="59"/>
        <v>1</v>
      </c>
      <c r="N274" s="18">
        <v>0</v>
      </c>
      <c r="O274" s="17">
        <v>0</v>
      </c>
      <c r="P274" s="18">
        <f t="shared" si="49"/>
        <v>0</v>
      </c>
      <c r="Q274" s="17">
        <f t="shared" si="50"/>
        <v>0</v>
      </c>
      <c r="R274" s="3"/>
      <c r="S274" s="19">
        <f t="shared" si="51"/>
        <v>0</v>
      </c>
      <c r="T274" s="19">
        <v>0</v>
      </c>
      <c r="U274" s="19">
        <f t="shared" si="52"/>
        <v>0</v>
      </c>
      <c r="V274" s="19">
        <f t="shared" si="53"/>
        <v>0</v>
      </c>
      <c r="W274" s="19">
        <f t="shared" si="54"/>
        <v>0</v>
      </c>
      <c r="X274" s="19">
        <f t="shared" si="55"/>
        <v>0</v>
      </c>
      <c r="Y274" s="19">
        <f t="shared" si="56"/>
        <v>0</v>
      </c>
      <c r="Z274" s="20">
        <f t="shared" si="57"/>
        <v>0</v>
      </c>
      <c r="AA274" s="20">
        <f t="shared" si="58"/>
        <v>0</v>
      </c>
    </row>
    <row r="275" spans="1:27" ht="15.75" customHeight="1">
      <c r="A275" s="14" t="s">
        <v>560</v>
      </c>
      <c r="B275" s="15" t="s">
        <v>561</v>
      </c>
      <c r="C275" s="16">
        <v>2250</v>
      </c>
      <c r="D275" s="16">
        <v>2250</v>
      </c>
      <c r="E275" s="17">
        <v>1</v>
      </c>
      <c r="F275" s="18">
        <v>0</v>
      </c>
      <c r="G275" s="18">
        <v>0</v>
      </c>
      <c r="H275" s="18">
        <v>0</v>
      </c>
      <c r="I275" s="17">
        <v>0</v>
      </c>
      <c r="J275" s="17">
        <f t="shared" si="48"/>
        <v>1</v>
      </c>
      <c r="K275" s="18">
        <v>1</v>
      </c>
      <c r="L275" s="51">
        <v>1</v>
      </c>
      <c r="M275" s="17" t="b">
        <f t="shared" si="59"/>
        <v>1</v>
      </c>
      <c r="N275" s="18">
        <v>0</v>
      </c>
      <c r="O275" s="17">
        <v>0</v>
      </c>
      <c r="P275" s="18">
        <f t="shared" si="49"/>
        <v>1</v>
      </c>
      <c r="Q275" s="17">
        <f t="shared" si="50"/>
        <v>0</v>
      </c>
      <c r="R275" s="3"/>
      <c r="S275" s="19">
        <f t="shared" si="51"/>
        <v>2250</v>
      </c>
      <c r="T275" s="19">
        <v>0</v>
      </c>
      <c r="U275" s="19">
        <f t="shared" si="52"/>
        <v>0</v>
      </c>
      <c r="V275" s="19">
        <f t="shared" si="53"/>
        <v>0</v>
      </c>
      <c r="W275" s="19">
        <f t="shared" si="54"/>
        <v>0</v>
      </c>
      <c r="X275" s="19">
        <f t="shared" si="55"/>
        <v>0</v>
      </c>
      <c r="Y275" s="19">
        <f t="shared" si="56"/>
        <v>2250</v>
      </c>
      <c r="Z275" s="20">
        <f t="shared" si="57"/>
        <v>2250</v>
      </c>
      <c r="AA275" s="20">
        <f t="shared" si="58"/>
        <v>0</v>
      </c>
    </row>
    <row r="276" spans="1:27" ht="15.75" customHeight="1">
      <c r="A276" s="14" t="s">
        <v>562</v>
      </c>
      <c r="B276" s="15" t="s">
        <v>563</v>
      </c>
      <c r="C276" s="16">
        <v>473</v>
      </c>
      <c r="D276" s="16">
        <v>473</v>
      </c>
      <c r="E276" s="17">
        <v>0</v>
      </c>
      <c r="F276" s="18">
        <v>0</v>
      </c>
      <c r="G276" s="18">
        <v>0</v>
      </c>
      <c r="H276" s="18">
        <v>0</v>
      </c>
      <c r="I276" s="17">
        <v>0</v>
      </c>
      <c r="J276" s="17">
        <f t="shared" si="48"/>
        <v>0</v>
      </c>
      <c r="K276" s="18">
        <v>0</v>
      </c>
      <c r="L276" s="51">
        <v>0</v>
      </c>
      <c r="M276" s="17" t="b">
        <f t="shared" si="59"/>
        <v>1</v>
      </c>
      <c r="N276" s="18">
        <v>0</v>
      </c>
      <c r="O276" s="17">
        <v>0</v>
      </c>
      <c r="P276" s="18">
        <f t="shared" si="49"/>
        <v>0</v>
      </c>
      <c r="Q276" s="17">
        <f t="shared" si="50"/>
        <v>0</v>
      </c>
      <c r="R276" s="3"/>
      <c r="S276" s="19">
        <f t="shared" si="51"/>
        <v>0</v>
      </c>
      <c r="T276" s="19">
        <v>0</v>
      </c>
      <c r="U276" s="19">
        <f t="shared" si="52"/>
        <v>0</v>
      </c>
      <c r="V276" s="19">
        <f t="shared" si="53"/>
        <v>0</v>
      </c>
      <c r="W276" s="19">
        <f t="shared" si="54"/>
        <v>0</v>
      </c>
      <c r="X276" s="19">
        <f t="shared" si="55"/>
        <v>0</v>
      </c>
      <c r="Y276" s="19">
        <f t="shared" si="56"/>
        <v>0</v>
      </c>
      <c r="Z276" s="20">
        <f t="shared" si="57"/>
        <v>0</v>
      </c>
      <c r="AA276" s="20">
        <f t="shared" si="58"/>
        <v>0</v>
      </c>
    </row>
    <row r="277" spans="1:27" ht="15.75" customHeight="1">
      <c r="A277" s="14" t="s">
        <v>564</v>
      </c>
      <c r="B277" s="15" t="s">
        <v>565</v>
      </c>
      <c r="C277" s="16">
        <v>0</v>
      </c>
      <c r="D277" s="16">
        <v>0</v>
      </c>
      <c r="E277" s="17">
        <v>0</v>
      </c>
      <c r="F277" s="18">
        <v>0</v>
      </c>
      <c r="G277" s="18">
        <v>0</v>
      </c>
      <c r="H277" s="18">
        <v>0</v>
      </c>
      <c r="I277" s="17">
        <v>0</v>
      </c>
      <c r="J277" s="17">
        <f t="shared" si="48"/>
        <v>0</v>
      </c>
      <c r="K277" s="18">
        <v>0</v>
      </c>
      <c r="L277" s="51">
        <v>0</v>
      </c>
      <c r="M277" s="17" t="b">
        <f t="shared" si="59"/>
        <v>1</v>
      </c>
      <c r="N277" s="18">
        <v>0</v>
      </c>
      <c r="O277" s="17">
        <v>0</v>
      </c>
      <c r="P277" s="18">
        <f t="shared" si="49"/>
        <v>0</v>
      </c>
      <c r="Q277" s="17">
        <f t="shared" si="50"/>
        <v>0</v>
      </c>
      <c r="R277" s="3"/>
      <c r="S277" s="19">
        <f t="shared" si="51"/>
        <v>0</v>
      </c>
      <c r="T277" s="19">
        <v>0</v>
      </c>
      <c r="U277" s="19">
        <f t="shared" si="52"/>
        <v>0</v>
      </c>
      <c r="V277" s="19">
        <f t="shared" si="53"/>
        <v>0</v>
      </c>
      <c r="W277" s="19">
        <f t="shared" si="54"/>
        <v>0</v>
      </c>
      <c r="X277" s="19">
        <f t="shared" si="55"/>
        <v>0</v>
      </c>
      <c r="Y277" s="19">
        <f t="shared" si="56"/>
        <v>0</v>
      </c>
      <c r="Z277" s="20">
        <f t="shared" si="57"/>
        <v>0</v>
      </c>
      <c r="AA277" s="20">
        <f t="shared" si="58"/>
        <v>0</v>
      </c>
    </row>
    <row r="278" spans="1:27" ht="15.75" customHeight="1">
      <c r="A278" s="14" t="s">
        <v>566</v>
      </c>
      <c r="B278" s="15" t="s">
        <v>567</v>
      </c>
      <c r="C278" s="16">
        <v>1850</v>
      </c>
      <c r="D278" s="16">
        <v>1850</v>
      </c>
      <c r="E278" s="17">
        <v>0</v>
      </c>
      <c r="F278" s="18">
        <v>0</v>
      </c>
      <c r="G278" s="18">
        <v>0</v>
      </c>
      <c r="H278" s="18">
        <v>0</v>
      </c>
      <c r="I278" s="17">
        <v>0</v>
      </c>
      <c r="J278" s="17">
        <f t="shared" si="48"/>
        <v>0</v>
      </c>
      <c r="K278" s="18">
        <v>0</v>
      </c>
      <c r="L278" s="51">
        <v>0</v>
      </c>
      <c r="M278" s="17" t="b">
        <f t="shared" si="59"/>
        <v>1</v>
      </c>
      <c r="N278" s="18">
        <v>0</v>
      </c>
      <c r="O278" s="17">
        <v>0</v>
      </c>
      <c r="P278" s="18">
        <f t="shared" si="49"/>
        <v>0</v>
      </c>
      <c r="Q278" s="17">
        <f t="shared" si="50"/>
        <v>0</v>
      </c>
      <c r="R278" s="3"/>
      <c r="S278" s="19">
        <f t="shared" si="51"/>
        <v>0</v>
      </c>
      <c r="T278" s="19">
        <v>0</v>
      </c>
      <c r="U278" s="19">
        <f t="shared" si="52"/>
        <v>0</v>
      </c>
      <c r="V278" s="19">
        <f t="shared" si="53"/>
        <v>0</v>
      </c>
      <c r="W278" s="19">
        <f t="shared" si="54"/>
        <v>0</v>
      </c>
      <c r="X278" s="19">
        <f t="shared" si="55"/>
        <v>0</v>
      </c>
      <c r="Y278" s="19">
        <f t="shared" si="56"/>
        <v>0</v>
      </c>
      <c r="Z278" s="20">
        <f t="shared" si="57"/>
        <v>0</v>
      </c>
      <c r="AA278" s="20">
        <f t="shared" si="58"/>
        <v>0</v>
      </c>
    </row>
    <row r="279" spans="1:27" ht="15.75" customHeight="1">
      <c r="A279" s="14" t="s">
        <v>568</v>
      </c>
      <c r="B279" s="15" t="s">
        <v>569</v>
      </c>
      <c r="C279" s="16">
        <v>108.9</v>
      </c>
      <c r="D279" s="16">
        <v>108.9</v>
      </c>
      <c r="E279" s="17">
        <v>0</v>
      </c>
      <c r="F279" s="18">
        <v>0</v>
      </c>
      <c r="G279" s="18">
        <v>0</v>
      </c>
      <c r="H279" s="18">
        <v>0</v>
      </c>
      <c r="I279" s="17">
        <v>0</v>
      </c>
      <c r="J279" s="17">
        <f t="shared" si="48"/>
        <v>0</v>
      </c>
      <c r="K279" s="18">
        <v>0</v>
      </c>
      <c r="L279" s="51">
        <v>0</v>
      </c>
      <c r="M279" s="17" t="b">
        <f t="shared" si="59"/>
        <v>1</v>
      </c>
      <c r="N279" s="18">
        <v>0</v>
      </c>
      <c r="O279" s="17">
        <v>0</v>
      </c>
      <c r="P279" s="18">
        <f t="shared" si="49"/>
        <v>0</v>
      </c>
      <c r="Q279" s="17">
        <f t="shared" si="50"/>
        <v>0</v>
      </c>
      <c r="R279" s="3"/>
      <c r="S279" s="19">
        <f t="shared" si="51"/>
        <v>0</v>
      </c>
      <c r="T279" s="19">
        <v>0</v>
      </c>
      <c r="U279" s="19">
        <f t="shared" si="52"/>
        <v>0</v>
      </c>
      <c r="V279" s="19">
        <f t="shared" si="53"/>
        <v>0</v>
      </c>
      <c r="W279" s="19">
        <f t="shared" si="54"/>
        <v>0</v>
      </c>
      <c r="X279" s="19">
        <f t="shared" si="55"/>
        <v>0</v>
      </c>
      <c r="Y279" s="19">
        <f t="shared" si="56"/>
        <v>0</v>
      </c>
      <c r="Z279" s="20">
        <f t="shared" si="57"/>
        <v>0</v>
      </c>
      <c r="AA279" s="20">
        <f t="shared" si="58"/>
        <v>0</v>
      </c>
    </row>
    <row r="280" spans="1:27" ht="15.75" customHeight="1">
      <c r="A280" s="14" t="s">
        <v>570</v>
      </c>
      <c r="B280" s="15" t="s">
        <v>571</v>
      </c>
      <c r="C280" s="16">
        <v>0</v>
      </c>
      <c r="D280" s="16">
        <v>0</v>
      </c>
      <c r="E280" s="17">
        <v>0</v>
      </c>
      <c r="F280" s="18">
        <v>0</v>
      </c>
      <c r="G280" s="18">
        <v>0</v>
      </c>
      <c r="H280" s="18">
        <v>0</v>
      </c>
      <c r="I280" s="17">
        <v>0</v>
      </c>
      <c r="J280" s="17">
        <f t="shared" si="48"/>
        <v>0</v>
      </c>
      <c r="K280" s="18">
        <v>0</v>
      </c>
      <c r="L280" s="51">
        <v>0</v>
      </c>
      <c r="M280" s="17" t="b">
        <f t="shared" si="59"/>
        <v>1</v>
      </c>
      <c r="N280" s="18">
        <v>0</v>
      </c>
      <c r="O280" s="17">
        <v>0</v>
      </c>
      <c r="P280" s="18">
        <f t="shared" si="49"/>
        <v>0</v>
      </c>
      <c r="Q280" s="17">
        <f t="shared" si="50"/>
        <v>0</v>
      </c>
      <c r="R280" s="3"/>
      <c r="S280" s="19">
        <f t="shared" si="51"/>
        <v>0</v>
      </c>
      <c r="T280" s="19">
        <v>0</v>
      </c>
      <c r="U280" s="19">
        <f t="shared" si="52"/>
        <v>0</v>
      </c>
      <c r="V280" s="19">
        <f t="shared" si="53"/>
        <v>0</v>
      </c>
      <c r="W280" s="19">
        <f t="shared" si="54"/>
        <v>0</v>
      </c>
      <c r="X280" s="19">
        <f t="shared" si="55"/>
        <v>0</v>
      </c>
      <c r="Y280" s="19">
        <f t="shared" si="56"/>
        <v>0</v>
      </c>
      <c r="Z280" s="20">
        <f t="shared" si="57"/>
        <v>0</v>
      </c>
      <c r="AA280" s="20">
        <f t="shared" si="58"/>
        <v>0</v>
      </c>
    </row>
    <row r="281" spans="1:27" ht="15.75" customHeight="1">
      <c r="A281" s="14" t="s">
        <v>572</v>
      </c>
      <c r="B281" s="15" t="s">
        <v>573</v>
      </c>
      <c r="C281" s="16">
        <v>12.18</v>
      </c>
      <c r="D281" s="16">
        <v>12.18</v>
      </c>
      <c r="E281" s="17">
        <v>50</v>
      </c>
      <c r="F281" s="18">
        <v>0</v>
      </c>
      <c r="G281" s="18">
        <v>0</v>
      </c>
      <c r="H281" s="18">
        <v>0</v>
      </c>
      <c r="I281" s="17">
        <v>0</v>
      </c>
      <c r="J281" s="17">
        <f t="shared" si="48"/>
        <v>50</v>
      </c>
      <c r="K281" s="18">
        <v>50</v>
      </c>
      <c r="L281" s="51">
        <v>50</v>
      </c>
      <c r="M281" s="17" t="b">
        <f t="shared" si="59"/>
        <v>1</v>
      </c>
      <c r="N281" s="18">
        <v>0</v>
      </c>
      <c r="O281" s="17">
        <v>0</v>
      </c>
      <c r="P281" s="18">
        <f t="shared" si="49"/>
        <v>50</v>
      </c>
      <c r="Q281" s="17">
        <f t="shared" si="50"/>
        <v>0</v>
      </c>
      <c r="R281" s="3"/>
      <c r="S281" s="19">
        <f t="shared" si="51"/>
        <v>609</v>
      </c>
      <c r="T281" s="19">
        <v>0</v>
      </c>
      <c r="U281" s="19">
        <f t="shared" si="52"/>
        <v>0</v>
      </c>
      <c r="V281" s="19">
        <f t="shared" si="53"/>
        <v>0</v>
      </c>
      <c r="W281" s="19">
        <f t="shared" si="54"/>
        <v>0</v>
      </c>
      <c r="X281" s="19">
        <f t="shared" si="55"/>
        <v>0</v>
      </c>
      <c r="Y281" s="19">
        <f t="shared" si="56"/>
        <v>609</v>
      </c>
      <c r="Z281" s="20">
        <f t="shared" si="57"/>
        <v>609</v>
      </c>
      <c r="AA281" s="20">
        <f t="shared" si="58"/>
        <v>0</v>
      </c>
    </row>
    <row r="282" spans="1:27" ht="15.75" customHeight="1">
      <c r="A282" s="14" t="s">
        <v>574</v>
      </c>
      <c r="B282" s="15" t="s">
        <v>575</v>
      </c>
      <c r="C282" s="16">
        <v>12.18</v>
      </c>
      <c r="D282" s="16">
        <v>12.18</v>
      </c>
      <c r="E282" s="17">
        <v>50</v>
      </c>
      <c r="F282" s="18">
        <v>0</v>
      </c>
      <c r="G282" s="18">
        <v>0</v>
      </c>
      <c r="H282" s="18">
        <v>0</v>
      </c>
      <c r="I282" s="17">
        <v>0</v>
      </c>
      <c r="J282" s="17">
        <f t="shared" si="48"/>
        <v>50</v>
      </c>
      <c r="K282" s="18">
        <v>50</v>
      </c>
      <c r="L282" s="51">
        <v>50</v>
      </c>
      <c r="M282" s="17" t="b">
        <f t="shared" si="59"/>
        <v>1</v>
      </c>
      <c r="N282" s="18">
        <v>0</v>
      </c>
      <c r="O282" s="17">
        <v>0</v>
      </c>
      <c r="P282" s="18">
        <f t="shared" si="49"/>
        <v>50</v>
      </c>
      <c r="Q282" s="17">
        <f t="shared" si="50"/>
        <v>0</v>
      </c>
      <c r="R282" s="3"/>
      <c r="S282" s="19">
        <f t="shared" si="51"/>
        <v>609</v>
      </c>
      <c r="T282" s="19">
        <v>0</v>
      </c>
      <c r="U282" s="19">
        <f t="shared" si="52"/>
        <v>0</v>
      </c>
      <c r="V282" s="19">
        <f t="shared" si="53"/>
        <v>0</v>
      </c>
      <c r="W282" s="19">
        <f t="shared" si="54"/>
        <v>0</v>
      </c>
      <c r="X282" s="19">
        <f t="shared" si="55"/>
        <v>0</v>
      </c>
      <c r="Y282" s="19">
        <f t="shared" si="56"/>
        <v>609</v>
      </c>
      <c r="Z282" s="20">
        <f t="shared" si="57"/>
        <v>609</v>
      </c>
      <c r="AA282" s="20">
        <f t="shared" si="58"/>
        <v>0</v>
      </c>
    </row>
    <row r="283" spans="1:27" ht="15.75" customHeight="1">
      <c r="A283" s="14" t="s">
        <v>576</v>
      </c>
      <c r="B283" s="15" t="s">
        <v>577</v>
      </c>
      <c r="C283" s="16">
        <v>820</v>
      </c>
      <c r="D283" s="16">
        <v>820</v>
      </c>
      <c r="E283" s="17">
        <v>2</v>
      </c>
      <c r="F283" s="18">
        <v>0</v>
      </c>
      <c r="G283" s="18">
        <v>0</v>
      </c>
      <c r="H283" s="18">
        <v>0</v>
      </c>
      <c r="I283" s="17">
        <v>0</v>
      </c>
      <c r="J283" s="17">
        <f t="shared" si="48"/>
        <v>2</v>
      </c>
      <c r="K283" s="18">
        <v>2</v>
      </c>
      <c r="L283" s="51">
        <v>2</v>
      </c>
      <c r="M283" s="17" t="b">
        <f t="shared" si="59"/>
        <v>1</v>
      </c>
      <c r="N283" s="18">
        <v>0</v>
      </c>
      <c r="O283" s="17">
        <v>0</v>
      </c>
      <c r="P283" s="18">
        <f t="shared" si="49"/>
        <v>2</v>
      </c>
      <c r="Q283" s="17">
        <f t="shared" si="50"/>
        <v>0</v>
      </c>
      <c r="R283" s="3"/>
      <c r="S283" s="19">
        <f t="shared" si="51"/>
        <v>1640</v>
      </c>
      <c r="T283" s="19">
        <v>0</v>
      </c>
      <c r="U283" s="19">
        <f t="shared" si="52"/>
        <v>0</v>
      </c>
      <c r="V283" s="19">
        <f t="shared" si="53"/>
        <v>0</v>
      </c>
      <c r="W283" s="19">
        <f t="shared" si="54"/>
        <v>0</v>
      </c>
      <c r="X283" s="19">
        <f t="shared" si="55"/>
        <v>0</v>
      </c>
      <c r="Y283" s="19">
        <f t="shared" si="56"/>
        <v>1640</v>
      </c>
      <c r="Z283" s="20">
        <f t="shared" si="57"/>
        <v>1640</v>
      </c>
      <c r="AA283" s="20">
        <f t="shared" si="58"/>
        <v>0</v>
      </c>
    </row>
    <row r="284" spans="1:27" ht="15.75" customHeight="1">
      <c r="A284" s="14" t="s">
        <v>578</v>
      </c>
      <c r="B284" s="15" t="s">
        <v>579</v>
      </c>
      <c r="C284" s="16">
        <v>0</v>
      </c>
      <c r="D284" s="16">
        <v>0</v>
      </c>
      <c r="E284" s="17">
        <v>0</v>
      </c>
      <c r="F284" s="18">
        <v>0</v>
      </c>
      <c r="G284" s="18">
        <v>0</v>
      </c>
      <c r="H284" s="18">
        <v>0</v>
      </c>
      <c r="I284" s="17">
        <v>0</v>
      </c>
      <c r="J284" s="17">
        <f t="shared" si="48"/>
        <v>0</v>
      </c>
      <c r="K284" s="18">
        <v>0</v>
      </c>
      <c r="L284" s="51">
        <v>0</v>
      </c>
      <c r="M284" s="17" t="b">
        <f t="shared" si="59"/>
        <v>1</v>
      </c>
      <c r="N284" s="18">
        <v>0</v>
      </c>
      <c r="O284" s="17">
        <v>0</v>
      </c>
      <c r="P284" s="18">
        <f t="shared" si="49"/>
        <v>0</v>
      </c>
      <c r="Q284" s="17">
        <f t="shared" si="50"/>
        <v>0</v>
      </c>
      <c r="R284" s="3"/>
      <c r="S284" s="19">
        <f t="shared" si="51"/>
        <v>0</v>
      </c>
      <c r="T284" s="19">
        <v>0</v>
      </c>
      <c r="U284" s="19">
        <f t="shared" si="52"/>
        <v>0</v>
      </c>
      <c r="V284" s="19">
        <f t="shared" si="53"/>
        <v>0</v>
      </c>
      <c r="W284" s="19">
        <f t="shared" si="54"/>
        <v>0</v>
      </c>
      <c r="X284" s="19">
        <f t="shared" si="55"/>
        <v>0</v>
      </c>
      <c r="Y284" s="19">
        <f t="shared" si="56"/>
        <v>0</v>
      </c>
      <c r="Z284" s="20">
        <f t="shared" si="57"/>
        <v>0</v>
      </c>
      <c r="AA284" s="20">
        <f t="shared" si="58"/>
        <v>0</v>
      </c>
    </row>
    <row r="285" spans="1:27" ht="15.75" customHeight="1">
      <c r="A285" s="23" t="s">
        <v>580</v>
      </c>
      <c r="B285" s="15" t="s">
        <v>581</v>
      </c>
      <c r="C285" s="16">
        <v>276.57</v>
      </c>
      <c r="D285" s="16">
        <v>276.57</v>
      </c>
      <c r="E285" s="17">
        <v>17</v>
      </c>
      <c r="F285" s="18">
        <v>0</v>
      </c>
      <c r="G285" s="18">
        <v>0</v>
      </c>
      <c r="H285" s="18">
        <v>0</v>
      </c>
      <c r="I285" s="17">
        <v>0</v>
      </c>
      <c r="J285" s="17">
        <f t="shared" si="48"/>
        <v>17</v>
      </c>
      <c r="K285" s="18">
        <v>17</v>
      </c>
      <c r="L285" s="51">
        <v>17</v>
      </c>
      <c r="M285" s="17" t="b">
        <f t="shared" si="59"/>
        <v>1</v>
      </c>
      <c r="N285" s="18">
        <v>0</v>
      </c>
      <c r="O285" s="17">
        <v>0</v>
      </c>
      <c r="P285" s="18">
        <f t="shared" si="49"/>
        <v>17</v>
      </c>
      <c r="Q285" s="17">
        <f t="shared" si="50"/>
        <v>0</v>
      </c>
      <c r="R285" s="3"/>
      <c r="S285" s="19">
        <f t="shared" si="51"/>
        <v>4701.6899999999996</v>
      </c>
      <c r="T285" s="19">
        <v>0</v>
      </c>
      <c r="U285" s="19">
        <f t="shared" si="52"/>
        <v>0</v>
      </c>
      <c r="V285" s="19">
        <f t="shared" si="53"/>
        <v>0</v>
      </c>
      <c r="W285" s="19">
        <f t="shared" si="54"/>
        <v>0</v>
      </c>
      <c r="X285" s="19">
        <f t="shared" si="55"/>
        <v>0</v>
      </c>
      <c r="Y285" s="19">
        <f t="shared" si="56"/>
        <v>4701.6899999999996</v>
      </c>
      <c r="Z285" s="20">
        <f t="shared" si="57"/>
        <v>4701.6899999999996</v>
      </c>
      <c r="AA285" s="20">
        <f t="shared" si="58"/>
        <v>0</v>
      </c>
    </row>
    <row r="286" spans="1:27" ht="15.75" customHeight="1">
      <c r="A286" s="14" t="s">
        <v>582</v>
      </c>
      <c r="B286" s="15" t="s">
        <v>583</v>
      </c>
      <c r="C286" s="16">
        <v>34.53</v>
      </c>
      <c r="D286" s="16">
        <v>34.53</v>
      </c>
      <c r="E286" s="17">
        <v>1</v>
      </c>
      <c r="F286" s="18">
        <v>0</v>
      </c>
      <c r="G286" s="18">
        <v>0</v>
      </c>
      <c r="H286" s="18">
        <v>0</v>
      </c>
      <c r="I286" s="17">
        <v>0</v>
      </c>
      <c r="J286" s="17">
        <f t="shared" si="48"/>
        <v>1</v>
      </c>
      <c r="K286" s="18">
        <v>1</v>
      </c>
      <c r="L286" s="51">
        <v>1</v>
      </c>
      <c r="M286" s="17" t="b">
        <f t="shared" si="59"/>
        <v>1</v>
      </c>
      <c r="N286" s="18">
        <v>0</v>
      </c>
      <c r="O286" s="17">
        <v>0</v>
      </c>
      <c r="P286" s="18">
        <f t="shared" si="49"/>
        <v>1</v>
      </c>
      <c r="Q286" s="17">
        <f t="shared" si="50"/>
        <v>0</v>
      </c>
      <c r="R286" s="3"/>
      <c r="S286" s="19">
        <f t="shared" si="51"/>
        <v>34.53</v>
      </c>
      <c r="T286" s="19">
        <v>0</v>
      </c>
      <c r="U286" s="19">
        <f t="shared" si="52"/>
        <v>0</v>
      </c>
      <c r="V286" s="19">
        <f t="shared" si="53"/>
        <v>0</v>
      </c>
      <c r="W286" s="19">
        <f t="shared" si="54"/>
        <v>0</v>
      </c>
      <c r="X286" s="19">
        <f t="shared" si="55"/>
        <v>0</v>
      </c>
      <c r="Y286" s="19">
        <f t="shared" si="56"/>
        <v>34.53</v>
      </c>
      <c r="Z286" s="20">
        <f t="shared" si="57"/>
        <v>34.53</v>
      </c>
      <c r="AA286" s="20">
        <f t="shared" si="58"/>
        <v>0</v>
      </c>
    </row>
    <row r="287" spans="1:27" ht="15.75" customHeight="1">
      <c r="A287" s="14" t="s">
        <v>584</v>
      </c>
      <c r="B287" s="15" t="s">
        <v>585</v>
      </c>
      <c r="C287" s="16">
        <v>94.83</v>
      </c>
      <c r="D287" s="16">
        <v>94.83</v>
      </c>
      <c r="E287" s="17">
        <v>1</v>
      </c>
      <c r="F287" s="18">
        <v>0</v>
      </c>
      <c r="G287" s="18">
        <v>0</v>
      </c>
      <c r="H287" s="18">
        <v>0</v>
      </c>
      <c r="I287" s="17">
        <v>0</v>
      </c>
      <c r="J287" s="17">
        <f t="shared" si="48"/>
        <v>1</v>
      </c>
      <c r="K287" s="18">
        <v>1</v>
      </c>
      <c r="L287" s="51">
        <v>1</v>
      </c>
      <c r="M287" s="17" t="b">
        <f t="shared" si="59"/>
        <v>1</v>
      </c>
      <c r="N287" s="18">
        <v>0</v>
      </c>
      <c r="O287" s="17">
        <v>0</v>
      </c>
      <c r="P287" s="18">
        <f t="shared" si="49"/>
        <v>1</v>
      </c>
      <c r="Q287" s="17">
        <f t="shared" si="50"/>
        <v>0</v>
      </c>
      <c r="R287" s="3"/>
      <c r="S287" s="19">
        <f t="shared" si="51"/>
        <v>94.83</v>
      </c>
      <c r="T287" s="19">
        <v>0</v>
      </c>
      <c r="U287" s="19">
        <f t="shared" si="52"/>
        <v>0</v>
      </c>
      <c r="V287" s="19">
        <f t="shared" si="53"/>
        <v>0</v>
      </c>
      <c r="W287" s="19">
        <f t="shared" si="54"/>
        <v>0</v>
      </c>
      <c r="X287" s="19">
        <f t="shared" si="55"/>
        <v>0</v>
      </c>
      <c r="Y287" s="19">
        <f t="shared" si="56"/>
        <v>94.83</v>
      </c>
      <c r="Z287" s="20">
        <f t="shared" si="57"/>
        <v>94.83</v>
      </c>
      <c r="AA287" s="20">
        <f t="shared" si="58"/>
        <v>0</v>
      </c>
    </row>
    <row r="288" spans="1:27" ht="15.75" customHeight="1">
      <c r="A288" s="14" t="s">
        <v>586</v>
      </c>
      <c r="B288" s="15" t="s">
        <v>587</v>
      </c>
      <c r="C288" s="16">
        <v>168.1</v>
      </c>
      <c r="D288" s="16">
        <v>168.1</v>
      </c>
      <c r="E288" s="17">
        <v>1</v>
      </c>
      <c r="F288" s="18">
        <v>0</v>
      </c>
      <c r="G288" s="18">
        <v>0</v>
      </c>
      <c r="H288" s="18">
        <v>0</v>
      </c>
      <c r="I288" s="17">
        <v>0</v>
      </c>
      <c r="J288" s="17">
        <f t="shared" si="48"/>
        <v>1</v>
      </c>
      <c r="K288" s="18">
        <v>1</v>
      </c>
      <c r="L288" s="51">
        <v>1</v>
      </c>
      <c r="M288" s="17" t="b">
        <f t="shared" si="59"/>
        <v>1</v>
      </c>
      <c r="N288" s="18">
        <v>0</v>
      </c>
      <c r="O288" s="17">
        <v>0</v>
      </c>
      <c r="P288" s="18">
        <f t="shared" si="49"/>
        <v>1</v>
      </c>
      <c r="Q288" s="17">
        <f t="shared" si="50"/>
        <v>0</v>
      </c>
      <c r="R288" s="3"/>
      <c r="S288" s="19">
        <f t="shared" si="51"/>
        <v>168.1</v>
      </c>
      <c r="T288" s="19">
        <v>0</v>
      </c>
      <c r="U288" s="19">
        <f t="shared" si="52"/>
        <v>0</v>
      </c>
      <c r="V288" s="19">
        <f t="shared" si="53"/>
        <v>0</v>
      </c>
      <c r="W288" s="19">
        <f t="shared" si="54"/>
        <v>0</v>
      </c>
      <c r="X288" s="19">
        <f t="shared" si="55"/>
        <v>0</v>
      </c>
      <c r="Y288" s="19">
        <f t="shared" si="56"/>
        <v>168.1</v>
      </c>
      <c r="Z288" s="20">
        <f t="shared" si="57"/>
        <v>168.1</v>
      </c>
      <c r="AA288" s="20">
        <f t="shared" si="58"/>
        <v>0</v>
      </c>
    </row>
    <row r="289" spans="1:27" ht="15.75" customHeight="1">
      <c r="A289" s="14" t="s">
        <v>588</v>
      </c>
      <c r="B289" s="15" t="s">
        <v>589</v>
      </c>
      <c r="C289" s="16">
        <v>652.5</v>
      </c>
      <c r="D289" s="16">
        <v>652.5</v>
      </c>
      <c r="E289" s="17">
        <v>5</v>
      </c>
      <c r="F289" s="18">
        <v>0</v>
      </c>
      <c r="G289" s="18">
        <v>0</v>
      </c>
      <c r="H289" s="18">
        <v>0</v>
      </c>
      <c r="I289" s="17">
        <v>0</v>
      </c>
      <c r="J289" s="17">
        <f t="shared" si="48"/>
        <v>5</v>
      </c>
      <c r="K289" s="18">
        <v>5</v>
      </c>
      <c r="L289" s="51">
        <v>5</v>
      </c>
      <c r="M289" s="17" t="b">
        <f t="shared" si="59"/>
        <v>1</v>
      </c>
      <c r="N289" s="18">
        <v>0</v>
      </c>
      <c r="O289" s="17">
        <v>0</v>
      </c>
      <c r="P289" s="18">
        <f t="shared" si="49"/>
        <v>5</v>
      </c>
      <c r="Q289" s="17">
        <f t="shared" si="50"/>
        <v>0</v>
      </c>
      <c r="R289" s="3"/>
      <c r="S289" s="19">
        <f t="shared" si="51"/>
        <v>3262.5</v>
      </c>
      <c r="T289" s="19">
        <v>0</v>
      </c>
      <c r="U289" s="19">
        <f t="shared" si="52"/>
        <v>0</v>
      </c>
      <c r="V289" s="19">
        <f t="shared" si="53"/>
        <v>0</v>
      </c>
      <c r="W289" s="19">
        <f t="shared" si="54"/>
        <v>0</v>
      </c>
      <c r="X289" s="19">
        <f t="shared" si="55"/>
        <v>0</v>
      </c>
      <c r="Y289" s="19">
        <f t="shared" si="56"/>
        <v>3262.5</v>
      </c>
      <c r="Z289" s="20">
        <f t="shared" si="57"/>
        <v>3262.5</v>
      </c>
      <c r="AA289" s="20">
        <f t="shared" si="58"/>
        <v>0</v>
      </c>
    </row>
    <row r="290" spans="1:27" ht="15.75" customHeight="1">
      <c r="A290" s="14" t="s">
        <v>590</v>
      </c>
      <c r="B290" s="15" t="s">
        <v>591</v>
      </c>
      <c r="C290" s="16">
        <v>507.5</v>
      </c>
      <c r="D290" s="16">
        <v>507.5</v>
      </c>
      <c r="E290" s="17">
        <v>2</v>
      </c>
      <c r="F290" s="18">
        <v>0</v>
      </c>
      <c r="G290" s="18">
        <v>0</v>
      </c>
      <c r="H290" s="18">
        <v>0</v>
      </c>
      <c r="I290" s="17">
        <v>0</v>
      </c>
      <c r="J290" s="17">
        <f t="shared" si="48"/>
        <v>2</v>
      </c>
      <c r="K290" s="18">
        <v>2</v>
      </c>
      <c r="L290" s="51">
        <v>2</v>
      </c>
      <c r="M290" s="17" t="b">
        <f t="shared" si="59"/>
        <v>1</v>
      </c>
      <c r="N290" s="18">
        <v>0</v>
      </c>
      <c r="O290" s="17">
        <v>0</v>
      </c>
      <c r="P290" s="18">
        <f t="shared" si="49"/>
        <v>2</v>
      </c>
      <c r="Q290" s="17">
        <f t="shared" si="50"/>
        <v>0</v>
      </c>
      <c r="R290" s="3"/>
      <c r="S290" s="19">
        <f t="shared" si="51"/>
        <v>1015</v>
      </c>
      <c r="T290" s="19">
        <v>0</v>
      </c>
      <c r="U290" s="19">
        <f t="shared" si="52"/>
        <v>0</v>
      </c>
      <c r="V290" s="19">
        <f t="shared" si="53"/>
        <v>0</v>
      </c>
      <c r="W290" s="19">
        <f t="shared" si="54"/>
        <v>0</v>
      </c>
      <c r="X290" s="19">
        <f t="shared" si="55"/>
        <v>0</v>
      </c>
      <c r="Y290" s="19">
        <f t="shared" si="56"/>
        <v>1015</v>
      </c>
      <c r="Z290" s="20">
        <f t="shared" si="57"/>
        <v>1015</v>
      </c>
      <c r="AA290" s="20">
        <f t="shared" si="58"/>
        <v>0</v>
      </c>
    </row>
    <row r="291" spans="1:27" ht="15.75" customHeight="1">
      <c r="A291" s="14" t="s">
        <v>592</v>
      </c>
      <c r="B291" s="15" t="s">
        <v>593</v>
      </c>
      <c r="C291" s="16">
        <v>0</v>
      </c>
      <c r="D291" s="16">
        <v>0</v>
      </c>
      <c r="E291" s="17">
        <v>0</v>
      </c>
      <c r="F291" s="18">
        <v>0</v>
      </c>
      <c r="G291" s="18">
        <v>0</v>
      </c>
      <c r="H291" s="18">
        <v>0</v>
      </c>
      <c r="I291" s="17">
        <v>0</v>
      </c>
      <c r="J291" s="17">
        <f t="shared" si="48"/>
        <v>0</v>
      </c>
      <c r="K291" s="18">
        <v>0</v>
      </c>
      <c r="L291" s="51">
        <v>0</v>
      </c>
      <c r="M291" s="17" t="b">
        <f t="shared" si="59"/>
        <v>1</v>
      </c>
      <c r="N291" s="18">
        <v>0</v>
      </c>
      <c r="O291" s="17">
        <v>0</v>
      </c>
      <c r="P291" s="18">
        <f t="shared" si="49"/>
        <v>0</v>
      </c>
      <c r="Q291" s="17">
        <f t="shared" si="50"/>
        <v>0</v>
      </c>
      <c r="R291" s="3"/>
      <c r="S291" s="19">
        <f t="shared" si="51"/>
        <v>0</v>
      </c>
      <c r="T291" s="19">
        <v>0</v>
      </c>
      <c r="U291" s="19">
        <f t="shared" si="52"/>
        <v>0</v>
      </c>
      <c r="V291" s="19">
        <f t="shared" si="53"/>
        <v>0</v>
      </c>
      <c r="W291" s="19">
        <f t="shared" si="54"/>
        <v>0</v>
      </c>
      <c r="X291" s="19">
        <f t="shared" si="55"/>
        <v>0</v>
      </c>
      <c r="Y291" s="19">
        <f t="shared" si="56"/>
        <v>0</v>
      </c>
      <c r="Z291" s="20">
        <f t="shared" si="57"/>
        <v>0</v>
      </c>
      <c r="AA291" s="20">
        <f t="shared" si="58"/>
        <v>0</v>
      </c>
    </row>
    <row r="292" spans="1:27" ht="15.75" customHeight="1">
      <c r="A292" s="14" t="s">
        <v>594</v>
      </c>
      <c r="B292" s="15" t="s">
        <v>595</v>
      </c>
      <c r="C292" s="16">
        <v>19.510000000000002</v>
      </c>
      <c r="D292" s="16">
        <v>19.510000000000002</v>
      </c>
      <c r="E292" s="17">
        <v>0</v>
      </c>
      <c r="F292" s="18">
        <v>0</v>
      </c>
      <c r="G292" s="18">
        <v>0</v>
      </c>
      <c r="H292" s="18">
        <v>0</v>
      </c>
      <c r="I292" s="17">
        <v>0</v>
      </c>
      <c r="J292" s="17">
        <f t="shared" si="48"/>
        <v>0</v>
      </c>
      <c r="K292" s="18">
        <v>0</v>
      </c>
      <c r="L292" s="51">
        <v>0</v>
      </c>
      <c r="M292" s="17" t="b">
        <f t="shared" si="59"/>
        <v>1</v>
      </c>
      <c r="N292" s="18">
        <v>0</v>
      </c>
      <c r="O292" s="17">
        <v>0</v>
      </c>
      <c r="P292" s="18">
        <f t="shared" si="49"/>
        <v>0</v>
      </c>
      <c r="Q292" s="17">
        <f t="shared" si="50"/>
        <v>0</v>
      </c>
      <c r="R292" s="3"/>
      <c r="S292" s="19">
        <f t="shared" si="51"/>
        <v>0</v>
      </c>
      <c r="T292" s="19">
        <v>0</v>
      </c>
      <c r="U292" s="19">
        <f t="shared" si="52"/>
        <v>0</v>
      </c>
      <c r="V292" s="19">
        <f t="shared" si="53"/>
        <v>0</v>
      </c>
      <c r="W292" s="19">
        <f t="shared" si="54"/>
        <v>0</v>
      </c>
      <c r="X292" s="19">
        <f t="shared" si="55"/>
        <v>0</v>
      </c>
      <c r="Y292" s="19">
        <f t="shared" si="56"/>
        <v>0</v>
      </c>
      <c r="Z292" s="20">
        <f t="shared" si="57"/>
        <v>0</v>
      </c>
      <c r="AA292" s="20">
        <f t="shared" si="58"/>
        <v>0</v>
      </c>
    </row>
    <row r="293" spans="1:27" ht="15.75" customHeight="1">
      <c r="A293" s="14" t="s">
        <v>596</v>
      </c>
      <c r="B293" s="15" t="s">
        <v>597</v>
      </c>
      <c r="C293" s="16">
        <v>142.65</v>
      </c>
      <c r="D293" s="16">
        <v>142.65</v>
      </c>
      <c r="E293" s="17">
        <v>2</v>
      </c>
      <c r="F293" s="18">
        <v>0</v>
      </c>
      <c r="G293" s="18">
        <v>0</v>
      </c>
      <c r="H293" s="18">
        <v>0</v>
      </c>
      <c r="I293" s="17">
        <v>0</v>
      </c>
      <c r="J293" s="17">
        <f t="shared" si="48"/>
        <v>2</v>
      </c>
      <c r="K293" s="18">
        <v>2</v>
      </c>
      <c r="L293" s="51">
        <v>2</v>
      </c>
      <c r="M293" s="17" t="b">
        <f t="shared" si="59"/>
        <v>1</v>
      </c>
      <c r="N293" s="18">
        <v>0</v>
      </c>
      <c r="O293" s="17">
        <v>0</v>
      </c>
      <c r="P293" s="18">
        <f t="shared" si="49"/>
        <v>2</v>
      </c>
      <c r="Q293" s="17">
        <f t="shared" si="50"/>
        <v>0</v>
      </c>
      <c r="R293" s="3"/>
      <c r="S293" s="19">
        <f t="shared" si="51"/>
        <v>285.3</v>
      </c>
      <c r="T293" s="19">
        <v>0</v>
      </c>
      <c r="U293" s="19">
        <f t="shared" si="52"/>
        <v>0</v>
      </c>
      <c r="V293" s="19">
        <f t="shared" si="53"/>
        <v>0</v>
      </c>
      <c r="W293" s="19">
        <f t="shared" si="54"/>
        <v>0</v>
      </c>
      <c r="X293" s="19">
        <f t="shared" si="55"/>
        <v>0</v>
      </c>
      <c r="Y293" s="19">
        <f t="shared" si="56"/>
        <v>285.3</v>
      </c>
      <c r="Z293" s="20">
        <f t="shared" si="57"/>
        <v>285.3</v>
      </c>
      <c r="AA293" s="20">
        <f t="shared" si="58"/>
        <v>0</v>
      </c>
    </row>
    <row r="294" spans="1:27" ht="15.75" customHeight="1">
      <c r="A294" s="14" t="s">
        <v>598</v>
      </c>
      <c r="B294" s="15" t="s">
        <v>599</v>
      </c>
      <c r="C294" s="16">
        <v>7.05</v>
      </c>
      <c r="D294" s="16">
        <v>7.05</v>
      </c>
      <c r="E294" s="17">
        <v>0</v>
      </c>
      <c r="F294" s="18">
        <v>0</v>
      </c>
      <c r="G294" s="18">
        <v>0</v>
      </c>
      <c r="H294" s="18">
        <v>0</v>
      </c>
      <c r="I294" s="17">
        <v>0</v>
      </c>
      <c r="J294" s="17">
        <f t="shared" si="48"/>
        <v>0</v>
      </c>
      <c r="K294" s="18">
        <v>0</v>
      </c>
      <c r="L294" s="51">
        <v>0</v>
      </c>
      <c r="M294" s="17" t="b">
        <f t="shared" si="59"/>
        <v>1</v>
      </c>
      <c r="N294" s="18">
        <v>0</v>
      </c>
      <c r="O294" s="17">
        <v>0</v>
      </c>
      <c r="P294" s="18">
        <f t="shared" si="49"/>
        <v>0</v>
      </c>
      <c r="Q294" s="17">
        <f t="shared" si="50"/>
        <v>0</v>
      </c>
      <c r="R294" s="3"/>
      <c r="S294" s="19">
        <f t="shared" si="51"/>
        <v>0</v>
      </c>
      <c r="T294" s="19">
        <v>0</v>
      </c>
      <c r="U294" s="19">
        <f t="shared" si="52"/>
        <v>0</v>
      </c>
      <c r="V294" s="19">
        <f t="shared" si="53"/>
        <v>0</v>
      </c>
      <c r="W294" s="19">
        <f t="shared" si="54"/>
        <v>0</v>
      </c>
      <c r="X294" s="19">
        <f t="shared" si="55"/>
        <v>0</v>
      </c>
      <c r="Y294" s="19">
        <f t="shared" si="56"/>
        <v>0</v>
      </c>
      <c r="Z294" s="20">
        <f t="shared" si="57"/>
        <v>0</v>
      </c>
      <c r="AA294" s="20">
        <f t="shared" si="58"/>
        <v>0</v>
      </c>
    </row>
    <row r="295" spans="1:27" ht="15.75" customHeight="1">
      <c r="A295" s="14" t="s">
        <v>600</v>
      </c>
      <c r="B295" s="15" t="s">
        <v>601</v>
      </c>
      <c r="C295" s="16">
        <v>522</v>
      </c>
      <c r="D295" s="16">
        <v>522</v>
      </c>
      <c r="E295" s="17">
        <v>18</v>
      </c>
      <c r="F295" s="18">
        <v>0</v>
      </c>
      <c r="G295" s="18">
        <v>0</v>
      </c>
      <c r="H295" s="18">
        <v>0</v>
      </c>
      <c r="I295" s="17">
        <v>0</v>
      </c>
      <c r="J295" s="17">
        <f t="shared" si="48"/>
        <v>18</v>
      </c>
      <c r="K295" s="18">
        <v>18</v>
      </c>
      <c r="L295" s="51">
        <v>18</v>
      </c>
      <c r="M295" s="17" t="b">
        <f t="shared" si="59"/>
        <v>1</v>
      </c>
      <c r="N295" s="18">
        <v>0</v>
      </c>
      <c r="O295" s="17">
        <v>0</v>
      </c>
      <c r="P295" s="18">
        <f t="shared" si="49"/>
        <v>18</v>
      </c>
      <c r="Q295" s="17">
        <f t="shared" si="50"/>
        <v>0</v>
      </c>
      <c r="R295" s="3"/>
      <c r="S295" s="19">
        <f t="shared" si="51"/>
        <v>9396</v>
      </c>
      <c r="T295" s="19">
        <v>0</v>
      </c>
      <c r="U295" s="19">
        <f t="shared" si="52"/>
        <v>0</v>
      </c>
      <c r="V295" s="19">
        <f t="shared" si="53"/>
        <v>0</v>
      </c>
      <c r="W295" s="19">
        <f t="shared" si="54"/>
        <v>0</v>
      </c>
      <c r="X295" s="19">
        <f t="shared" si="55"/>
        <v>0</v>
      </c>
      <c r="Y295" s="19">
        <f t="shared" si="56"/>
        <v>9396</v>
      </c>
      <c r="Z295" s="20">
        <f t="shared" si="57"/>
        <v>9396</v>
      </c>
      <c r="AA295" s="20">
        <f t="shared" si="58"/>
        <v>0</v>
      </c>
    </row>
    <row r="296" spans="1:27" ht="15.75" customHeight="1">
      <c r="A296" s="14" t="s">
        <v>602</v>
      </c>
      <c r="B296" s="15" t="s">
        <v>603</v>
      </c>
      <c r="C296" s="16">
        <v>30.91</v>
      </c>
      <c r="D296" s="16">
        <v>30.91</v>
      </c>
      <c r="E296" s="17">
        <v>0</v>
      </c>
      <c r="F296" s="18">
        <v>0</v>
      </c>
      <c r="G296" s="18">
        <v>0</v>
      </c>
      <c r="H296" s="18">
        <v>0</v>
      </c>
      <c r="I296" s="17">
        <v>0</v>
      </c>
      <c r="J296" s="17">
        <f t="shared" si="48"/>
        <v>0</v>
      </c>
      <c r="K296" s="18">
        <v>0</v>
      </c>
      <c r="L296" s="51">
        <v>0</v>
      </c>
      <c r="M296" s="17" t="b">
        <f t="shared" si="59"/>
        <v>1</v>
      </c>
      <c r="N296" s="18">
        <v>0</v>
      </c>
      <c r="O296" s="17">
        <v>0</v>
      </c>
      <c r="P296" s="18">
        <f t="shared" si="49"/>
        <v>0</v>
      </c>
      <c r="Q296" s="17">
        <f t="shared" si="50"/>
        <v>0</v>
      </c>
      <c r="R296" s="3"/>
      <c r="S296" s="19">
        <f t="shared" si="51"/>
        <v>0</v>
      </c>
      <c r="T296" s="19">
        <v>0</v>
      </c>
      <c r="U296" s="19">
        <f t="shared" si="52"/>
        <v>0</v>
      </c>
      <c r="V296" s="19">
        <f t="shared" si="53"/>
        <v>0</v>
      </c>
      <c r="W296" s="19">
        <f t="shared" si="54"/>
        <v>0</v>
      </c>
      <c r="X296" s="19">
        <f t="shared" si="55"/>
        <v>0</v>
      </c>
      <c r="Y296" s="19">
        <f t="shared" si="56"/>
        <v>0</v>
      </c>
      <c r="Z296" s="20">
        <f t="shared" si="57"/>
        <v>0</v>
      </c>
      <c r="AA296" s="20">
        <f t="shared" si="58"/>
        <v>0</v>
      </c>
    </row>
    <row r="297" spans="1:27" ht="15.75" customHeight="1">
      <c r="A297" s="14" t="s">
        <v>604</v>
      </c>
      <c r="B297" s="15" t="s">
        <v>605</v>
      </c>
      <c r="C297" s="16">
        <v>570</v>
      </c>
      <c r="D297" s="16">
        <v>570</v>
      </c>
      <c r="E297" s="17">
        <v>4</v>
      </c>
      <c r="F297" s="18">
        <v>0</v>
      </c>
      <c r="G297" s="18">
        <v>0</v>
      </c>
      <c r="H297" s="18">
        <v>0</v>
      </c>
      <c r="I297" s="17">
        <v>0</v>
      </c>
      <c r="J297" s="17">
        <f t="shared" si="48"/>
        <v>4</v>
      </c>
      <c r="K297" s="18">
        <v>4</v>
      </c>
      <c r="L297" s="51">
        <v>4</v>
      </c>
      <c r="M297" s="17" t="b">
        <f t="shared" si="59"/>
        <v>1</v>
      </c>
      <c r="N297" s="18">
        <v>0</v>
      </c>
      <c r="O297" s="17">
        <v>0</v>
      </c>
      <c r="P297" s="18">
        <f t="shared" si="49"/>
        <v>4</v>
      </c>
      <c r="Q297" s="17">
        <f t="shared" si="50"/>
        <v>0</v>
      </c>
      <c r="R297" s="3"/>
      <c r="S297" s="19">
        <f t="shared" si="51"/>
        <v>2280</v>
      </c>
      <c r="T297" s="19">
        <v>0</v>
      </c>
      <c r="U297" s="19">
        <f t="shared" si="52"/>
        <v>0</v>
      </c>
      <c r="V297" s="19">
        <f t="shared" si="53"/>
        <v>0</v>
      </c>
      <c r="W297" s="19">
        <f t="shared" si="54"/>
        <v>0</v>
      </c>
      <c r="X297" s="19">
        <f t="shared" si="55"/>
        <v>0</v>
      </c>
      <c r="Y297" s="19">
        <f t="shared" si="56"/>
        <v>2280</v>
      </c>
      <c r="Z297" s="20">
        <f t="shared" si="57"/>
        <v>2280</v>
      </c>
      <c r="AA297" s="20">
        <f t="shared" si="58"/>
        <v>0</v>
      </c>
    </row>
    <row r="298" spans="1:27" ht="15.75" customHeight="1">
      <c r="A298" s="14" t="s">
        <v>606</v>
      </c>
      <c r="B298" s="15" t="s">
        <v>607</v>
      </c>
      <c r="C298" s="16">
        <v>380</v>
      </c>
      <c r="D298" s="16">
        <v>380</v>
      </c>
      <c r="E298" s="17">
        <v>0</v>
      </c>
      <c r="F298" s="18">
        <v>0</v>
      </c>
      <c r="G298" s="18">
        <v>0</v>
      </c>
      <c r="H298" s="18">
        <v>0</v>
      </c>
      <c r="I298" s="17">
        <v>0</v>
      </c>
      <c r="J298" s="17">
        <f t="shared" si="48"/>
        <v>0</v>
      </c>
      <c r="K298" s="18">
        <v>0</v>
      </c>
      <c r="L298" s="51">
        <v>0</v>
      </c>
      <c r="M298" s="17" t="b">
        <f t="shared" si="59"/>
        <v>1</v>
      </c>
      <c r="N298" s="18">
        <v>0</v>
      </c>
      <c r="O298" s="17">
        <v>0</v>
      </c>
      <c r="P298" s="18">
        <f t="shared" si="49"/>
        <v>0</v>
      </c>
      <c r="Q298" s="17">
        <f t="shared" si="50"/>
        <v>0</v>
      </c>
      <c r="R298" s="3"/>
      <c r="S298" s="19">
        <f t="shared" si="51"/>
        <v>0</v>
      </c>
      <c r="T298" s="19">
        <v>0</v>
      </c>
      <c r="U298" s="19">
        <f t="shared" si="52"/>
        <v>0</v>
      </c>
      <c r="V298" s="19">
        <f t="shared" si="53"/>
        <v>0</v>
      </c>
      <c r="W298" s="19">
        <f t="shared" si="54"/>
        <v>0</v>
      </c>
      <c r="X298" s="19">
        <f t="shared" si="55"/>
        <v>0</v>
      </c>
      <c r="Y298" s="19">
        <f t="shared" si="56"/>
        <v>0</v>
      </c>
      <c r="Z298" s="20">
        <f t="shared" si="57"/>
        <v>0</v>
      </c>
      <c r="AA298" s="20">
        <f t="shared" si="58"/>
        <v>0</v>
      </c>
    </row>
    <row r="299" spans="1:27" ht="15.75" customHeight="1">
      <c r="A299" s="14" t="s">
        <v>608</v>
      </c>
      <c r="B299" s="15" t="s">
        <v>609</v>
      </c>
      <c r="C299" s="16">
        <v>985</v>
      </c>
      <c r="D299" s="16">
        <v>985</v>
      </c>
      <c r="E299" s="17">
        <v>0</v>
      </c>
      <c r="F299" s="18">
        <v>0</v>
      </c>
      <c r="G299" s="18">
        <v>0</v>
      </c>
      <c r="H299" s="18">
        <v>0</v>
      </c>
      <c r="I299" s="17">
        <v>0</v>
      </c>
      <c r="J299" s="17">
        <f t="shared" si="48"/>
        <v>0</v>
      </c>
      <c r="K299" s="18">
        <v>0</v>
      </c>
      <c r="L299" s="51">
        <v>0</v>
      </c>
      <c r="M299" s="17" t="b">
        <f t="shared" si="59"/>
        <v>1</v>
      </c>
      <c r="N299" s="18">
        <v>0</v>
      </c>
      <c r="O299" s="17">
        <v>0</v>
      </c>
      <c r="P299" s="18">
        <f t="shared" si="49"/>
        <v>0</v>
      </c>
      <c r="Q299" s="17">
        <f t="shared" si="50"/>
        <v>0</v>
      </c>
      <c r="R299" s="3"/>
      <c r="S299" s="19">
        <f t="shared" si="51"/>
        <v>0</v>
      </c>
      <c r="T299" s="19">
        <v>0</v>
      </c>
      <c r="U299" s="19">
        <f t="shared" si="52"/>
        <v>0</v>
      </c>
      <c r="V299" s="19">
        <f t="shared" si="53"/>
        <v>0</v>
      </c>
      <c r="W299" s="19">
        <f t="shared" si="54"/>
        <v>0</v>
      </c>
      <c r="X299" s="19">
        <f t="shared" si="55"/>
        <v>0</v>
      </c>
      <c r="Y299" s="19">
        <f t="shared" si="56"/>
        <v>0</v>
      </c>
      <c r="Z299" s="20">
        <f t="shared" si="57"/>
        <v>0</v>
      </c>
      <c r="AA299" s="20">
        <f t="shared" si="58"/>
        <v>0</v>
      </c>
    </row>
    <row r="300" spans="1:27" ht="15.75" customHeight="1">
      <c r="A300" s="14" t="s">
        <v>610</v>
      </c>
      <c r="B300" s="15" t="s">
        <v>611</v>
      </c>
      <c r="C300" s="16">
        <v>450</v>
      </c>
      <c r="D300" s="16">
        <v>450</v>
      </c>
      <c r="E300" s="17">
        <v>1</v>
      </c>
      <c r="F300" s="18">
        <v>0</v>
      </c>
      <c r="G300" s="18">
        <v>0</v>
      </c>
      <c r="H300" s="18">
        <v>0</v>
      </c>
      <c r="I300" s="17">
        <v>0</v>
      </c>
      <c r="J300" s="17">
        <f t="shared" si="48"/>
        <v>1</v>
      </c>
      <c r="K300" s="18">
        <v>1</v>
      </c>
      <c r="L300" s="51">
        <v>1</v>
      </c>
      <c r="M300" s="17" t="b">
        <f t="shared" si="59"/>
        <v>1</v>
      </c>
      <c r="N300" s="18">
        <v>0</v>
      </c>
      <c r="O300" s="18">
        <v>0</v>
      </c>
      <c r="P300" s="18">
        <f t="shared" si="49"/>
        <v>1</v>
      </c>
      <c r="Q300" s="17">
        <f t="shared" si="50"/>
        <v>0</v>
      </c>
      <c r="R300" s="3"/>
      <c r="S300" s="19">
        <f t="shared" si="51"/>
        <v>450</v>
      </c>
      <c r="T300" s="19">
        <v>0</v>
      </c>
      <c r="U300" s="19">
        <f t="shared" si="52"/>
        <v>0</v>
      </c>
      <c r="V300" s="19">
        <f t="shared" si="53"/>
        <v>0</v>
      </c>
      <c r="W300" s="19">
        <f t="shared" si="54"/>
        <v>0</v>
      </c>
      <c r="X300" s="19">
        <f t="shared" si="55"/>
        <v>0</v>
      </c>
      <c r="Y300" s="19">
        <f t="shared" si="56"/>
        <v>450</v>
      </c>
      <c r="Z300" s="20">
        <f t="shared" si="57"/>
        <v>450</v>
      </c>
      <c r="AA300" s="20">
        <f t="shared" si="58"/>
        <v>0</v>
      </c>
    </row>
    <row r="301" spans="1:27" ht="15.75" customHeight="1">
      <c r="A301" s="14" t="s">
        <v>612</v>
      </c>
      <c r="B301" s="15" t="s">
        <v>613</v>
      </c>
      <c r="C301" s="16">
        <v>888</v>
      </c>
      <c r="D301" s="16">
        <v>888</v>
      </c>
      <c r="E301" s="17">
        <v>1</v>
      </c>
      <c r="F301" s="18">
        <v>0</v>
      </c>
      <c r="G301" s="18">
        <v>0</v>
      </c>
      <c r="H301" s="18">
        <v>0</v>
      </c>
      <c r="I301" s="17">
        <v>0</v>
      </c>
      <c r="J301" s="17">
        <f t="shared" si="48"/>
        <v>1</v>
      </c>
      <c r="K301" s="18">
        <v>1</v>
      </c>
      <c r="L301" s="51">
        <v>1</v>
      </c>
      <c r="M301" s="17" t="b">
        <f t="shared" si="59"/>
        <v>1</v>
      </c>
      <c r="N301" s="18">
        <v>0</v>
      </c>
      <c r="O301" s="17">
        <v>0</v>
      </c>
      <c r="P301" s="18">
        <f t="shared" si="49"/>
        <v>1</v>
      </c>
      <c r="Q301" s="17">
        <f t="shared" si="50"/>
        <v>0</v>
      </c>
      <c r="R301" s="3"/>
      <c r="S301" s="19">
        <f t="shared" si="51"/>
        <v>888</v>
      </c>
      <c r="T301" s="19">
        <v>0</v>
      </c>
      <c r="U301" s="19">
        <f t="shared" si="52"/>
        <v>0</v>
      </c>
      <c r="V301" s="19">
        <f t="shared" si="53"/>
        <v>0</v>
      </c>
      <c r="W301" s="19">
        <f t="shared" si="54"/>
        <v>0</v>
      </c>
      <c r="X301" s="19">
        <f t="shared" si="55"/>
        <v>0</v>
      </c>
      <c r="Y301" s="19">
        <f t="shared" si="56"/>
        <v>888</v>
      </c>
      <c r="Z301" s="20">
        <f t="shared" si="57"/>
        <v>888</v>
      </c>
      <c r="AA301" s="20">
        <f t="shared" si="58"/>
        <v>0</v>
      </c>
    </row>
    <row r="302" spans="1:27" ht="15.75" customHeight="1">
      <c r="A302" s="14" t="s">
        <v>614</v>
      </c>
      <c r="B302" s="15" t="s">
        <v>615</v>
      </c>
      <c r="C302" s="16">
        <v>1204.43</v>
      </c>
      <c r="D302" s="16">
        <v>1204.43</v>
      </c>
      <c r="E302" s="17">
        <v>1</v>
      </c>
      <c r="F302" s="18">
        <v>0</v>
      </c>
      <c r="G302" s="18">
        <v>0</v>
      </c>
      <c r="H302" s="18">
        <v>0</v>
      </c>
      <c r="I302" s="17">
        <v>0</v>
      </c>
      <c r="J302" s="17">
        <f t="shared" si="48"/>
        <v>1</v>
      </c>
      <c r="K302" s="18">
        <v>1</v>
      </c>
      <c r="L302" s="51">
        <v>1</v>
      </c>
      <c r="M302" s="17" t="b">
        <f t="shared" si="59"/>
        <v>1</v>
      </c>
      <c r="N302" s="18">
        <v>0</v>
      </c>
      <c r="O302" s="17">
        <v>0</v>
      </c>
      <c r="P302" s="18">
        <f t="shared" si="49"/>
        <v>1</v>
      </c>
      <c r="Q302" s="17">
        <f t="shared" si="50"/>
        <v>0</v>
      </c>
      <c r="R302" s="3"/>
      <c r="S302" s="19">
        <f t="shared" si="51"/>
        <v>1204.43</v>
      </c>
      <c r="T302" s="19">
        <v>0</v>
      </c>
      <c r="U302" s="19">
        <f t="shared" si="52"/>
        <v>0</v>
      </c>
      <c r="V302" s="19">
        <f t="shared" si="53"/>
        <v>0</v>
      </c>
      <c r="W302" s="19">
        <f t="shared" si="54"/>
        <v>0</v>
      </c>
      <c r="X302" s="19">
        <f t="shared" si="55"/>
        <v>0</v>
      </c>
      <c r="Y302" s="19">
        <f t="shared" si="56"/>
        <v>1204.43</v>
      </c>
      <c r="Z302" s="20">
        <f t="shared" si="57"/>
        <v>1204.43</v>
      </c>
      <c r="AA302" s="20">
        <f t="shared" si="58"/>
        <v>0</v>
      </c>
    </row>
    <row r="303" spans="1:27" ht="15.75" customHeight="1">
      <c r="A303" s="14" t="s">
        <v>616</v>
      </c>
      <c r="B303" s="15" t="s">
        <v>617</v>
      </c>
      <c r="C303" s="16">
        <v>890</v>
      </c>
      <c r="D303" s="16">
        <v>890</v>
      </c>
      <c r="E303" s="17">
        <v>2</v>
      </c>
      <c r="F303" s="18">
        <v>0</v>
      </c>
      <c r="G303" s="18">
        <v>0</v>
      </c>
      <c r="H303" s="18">
        <v>0</v>
      </c>
      <c r="I303" s="17">
        <v>0</v>
      </c>
      <c r="J303" s="17">
        <f t="shared" si="48"/>
        <v>2</v>
      </c>
      <c r="K303" s="18">
        <v>2</v>
      </c>
      <c r="L303" s="51">
        <v>2</v>
      </c>
      <c r="M303" s="17" t="b">
        <f t="shared" si="59"/>
        <v>1</v>
      </c>
      <c r="N303" s="18">
        <v>0</v>
      </c>
      <c r="O303" s="17">
        <v>0</v>
      </c>
      <c r="P303" s="18">
        <f t="shared" si="49"/>
        <v>2</v>
      </c>
      <c r="Q303" s="17">
        <f t="shared" si="50"/>
        <v>0</v>
      </c>
      <c r="R303" s="3"/>
      <c r="S303" s="19">
        <f t="shared" si="51"/>
        <v>1780</v>
      </c>
      <c r="T303" s="19">
        <v>0</v>
      </c>
      <c r="U303" s="19">
        <f t="shared" si="52"/>
        <v>0</v>
      </c>
      <c r="V303" s="19">
        <f t="shared" si="53"/>
        <v>0</v>
      </c>
      <c r="W303" s="19">
        <f t="shared" si="54"/>
        <v>0</v>
      </c>
      <c r="X303" s="19">
        <f t="shared" si="55"/>
        <v>0</v>
      </c>
      <c r="Y303" s="19">
        <f t="shared" si="56"/>
        <v>1780</v>
      </c>
      <c r="Z303" s="20">
        <f t="shared" si="57"/>
        <v>1780</v>
      </c>
      <c r="AA303" s="20">
        <f t="shared" si="58"/>
        <v>0</v>
      </c>
    </row>
    <row r="304" spans="1:27" ht="15.75" customHeight="1">
      <c r="A304" s="14" t="s">
        <v>618</v>
      </c>
      <c r="B304" s="15" t="s">
        <v>619</v>
      </c>
      <c r="C304" s="16">
        <v>695</v>
      </c>
      <c r="D304" s="16">
        <v>695</v>
      </c>
      <c r="E304" s="17">
        <v>14</v>
      </c>
      <c r="F304" s="18">
        <v>0</v>
      </c>
      <c r="G304" s="18">
        <v>0</v>
      </c>
      <c r="H304" s="18">
        <v>0</v>
      </c>
      <c r="I304" s="17">
        <v>0</v>
      </c>
      <c r="J304" s="17">
        <f t="shared" si="48"/>
        <v>14</v>
      </c>
      <c r="K304" s="18">
        <v>14</v>
      </c>
      <c r="L304" s="51">
        <v>14</v>
      </c>
      <c r="M304" s="17" t="b">
        <f t="shared" si="59"/>
        <v>1</v>
      </c>
      <c r="N304" s="18">
        <v>0</v>
      </c>
      <c r="O304" s="17">
        <v>0</v>
      </c>
      <c r="P304" s="18">
        <f t="shared" si="49"/>
        <v>14</v>
      </c>
      <c r="Q304" s="17">
        <f t="shared" si="50"/>
        <v>0</v>
      </c>
      <c r="R304" s="3"/>
      <c r="S304" s="19">
        <f t="shared" si="51"/>
        <v>9730</v>
      </c>
      <c r="T304" s="19">
        <v>0</v>
      </c>
      <c r="U304" s="19">
        <f t="shared" si="52"/>
        <v>0</v>
      </c>
      <c r="V304" s="19">
        <f t="shared" si="53"/>
        <v>0</v>
      </c>
      <c r="W304" s="19">
        <f t="shared" si="54"/>
        <v>0</v>
      </c>
      <c r="X304" s="19">
        <f t="shared" si="55"/>
        <v>0</v>
      </c>
      <c r="Y304" s="19">
        <f t="shared" si="56"/>
        <v>9730</v>
      </c>
      <c r="Z304" s="20">
        <f t="shared" si="57"/>
        <v>9730</v>
      </c>
      <c r="AA304" s="20">
        <f t="shared" si="58"/>
        <v>0</v>
      </c>
    </row>
    <row r="305" spans="1:28" ht="15.75" customHeight="1">
      <c r="A305" s="25" t="s">
        <v>16</v>
      </c>
      <c r="B305" s="25"/>
      <c r="C305" s="26"/>
      <c r="D305" s="26"/>
      <c r="E305" s="27">
        <f t="shared" ref="E305:K305" si="60">SUM(E7:E304)</f>
        <v>1630</v>
      </c>
      <c r="F305" s="27">
        <f t="shared" si="60"/>
        <v>0</v>
      </c>
      <c r="G305" s="27">
        <f t="shared" si="60"/>
        <v>0</v>
      </c>
      <c r="H305" s="27">
        <f t="shared" si="60"/>
        <v>0</v>
      </c>
      <c r="I305" s="27">
        <f t="shared" si="60"/>
        <v>0</v>
      </c>
      <c r="J305" s="27">
        <f t="shared" si="60"/>
        <v>1630</v>
      </c>
      <c r="K305" s="28">
        <f t="shared" si="60"/>
        <v>1478</v>
      </c>
      <c r="L305" s="28"/>
      <c r="M305" s="28"/>
      <c r="N305" s="28">
        <f>SUM(N7:N304)</f>
        <v>104</v>
      </c>
      <c r="O305" s="28">
        <f>SUM(O7:O304)</f>
        <v>51</v>
      </c>
      <c r="P305" s="28">
        <f>SUM(P7:P304)</f>
        <v>1633</v>
      </c>
      <c r="Q305" s="28">
        <f>SUM(Q7:Q304)</f>
        <v>3</v>
      </c>
      <c r="R305" s="3"/>
      <c r="S305" s="29">
        <f t="shared" ref="S305:Y305" si="61">SUM(S7:S304)</f>
        <v>407268.76</v>
      </c>
      <c r="T305" s="29">
        <f t="shared" si="61"/>
        <v>0</v>
      </c>
      <c r="U305" s="29">
        <f t="shared" si="61"/>
        <v>0</v>
      </c>
      <c r="V305" s="29">
        <f t="shared" si="61"/>
        <v>0</v>
      </c>
      <c r="W305" s="29">
        <f t="shared" si="61"/>
        <v>0</v>
      </c>
      <c r="X305" s="29">
        <f t="shared" si="61"/>
        <v>0</v>
      </c>
      <c r="Y305" s="29">
        <f t="shared" si="61"/>
        <v>407268.76</v>
      </c>
      <c r="Z305" s="30"/>
      <c r="AA305" s="30"/>
    </row>
    <row r="306" spans="1:28" ht="15.75" customHeight="1">
      <c r="A306" s="31"/>
      <c r="B306" s="32"/>
      <c r="C306" s="33"/>
      <c r="D306" s="34"/>
      <c r="E306" s="34"/>
      <c r="F306" s="10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"/>
      <c r="R306" s="3"/>
      <c r="S306" s="3"/>
      <c r="T306" s="3"/>
      <c r="U306" s="3"/>
      <c r="V306" s="3"/>
      <c r="W306" s="3"/>
      <c r="X306" s="31"/>
      <c r="Y306" s="31"/>
      <c r="Z306" s="31"/>
      <c r="AA306" s="31"/>
      <c r="AB306" s="31"/>
    </row>
    <row r="307" spans="1:28" ht="15.75" customHeight="1"/>
    <row r="308" spans="1:28" ht="15.75" customHeight="1"/>
    <row r="309" spans="1:28" ht="15.75" customHeight="1"/>
    <row r="310" spans="1:28" ht="15.75" customHeight="1"/>
    <row r="311" spans="1:28" ht="15.75" customHeight="1"/>
    <row r="312" spans="1:28" ht="15.75" customHeight="1">
      <c r="Q312" s="4"/>
    </row>
    <row r="313" spans="1:28" ht="15.75" customHeight="1">
      <c r="Q313" s="4"/>
    </row>
    <row r="314" spans="1:28" ht="15.75" customHeight="1"/>
    <row r="315" spans="1:28" ht="15.75" customHeight="1"/>
    <row r="316" spans="1:28" ht="15.75" customHeight="1"/>
    <row r="317" spans="1:28" ht="15.75" customHeight="1"/>
    <row r="318" spans="1:28" ht="15.75" customHeight="1"/>
    <row r="319" spans="1:28" ht="15.75" customHeight="1"/>
    <row r="320" spans="1:28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6:AB305" xr:uid="{00000000-0001-0000-0000-000000000000}"/>
  <mergeCells count="4">
    <mergeCell ref="A1:Y1"/>
    <mergeCell ref="A2:Y2"/>
    <mergeCell ref="A3:Y3"/>
    <mergeCell ref="S4:V4"/>
  </mergeCells>
  <pageMargins left="0.25" right="0.25" top="0.75" bottom="0.75" header="0" footer="0"/>
  <pageSetup fitToHeight="0" orientation="portrait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E757-EA23-4219-AD10-3783F23AE97D}">
  <dimension ref="A1:B50"/>
  <sheetViews>
    <sheetView workbookViewId="0">
      <selection activeCell="F22" sqref="F22"/>
    </sheetView>
  </sheetViews>
  <sheetFormatPr baseColWidth="10" defaultRowHeight="15"/>
  <cols>
    <col min="1" max="1" width="35.140625" bestFit="1" customWidth="1"/>
    <col min="2" max="2" width="17" bestFit="1" customWidth="1"/>
  </cols>
  <sheetData>
    <row r="1" spans="1:2">
      <c r="A1" s="118" t="s">
        <v>624</v>
      </c>
      <c r="B1" t="s">
        <v>690</v>
      </c>
    </row>
    <row r="3" spans="1:2">
      <c r="A3" s="118" t="s">
        <v>688</v>
      </c>
      <c r="B3" t="s">
        <v>691</v>
      </c>
    </row>
    <row r="4" spans="1:2">
      <c r="A4" s="119" t="s">
        <v>649</v>
      </c>
      <c r="B4">
        <v>15</v>
      </c>
    </row>
    <row r="5" spans="1:2">
      <c r="A5" s="119" t="s">
        <v>650</v>
      </c>
      <c r="B5">
        <v>3</v>
      </c>
    </row>
    <row r="6" spans="1:2">
      <c r="A6" s="119" t="s">
        <v>651</v>
      </c>
      <c r="B6">
        <v>2</v>
      </c>
    </row>
    <row r="7" spans="1:2">
      <c r="A7" s="119" t="s">
        <v>652</v>
      </c>
      <c r="B7">
        <v>2</v>
      </c>
    </row>
    <row r="8" spans="1:2">
      <c r="A8" s="119" t="s">
        <v>653</v>
      </c>
      <c r="B8">
        <v>2</v>
      </c>
    </row>
    <row r="9" spans="1:2">
      <c r="A9" s="119" t="s">
        <v>654</v>
      </c>
      <c r="B9">
        <v>3</v>
      </c>
    </row>
    <row r="10" spans="1:2">
      <c r="A10" s="119" t="s">
        <v>655</v>
      </c>
      <c r="B10">
        <v>2</v>
      </c>
    </row>
    <row r="11" spans="1:2">
      <c r="A11" s="119" t="s">
        <v>656</v>
      </c>
      <c r="B11">
        <v>10</v>
      </c>
    </row>
    <row r="12" spans="1:2">
      <c r="A12" s="119" t="s">
        <v>635</v>
      </c>
      <c r="B12">
        <v>1</v>
      </c>
    </row>
    <row r="13" spans="1:2">
      <c r="A13" s="119" t="s">
        <v>636</v>
      </c>
      <c r="B13">
        <v>1</v>
      </c>
    </row>
    <row r="14" spans="1:2">
      <c r="A14" s="119" t="s">
        <v>657</v>
      </c>
      <c r="B14">
        <v>2</v>
      </c>
    </row>
    <row r="15" spans="1:2">
      <c r="A15" s="119" t="s">
        <v>658</v>
      </c>
      <c r="B15">
        <v>2</v>
      </c>
    </row>
    <row r="16" spans="1:2">
      <c r="A16" s="119" t="s">
        <v>171</v>
      </c>
      <c r="B16">
        <v>1</v>
      </c>
    </row>
    <row r="17" spans="1:2">
      <c r="A17" s="119" t="s">
        <v>659</v>
      </c>
      <c r="B17">
        <v>1</v>
      </c>
    </row>
    <row r="18" spans="1:2">
      <c r="A18" s="119" t="s">
        <v>660</v>
      </c>
      <c r="B18">
        <v>1</v>
      </c>
    </row>
    <row r="19" spans="1:2">
      <c r="A19" s="119" t="s">
        <v>661</v>
      </c>
      <c r="B19">
        <v>2</v>
      </c>
    </row>
    <row r="20" spans="1:2">
      <c r="A20" s="119" t="s">
        <v>662</v>
      </c>
      <c r="B20">
        <v>3</v>
      </c>
    </row>
    <row r="21" spans="1:2">
      <c r="A21" s="119" t="s">
        <v>631</v>
      </c>
      <c r="B21">
        <v>1</v>
      </c>
    </row>
    <row r="22" spans="1:2">
      <c r="A22" s="119" t="s">
        <v>646</v>
      </c>
      <c r="B22">
        <v>1</v>
      </c>
    </row>
    <row r="23" spans="1:2">
      <c r="A23" s="119" t="s">
        <v>642</v>
      </c>
      <c r="B23">
        <v>1</v>
      </c>
    </row>
    <row r="24" spans="1:2">
      <c r="A24" s="119" t="s">
        <v>641</v>
      </c>
      <c r="B24">
        <v>1</v>
      </c>
    </row>
    <row r="25" spans="1:2">
      <c r="A25" s="119" t="s">
        <v>645</v>
      </c>
      <c r="B25">
        <v>1</v>
      </c>
    </row>
    <row r="26" spans="1:2">
      <c r="A26" s="119" t="s">
        <v>644</v>
      </c>
      <c r="B26">
        <v>1</v>
      </c>
    </row>
    <row r="27" spans="1:2">
      <c r="A27" s="119" t="s">
        <v>637</v>
      </c>
      <c r="B27">
        <v>25</v>
      </c>
    </row>
    <row r="28" spans="1:2">
      <c r="A28" s="119" t="s">
        <v>638</v>
      </c>
      <c r="B28">
        <v>1</v>
      </c>
    </row>
    <row r="29" spans="1:2">
      <c r="A29" s="119" t="s">
        <v>683</v>
      </c>
      <c r="B29">
        <v>1</v>
      </c>
    </row>
    <row r="30" spans="1:2">
      <c r="A30" s="119" t="s">
        <v>663</v>
      </c>
      <c r="B30">
        <v>20</v>
      </c>
    </row>
    <row r="31" spans="1:2">
      <c r="A31" s="119" t="s">
        <v>455</v>
      </c>
      <c r="B31">
        <v>20</v>
      </c>
    </row>
    <row r="32" spans="1:2">
      <c r="A32" s="119" t="s">
        <v>664</v>
      </c>
      <c r="B32">
        <v>20</v>
      </c>
    </row>
    <row r="33" spans="1:2">
      <c r="A33" s="119" t="s">
        <v>665</v>
      </c>
      <c r="B33">
        <v>20</v>
      </c>
    </row>
    <row r="34" spans="1:2">
      <c r="A34" s="119" t="s">
        <v>461</v>
      </c>
      <c r="B34">
        <v>20</v>
      </c>
    </row>
    <row r="35" spans="1:2">
      <c r="A35" s="119" t="s">
        <v>463</v>
      </c>
      <c r="B35">
        <v>20</v>
      </c>
    </row>
    <row r="36" spans="1:2">
      <c r="A36" s="119" t="s">
        <v>491</v>
      </c>
      <c r="B36">
        <v>1</v>
      </c>
    </row>
    <row r="37" spans="1:2">
      <c r="A37" s="119" t="s">
        <v>639</v>
      </c>
      <c r="B37">
        <v>4</v>
      </c>
    </row>
    <row r="38" spans="1:2">
      <c r="A38" s="119" t="s">
        <v>640</v>
      </c>
      <c r="B38">
        <v>5</v>
      </c>
    </row>
    <row r="39" spans="1:2">
      <c r="A39" s="119" t="s">
        <v>503</v>
      </c>
      <c r="B39">
        <v>6</v>
      </c>
    </row>
    <row r="40" spans="1:2">
      <c r="A40" s="119" t="s">
        <v>505</v>
      </c>
      <c r="B40">
        <v>12</v>
      </c>
    </row>
    <row r="41" spans="1:2">
      <c r="A41" s="119" t="s">
        <v>507</v>
      </c>
      <c r="B41">
        <v>2</v>
      </c>
    </row>
    <row r="42" spans="1:2">
      <c r="A42" s="119" t="s">
        <v>648</v>
      </c>
      <c r="B42">
        <v>4</v>
      </c>
    </row>
    <row r="43" spans="1:2">
      <c r="A43" s="119" t="s">
        <v>680</v>
      </c>
      <c r="B43">
        <v>1</v>
      </c>
    </row>
    <row r="44" spans="1:2">
      <c r="A44" s="119" t="s">
        <v>685</v>
      </c>
      <c r="B44">
        <v>1</v>
      </c>
    </row>
    <row r="45" spans="1:2">
      <c r="A45" s="119" t="s">
        <v>686</v>
      </c>
      <c r="B45">
        <v>1</v>
      </c>
    </row>
    <row r="46" spans="1:2">
      <c r="A46" s="119" t="s">
        <v>682</v>
      </c>
      <c r="B46">
        <v>5</v>
      </c>
    </row>
    <row r="47" spans="1:2">
      <c r="A47" s="119" t="s">
        <v>684</v>
      </c>
      <c r="B47">
        <v>2</v>
      </c>
    </row>
    <row r="48" spans="1:2">
      <c r="A48" s="119" t="s">
        <v>647</v>
      </c>
      <c r="B48">
        <v>5</v>
      </c>
    </row>
    <row r="49" spans="1:2">
      <c r="A49" s="119" t="s">
        <v>681</v>
      </c>
      <c r="B49">
        <v>5</v>
      </c>
    </row>
    <row r="50" spans="1:2">
      <c r="A50" s="119" t="s">
        <v>689</v>
      </c>
      <c r="B50">
        <v>260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53"/>
  <sheetViews>
    <sheetView workbookViewId="0">
      <selection activeCell="D22" sqref="D22"/>
    </sheetView>
  </sheetViews>
  <sheetFormatPr baseColWidth="10" defaultColWidth="14.42578125" defaultRowHeight="15" customHeight="1"/>
  <cols>
    <col min="1" max="1" width="27.42578125" style="108" bestFit="1" customWidth="1"/>
    <col min="4" max="4" width="28.85546875" customWidth="1"/>
  </cols>
  <sheetData>
    <row r="1" spans="1:9">
      <c r="A1" s="257" t="s">
        <v>620</v>
      </c>
      <c r="B1" s="254"/>
      <c r="C1" s="254"/>
      <c r="D1" s="254"/>
      <c r="E1" s="254"/>
      <c r="F1" s="254"/>
      <c r="G1" s="254"/>
    </row>
    <row r="2" spans="1:9">
      <c r="A2" s="257" t="s">
        <v>621</v>
      </c>
      <c r="B2" s="254"/>
      <c r="C2" s="254"/>
      <c r="D2" s="254"/>
      <c r="E2" s="254"/>
      <c r="F2" s="254"/>
      <c r="G2" s="254"/>
    </row>
    <row r="3" spans="1:9">
      <c r="A3" s="257" t="s">
        <v>622</v>
      </c>
      <c r="B3" s="254"/>
      <c r="C3" s="254"/>
      <c r="D3" s="254"/>
      <c r="E3" s="254"/>
      <c r="F3" s="254"/>
      <c r="G3" s="254"/>
    </row>
    <row r="4" spans="1:9">
      <c r="A4" s="107"/>
      <c r="B4" s="41"/>
      <c r="C4" s="41"/>
      <c r="D4" s="41"/>
      <c r="E4" s="41"/>
      <c r="F4" s="41"/>
      <c r="G4" s="41"/>
    </row>
    <row r="5" spans="1:9">
      <c r="A5" s="107"/>
      <c r="B5" s="41"/>
      <c r="C5" s="41"/>
      <c r="D5" s="41"/>
      <c r="E5" s="41"/>
      <c r="F5" s="41"/>
      <c r="G5" s="41"/>
    </row>
    <row r="6" spans="1:9">
      <c r="A6" s="107"/>
      <c r="B6" s="41"/>
      <c r="C6" s="41"/>
      <c r="D6" s="41"/>
      <c r="E6" s="41"/>
      <c r="F6" s="41"/>
      <c r="G6" s="42" t="s">
        <v>623</v>
      </c>
    </row>
    <row r="7" spans="1:9">
      <c r="A7" s="113" t="s">
        <v>624</v>
      </c>
      <c r="B7" s="104" t="s">
        <v>625</v>
      </c>
      <c r="C7" s="105" t="s">
        <v>626</v>
      </c>
      <c r="D7" s="106" t="s">
        <v>627</v>
      </c>
      <c r="E7" s="106" t="s">
        <v>628</v>
      </c>
      <c r="F7" s="106" t="s">
        <v>629</v>
      </c>
      <c r="G7" s="104" t="s">
        <v>630</v>
      </c>
    </row>
    <row r="8" spans="1:9">
      <c r="A8" s="109">
        <v>46141</v>
      </c>
      <c r="B8" s="101">
        <v>1</v>
      </c>
      <c r="C8" s="43" t="s">
        <v>264</v>
      </c>
      <c r="D8" s="44" t="s">
        <v>631</v>
      </c>
      <c r="E8" s="44" t="s">
        <v>632</v>
      </c>
      <c r="F8" s="44" t="s">
        <v>633</v>
      </c>
      <c r="G8" s="110" t="s">
        <v>634</v>
      </c>
      <c r="I8">
        <v>1</v>
      </c>
    </row>
    <row r="9" spans="1:9">
      <c r="A9" s="109">
        <v>46141</v>
      </c>
      <c r="B9" s="101">
        <v>1</v>
      </c>
      <c r="C9" s="45" t="s">
        <v>170</v>
      </c>
      <c r="D9" s="44" t="s">
        <v>171</v>
      </c>
      <c r="E9" s="44" t="s">
        <v>632</v>
      </c>
      <c r="F9" s="44" t="s">
        <v>633</v>
      </c>
      <c r="G9" s="110" t="s">
        <v>634</v>
      </c>
      <c r="I9">
        <v>1</v>
      </c>
    </row>
    <row r="10" spans="1:9">
      <c r="A10" s="109">
        <v>46141</v>
      </c>
      <c r="B10" s="101">
        <v>1</v>
      </c>
      <c r="C10" s="45" t="s">
        <v>132</v>
      </c>
      <c r="D10" s="44" t="s">
        <v>635</v>
      </c>
      <c r="E10" s="44" t="s">
        <v>632</v>
      </c>
      <c r="F10" s="44" t="s">
        <v>633</v>
      </c>
      <c r="G10" s="110" t="s">
        <v>634</v>
      </c>
      <c r="I10">
        <v>1</v>
      </c>
    </row>
    <row r="11" spans="1:9">
      <c r="A11" s="109">
        <v>46141</v>
      </c>
      <c r="B11" s="101">
        <v>1</v>
      </c>
      <c r="C11" s="45" t="s">
        <v>134</v>
      </c>
      <c r="D11" s="44" t="s">
        <v>636</v>
      </c>
      <c r="E11" s="44" t="s">
        <v>632</v>
      </c>
      <c r="F11" s="44" t="s">
        <v>633</v>
      </c>
      <c r="G11" s="110" t="s">
        <v>634</v>
      </c>
      <c r="I11">
        <v>1</v>
      </c>
    </row>
    <row r="12" spans="1:9">
      <c r="A12" s="109">
        <v>46141</v>
      </c>
      <c r="B12" s="101">
        <v>25</v>
      </c>
      <c r="C12" s="45" t="s">
        <v>414</v>
      </c>
      <c r="D12" s="44" t="s">
        <v>637</v>
      </c>
      <c r="E12" s="44" t="s">
        <v>632</v>
      </c>
      <c r="F12" s="44" t="s">
        <v>633</v>
      </c>
      <c r="G12" s="110" t="s">
        <v>634</v>
      </c>
      <c r="I12">
        <v>25</v>
      </c>
    </row>
    <row r="13" spans="1:9">
      <c r="A13" s="109">
        <v>46141</v>
      </c>
      <c r="B13" s="101">
        <v>1</v>
      </c>
      <c r="C13" s="45" t="s">
        <v>442</v>
      </c>
      <c r="D13" s="44" t="s">
        <v>638</v>
      </c>
      <c r="E13" s="44" t="s">
        <v>632</v>
      </c>
      <c r="F13" s="44" t="s">
        <v>633</v>
      </c>
      <c r="G13" s="110" t="s">
        <v>634</v>
      </c>
      <c r="I13">
        <v>1</v>
      </c>
    </row>
    <row r="14" spans="1:9">
      <c r="A14" s="109">
        <v>46141</v>
      </c>
      <c r="B14" s="101">
        <v>4</v>
      </c>
      <c r="C14" s="45" t="s">
        <v>328</v>
      </c>
      <c r="D14" s="44" t="s">
        <v>639</v>
      </c>
      <c r="E14" s="44" t="s">
        <v>632</v>
      </c>
      <c r="F14" s="44" t="s">
        <v>633</v>
      </c>
      <c r="G14" s="110" t="s">
        <v>634</v>
      </c>
      <c r="I14">
        <v>4</v>
      </c>
    </row>
    <row r="15" spans="1:9">
      <c r="A15" s="109">
        <v>46141</v>
      </c>
      <c r="B15" s="101">
        <v>5</v>
      </c>
      <c r="C15" s="45" t="s">
        <v>496</v>
      </c>
      <c r="D15" s="44" t="s">
        <v>640</v>
      </c>
      <c r="E15" s="44" t="s">
        <v>632</v>
      </c>
      <c r="F15" s="44" t="s">
        <v>633</v>
      </c>
      <c r="G15" s="110" t="s">
        <v>634</v>
      </c>
      <c r="I15">
        <v>5</v>
      </c>
    </row>
    <row r="16" spans="1:9">
      <c r="A16" s="109">
        <v>46141</v>
      </c>
      <c r="B16" s="101">
        <v>1</v>
      </c>
      <c r="C16" s="45" t="s">
        <v>280</v>
      </c>
      <c r="D16" s="44" t="s">
        <v>641</v>
      </c>
      <c r="E16" s="44" t="s">
        <v>632</v>
      </c>
      <c r="F16" s="44" t="s">
        <v>633</v>
      </c>
      <c r="G16" s="110" t="s">
        <v>634</v>
      </c>
      <c r="I16">
        <v>1</v>
      </c>
    </row>
    <row r="17" spans="1:9">
      <c r="A17" s="109">
        <v>46141</v>
      </c>
      <c r="B17" s="101">
        <v>1</v>
      </c>
      <c r="C17" s="46" t="s">
        <v>286</v>
      </c>
      <c r="D17" s="47" t="s">
        <v>642</v>
      </c>
      <c r="E17" s="47" t="s">
        <v>632</v>
      </c>
      <c r="F17" s="47" t="s">
        <v>633</v>
      </c>
      <c r="G17" s="111" t="s">
        <v>634</v>
      </c>
      <c r="I17">
        <v>1</v>
      </c>
    </row>
    <row r="18" spans="1:9">
      <c r="A18" s="109">
        <v>46141</v>
      </c>
      <c r="B18" s="102">
        <v>1</v>
      </c>
      <c r="C18" s="48" t="s">
        <v>643</v>
      </c>
      <c r="D18" s="48" t="s">
        <v>644</v>
      </c>
      <c r="E18" s="47" t="s">
        <v>632</v>
      </c>
      <c r="F18" s="47" t="s">
        <v>633</v>
      </c>
      <c r="G18" s="111" t="s">
        <v>634</v>
      </c>
      <c r="I18">
        <v>1</v>
      </c>
    </row>
    <row r="19" spans="1:9">
      <c r="A19" s="109">
        <v>46141</v>
      </c>
      <c r="B19" s="102">
        <v>1</v>
      </c>
      <c r="C19" s="46" t="s">
        <v>314</v>
      </c>
      <c r="D19" s="47" t="s">
        <v>645</v>
      </c>
      <c r="E19" s="47" t="s">
        <v>632</v>
      </c>
      <c r="F19" s="47" t="s">
        <v>633</v>
      </c>
      <c r="G19" s="111" t="s">
        <v>634</v>
      </c>
      <c r="I19">
        <v>1</v>
      </c>
    </row>
    <row r="20" spans="1:9">
      <c r="A20" s="109">
        <v>46141</v>
      </c>
      <c r="B20" s="102">
        <v>1</v>
      </c>
      <c r="C20" s="46" t="s">
        <v>268</v>
      </c>
      <c r="D20" s="47" t="s">
        <v>646</v>
      </c>
      <c r="E20" s="47" t="s">
        <v>632</v>
      </c>
      <c r="F20" s="47" t="s">
        <v>633</v>
      </c>
      <c r="G20" s="111" t="s">
        <v>634</v>
      </c>
      <c r="I20">
        <v>1</v>
      </c>
    </row>
    <row r="21" spans="1:9">
      <c r="A21" s="109">
        <v>46141</v>
      </c>
      <c r="B21" s="103">
        <v>5</v>
      </c>
      <c r="C21" s="49" t="s">
        <v>600</v>
      </c>
      <c r="D21" s="50" t="s">
        <v>647</v>
      </c>
      <c r="E21" s="50" t="s">
        <v>632</v>
      </c>
      <c r="F21" s="50" t="s">
        <v>633</v>
      </c>
      <c r="G21" s="112" t="s">
        <v>634</v>
      </c>
      <c r="I21">
        <v>5</v>
      </c>
    </row>
    <row r="22" spans="1:9">
      <c r="A22" s="109">
        <v>46141</v>
      </c>
      <c r="B22" s="103">
        <v>4</v>
      </c>
      <c r="C22" s="49" t="s">
        <v>550</v>
      </c>
      <c r="D22" s="50" t="s">
        <v>648</v>
      </c>
      <c r="E22" s="50" t="s">
        <v>632</v>
      </c>
      <c r="F22" s="50" t="s">
        <v>633</v>
      </c>
      <c r="G22" s="112" t="s">
        <v>634</v>
      </c>
      <c r="I22">
        <v>4</v>
      </c>
    </row>
    <row r="23" spans="1:9">
      <c r="A23" s="109">
        <v>46141</v>
      </c>
      <c r="B23" s="103">
        <v>15</v>
      </c>
      <c r="C23" s="50" t="s">
        <v>34</v>
      </c>
      <c r="D23" s="50" t="s">
        <v>649</v>
      </c>
      <c r="E23" s="50" t="s">
        <v>632</v>
      </c>
      <c r="F23" s="50" t="s">
        <v>633</v>
      </c>
      <c r="G23" s="112" t="s">
        <v>634</v>
      </c>
      <c r="I23">
        <v>15</v>
      </c>
    </row>
    <row r="24" spans="1:9">
      <c r="A24" s="109">
        <v>46141</v>
      </c>
      <c r="B24" s="103">
        <v>3</v>
      </c>
      <c r="C24" s="50" t="s">
        <v>56</v>
      </c>
      <c r="D24" s="50" t="s">
        <v>650</v>
      </c>
      <c r="E24" s="50" t="s">
        <v>632</v>
      </c>
      <c r="F24" s="50" t="s">
        <v>633</v>
      </c>
      <c r="G24" s="112" t="s">
        <v>634</v>
      </c>
      <c r="I24">
        <v>3</v>
      </c>
    </row>
    <row r="25" spans="1:9">
      <c r="A25" s="109">
        <v>46141</v>
      </c>
      <c r="B25" s="103">
        <v>2</v>
      </c>
      <c r="C25" s="50" t="s">
        <v>62</v>
      </c>
      <c r="D25" s="50" t="s">
        <v>651</v>
      </c>
      <c r="E25" s="50" t="s">
        <v>632</v>
      </c>
      <c r="F25" s="50" t="s">
        <v>633</v>
      </c>
      <c r="G25" s="112" t="s">
        <v>634</v>
      </c>
      <c r="I25">
        <v>2</v>
      </c>
    </row>
    <row r="26" spans="1:9">
      <c r="A26" s="109">
        <v>46141</v>
      </c>
      <c r="B26" s="103">
        <v>2</v>
      </c>
      <c r="C26" s="50" t="s">
        <v>64</v>
      </c>
      <c r="D26" s="50" t="s">
        <v>652</v>
      </c>
      <c r="E26" s="50" t="s">
        <v>632</v>
      </c>
      <c r="F26" s="50" t="s">
        <v>633</v>
      </c>
      <c r="G26" s="112" t="s">
        <v>634</v>
      </c>
      <c r="I26">
        <v>2</v>
      </c>
    </row>
    <row r="27" spans="1:9">
      <c r="A27" s="109">
        <v>46141</v>
      </c>
      <c r="B27" s="103">
        <v>2</v>
      </c>
      <c r="C27" s="50" t="s">
        <v>82</v>
      </c>
      <c r="D27" s="50" t="s">
        <v>653</v>
      </c>
      <c r="E27" s="50" t="s">
        <v>632</v>
      </c>
      <c r="F27" s="50" t="s">
        <v>633</v>
      </c>
      <c r="G27" s="112" t="s">
        <v>634</v>
      </c>
      <c r="I27">
        <v>2</v>
      </c>
    </row>
    <row r="28" spans="1:9">
      <c r="A28" s="109">
        <v>46141</v>
      </c>
      <c r="B28" s="103">
        <v>3</v>
      </c>
      <c r="C28" s="50" t="s">
        <v>84</v>
      </c>
      <c r="D28" s="50" t="s">
        <v>654</v>
      </c>
      <c r="E28" s="50" t="s">
        <v>632</v>
      </c>
      <c r="F28" s="50" t="s">
        <v>633</v>
      </c>
      <c r="G28" s="112" t="s">
        <v>634</v>
      </c>
      <c r="I28">
        <v>3</v>
      </c>
    </row>
    <row r="29" spans="1:9">
      <c r="A29" s="109">
        <v>46141</v>
      </c>
      <c r="B29" s="103">
        <v>2</v>
      </c>
      <c r="C29" s="50" t="s">
        <v>98</v>
      </c>
      <c r="D29" s="50" t="s">
        <v>655</v>
      </c>
      <c r="E29" s="50" t="s">
        <v>632</v>
      </c>
      <c r="F29" s="50" t="s">
        <v>633</v>
      </c>
      <c r="G29" s="112" t="s">
        <v>634</v>
      </c>
      <c r="I29">
        <v>2</v>
      </c>
    </row>
    <row r="30" spans="1:9">
      <c r="A30" s="109">
        <v>46141</v>
      </c>
      <c r="B30" s="103">
        <v>10</v>
      </c>
      <c r="C30" s="50" t="s">
        <v>100</v>
      </c>
      <c r="D30" s="50" t="s">
        <v>656</v>
      </c>
      <c r="E30" s="50" t="s">
        <v>632</v>
      </c>
      <c r="F30" s="50" t="s">
        <v>633</v>
      </c>
      <c r="G30" s="112" t="s">
        <v>634</v>
      </c>
      <c r="I30">
        <v>10</v>
      </c>
    </row>
    <row r="31" spans="1:9">
      <c r="A31" s="109">
        <v>46141</v>
      </c>
      <c r="B31" s="103">
        <v>2</v>
      </c>
      <c r="C31" s="50" t="s">
        <v>146</v>
      </c>
      <c r="D31" s="50" t="s">
        <v>657</v>
      </c>
      <c r="E31" s="50" t="s">
        <v>632</v>
      </c>
      <c r="F31" s="50" t="s">
        <v>633</v>
      </c>
      <c r="G31" s="112" t="s">
        <v>634</v>
      </c>
      <c r="I31">
        <v>2</v>
      </c>
    </row>
    <row r="32" spans="1:9">
      <c r="A32" s="109">
        <v>46141</v>
      </c>
      <c r="B32" s="103">
        <v>2</v>
      </c>
      <c r="C32" s="50" t="s">
        <v>152</v>
      </c>
      <c r="D32" s="50" t="s">
        <v>658</v>
      </c>
      <c r="E32" s="50" t="s">
        <v>632</v>
      </c>
      <c r="F32" s="50" t="s">
        <v>633</v>
      </c>
      <c r="G32" s="112" t="s">
        <v>634</v>
      </c>
      <c r="I32">
        <v>2</v>
      </c>
    </row>
    <row r="33" spans="1:9">
      <c r="A33" s="109">
        <v>46141</v>
      </c>
      <c r="B33" s="103">
        <v>1</v>
      </c>
      <c r="C33" s="50" t="s">
        <v>174</v>
      </c>
      <c r="D33" s="50" t="s">
        <v>659</v>
      </c>
      <c r="E33" s="50" t="s">
        <v>632</v>
      </c>
      <c r="F33" s="50" t="s">
        <v>633</v>
      </c>
      <c r="G33" s="112" t="s">
        <v>634</v>
      </c>
      <c r="I33">
        <v>1</v>
      </c>
    </row>
    <row r="34" spans="1:9">
      <c r="A34" s="109">
        <v>46141</v>
      </c>
      <c r="B34" s="103">
        <v>1</v>
      </c>
      <c r="C34" s="50" t="s">
        <v>176</v>
      </c>
      <c r="D34" s="50" t="s">
        <v>660</v>
      </c>
      <c r="E34" s="50" t="s">
        <v>632</v>
      </c>
      <c r="F34" s="50" t="s">
        <v>633</v>
      </c>
      <c r="G34" s="112" t="s">
        <v>634</v>
      </c>
      <c r="I34">
        <v>1</v>
      </c>
    </row>
    <row r="35" spans="1:9">
      <c r="A35" s="109">
        <v>46141</v>
      </c>
      <c r="B35" s="103">
        <v>2</v>
      </c>
      <c r="C35" s="50" t="s">
        <v>180</v>
      </c>
      <c r="D35" s="50" t="s">
        <v>661</v>
      </c>
      <c r="E35" s="50" t="s">
        <v>632</v>
      </c>
      <c r="F35" s="50" t="s">
        <v>633</v>
      </c>
      <c r="G35" s="112" t="s">
        <v>634</v>
      </c>
      <c r="I35">
        <v>2</v>
      </c>
    </row>
    <row r="36" spans="1:9">
      <c r="A36" s="109">
        <v>46141</v>
      </c>
      <c r="B36" s="103">
        <v>3</v>
      </c>
      <c r="C36" s="50" t="s">
        <v>252</v>
      </c>
      <c r="D36" s="50" t="s">
        <v>662</v>
      </c>
      <c r="E36" s="50" t="s">
        <v>632</v>
      </c>
      <c r="F36" s="50" t="s">
        <v>633</v>
      </c>
      <c r="G36" s="112" t="s">
        <v>634</v>
      </c>
      <c r="I36">
        <v>3</v>
      </c>
    </row>
    <row r="37" spans="1:9">
      <c r="A37" s="109">
        <v>46141</v>
      </c>
      <c r="B37" s="103">
        <v>20</v>
      </c>
      <c r="C37" s="50" t="s">
        <v>452</v>
      </c>
      <c r="D37" s="50" t="s">
        <v>663</v>
      </c>
      <c r="E37" s="50" t="s">
        <v>632</v>
      </c>
      <c r="F37" s="50" t="s">
        <v>633</v>
      </c>
      <c r="G37" s="112" t="s">
        <v>634</v>
      </c>
      <c r="I37">
        <v>20</v>
      </c>
    </row>
    <row r="38" spans="1:9">
      <c r="A38" s="109">
        <v>46141</v>
      </c>
      <c r="B38" s="103">
        <v>20</v>
      </c>
      <c r="C38" s="50" t="s">
        <v>454</v>
      </c>
      <c r="D38" s="50" t="s">
        <v>455</v>
      </c>
      <c r="E38" s="50" t="s">
        <v>632</v>
      </c>
      <c r="F38" s="50" t="s">
        <v>633</v>
      </c>
      <c r="G38" s="112" t="s">
        <v>634</v>
      </c>
      <c r="I38">
        <v>20</v>
      </c>
    </row>
    <row r="39" spans="1:9">
      <c r="A39" s="109">
        <v>46141</v>
      </c>
      <c r="B39" s="103">
        <v>20</v>
      </c>
      <c r="C39" s="50" t="s">
        <v>458</v>
      </c>
      <c r="D39" s="50" t="s">
        <v>664</v>
      </c>
      <c r="E39" s="50" t="s">
        <v>632</v>
      </c>
      <c r="F39" s="50" t="s">
        <v>633</v>
      </c>
      <c r="G39" s="112" t="s">
        <v>634</v>
      </c>
      <c r="I39">
        <v>20</v>
      </c>
    </row>
    <row r="40" spans="1:9">
      <c r="A40" s="109">
        <v>46141</v>
      </c>
      <c r="B40" s="103">
        <v>20</v>
      </c>
      <c r="C40" s="50"/>
      <c r="D40" s="50" t="s">
        <v>665</v>
      </c>
      <c r="E40" s="50" t="s">
        <v>632</v>
      </c>
      <c r="F40" s="50" t="s">
        <v>633</v>
      </c>
      <c r="G40" s="112" t="s">
        <v>634</v>
      </c>
      <c r="I40">
        <v>20</v>
      </c>
    </row>
    <row r="41" spans="1:9" ht="15" customHeight="1">
      <c r="A41" s="109">
        <v>46141</v>
      </c>
      <c r="B41" s="103">
        <v>1</v>
      </c>
      <c r="C41" s="50" t="s">
        <v>238</v>
      </c>
      <c r="D41" s="50" t="s">
        <v>680</v>
      </c>
      <c r="E41" s="50" t="s">
        <v>632</v>
      </c>
      <c r="F41" s="50" t="s">
        <v>633</v>
      </c>
      <c r="G41" s="112" t="s">
        <v>634</v>
      </c>
      <c r="I41">
        <v>1</v>
      </c>
    </row>
    <row r="42" spans="1:9" ht="15" customHeight="1">
      <c r="A42" s="109">
        <v>46141</v>
      </c>
      <c r="B42" s="103">
        <v>5</v>
      </c>
      <c r="C42" s="50" t="s">
        <v>396</v>
      </c>
      <c r="D42" s="50" t="s">
        <v>681</v>
      </c>
      <c r="E42" s="50" t="s">
        <v>632</v>
      </c>
      <c r="F42" s="50" t="s">
        <v>633</v>
      </c>
      <c r="G42" s="112" t="s">
        <v>634</v>
      </c>
      <c r="I42">
        <v>5</v>
      </c>
    </row>
    <row r="43" spans="1:9" ht="15" customHeight="1">
      <c r="A43" s="109">
        <v>46141</v>
      </c>
      <c r="B43" s="103">
        <v>5</v>
      </c>
      <c r="C43" s="50" t="s">
        <v>588</v>
      </c>
      <c r="D43" s="50" t="s">
        <v>682</v>
      </c>
      <c r="E43" s="50" t="s">
        <v>632</v>
      </c>
      <c r="F43" s="50" t="s">
        <v>633</v>
      </c>
      <c r="G43" s="112" t="s">
        <v>634</v>
      </c>
      <c r="I43">
        <v>5</v>
      </c>
    </row>
    <row r="44" spans="1:9" ht="15" customHeight="1">
      <c r="A44" s="109">
        <v>46141</v>
      </c>
      <c r="B44" s="103">
        <v>1</v>
      </c>
      <c r="C44" s="50" t="s">
        <v>450</v>
      </c>
      <c r="D44" s="50" t="s">
        <v>683</v>
      </c>
      <c r="E44" s="50" t="s">
        <v>632</v>
      </c>
      <c r="F44" s="50" t="s">
        <v>633</v>
      </c>
      <c r="G44" s="112" t="s">
        <v>634</v>
      </c>
      <c r="I44">
        <v>1</v>
      </c>
    </row>
    <row r="45" spans="1:9" ht="15" customHeight="1">
      <c r="A45" s="109">
        <v>46141</v>
      </c>
      <c r="B45" s="103">
        <v>2</v>
      </c>
      <c r="C45" s="50" t="s">
        <v>590</v>
      </c>
      <c r="D45" s="50" t="s">
        <v>684</v>
      </c>
      <c r="E45" s="50" t="s">
        <v>632</v>
      </c>
      <c r="F45" s="50" t="s">
        <v>633</v>
      </c>
      <c r="G45" s="112" t="s">
        <v>634</v>
      </c>
      <c r="I45">
        <v>2</v>
      </c>
    </row>
    <row r="46" spans="1:9" ht="15" customHeight="1">
      <c r="A46" s="109">
        <v>46141</v>
      </c>
      <c r="B46" s="103">
        <v>20</v>
      </c>
      <c r="C46" s="50" t="s">
        <v>460</v>
      </c>
      <c r="D46" s="50" t="s">
        <v>461</v>
      </c>
      <c r="E46" s="50" t="s">
        <v>632</v>
      </c>
      <c r="F46" s="50" t="s">
        <v>633</v>
      </c>
      <c r="G46" s="112" t="s">
        <v>634</v>
      </c>
      <c r="I46">
        <v>20</v>
      </c>
    </row>
    <row r="47" spans="1:9" ht="15" customHeight="1">
      <c r="A47" s="109">
        <v>46141</v>
      </c>
      <c r="B47" s="103">
        <v>20</v>
      </c>
      <c r="C47" s="50" t="s">
        <v>490</v>
      </c>
      <c r="D47" s="50" t="s">
        <v>463</v>
      </c>
      <c r="E47" s="50" t="s">
        <v>632</v>
      </c>
      <c r="F47" s="50" t="s">
        <v>633</v>
      </c>
      <c r="G47" s="112" t="s">
        <v>634</v>
      </c>
      <c r="I47">
        <v>20</v>
      </c>
    </row>
    <row r="48" spans="1:9" ht="15" customHeight="1">
      <c r="A48" s="109">
        <v>46141</v>
      </c>
      <c r="B48" s="103">
        <v>1</v>
      </c>
      <c r="C48" s="50" t="s">
        <v>462</v>
      </c>
      <c r="D48" s="50" t="s">
        <v>491</v>
      </c>
      <c r="E48" s="50" t="s">
        <v>632</v>
      </c>
      <c r="F48" s="50" t="s">
        <v>633</v>
      </c>
      <c r="G48" s="112" t="s">
        <v>634</v>
      </c>
      <c r="I48">
        <v>1</v>
      </c>
    </row>
    <row r="49" spans="1:9" ht="15" customHeight="1">
      <c r="A49" s="109">
        <v>46141</v>
      </c>
      <c r="B49" s="103">
        <v>6</v>
      </c>
      <c r="C49" s="50" t="s">
        <v>502</v>
      </c>
      <c r="D49" s="50" t="s">
        <v>503</v>
      </c>
      <c r="E49" s="50" t="s">
        <v>632</v>
      </c>
      <c r="F49" s="50" t="s">
        <v>633</v>
      </c>
      <c r="G49" s="112" t="s">
        <v>634</v>
      </c>
      <c r="I49">
        <v>6</v>
      </c>
    </row>
    <row r="50" spans="1:9" ht="15" customHeight="1">
      <c r="A50" s="109">
        <v>46141</v>
      </c>
      <c r="B50" s="103">
        <v>12</v>
      </c>
      <c r="C50" s="50" t="s">
        <v>504</v>
      </c>
      <c r="D50" s="50" t="s">
        <v>505</v>
      </c>
      <c r="E50" s="50" t="s">
        <v>632</v>
      </c>
      <c r="F50" s="50" t="s">
        <v>633</v>
      </c>
      <c r="G50" s="112" t="s">
        <v>634</v>
      </c>
      <c r="I50">
        <v>12</v>
      </c>
    </row>
    <row r="51" spans="1:9" ht="15" customHeight="1">
      <c r="A51" s="109">
        <v>46141</v>
      </c>
      <c r="B51" s="103">
        <v>2</v>
      </c>
      <c r="C51" s="50" t="s">
        <v>506</v>
      </c>
      <c r="D51" s="50" t="s">
        <v>507</v>
      </c>
      <c r="E51" s="50" t="s">
        <v>632</v>
      </c>
      <c r="F51" s="50" t="s">
        <v>633</v>
      </c>
      <c r="G51" s="112" t="s">
        <v>634</v>
      </c>
      <c r="I51">
        <v>2</v>
      </c>
    </row>
    <row r="52" spans="1:9" ht="15" customHeight="1">
      <c r="A52" s="109">
        <v>46141</v>
      </c>
      <c r="B52" s="103">
        <v>1</v>
      </c>
      <c r="C52" s="50" t="s">
        <v>687</v>
      </c>
      <c r="D52" s="50" t="s">
        <v>685</v>
      </c>
      <c r="E52" s="50" t="s">
        <v>632</v>
      </c>
      <c r="F52" s="50" t="s">
        <v>633</v>
      </c>
      <c r="G52" s="112" t="s">
        <v>634</v>
      </c>
      <c r="I52">
        <v>1</v>
      </c>
    </row>
    <row r="53" spans="1:9" ht="15" customHeight="1">
      <c r="A53" s="114">
        <v>46141</v>
      </c>
      <c r="B53" s="115">
        <v>1</v>
      </c>
      <c r="C53" s="116" t="s">
        <v>586</v>
      </c>
      <c r="D53" s="116" t="s">
        <v>686</v>
      </c>
      <c r="E53" s="116" t="s">
        <v>632</v>
      </c>
      <c r="F53" s="116" t="s">
        <v>633</v>
      </c>
      <c r="G53" s="117" t="s">
        <v>634</v>
      </c>
      <c r="I53">
        <v>1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FINAL 26-05-2026</vt:lpstr>
      <vt:lpstr>Hoja1</vt:lpstr>
      <vt:lpstr>13 ABRIL </vt:lpstr>
      <vt:lpstr>INV. FINAL</vt:lpstr>
      <vt:lpstr>20 ABRIL </vt:lpstr>
      <vt:lpstr>27 ABRIL</vt:lpstr>
      <vt:lpstr>30 ABRIL </vt:lpstr>
      <vt:lpstr>ABRIL 2026</vt:lpstr>
      <vt:lpstr>Hoja2</vt:lpstr>
      <vt:lpstr>SALIDAS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Cárdenas</dc:creator>
  <cp:lastModifiedBy>Saul Meza</cp:lastModifiedBy>
  <cp:lastPrinted>2026-05-13T16:34:38Z</cp:lastPrinted>
  <dcterms:created xsi:type="dcterms:W3CDTF">2026-04-20T13:23:37Z</dcterms:created>
  <dcterms:modified xsi:type="dcterms:W3CDTF">2026-05-27T17:36:00Z</dcterms:modified>
</cp:coreProperties>
</file>